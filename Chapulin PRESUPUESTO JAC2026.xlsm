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ca\OneDrive\Desktop\Dashboard condomio git\"/>
    </mc:Choice>
  </mc:AlternateContent>
  <xr:revisionPtr revIDLastSave="0" documentId="13_ncr:1_{289E4E8A-B335-4CBE-9648-984B4BBB64C6}" xr6:coauthVersionLast="36" xr6:coauthVersionMax="47" xr10:uidLastSave="{00000000-0000-0000-0000-000000000000}"/>
  <bookViews>
    <workbookView xWindow="-110" yWindow="-110" windowWidth="19420" windowHeight="10300" activeTab="2" xr2:uid="{9A0DD8AB-4B01-4C16-94C5-75AFC491C0AC}"/>
  </bookViews>
  <sheets>
    <sheet name="Presupuesto" sheetId="2" r:id="rId1"/>
    <sheet name="Gastos" sheetId="1" r:id="rId2"/>
    <sheet name="CEA" sheetId="3" r:id="rId3"/>
    <sheet name="Graficas" sheetId="4" r:id="rId4"/>
  </sheets>
  <definedNames>
    <definedName name="_xlnm._FilterDatabase" localSheetId="1" hidden="1">Gastos!$A$1:$G$1712</definedName>
    <definedName name="_xlnm.Print_Area" localSheetId="2">CEA!$B$1:$C$74</definedName>
    <definedName name="FECHAt">#REF!</definedName>
    <definedName name="RESTAURACIÓN_FACHADA">Gastos!$AA$50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120" i="2" l="1"/>
  <c r="GL10" i="2" s="1"/>
  <c r="BR120" i="2"/>
  <c r="GL9" i="2" s="1"/>
  <c r="BF120" i="2"/>
  <c r="GL8" i="2" s="1"/>
  <c r="AT120" i="2"/>
  <c r="GL7" i="2" s="1"/>
  <c r="AH120" i="2"/>
  <c r="GL6" i="2" s="1"/>
  <c r="V120" i="2"/>
  <c r="GL5" i="2" s="1"/>
  <c r="J120" i="2"/>
  <c r="GL4" i="2" s="1"/>
  <c r="A41" i="2" l="1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G1252" i="1"/>
  <c r="H1243" i="1"/>
  <c r="G1237" i="1"/>
  <c r="G1235" i="1"/>
  <c r="G1239" i="1" l="1"/>
  <c r="A103" i="2" l="1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GA104" i="2" l="1"/>
  <c r="GI3" i="2"/>
  <c r="GG3" i="2"/>
  <c r="GF3" i="2"/>
  <c r="GD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Y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M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CS1" i="2"/>
  <c r="CR1" i="2"/>
  <c r="CQ1" i="2"/>
  <c r="CP1" i="2"/>
  <c r="CO1" i="2"/>
  <c r="CN1" i="2"/>
  <c r="CM1" i="2"/>
  <c r="CL1" i="2"/>
  <c r="CK1" i="2"/>
  <c r="CJ1" i="2"/>
  <c r="CI1" i="2"/>
  <c r="CH1" i="2"/>
  <c r="AE103" i="2" l="1" a="1"/>
  <c r="AE103" i="2" s="1"/>
  <c r="AE102" i="2" a="1"/>
  <c r="AE102" i="2" s="1"/>
  <c r="AE101" i="2" a="1"/>
  <c r="AE101" i="2" s="1"/>
  <c r="AE100" i="2" a="1"/>
  <c r="AE100" i="2" s="1"/>
  <c r="AE96" i="2" a="1"/>
  <c r="AE96" i="2" s="1"/>
  <c r="AE97" i="2" a="1"/>
  <c r="AE97" i="2" s="1"/>
  <c r="AE98" i="2" a="1"/>
  <c r="AE98" i="2" s="1"/>
  <c r="AE99" i="2" a="1"/>
  <c r="AE99" i="2" s="1"/>
  <c r="AE92" i="2" a="1"/>
  <c r="AE92" i="2" s="1"/>
  <c r="AE95" i="2" a="1"/>
  <c r="AE95" i="2" s="1"/>
  <c r="AE94" i="2" a="1"/>
  <c r="AE94" i="2" s="1"/>
  <c r="AE93" i="2" a="1"/>
  <c r="AE93" i="2" s="1"/>
  <c r="AE88" i="2" a="1"/>
  <c r="AE88" i="2" s="1"/>
  <c r="AE91" i="2" a="1"/>
  <c r="AE91" i="2" s="1"/>
  <c r="AE90" i="2" a="1"/>
  <c r="AE90" i="2" s="1"/>
  <c r="AE89" i="2" a="1"/>
  <c r="AE89" i="2" s="1"/>
  <c r="AE87" i="2" a="1"/>
  <c r="AE87" i="2" s="1"/>
  <c r="AE86" i="2" a="1"/>
  <c r="AE86" i="2" s="1"/>
  <c r="AE85" i="2" a="1"/>
  <c r="AE85" i="2" s="1"/>
  <c r="AE84" i="2" a="1"/>
  <c r="AE84" i="2" s="1"/>
  <c r="AE81" i="2" a="1"/>
  <c r="AE81" i="2" s="1"/>
  <c r="AE83" i="2" a="1"/>
  <c r="AE83" i="2" s="1"/>
  <c r="AE82" i="2" a="1"/>
  <c r="AE82" i="2" s="1"/>
  <c r="AE80" i="2" a="1"/>
  <c r="AE80" i="2" s="1"/>
  <c r="AE78" i="2" a="1"/>
  <c r="AE78" i="2" s="1"/>
  <c r="AE79" i="2" a="1"/>
  <c r="AE79" i="2" s="1"/>
  <c r="AE77" i="2" a="1"/>
  <c r="AE77" i="2" s="1"/>
  <c r="AE73" i="2" a="1"/>
  <c r="AE73" i="2" s="1"/>
  <c r="AE72" i="2" a="1"/>
  <c r="AE72" i="2" s="1"/>
  <c r="AE74" i="2" a="1"/>
  <c r="AE74" i="2" s="1"/>
  <c r="AE76" i="2" a="1"/>
  <c r="AE76" i="2" s="1"/>
  <c r="AE75" i="2" a="1"/>
  <c r="AE75" i="2" s="1"/>
  <c r="AE70" i="2" a="1"/>
  <c r="AE70" i="2" s="1"/>
  <c r="AE69" i="2" a="1"/>
  <c r="AE69" i="2" s="1"/>
  <c r="AE68" i="2" a="1"/>
  <c r="AE68" i="2" s="1"/>
  <c r="AE71" i="2" a="1"/>
  <c r="AE71" i="2" s="1"/>
  <c r="AE65" i="2" a="1"/>
  <c r="AE65" i="2" s="1"/>
  <c r="AE67" i="2" a="1"/>
  <c r="AE67" i="2" s="1"/>
  <c r="AE66" i="2" a="1"/>
  <c r="AE66" i="2" s="1"/>
  <c r="AE64" i="2" a="1"/>
  <c r="AE64" i="2" s="1"/>
  <c r="AE60" i="2" a="1"/>
  <c r="AE60" i="2" s="1"/>
  <c r="AE63" i="2" a="1"/>
  <c r="AE63" i="2" s="1"/>
  <c r="AE62" i="2" a="1"/>
  <c r="AE62" i="2" s="1"/>
  <c r="AE61" i="2" a="1"/>
  <c r="AE61" i="2" s="1"/>
  <c r="AE56" i="2" a="1"/>
  <c r="AE56" i="2" s="1"/>
  <c r="AE59" i="2" a="1"/>
  <c r="AE59" i="2" s="1"/>
  <c r="AE58" i="2" a="1"/>
  <c r="AE58" i="2" s="1"/>
  <c r="AE57" i="2" a="1"/>
  <c r="AE57" i="2" s="1"/>
  <c r="AE54" i="2" a="1"/>
  <c r="AE54" i="2" s="1"/>
  <c r="AE52" i="2" a="1"/>
  <c r="AE52" i="2" s="1"/>
  <c r="AE53" i="2" a="1"/>
  <c r="AE53" i="2" s="1"/>
  <c r="AE51" i="2" a="1"/>
  <c r="AE51" i="2" s="1"/>
  <c r="AE50" i="2" a="1"/>
  <c r="AE50" i="2" s="1"/>
  <c r="AE49" i="2" a="1"/>
  <c r="AE49" i="2" s="1"/>
  <c r="AE55" i="2" a="1"/>
  <c r="AE55" i="2" s="1"/>
  <c r="AE46" i="2" a="1"/>
  <c r="AE46" i="2" s="1"/>
  <c r="AE45" i="2" a="1"/>
  <c r="AE45" i="2" s="1"/>
  <c r="AE41" i="2" a="1"/>
  <c r="AE41" i="2" s="1"/>
  <c r="AE47" i="2" a="1"/>
  <c r="AE47" i="2" s="1"/>
  <c r="AE40" i="2" a="1"/>
  <c r="AE40" i="2" s="1"/>
  <c r="AE44" i="2" a="1"/>
  <c r="AE44" i="2" s="1"/>
  <c r="AE42" i="2" a="1"/>
  <c r="AE42" i="2" s="1"/>
  <c r="AE48" i="2" a="1"/>
  <c r="AE48" i="2" s="1"/>
  <c r="AE43" i="2" a="1"/>
  <c r="AE43" i="2" s="1"/>
  <c r="AE36" i="2" a="1"/>
  <c r="AE36" i="2" s="1"/>
  <c r="AE39" i="2" a="1"/>
  <c r="AE39" i="2" s="1"/>
  <c r="AE35" i="2" a="1"/>
  <c r="AE35" i="2" s="1"/>
  <c r="AE38" i="2" a="1"/>
  <c r="AE38" i="2" s="1"/>
  <c r="AE34" i="2" a="1"/>
  <c r="AE34" i="2" s="1"/>
  <c r="AE37" i="2" a="1"/>
  <c r="AE37" i="2" s="1"/>
  <c r="AE33" i="2" a="1"/>
  <c r="AE33" i="2" s="1"/>
  <c r="AE27" i="2" a="1"/>
  <c r="AE27" i="2" s="1"/>
  <c r="AE31" i="2" a="1"/>
  <c r="AE31" i="2" s="1"/>
  <c r="AE30" i="2" a="1"/>
  <c r="AE30" i="2" s="1"/>
  <c r="AE32" i="2" a="1"/>
  <c r="AE32" i="2" s="1"/>
  <c r="AE26" i="2" a="1"/>
  <c r="AE26" i="2" s="1"/>
  <c r="AE29" i="2" a="1"/>
  <c r="AE29" i="2" s="1"/>
  <c r="AE28" i="2" a="1"/>
  <c r="AE28" i="2" s="1"/>
  <c r="AE25" i="2" a="1"/>
  <c r="AE25" i="2" s="1"/>
  <c r="AE18" i="2" a="1"/>
  <c r="AE18" i="2" s="1"/>
  <c r="AE17" i="2" a="1"/>
  <c r="AE17" i="2" s="1"/>
  <c r="AE16" i="2" a="1"/>
  <c r="AE16" i="2" s="1"/>
  <c r="AE24" i="2" a="1"/>
  <c r="AE24" i="2" s="1"/>
  <c r="AE23" i="2" a="1"/>
  <c r="AE23" i="2" s="1"/>
  <c r="AE22" i="2" a="1"/>
  <c r="AE22" i="2" s="1"/>
  <c r="AE21" i="2" a="1"/>
  <c r="AE21" i="2" s="1"/>
  <c r="AE20" i="2" a="1"/>
  <c r="AE20" i="2" s="1"/>
  <c r="AE19" i="2" a="1"/>
  <c r="AE19" i="2" s="1"/>
  <c r="AE15" i="2" a="1"/>
  <c r="AE15" i="2" s="1"/>
  <c r="AE12" i="2" a="1"/>
  <c r="AE12" i="2" s="1"/>
  <c r="AE11" i="2" a="1"/>
  <c r="AE11" i="2" s="1"/>
  <c r="AE8" i="2" a="1"/>
  <c r="AE8" i="2" s="1"/>
  <c r="AE14" i="2" a="1"/>
  <c r="AE14" i="2" s="1"/>
  <c r="AE10" i="2" a="1"/>
  <c r="AE10" i="2" s="1"/>
  <c r="AE9" i="2" a="1"/>
  <c r="AE9" i="2" s="1"/>
  <c r="AE13" i="2" a="1"/>
  <c r="AE13" i="2" s="1"/>
  <c r="AE6" i="2" a="1"/>
  <c r="AE6" i="2" s="1"/>
  <c r="AE7" i="2" a="1"/>
  <c r="AE7" i="2" s="1"/>
  <c r="AE4" i="2" a="1"/>
  <c r="AE4" i="2" s="1"/>
  <c r="AE5" i="2" a="1"/>
  <c r="AE5" i="2" s="1"/>
  <c r="AQ103" i="2" a="1"/>
  <c r="AQ103" i="2" s="1"/>
  <c r="AQ102" i="2" a="1"/>
  <c r="AQ102" i="2" s="1"/>
  <c r="AQ100" i="2" a="1"/>
  <c r="AQ100" i="2" s="1"/>
  <c r="AQ101" i="2" a="1"/>
  <c r="AQ101" i="2" s="1"/>
  <c r="AQ97" i="2" a="1"/>
  <c r="AQ97" i="2" s="1"/>
  <c r="AQ98" i="2" a="1"/>
  <c r="AQ98" i="2" s="1"/>
  <c r="AQ96" i="2" a="1"/>
  <c r="AQ96" i="2" s="1"/>
  <c r="AQ99" i="2" a="1"/>
  <c r="AQ99" i="2" s="1"/>
  <c r="AQ94" i="2" a="1"/>
  <c r="AQ94" i="2" s="1"/>
  <c r="AQ95" i="2" a="1"/>
  <c r="AQ95" i="2" s="1"/>
  <c r="AQ93" i="2" a="1"/>
  <c r="AQ93" i="2" s="1"/>
  <c r="AQ92" i="2" a="1"/>
  <c r="AQ92" i="2" s="1"/>
  <c r="AQ90" i="2" a="1"/>
  <c r="AQ90" i="2" s="1"/>
  <c r="AQ89" i="2" a="1"/>
  <c r="AQ89" i="2" s="1"/>
  <c r="AQ88" i="2" a="1"/>
  <c r="AQ88" i="2" s="1"/>
  <c r="AQ91" i="2" a="1"/>
  <c r="AQ91" i="2" s="1"/>
  <c r="AQ87" i="2" a="1"/>
  <c r="AQ87" i="2" s="1"/>
  <c r="AQ86" i="2" a="1"/>
  <c r="AQ86" i="2" s="1"/>
  <c r="AQ85" i="2" a="1"/>
  <c r="AQ85" i="2" s="1"/>
  <c r="AQ84" i="2" a="1"/>
  <c r="AQ84" i="2" s="1"/>
  <c r="AQ81" i="2" a="1"/>
  <c r="AQ81" i="2" s="1"/>
  <c r="AQ83" i="2" a="1"/>
  <c r="AQ83" i="2" s="1"/>
  <c r="AQ80" i="2" a="1"/>
  <c r="AQ80" i="2" s="1"/>
  <c r="AQ82" i="2" a="1"/>
  <c r="AQ82" i="2" s="1"/>
  <c r="AQ78" i="2" a="1"/>
  <c r="AQ78" i="2" s="1"/>
  <c r="AQ79" i="2" a="1"/>
  <c r="AQ79" i="2" s="1"/>
  <c r="AQ77" i="2" a="1"/>
  <c r="AQ77" i="2" s="1"/>
  <c r="AQ76" i="2" a="1"/>
  <c r="AQ76" i="2" s="1"/>
  <c r="AQ72" i="2" a="1"/>
  <c r="AQ72" i="2" s="1"/>
  <c r="AQ75" i="2" a="1"/>
  <c r="AQ75" i="2" s="1"/>
  <c r="AQ74" i="2" a="1"/>
  <c r="AQ74" i="2" s="1"/>
  <c r="AQ73" i="2" a="1"/>
  <c r="AQ73" i="2" s="1"/>
  <c r="AQ68" i="2" a="1"/>
  <c r="AQ68" i="2" s="1"/>
  <c r="AQ71" i="2" a="1"/>
  <c r="AQ71" i="2" s="1"/>
  <c r="AQ70" i="2" a="1"/>
  <c r="AQ70" i="2" s="1"/>
  <c r="AQ69" i="2" a="1"/>
  <c r="AQ69" i="2" s="1"/>
  <c r="AQ64" i="2" a="1"/>
  <c r="AQ64" i="2" s="1"/>
  <c r="AQ65" i="2" a="1"/>
  <c r="AQ65" i="2" s="1"/>
  <c r="AQ67" i="2" a="1"/>
  <c r="AQ67" i="2" s="1"/>
  <c r="AQ66" i="2" a="1"/>
  <c r="AQ66" i="2" s="1"/>
  <c r="AQ63" i="2" a="1"/>
  <c r="AQ63" i="2" s="1"/>
  <c r="AQ61" i="2" a="1"/>
  <c r="AQ61" i="2" s="1"/>
  <c r="AQ60" i="2" a="1"/>
  <c r="AQ60" i="2" s="1"/>
  <c r="AQ62" i="2" a="1"/>
  <c r="AQ62" i="2" s="1"/>
  <c r="AQ57" i="2" a="1"/>
  <c r="AQ57" i="2" s="1"/>
  <c r="AQ58" i="2" a="1"/>
  <c r="AQ58" i="2" s="1"/>
  <c r="AQ59" i="2" a="1"/>
  <c r="AQ59" i="2" s="1"/>
  <c r="AQ51" i="2" a="1"/>
  <c r="AQ51" i="2" s="1"/>
  <c r="AQ50" i="2" a="1"/>
  <c r="AQ50" i="2" s="1"/>
  <c r="AQ55" i="2" a="1"/>
  <c r="AQ55" i="2" s="1"/>
  <c r="AQ56" i="2" a="1"/>
  <c r="AQ56" i="2" s="1"/>
  <c r="AQ49" i="2" a="1"/>
  <c r="AQ49" i="2" s="1"/>
  <c r="AQ54" i="2" a="1"/>
  <c r="AQ54" i="2" s="1"/>
  <c r="AQ52" i="2" a="1"/>
  <c r="AQ52" i="2" s="1"/>
  <c r="AQ53" i="2" a="1"/>
  <c r="AQ53" i="2" s="1"/>
  <c r="AQ48" i="2" a="1"/>
  <c r="AQ48" i="2" s="1"/>
  <c r="AQ44" i="2" a="1"/>
  <c r="AQ44" i="2" s="1"/>
  <c r="AQ42" i="2" a="1"/>
  <c r="AQ42" i="2" s="1"/>
  <c r="AQ43" i="2" a="1"/>
  <c r="AQ43" i="2" s="1"/>
  <c r="AQ46" i="2" a="1"/>
  <c r="AQ46" i="2" s="1"/>
  <c r="AQ45" i="2" a="1"/>
  <c r="AQ45" i="2" s="1"/>
  <c r="AQ41" i="2" a="1"/>
  <c r="AQ41" i="2" s="1"/>
  <c r="AQ47" i="2" a="1"/>
  <c r="AQ47" i="2" s="1"/>
  <c r="AQ40" i="2" a="1"/>
  <c r="AQ40" i="2" s="1"/>
  <c r="AQ38" i="2" a="1"/>
  <c r="AQ38" i="2" s="1"/>
  <c r="AQ37" i="2" a="1"/>
  <c r="AQ37" i="2" s="1"/>
  <c r="AQ34" i="2" a="1"/>
  <c r="AQ34" i="2" s="1"/>
  <c r="AQ33" i="2" a="1"/>
  <c r="AQ33" i="2" s="1"/>
  <c r="AQ39" i="2" a="1"/>
  <c r="AQ39" i="2" s="1"/>
  <c r="AQ36" i="2" a="1"/>
  <c r="AQ36" i="2" s="1"/>
  <c r="AQ35" i="2" a="1"/>
  <c r="AQ35" i="2" s="1"/>
  <c r="AQ30" i="2" a="1"/>
  <c r="AQ30" i="2" s="1"/>
  <c r="AQ31" i="2" a="1"/>
  <c r="AQ31" i="2" s="1"/>
  <c r="AQ32" i="2" a="1"/>
  <c r="AQ32" i="2" s="1"/>
  <c r="AQ29" i="2" a="1"/>
  <c r="AQ29" i="2" s="1"/>
  <c r="AQ28" i="2" a="1"/>
  <c r="AQ28" i="2" s="1"/>
  <c r="AQ26" i="2" a="1"/>
  <c r="AQ26" i="2" s="1"/>
  <c r="AQ25" i="2" a="1"/>
  <c r="AQ25" i="2" s="1"/>
  <c r="AQ27" i="2" a="1"/>
  <c r="AQ27" i="2" s="1"/>
  <c r="AQ16" i="2" a="1"/>
  <c r="AQ16" i="2" s="1"/>
  <c r="AQ18" i="2" a="1"/>
  <c r="AQ18" i="2" s="1"/>
  <c r="AQ15" i="2" a="1"/>
  <c r="AQ15" i="2" s="1"/>
  <c r="AQ17" i="2" a="1"/>
  <c r="AQ17" i="2" s="1"/>
  <c r="AQ24" i="2" a="1"/>
  <c r="AQ24" i="2" s="1"/>
  <c r="AQ23" i="2" a="1"/>
  <c r="AQ23" i="2" s="1"/>
  <c r="AQ22" i="2" a="1"/>
  <c r="AQ22" i="2" s="1"/>
  <c r="AQ21" i="2" a="1"/>
  <c r="AQ21" i="2" s="1"/>
  <c r="AQ20" i="2" a="1"/>
  <c r="AQ20" i="2" s="1"/>
  <c r="AQ19" i="2" a="1"/>
  <c r="AQ19" i="2" s="1"/>
  <c r="AQ9" i="2" a="1"/>
  <c r="AQ9" i="2" s="1"/>
  <c r="AQ14" i="2" a="1"/>
  <c r="AQ14" i="2" s="1"/>
  <c r="AQ13" i="2" a="1"/>
  <c r="AQ13" i="2" s="1"/>
  <c r="AQ12" i="2" a="1"/>
  <c r="AQ12" i="2" s="1"/>
  <c r="AQ8" i="2" a="1"/>
  <c r="AQ8" i="2" s="1"/>
  <c r="AQ11" i="2" a="1"/>
  <c r="AQ11" i="2" s="1"/>
  <c r="AQ10" i="2" a="1"/>
  <c r="AQ10" i="2" s="1"/>
  <c r="AQ6" i="2" a="1"/>
  <c r="AQ6" i="2" s="1"/>
  <c r="AQ7" i="2" a="1"/>
  <c r="AQ7" i="2" s="1"/>
  <c r="AQ5" i="2" a="1"/>
  <c r="AQ5" i="2" s="1"/>
  <c r="AQ4" i="2" a="1"/>
  <c r="AQ4" i="2" s="1"/>
  <c r="BC103" i="2" a="1"/>
  <c r="BC103" i="2" s="1"/>
  <c r="BC102" i="2" a="1"/>
  <c r="BC102" i="2" s="1"/>
  <c r="BC101" i="2" a="1"/>
  <c r="BC101" i="2" s="1"/>
  <c r="BC100" i="2" a="1"/>
  <c r="BC100" i="2" s="1"/>
  <c r="BC99" i="2" a="1"/>
  <c r="BC99" i="2" s="1"/>
  <c r="BC96" i="2" a="1"/>
  <c r="BC96" i="2" s="1"/>
  <c r="BC95" i="2" a="1"/>
  <c r="BC95" i="2" s="1"/>
  <c r="BC97" i="2" a="1"/>
  <c r="BC97" i="2" s="1"/>
  <c r="BC98" i="2" a="1"/>
  <c r="BC98" i="2" s="1"/>
  <c r="BC92" i="2" a="1"/>
  <c r="BC92" i="2" s="1"/>
  <c r="BC94" i="2" a="1"/>
  <c r="BC94" i="2" s="1"/>
  <c r="BC93" i="2" a="1"/>
  <c r="BC93" i="2" s="1"/>
  <c r="BC90" i="2" a="1"/>
  <c r="BC90" i="2" s="1"/>
  <c r="BC89" i="2" a="1"/>
  <c r="BC89" i="2" s="1"/>
  <c r="BC91" i="2" a="1"/>
  <c r="BC91" i="2" s="1"/>
  <c r="BC88" i="2" a="1"/>
  <c r="BC88" i="2" s="1"/>
  <c r="BC85" i="2" a="1"/>
  <c r="BC85" i="2" s="1"/>
  <c r="BC84" i="2" a="1"/>
  <c r="BC84" i="2" s="1"/>
  <c r="BC86" i="2" a="1"/>
  <c r="BC86" i="2" s="1"/>
  <c r="BC87" i="2" a="1"/>
  <c r="BC87" i="2" s="1"/>
  <c r="BC80" i="2" a="1"/>
  <c r="BC80" i="2" s="1"/>
  <c r="BC83" i="2" a="1"/>
  <c r="BC83" i="2" s="1"/>
  <c r="BC82" i="2" a="1"/>
  <c r="BC82" i="2" s="1"/>
  <c r="BC81" i="2" a="1"/>
  <c r="BC81" i="2" s="1"/>
  <c r="BC79" i="2" a="1"/>
  <c r="BC79" i="2" s="1"/>
  <c r="BC76" i="2" a="1"/>
  <c r="BC76" i="2" s="1"/>
  <c r="BC77" i="2" a="1"/>
  <c r="BC77" i="2" s="1"/>
  <c r="BC78" i="2" a="1"/>
  <c r="BC78" i="2" s="1"/>
  <c r="BC75" i="2" a="1"/>
  <c r="BC75" i="2" s="1"/>
  <c r="BC74" i="2" a="1"/>
  <c r="BC74" i="2" s="1"/>
  <c r="BC73" i="2" a="1"/>
  <c r="BC73" i="2" s="1"/>
  <c r="BC72" i="2" a="1"/>
  <c r="BC72" i="2" s="1"/>
  <c r="BC71" i="2" a="1"/>
  <c r="BC71" i="2" s="1"/>
  <c r="BC70" i="2" a="1"/>
  <c r="BC70" i="2" s="1"/>
  <c r="BC69" i="2" a="1"/>
  <c r="BC69" i="2" s="1"/>
  <c r="BC68" i="2" a="1"/>
  <c r="BC68" i="2" s="1"/>
  <c r="BC67" i="2" a="1"/>
  <c r="BC67" i="2" s="1"/>
  <c r="BC66" i="2" a="1"/>
  <c r="BC66" i="2" s="1"/>
  <c r="BC65" i="2" a="1"/>
  <c r="BC65" i="2" s="1"/>
  <c r="BC64" i="2" a="1"/>
  <c r="BC64" i="2" s="1"/>
  <c r="BC63" i="2" a="1"/>
  <c r="BC63" i="2" s="1"/>
  <c r="BC60" i="2" a="1"/>
  <c r="BC60" i="2" s="1"/>
  <c r="BC62" i="2" a="1"/>
  <c r="BC62" i="2" s="1"/>
  <c r="BC61" i="2" a="1"/>
  <c r="BC61" i="2" s="1"/>
  <c r="BC57" i="2" a="1"/>
  <c r="BC57" i="2" s="1"/>
  <c r="BC58" i="2" a="1"/>
  <c r="BC58" i="2" s="1"/>
  <c r="BC59" i="2" a="1"/>
  <c r="BC59" i="2" s="1"/>
  <c r="BC55" i="2" a="1"/>
  <c r="BC55" i="2" s="1"/>
  <c r="BC49" i="2" a="1"/>
  <c r="BC49" i="2" s="1"/>
  <c r="BC48" i="2" a="1"/>
  <c r="BC48" i="2" s="1"/>
  <c r="BC54" i="2" a="1"/>
  <c r="BC54" i="2" s="1"/>
  <c r="BC52" i="2" a="1"/>
  <c r="BC52" i="2" s="1"/>
  <c r="BC53" i="2" a="1"/>
  <c r="BC53" i="2" s="1"/>
  <c r="BC56" i="2" a="1"/>
  <c r="BC56" i="2" s="1"/>
  <c r="BC51" i="2" a="1"/>
  <c r="BC51" i="2" s="1"/>
  <c r="BC50" i="2" a="1"/>
  <c r="BC50" i="2" s="1"/>
  <c r="BC44" i="2" a="1"/>
  <c r="BC44" i="2" s="1"/>
  <c r="BC42" i="2" a="1"/>
  <c r="BC42" i="2" s="1"/>
  <c r="BC43" i="2" a="1"/>
  <c r="BC43" i="2" s="1"/>
  <c r="BC46" i="2" a="1"/>
  <c r="BC46" i="2" s="1"/>
  <c r="BC40" i="2" a="1"/>
  <c r="BC40" i="2" s="1"/>
  <c r="BC45" i="2" a="1"/>
  <c r="BC45" i="2" s="1"/>
  <c r="BC41" i="2" a="1"/>
  <c r="BC41" i="2" s="1"/>
  <c r="BC47" i="2" a="1"/>
  <c r="BC47" i="2" s="1"/>
  <c r="BC36" i="2" a="1"/>
  <c r="BC36" i="2" s="1"/>
  <c r="BC39" i="2" a="1"/>
  <c r="BC39" i="2" s="1"/>
  <c r="BC35" i="2" a="1"/>
  <c r="BC35" i="2" s="1"/>
  <c r="BC38" i="2" a="1"/>
  <c r="BC38" i="2" s="1"/>
  <c r="BC37" i="2" a="1"/>
  <c r="BC37" i="2" s="1"/>
  <c r="BC34" i="2" a="1"/>
  <c r="BC34" i="2" s="1"/>
  <c r="BC32" i="2" a="1"/>
  <c r="BC32" i="2" s="1"/>
  <c r="BC29" i="2" a="1"/>
  <c r="BC29" i="2" s="1"/>
  <c r="BC28" i="2" a="1"/>
  <c r="BC28" i="2" s="1"/>
  <c r="BC33" i="2" a="1"/>
  <c r="BC33" i="2" s="1"/>
  <c r="BC27" i="2" a="1"/>
  <c r="BC27" i="2" s="1"/>
  <c r="BC26" i="2" a="1"/>
  <c r="BC26" i="2" s="1"/>
  <c r="BC25" i="2" a="1"/>
  <c r="BC25" i="2" s="1"/>
  <c r="BC30" i="2" a="1"/>
  <c r="BC30" i="2" s="1"/>
  <c r="BC31" i="2" a="1"/>
  <c r="BC31" i="2" s="1"/>
  <c r="BC17" i="2" a="1"/>
  <c r="BC17" i="2" s="1"/>
  <c r="BC16" i="2" a="1"/>
  <c r="BC16" i="2" s="1"/>
  <c r="BC24" i="2" a="1"/>
  <c r="BC24" i="2" s="1"/>
  <c r="BC23" i="2" a="1"/>
  <c r="BC23" i="2" s="1"/>
  <c r="BC22" i="2" a="1"/>
  <c r="BC22" i="2" s="1"/>
  <c r="BC21" i="2" a="1"/>
  <c r="BC21" i="2" s="1"/>
  <c r="BC20" i="2" a="1"/>
  <c r="BC20" i="2" s="1"/>
  <c r="BC19" i="2" a="1"/>
  <c r="BC19" i="2" s="1"/>
  <c r="BC18" i="2" a="1"/>
  <c r="BC18" i="2" s="1"/>
  <c r="BC13" i="2" a="1"/>
  <c r="BC13" i="2" s="1"/>
  <c r="BC8" i="2" a="1"/>
  <c r="BC8" i="2" s="1"/>
  <c r="BC12" i="2" a="1"/>
  <c r="BC12" i="2" s="1"/>
  <c r="BC15" i="2" a="1"/>
  <c r="BC15" i="2" s="1"/>
  <c r="BC11" i="2" a="1"/>
  <c r="BC11" i="2" s="1"/>
  <c r="BC10" i="2" a="1"/>
  <c r="BC10" i="2" s="1"/>
  <c r="BC14" i="2" a="1"/>
  <c r="BC14" i="2" s="1"/>
  <c r="BC9" i="2" a="1"/>
  <c r="BC9" i="2" s="1"/>
  <c r="BC4" i="2" a="1"/>
  <c r="BC4" i="2" s="1"/>
  <c r="BC7" i="2" a="1"/>
  <c r="BC7" i="2" s="1"/>
  <c r="BC5" i="2" a="1"/>
  <c r="BC5" i="2" s="1"/>
  <c r="BC6" i="2" a="1"/>
  <c r="BC6" i="2" s="1"/>
  <c r="BO103" i="2" a="1"/>
  <c r="BO103" i="2" s="1"/>
  <c r="BO102" i="2" a="1"/>
  <c r="BO102" i="2" s="1"/>
  <c r="BO101" i="2" a="1"/>
  <c r="BO101" i="2" s="1"/>
  <c r="BO100" i="2" a="1"/>
  <c r="BO100" i="2" s="1"/>
  <c r="BO99" i="2" a="1"/>
  <c r="BO99" i="2" s="1"/>
  <c r="BO98" i="2" a="1"/>
  <c r="BO98" i="2" s="1"/>
  <c r="BO97" i="2" a="1"/>
  <c r="BO97" i="2" s="1"/>
  <c r="BO96" i="2" a="1"/>
  <c r="BO96" i="2" s="1"/>
  <c r="BO94" i="2" a="1"/>
  <c r="BO94" i="2" s="1"/>
  <c r="BO95" i="2" a="1"/>
  <c r="BO95" i="2" s="1"/>
  <c r="BO93" i="2" a="1"/>
  <c r="BO93" i="2" s="1"/>
  <c r="BO92" i="2" a="1"/>
  <c r="BO92" i="2" s="1"/>
  <c r="BO89" i="2" a="1"/>
  <c r="BO89" i="2" s="1"/>
  <c r="BO88" i="2" a="1"/>
  <c r="BO88" i="2" s="1"/>
  <c r="BO91" i="2" a="1"/>
  <c r="BO91" i="2" s="1"/>
  <c r="BO90" i="2" a="1"/>
  <c r="BO90" i="2" s="1"/>
  <c r="BO84" i="2" a="1"/>
  <c r="BO84" i="2" s="1"/>
  <c r="BO86" i="2" a="1"/>
  <c r="BO86" i="2" s="1"/>
  <c r="BO87" i="2" a="1"/>
  <c r="BO87" i="2" s="1"/>
  <c r="BO85" i="2" a="1"/>
  <c r="BO85" i="2" s="1"/>
  <c r="BO83" i="2" a="1"/>
  <c r="BO83" i="2" s="1"/>
  <c r="BO82" i="2" a="1"/>
  <c r="BO82" i="2" s="1"/>
  <c r="BO81" i="2" a="1"/>
  <c r="BO81" i="2" s="1"/>
  <c r="BO80" i="2" a="1"/>
  <c r="BO80" i="2" s="1"/>
  <c r="BO78" i="2" a="1"/>
  <c r="BO78" i="2" s="1"/>
  <c r="BO76" i="2" a="1"/>
  <c r="BO76" i="2" s="1"/>
  <c r="BO79" i="2" a="1"/>
  <c r="BO79" i="2" s="1"/>
  <c r="BO77" i="2" a="1"/>
  <c r="BO77" i="2" s="1"/>
  <c r="BO74" i="2" a="1"/>
  <c r="BO74" i="2" s="1"/>
  <c r="BO73" i="2" a="1"/>
  <c r="BO73" i="2" s="1"/>
  <c r="BO72" i="2" a="1"/>
  <c r="BO72" i="2" s="1"/>
  <c r="BO75" i="2" a="1"/>
  <c r="BO75" i="2" s="1"/>
  <c r="BO70" i="2" a="1"/>
  <c r="BO70" i="2" s="1"/>
  <c r="BO69" i="2" a="1"/>
  <c r="BO69" i="2" s="1"/>
  <c r="BO68" i="2" a="1"/>
  <c r="BO68" i="2" s="1"/>
  <c r="BO71" i="2" a="1"/>
  <c r="BO71" i="2" s="1"/>
  <c r="BO66" i="2" a="1"/>
  <c r="BO66" i="2" s="1"/>
  <c r="BO67" i="2" a="1"/>
  <c r="BO67" i="2" s="1"/>
  <c r="BO65" i="2" a="1"/>
  <c r="BO65" i="2" s="1"/>
  <c r="BO64" i="2" a="1"/>
  <c r="BO64" i="2" s="1"/>
  <c r="BO63" i="2" a="1"/>
  <c r="BO63" i="2" s="1"/>
  <c r="BO62" i="2" a="1"/>
  <c r="BO62" i="2" s="1"/>
  <c r="BO61" i="2" a="1"/>
  <c r="BO61" i="2" s="1"/>
  <c r="BO60" i="2" a="1"/>
  <c r="BO60" i="2" s="1"/>
  <c r="BO59" i="2" a="1"/>
  <c r="BO59" i="2" s="1"/>
  <c r="BO57" i="2" a="1"/>
  <c r="BO57" i="2" s="1"/>
  <c r="BO58" i="2" a="1"/>
  <c r="BO58" i="2" s="1"/>
  <c r="BO53" i="2" a="1"/>
  <c r="BO53" i="2" s="1"/>
  <c r="BO52" i="2" a="1"/>
  <c r="BO52" i="2" s="1"/>
  <c r="BO51" i="2" a="1"/>
  <c r="BO51" i="2" s="1"/>
  <c r="BO50" i="2" a="1"/>
  <c r="BO50" i="2" s="1"/>
  <c r="BO55" i="2" a="1"/>
  <c r="BO55" i="2" s="1"/>
  <c r="BO49" i="2" a="1"/>
  <c r="BO49" i="2" s="1"/>
  <c r="BO56" i="2" a="1"/>
  <c r="BO56" i="2" s="1"/>
  <c r="BO54" i="2" a="1"/>
  <c r="BO54" i="2" s="1"/>
  <c r="BO46" i="2" a="1"/>
  <c r="BO46" i="2" s="1"/>
  <c r="BO45" i="2" a="1"/>
  <c r="BO45" i="2" s="1"/>
  <c r="BO47" i="2" a="1"/>
  <c r="BO47" i="2" s="1"/>
  <c r="BO41" i="2" a="1"/>
  <c r="BO41" i="2" s="1"/>
  <c r="BO44" i="2" a="1"/>
  <c r="BO44" i="2" s="1"/>
  <c r="BO48" i="2" a="1"/>
  <c r="BO48" i="2" s="1"/>
  <c r="BO42" i="2" a="1"/>
  <c r="BO42" i="2" s="1"/>
  <c r="BO43" i="2" a="1"/>
  <c r="BO43" i="2" s="1"/>
  <c r="BO35" i="2" a="1"/>
  <c r="BO35" i="2" s="1"/>
  <c r="BO38" i="2" a="1"/>
  <c r="BO38" i="2" s="1"/>
  <c r="BO37" i="2" a="1"/>
  <c r="BO37" i="2" s="1"/>
  <c r="BO40" i="2" a="1"/>
  <c r="BO40" i="2" s="1"/>
  <c r="BO34" i="2" a="1"/>
  <c r="BO34" i="2" s="1"/>
  <c r="BO36" i="2" a="1"/>
  <c r="BO36" i="2" s="1"/>
  <c r="BO39" i="2" a="1"/>
  <c r="BO39" i="2" s="1"/>
  <c r="BO33" i="2" a="1"/>
  <c r="BO33" i="2" s="1"/>
  <c r="BO27" i="2" a="1"/>
  <c r="BO27" i="2" s="1"/>
  <c r="BO31" i="2" a="1"/>
  <c r="BO31" i="2" s="1"/>
  <c r="BO30" i="2" a="1"/>
  <c r="BO30" i="2" s="1"/>
  <c r="BO26" i="2" a="1"/>
  <c r="BO26" i="2" s="1"/>
  <c r="BO29" i="2" a="1"/>
  <c r="BO29" i="2" s="1"/>
  <c r="BO25" i="2" a="1"/>
  <c r="BO25" i="2" s="1"/>
  <c r="BO32" i="2" a="1"/>
  <c r="BO32" i="2" s="1"/>
  <c r="BO28" i="2" a="1"/>
  <c r="BO28" i="2" s="1"/>
  <c r="BO16" i="2" a="1"/>
  <c r="BO16" i="2" s="1"/>
  <c r="BO17" i="2" a="1"/>
  <c r="BO17" i="2" s="1"/>
  <c r="BO24" i="2" a="1"/>
  <c r="BO24" i="2" s="1"/>
  <c r="BO23" i="2" a="1"/>
  <c r="BO23" i="2" s="1"/>
  <c r="BO22" i="2" a="1"/>
  <c r="BO22" i="2" s="1"/>
  <c r="BO21" i="2" a="1"/>
  <c r="BO21" i="2" s="1"/>
  <c r="BO20" i="2" a="1"/>
  <c r="BO20" i="2" s="1"/>
  <c r="BO19" i="2" a="1"/>
  <c r="BO19" i="2" s="1"/>
  <c r="BO18" i="2" a="1"/>
  <c r="BO18" i="2" s="1"/>
  <c r="BO11" i="2" a="1"/>
  <c r="BO11" i="2" s="1"/>
  <c r="BO14" i="2" a="1"/>
  <c r="BO14" i="2" s="1"/>
  <c r="BO9" i="2" a="1"/>
  <c r="BO9" i="2" s="1"/>
  <c r="BO13" i="2" a="1"/>
  <c r="BO13" i="2" s="1"/>
  <c r="BO8" i="2" a="1"/>
  <c r="BO8" i="2" s="1"/>
  <c r="BO7" i="2" a="1"/>
  <c r="BO7" i="2" s="1"/>
  <c r="BO15" i="2" a="1"/>
  <c r="BO15" i="2" s="1"/>
  <c r="BO12" i="2" a="1"/>
  <c r="BO12" i="2" s="1"/>
  <c r="BO10" i="2" a="1"/>
  <c r="BO10" i="2" s="1"/>
  <c r="BO4" i="2" a="1"/>
  <c r="BO4" i="2" s="1"/>
  <c r="BO6" i="2" a="1"/>
  <c r="BO6" i="2" s="1"/>
  <c r="BO5" i="2" a="1"/>
  <c r="BO5" i="2" s="1"/>
  <c r="CA103" i="2" a="1"/>
  <c r="CA103" i="2" s="1"/>
  <c r="CA102" i="2" a="1"/>
  <c r="CA102" i="2" s="1"/>
  <c r="CA101" i="2" a="1"/>
  <c r="CA101" i="2" s="1"/>
  <c r="CA99" i="2" a="1"/>
  <c r="CA99" i="2" s="1"/>
  <c r="CA100" i="2" a="1"/>
  <c r="CA100" i="2" s="1"/>
  <c r="CA98" i="2" a="1"/>
  <c r="CA98" i="2" s="1"/>
  <c r="CA97" i="2" a="1"/>
  <c r="CA97" i="2" s="1"/>
  <c r="CA96" i="2" a="1"/>
  <c r="CA96" i="2" s="1"/>
  <c r="CA93" i="2" a="1"/>
  <c r="CA93" i="2" s="1"/>
  <c r="CA92" i="2" a="1"/>
  <c r="CA92" i="2" s="1"/>
  <c r="CA95" i="2" a="1"/>
  <c r="CA95" i="2" s="1"/>
  <c r="CA94" i="2" a="1"/>
  <c r="CA94" i="2" s="1"/>
  <c r="CA90" i="2" a="1"/>
  <c r="CA90" i="2" s="1"/>
  <c r="CA91" i="2" a="1"/>
  <c r="CA91" i="2" s="1"/>
  <c r="CA89" i="2" a="1"/>
  <c r="CA89" i="2" s="1"/>
  <c r="CA88" i="2" a="1"/>
  <c r="CA88" i="2" s="1"/>
  <c r="CA86" i="2" a="1"/>
  <c r="CA86" i="2" s="1"/>
  <c r="CA87" i="2" a="1"/>
  <c r="CA87" i="2" s="1"/>
  <c r="CA85" i="2" a="1"/>
  <c r="CA85" i="2" s="1"/>
  <c r="CA84" i="2" a="1"/>
  <c r="CA84" i="2" s="1"/>
  <c r="CA81" i="2" a="1"/>
  <c r="CA81" i="2" s="1"/>
  <c r="CA80" i="2" a="1"/>
  <c r="CA80" i="2" s="1"/>
  <c r="CA82" i="2" a="1"/>
  <c r="CA82" i="2" s="1"/>
  <c r="CA83" i="2" a="1"/>
  <c r="CA83" i="2" s="1"/>
  <c r="CA78" i="2" a="1"/>
  <c r="CA78" i="2" s="1"/>
  <c r="CA76" i="2" a="1"/>
  <c r="CA76" i="2" s="1"/>
  <c r="CA79" i="2" a="1"/>
  <c r="CA79" i="2" s="1"/>
  <c r="CA77" i="2" a="1"/>
  <c r="CA77" i="2" s="1"/>
  <c r="CA73" i="2" a="1"/>
  <c r="CA73" i="2" s="1"/>
  <c r="CA72" i="2" a="1"/>
  <c r="CA72" i="2" s="1"/>
  <c r="CA74" i="2" a="1"/>
  <c r="CA74" i="2" s="1"/>
  <c r="CA75" i="2" a="1"/>
  <c r="CA75" i="2" s="1"/>
  <c r="CA69" i="2" a="1"/>
  <c r="CA69" i="2" s="1"/>
  <c r="CA68" i="2" a="1"/>
  <c r="CA68" i="2" s="1"/>
  <c r="CA71" i="2" a="1"/>
  <c r="CA71" i="2" s="1"/>
  <c r="CA70" i="2" a="1"/>
  <c r="CA70" i="2" s="1"/>
  <c r="CA64" i="2" a="1"/>
  <c r="CA64" i="2" s="1"/>
  <c r="CA66" i="2" a="1"/>
  <c r="CA66" i="2" s="1"/>
  <c r="CA67" i="2" a="1"/>
  <c r="CA67" i="2" s="1"/>
  <c r="CA65" i="2" a="1"/>
  <c r="CA65" i="2" s="1"/>
  <c r="CA62" i="2" a="1"/>
  <c r="CA62" i="2" s="1"/>
  <c r="CA63" i="2" a="1"/>
  <c r="CA63" i="2" s="1"/>
  <c r="CA61" i="2" a="1"/>
  <c r="CA61" i="2" s="1"/>
  <c r="CA60" i="2" a="1"/>
  <c r="CA60" i="2" s="1"/>
  <c r="CA57" i="2" a="1"/>
  <c r="CA57" i="2" s="1"/>
  <c r="CA56" i="2" a="1"/>
  <c r="CA56" i="2" s="1"/>
  <c r="CA58" i="2" a="1"/>
  <c r="CA58" i="2" s="1"/>
  <c r="CA59" i="2" a="1"/>
  <c r="CA59" i="2" s="1"/>
  <c r="CA51" i="2" a="1"/>
  <c r="CA51" i="2" s="1"/>
  <c r="CA55" i="2" a="1"/>
  <c r="CA55" i="2" s="1"/>
  <c r="CA50" i="2" a="1"/>
  <c r="CA50" i="2" s="1"/>
  <c r="CA49" i="2" a="1"/>
  <c r="CA49" i="2" s="1"/>
  <c r="CA54" i="2" a="1"/>
  <c r="CA54" i="2" s="1"/>
  <c r="CA53" i="2" a="1"/>
  <c r="CA53" i="2" s="1"/>
  <c r="CA48" i="2" a="1"/>
  <c r="CA48" i="2" s="1"/>
  <c r="CA52" i="2" a="1"/>
  <c r="CA52" i="2" s="1"/>
  <c r="CA47" i="2" a="1"/>
  <c r="CA47" i="2" s="1"/>
  <c r="CA41" i="2" a="1"/>
  <c r="CA41" i="2" s="1"/>
  <c r="CA44" i="2" a="1"/>
  <c r="CA44" i="2" s="1"/>
  <c r="CA40" i="2" a="1"/>
  <c r="CA40" i="2" s="1"/>
  <c r="CA42" i="2" a="1"/>
  <c r="CA42" i="2" s="1"/>
  <c r="CA46" i="2" a="1"/>
  <c r="CA46" i="2" s="1"/>
  <c r="CA43" i="2" a="1"/>
  <c r="CA43" i="2" s="1"/>
  <c r="CA45" i="2" a="1"/>
  <c r="CA45" i="2" s="1"/>
  <c r="CA37" i="2" a="1"/>
  <c r="CA37" i="2" s="1"/>
  <c r="CA34" i="2" a="1"/>
  <c r="CA34" i="2" s="1"/>
  <c r="CA36" i="2" a="1"/>
  <c r="CA36" i="2" s="1"/>
  <c r="CA39" i="2" a="1"/>
  <c r="CA39" i="2" s="1"/>
  <c r="CA33" i="2" a="1"/>
  <c r="CA33" i="2" s="1"/>
  <c r="CA38" i="2" a="1"/>
  <c r="CA38" i="2" s="1"/>
  <c r="CA35" i="2" a="1"/>
  <c r="CA35" i="2" s="1"/>
  <c r="CA31" i="2" a="1"/>
  <c r="CA31" i="2" s="1"/>
  <c r="CA30" i="2" a="1"/>
  <c r="CA30" i="2" s="1"/>
  <c r="CA26" i="2" a="1"/>
  <c r="CA26" i="2" s="1"/>
  <c r="CA29" i="2" a="1"/>
  <c r="CA29" i="2" s="1"/>
  <c r="CA32" i="2" a="1"/>
  <c r="CA32" i="2" s="1"/>
  <c r="CA28" i="2" a="1"/>
  <c r="CA28" i="2" s="1"/>
  <c r="CA27" i="2" a="1"/>
  <c r="CA27" i="2" s="1"/>
  <c r="CA25" i="2" a="1"/>
  <c r="CA25" i="2" s="1"/>
  <c r="CA15" i="2" a="1"/>
  <c r="CA15" i="2" s="1"/>
  <c r="CA17" i="2" a="1"/>
  <c r="CA17" i="2" s="1"/>
  <c r="CA24" i="2" a="1"/>
  <c r="CA24" i="2" s="1"/>
  <c r="CA23" i="2" a="1"/>
  <c r="CA23" i="2" s="1"/>
  <c r="CA22" i="2" a="1"/>
  <c r="CA22" i="2" s="1"/>
  <c r="CA21" i="2" a="1"/>
  <c r="CA21" i="2" s="1"/>
  <c r="CA20" i="2" a="1"/>
  <c r="CA20" i="2" s="1"/>
  <c r="CA19" i="2" a="1"/>
  <c r="CA19" i="2" s="1"/>
  <c r="CA18" i="2" a="1"/>
  <c r="CA18" i="2" s="1"/>
  <c r="CA16" i="2" a="1"/>
  <c r="CA16" i="2" s="1"/>
  <c r="CA8" i="2" a="1"/>
  <c r="CA8" i="2" s="1"/>
  <c r="CA13" i="2" a="1"/>
  <c r="CA13" i="2" s="1"/>
  <c r="CA12" i="2" a="1"/>
  <c r="CA12" i="2" s="1"/>
  <c r="CA10" i="2" a="1"/>
  <c r="CA10" i="2" s="1"/>
  <c r="CA11" i="2" a="1"/>
  <c r="CA11" i="2" s="1"/>
  <c r="CA9" i="2" a="1"/>
  <c r="CA9" i="2" s="1"/>
  <c r="CA14" i="2" a="1"/>
  <c r="CA14" i="2" s="1"/>
  <c r="CA7" i="2" a="1"/>
  <c r="CA7" i="2" s="1"/>
  <c r="CA5" i="2" a="1"/>
  <c r="CA5" i="2" s="1"/>
  <c r="CA6" i="2" a="1"/>
  <c r="CA6" i="2" s="1"/>
  <c r="CA4" i="2" a="1"/>
  <c r="CA4" i="2" s="1"/>
  <c r="AR101" i="2" a="1"/>
  <c r="AR101" i="2" s="1"/>
  <c r="AR99" i="2" a="1"/>
  <c r="AR99" i="2" s="1"/>
  <c r="AR103" i="2" a="1"/>
  <c r="AR103" i="2" s="1"/>
  <c r="AR102" i="2" a="1"/>
  <c r="AR102" i="2" s="1"/>
  <c r="AR100" i="2" a="1"/>
  <c r="AR100" i="2" s="1"/>
  <c r="AR98" i="2" a="1"/>
  <c r="AR98" i="2" s="1"/>
  <c r="AR96" i="2" a="1"/>
  <c r="AR96" i="2" s="1"/>
  <c r="AR97" i="2" a="1"/>
  <c r="AR97" i="2" s="1"/>
  <c r="AR95" i="2" a="1"/>
  <c r="AR95" i="2" s="1"/>
  <c r="AR93" i="2" a="1"/>
  <c r="AR93" i="2" s="1"/>
  <c r="AR92" i="2" a="1"/>
  <c r="AR92" i="2" s="1"/>
  <c r="AR94" i="2" a="1"/>
  <c r="AR94" i="2" s="1"/>
  <c r="AR90" i="2" a="1"/>
  <c r="AR90" i="2" s="1"/>
  <c r="AR89" i="2" a="1"/>
  <c r="AR89" i="2" s="1"/>
  <c r="AR91" i="2" a="1"/>
  <c r="AR91" i="2" s="1"/>
  <c r="AR88" i="2" a="1"/>
  <c r="AR88" i="2" s="1"/>
  <c r="AR86" i="2" a="1"/>
  <c r="AR86" i="2" s="1"/>
  <c r="AR85" i="2" a="1"/>
  <c r="AR85" i="2" s="1"/>
  <c r="AR84" i="2" a="1"/>
  <c r="AR84" i="2" s="1"/>
  <c r="AR87" i="2" a="1"/>
  <c r="AR87" i="2" s="1"/>
  <c r="AR81" i="2" a="1"/>
  <c r="AR81" i="2" s="1"/>
  <c r="AR83" i="2" a="1"/>
  <c r="AR83" i="2" s="1"/>
  <c r="AR82" i="2" a="1"/>
  <c r="AR82" i="2" s="1"/>
  <c r="AR78" i="2" a="1"/>
  <c r="AR78" i="2" s="1"/>
  <c r="AR79" i="2" a="1"/>
  <c r="AR79" i="2" s="1"/>
  <c r="AR80" i="2" a="1"/>
  <c r="AR80" i="2" s="1"/>
  <c r="AR77" i="2" a="1"/>
  <c r="AR77" i="2" s="1"/>
  <c r="AR72" i="2" a="1"/>
  <c r="AR72" i="2" s="1"/>
  <c r="AR76" i="2" a="1"/>
  <c r="AR76" i="2" s="1"/>
  <c r="AR75" i="2" a="1"/>
  <c r="AR75" i="2" s="1"/>
  <c r="AR74" i="2" a="1"/>
  <c r="AR74" i="2" s="1"/>
  <c r="AR73" i="2" a="1"/>
  <c r="AR73" i="2" s="1"/>
  <c r="AR71" i="2" a="1"/>
  <c r="AR71" i="2" s="1"/>
  <c r="AR70" i="2" a="1"/>
  <c r="AR70" i="2" s="1"/>
  <c r="AR69" i="2" a="1"/>
  <c r="AR69" i="2" s="1"/>
  <c r="AR68" i="2" a="1"/>
  <c r="AR68" i="2" s="1"/>
  <c r="AR65" i="2" a="1"/>
  <c r="AR65" i="2" s="1"/>
  <c r="AR67" i="2" a="1"/>
  <c r="AR67" i="2" s="1"/>
  <c r="AR66" i="2" a="1"/>
  <c r="AR66" i="2" s="1"/>
  <c r="AR63" i="2" a="1"/>
  <c r="AR63" i="2" s="1"/>
  <c r="AR61" i="2" a="1"/>
  <c r="AR61" i="2" s="1"/>
  <c r="AR64" i="2" a="1"/>
  <c r="AR64" i="2" s="1"/>
  <c r="AR60" i="2" a="1"/>
  <c r="AR60" i="2" s="1"/>
  <c r="AR62" i="2" a="1"/>
  <c r="AR62" i="2" s="1"/>
  <c r="AR57" i="2" a="1"/>
  <c r="AR57" i="2" s="1"/>
  <c r="AR58" i="2" a="1"/>
  <c r="AR58" i="2" s="1"/>
  <c r="AR59" i="2" a="1"/>
  <c r="AR59" i="2" s="1"/>
  <c r="AR50" i="2" a="1"/>
  <c r="AR50" i="2" s="1"/>
  <c r="AR55" i="2" a="1"/>
  <c r="AR55" i="2" s="1"/>
  <c r="AR49" i="2" a="1"/>
  <c r="AR49" i="2" s="1"/>
  <c r="AR56" i="2" a="1"/>
  <c r="AR56" i="2" s="1"/>
  <c r="AR48" i="2" a="1"/>
  <c r="AR48" i="2" s="1"/>
  <c r="AR54" i="2" a="1"/>
  <c r="AR54" i="2" s="1"/>
  <c r="AR52" i="2" a="1"/>
  <c r="AR52" i="2" s="1"/>
  <c r="AR53" i="2" a="1"/>
  <c r="AR53" i="2" s="1"/>
  <c r="AR51" i="2" a="1"/>
  <c r="AR51" i="2" s="1"/>
  <c r="AR44" i="2" a="1"/>
  <c r="AR44" i="2" s="1"/>
  <c r="AR42" i="2" a="1"/>
  <c r="AR42" i="2" s="1"/>
  <c r="AR43" i="2" a="1"/>
  <c r="AR43" i="2" s="1"/>
  <c r="AR46" i="2" a="1"/>
  <c r="AR46" i="2" s="1"/>
  <c r="AR45" i="2" a="1"/>
  <c r="AR45" i="2" s="1"/>
  <c r="AR41" i="2" a="1"/>
  <c r="AR41" i="2" s="1"/>
  <c r="AR40" i="2" a="1"/>
  <c r="AR40" i="2" s="1"/>
  <c r="AR47" i="2" a="1"/>
  <c r="AR47" i="2" s="1"/>
  <c r="AR38" i="2" a="1"/>
  <c r="AR38" i="2" s="1"/>
  <c r="AR37" i="2" a="1"/>
  <c r="AR37" i="2" s="1"/>
  <c r="AR34" i="2" a="1"/>
  <c r="AR34" i="2" s="1"/>
  <c r="AR33" i="2" a="1"/>
  <c r="AR33" i="2" s="1"/>
  <c r="AR39" i="2" a="1"/>
  <c r="AR39" i="2" s="1"/>
  <c r="AR36" i="2" a="1"/>
  <c r="AR36" i="2" s="1"/>
  <c r="AR35" i="2" a="1"/>
  <c r="AR35" i="2" s="1"/>
  <c r="AR31" i="2" a="1"/>
  <c r="AR31" i="2" s="1"/>
  <c r="AR30" i="2" a="1"/>
  <c r="AR30" i="2" s="1"/>
  <c r="AR32" i="2" a="1"/>
  <c r="AR32" i="2" s="1"/>
  <c r="AR29" i="2" a="1"/>
  <c r="AR29" i="2" s="1"/>
  <c r="AR28" i="2" a="1"/>
  <c r="AR28" i="2" s="1"/>
  <c r="AR26" i="2" a="1"/>
  <c r="AR26" i="2" s="1"/>
  <c r="AR27" i="2" a="1"/>
  <c r="AR27" i="2" s="1"/>
  <c r="AR18" i="2" a="1"/>
  <c r="AR18" i="2" s="1"/>
  <c r="AR17" i="2" a="1"/>
  <c r="AR17" i="2" s="1"/>
  <c r="AR25" i="2" a="1"/>
  <c r="AR25" i="2" s="1"/>
  <c r="AR24" i="2" a="1"/>
  <c r="AR24" i="2" s="1"/>
  <c r="AR23" i="2" a="1"/>
  <c r="AR23" i="2" s="1"/>
  <c r="AR22" i="2" a="1"/>
  <c r="AR22" i="2" s="1"/>
  <c r="AR21" i="2" a="1"/>
  <c r="AR21" i="2" s="1"/>
  <c r="AR20" i="2" a="1"/>
  <c r="AR20" i="2" s="1"/>
  <c r="AR19" i="2" a="1"/>
  <c r="AR19" i="2" s="1"/>
  <c r="AR16" i="2" a="1"/>
  <c r="AR16" i="2" s="1"/>
  <c r="AR14" i="2" a="1"/>
  <c r="AR14" i="2" s="1"/>
  <c r="AR9" i="2" a="1"/>
  <c r="AR9" i="2" s="1"/>
  <c r="AR15" i="2" a="1"/>
  <c r="AR15" i="2" s="1"/>
  <c r="AR13" i="2" a="1"/>
  <c r="AR13" i="2" s="1"/>
  <c r="AR12" i="2" a="1"/>
  <c r="AR12" i="2" s="1"/>
  <c r="AR11" i="2" a="1"/>
  <c r="AR11" i="2" s="1"/>
  <c r="AR10" i="2" a="1"/>
  <c r="AR10" i="2" s="1"/>
  <c r="AR7" i="2" a="1"/>
  <c r="AR7" i="2" s="1"/>
  <c r="AR4" i="2" a="1"/>
  <c r="AR4" i="2" s="1"/>
  <c r="AR5" i="2" a="1"/>
  <c r="AR5" i="2" s="1"/>
  <c r="AR8" i="2" a="1"/>
  <c r="AR8" i="2" s="1"/>
  <c r="AR6" i="2" a="1"/>
  <c r="AR6" i="2" s="1"/>
  <c r="CB101" i="2" a="1"/>
  <c r="CB101" i="2" s="1"/>
  <c r="CB99" i="2" a="1"/>
  <c r="CB99" i="2" s="1"/>
  <c r="CB100" i="2" a="1"/>
  <c r="CB100" i="2" s="1"/>
  <c r="CB103" i="2" a="1"/>
  <c r="CB103" i="2" s="1"/>
  <c r="CB102" i="2" a="1"/>
  <c r="CB102" i="2" s="1"/>
  <c r="CB96" i="2" a="1"/>
  <c r="CB96" i="2" s="1"/>
  <c r="CB98" i="2" a="1"/>
  <c r="CB98" i="2" s="1"/>
  <c r="CB97" i="2" a="1"/>
  <c r="CB97" i="2" s="1"/>
  <c r="CB92" i="2" a="1"/>
  <c r="CB92" i="2" s="1"/>
  <c r="CB95" i="2" a="1"/>
  <c r="CB95" i="2" s="1"/>
  <c r="CB94" i="2" a="1"/>
  <c r="CB94" i="2" s="1"/>
  <c r="CB93" i="2" a="1"/>
  <c r="CB93" i="2" s="1"/>
  <c r="CB90" i="2" a="1"/>
  <c r="CB90" i="2" s="1"/>
  <c r="CB91" i="2" a="1"/>
  <c r="CB91" i="2" s="1"/>
  <c r="CB89" i="2" a="1"/>
  <c r="CB89" i="2" s="1"/>
  <c r="CB88" i="2" a="1"/>
  <c r="CB88" i="2" s="1"/>
  <c r="CB87" i="2" a="1"/>
  <c r="CB87" i="2" s="1"/>
  <c r="CB85" i="2" a="1"/>
  <c r="CB85" i="2" s="1"/>
  <c r="CB84" i="2" a="1"/>
  <c r="CB84" i="2" s="1"/>
  <c r="CB86" i="2" a="1"/>
  <c r="CB86" i="2" s="1"/>
  <c r="CB80" i="2" a="1"/>
  <c r="CB80" i="2" s="1"/>
  <c r="CB82" i="2" a="1"/>
  <c r="CB82" i="2" s="1"/>
  <c r="CB83" i="2" a="1"/>
  <c r="CB83" i="2" s="1"/>
  <c r="CB81" i="2" a="1"/>
  <c r="CB81" i="2" s="1"/>
  <c r="CB76" i="2" a="1"/>
  <c r="CB76" i="2" s="1"/>
  <c r="CB79" i="2" a="1"/>
  <c r="CB79" i="2" s="1"/>
  <c r="CB78" i="2" a="1"/>
  <c r="CB78" i="2" s="1"/>
  <c r="CB77" i="2" a="1"/>
  <c r="CB77" i="2" s="1"/>
  <c r="CB73" i="2" a="1"/>
  <c r="CB73" i="2" s="1"/>
  <c r="CB74" i="2" a="1"/>
  <c r="CB74" i="2" s="1"/>
  <c r="CB75" i="2" a="1"/>
  <c r="CB75" i="2" s="1"/>
  <c r="CB72" i="2" a="1"/>
  <c r="CB72" i="2" s="1"/>
  <c r="CB71" i="2" a="1"/>
  <c r="CB71" i="2" s="1"/>
  <c r="CB70" i="2" a="1"/>
  <c r="CB70" i="2" s="1"/>
  <c r="CB69" i="2" a="1"/>
  <c r="CB69" i="2" s="1"/>
  <c r="CB68" i="2" a="1"/>
  <c r="CB68" i="2" s="1"/>
  <c r="CB64" i="2" a="1"/>
  <c r="CB64" i="2" s="1"/>
  <c r="CB66" i="2" a="1"/>
  <c r="CB66" i="2" s="1"/>
  <c r="CB67" i="2" a="1"/>
  <c r="CB67" i="2" s="1"/>
  <c r="CB65" i="2" a="1"/>
  <c r="CB65" i="2" s="1"/>
  <c r="CB62" i="2" a="1"/>
  <c r="CB62" i="2" s="1"/>
  <c r="CB63" i="2" a="1"/>
  <c r="CB63" i="2" s="1"/>
  <c r="CB61" i="2" a="1"/>
  <c r="CB61" i="2" s="1"/>
  <c r="CB60" i="2" a="1"/>
  <c r="CB60" i="2" s="1"/>
  <c r="CB57" i="2" a="1"/>
  <c r="CB57" i="2" s="1"/>
  <c r="CB58" i="2" a="1"/>
  <c r="CB58" i="2" s="1"/>
  <c r="CB59" i="2" a="1"/>
  <c r="CB59" i="2" s="1"/>
  <c r="CB51" i="2" a="1"/>
  <c r="CB51" i="2" s="1"/>
  <c r="CB55" i="2" a="1"/>
  <c r="CB55" i="2" s="1"/>
  <c r="CB50" i="2" a="1"/>
  <c r="CB50" i="2" s="1"/>
  <c r="CB56" i="2" a="1"/>
  <c r="CB56" i="2" s="1"/>
  <c r="CB49" i="2" a="1"/>
  <c r="CB49" i="2" s="1"/>
  <c r="CB54" i="2" a="1"/>
  <c r="CB54" i="2" s="1"/>
  <c r="CB53" i="2" a="1"/>
  <c r="CB53" i="2" s="1"/>
  <c r="CB52" i="2" a="1"/>
  <c r="CB52" i="2" s="1"/>
  <c r="CB44" i="2" a="1"/>
  <c r="CB44" i="2" s="1"/>
  <c r="CB40" i="2" a="1"/>
  <c r="CB40" i="2" s="1"/>
  <c r="CB48" i="2" a="1"/>
  <c r="CB48" i="2" s="1"/>
  <c r="CB43" i="2" a="1"/>
  <c r="CB43" i="2" s="1"/>
  <c r="CB42" i="2" a="1"/>
  <c r="CB42" i="2" s="1"/>
  <c r="CB46" i="2" a="1"/>
  <c r="CB46" i="2" s="1"/>
  <c r="CB45" i="2" a="1"/>
  <c r="CB45" i="2" s="1"/>
  <c r="CB41" i="2" a="1"/>
  <c r="CB41" i="2" s="1"/>
  <c r="CB47" i="2" a="1"/>
  <c r="CB47" i="2" s="1"/>
  <c r="CB36" i="2" a="1"/>
  <c r="CB36" i="2" s="1"/>
  <c r="CB39" i="2" a="1"/>
  <c r="CB39" i="2" s="1"/>
  <c r="CB33" i="2" a="1"/>
  <c r="CB33" i="2" s="1"/>
  <c r="CB38" i="2" a="1"/>
  <c r="CB38" i="2" s="1"/>
  <c r="CB35" i="2" a="1"/>
  <c r="CB35" i="2" s="1"/>
  <c r="CB37" i="2" a="1"/>
  <c r="CB37" i="2" s="1"/>
  <c r="CB34" i="2" a="1"/>
  <c r="CB34" i="2" s="1"/>
  <c r="CB31" i="2" a="1"/>
  <c r="CB31" i="2" s="1"/>
  <c r="CB30" i="2" a="1"/>
  <c r="CB30" i="2" s="1"/>
  <c r="CB29" i="2" a="1"/>
  <c r="CB29" i="2" s="1"/>
  <c r="CB32" i="2" a="1"/>
  <c r="CB32" i="2" s="1"/>
  <c r="CB28" i="2" a="1"/>
  <c r="CB28" i="2" s="1"/>
  <c r="CB27" i="2" a="1"/>
  <c r="CB27" i="2" s="1"/>
  <c r="CB26" i="2" a="1"/>
  <c r="CB26" i="2" s="1"/>
  <c r="CB17" i="2" a="1"/>
  <c r="CB17" i="2" s="1"/>
  <c r="CB25" i="2" a="1"/>
  <c r="CB25" i="2" s="1"/>
  <c r="CB24" i="2" a="1"/>
  <c r="CB24" i="2" s="1"/>
  <c r="CB23" i="2" a="1"/>
  <c r="CB23" i="2" s="1"/>
  <c r="CB22" i="2" a="1"/>
  <c r="CB22" i="2" s="1"/>
  <c r="CB21" i="2" a="1"/>
  <c r="CB21" i="2" s="1"/>
  <c r="CB20" i="2" a="1"/>
  <c r="CB20" i="2" s="1"/>
  <c r="CB19" i="2" a="1"/>
  <c r="CB19" i="2" s="1"/>
  <c r="CB18" i="2" a="1"/>
  <c r="CB18" i="2" s="1"/>
  <c r="CB16" i="2" a="1"/>
  <c r="CB16" i="2" s="1"/>
  <c r="CB15" i="2" a="1"/>
  <c r="CB15" i="2" s="1"/>
  <c r="CB13" i="2" a="1"/>
  <c r="CB13" i="2" s="1"/>
  <c r="CB8" i="2" a="1"/>
  <c r="CB8" i="2" s="1"/>
  <c r="CB12" i="2" a="1"/>
  <c r="CB12" i="2" s="1"/>
  <c r="CB10" i="2" a="1"/>
  <c r="CB10" i="2" s="1"/>
  <c r="CB11" i="2" a="1"/>
  <c r="CB11" i="2" s="1"/>
  <c r="CB9" i="2" a="1"/>
  <c r="CB9" i="2" s="1"/>
  <c r="CB14" i="2" a="1"/>
  <c r="CB14" i="2" s="1"/>
  <c r="CB7" i="2" a="1"/>
  <c r="CB7" i="2" s="1"/>
  <c r="CB5" i="2" a="1"/>
  <c r="CB5" i="2" s="1"/>
  <c r="CB6" i="2" a="1"/>
  <c r="CB6" i="2" s="1"/>
  <c r="CB4" i="2" a="1"/>
  <c r="CB4" i="2" s="1"/>
  <c r="H101" i="2" a="1"/>
  <c r="H101" i="2" s="1"/>
  <c r="H103" i="2" a="1"/>
  <c r="H103" i="2" s="1"/>
  <c r="H102" i="2" a="1"/>
  <c r="H102" i="2" s="1"/>
  <c r="H100" i="2" a="1"/>
  <c r="H100" i="2" s="1"/>
  <c r="H98" i="2" a="1"/>
  <c r="H98" i="2" s="1"/>
  <c r="H96" i="2" a="1"/>
  <c r="H96" i="2" s="1"/>
  <c r="H99" i="2" a="1"/>
  <c r="H99" i="2" s="1"/>
  <c r="H97" i="2" a="1"/>
  <c r="H97" i="2" s="1"/>
  <c r="H94" i="2" a="1"/>
  <c r="H94" i="2" s="1"/>
  <c r="H93" i="2" a="1"/>
  <c r="H93" i="2" s="1"/>
  <c r="H92" i="2" a="1"/>
  <c r="H92" i="2" s="1"/>
  <c r="H95" i="2" a="1"/>
  <c r="H95" i="2" s="1"/>
  <c r="H91" i="2" a="1"/>
  <c r="H91" i="2" s="1"/>
  <c r="H90" i="2" a="1"/>
  <c r="H90" i="2" s="1"/>
  <c r="H89" i="2" a="1"/>
  <c r="H89" i="2" s="1"/>
  <c r="H88" i="2" a="1"/>
  <c r="H88" i="2" s="1"/>
  <c r="H86" i="2" a="1"/>
  <c r="H86" i="2" s="1"/>
  <c r="H84" i="2" a="1"/>
  <c r="H84" i="2" s="1"/>
  <c r="H85" i="2" a="1"/>
  <c r="H85" i="2" s="1"/>
  <c r="H87" i="2" a="1"/>
  <c r="H87" i="2" s="1"/>
  <c r="H83" i="2" a="1"/>
  <c r="H83" i="2" s="1"/>
  <c r="H82" i="2" a="1"/>
  <c r="H82" i="2" s="1"/>
  <c r="H81" i="2" a="1"/>
  <c r="H81" i="2" s="1"/>
  <c r="H80" i="2" a="1"/>
  <c r="H80" i="2" s="1"/>
  <c r="H78" i="2" a="1"/>
  <c r="H78" i="2" s="1"/>
  <c r="H79" i="2" a="1"/>
  <c r="H79" i="2" s="1"/>
  <c r="H77" i="2" a="1"/>
  <c r="H77" i="2" s="1"/>
  <c r="H74" i="2" a="1"/>
  <c r="H74" i="2" s="1"/>
  <c r="H76" i="2" a="1"/>
  <c r="H76" i="2" s="1"/>
  <c r="H73" i="2" a="1"/>
  <c r="H73" i="2" s="1"/>
  <c r="H75" i="2" a="1"/>
  <c r="H75" i="2" s="1"/>
  <c r="H72" i="2" a="1"/>
  <c r="H72" i="2" s="1"/>
  <c r="H69" i="2" a="1"/>
  <c r="H69" i="2" s="1"/>
  <c r="H71" i="2" a="1"/>
  <c r="H71" i="2" s="1"/>
  <c r="H70" i="2" a="1"/>
  <c r="H70" i="2" s="1"/>
  <c r="H67" i="2" a="1"/>
  <c r="H67" i="2" s="1"/>
  <c r="H68" i="2" a="1"/>
  <c r="H68" i="2" s="1"/>
  <c r="H65" i="2" a="1"/>
  <c r="H65" i="2" s="1"/>
  <c r="H66" i="2" a="1"/>
  <c r="H66" i="2" s="1"/>
  <c r="H64" i="2" a="1"/>
  <c r="H64" i="2" s="1"/>
  <c r="H63" i="2" a="1"/>
  <c r="H63" i="2" s="1"/>
  <c r="H60" i="2" a="1"/>
  <c r="H60" i="2" s="1"/>
  <c r="H62" i="2" a="1"/>
  <c r="H62" i="2" s="1"/>
  <c r="H61" i="2" a="1"/>
  <c r="H61" i="2" s="1"/>
  <c r="H59" i="2" a="1"/>
  <c r="H59" i="2" s="1"/>
  <c r="H58" i="2" a="1"/>
  <c r="H58" i="2" s="1"/>
  <c r="H57" i="2" a="1"/>
  <c r="H57" i="2" s="1"/>
  <c r="H56" i="2" a="1"/>
  <c r="H56" i="2" s="1"/>
  <c r="H49" i="2" a="1"/>
  <c r="H49" i="2" s="1"/>
  <c r="H55" i="2" a="1"/>
  <c r="H55" i="2" s="1"/>
  <c r="H48" i="2" a="1"/>
  <c r="H48" i="2" s="1"/>
  <c r="H54" i="2" a="1"/>
  <c r="H54" i="2" s="1"/>
  <c r="H52" i="2" a="1"/>
  <c r="H52" i="2" s="1"/>
  <c r="H51" i="2" a="1"/>
  <c r="H51" i="2" s="1"/>
  <c r="H50" i="2" a="1"/>
  <c r="H50" i="2" s="1"/>
  <c r="H53" i="2" a="1"/>
  <c r="H53" i="2" s="1"/>
  <c r="H42" i="2" a="1"/>
  <c r="H42" i="2" s="1"/>
  <c r="H44" i="2" a="1"/>
  <c r="H44" i="2" s="1"/>
  <c r="H46" i="2" a="1"/>
  <c r="H46" i="2" s="1"/>
  <c r="H45" i="2" a="1"/>
  <c r="H45" i="2" s="1"/>
  <c r="H43" i="2" a="1"/>
  <c r="H43" i="2" s="1"/>
  <c r="H41" i="2" a="1"/>
  <c r="H41" i="2" s="1"/>
  <c r="H47" i="2" a="1"/>
  <c r="H47" i="2" s="1"/>
  <c r="H40" i="2" a="1"/>
  <c r="H40" i="2" s="1"/>
  <c r="H39" i="2" a="1"/>
  <c r="H39" i="2" s="1"/>
  <c r="H35" i="2" a="1"/>
  <c r="H35" i="2" s="1"/>
  <c r="H38" i="2" a="1"/>
  <c r="H38" i="2" s="1"/>
  <c r="H37" i="2" a="1"/>
  <c r="H37" i="2" s="1"/>
  <c r="H36" i="2" a="1"/>
  <c r="H36" i="2" s="1"/>
  <c r="H32" i="2" a="1"/>
  <c r="H32" i="2" s="1"/>
  <c r="H31" i="2" a="1"/>
  <c r="H31" i="2" s="1"/>
  <c r="H30" i="2" a="1"/>
  <c r="H30" i="2" s="1"/>
  <c r="H29" i="2" a="1"/>
  <c r="H29" i="2" s="1"/>
  <c r="H33" i="2" a="1"/>
  <c r="H33" i="2" s="1"/>
  <c r="H28" i="2" a="1"/>
  <c r="H28" i="2" s="1"/>
  <c r="H26" i="2" a="1"/>
  <c r="H26" i="2" s="1"/>
  <c r="H27" i="2" a="1"/>
  <c r="H27" i="2" s="1"/>
  <c r="H34" i="2" a="1"/>
  <c r="H34" i="2" s="1"/>
  <c r="H16" i="2" a="1"/>
  <c r="H16" i="2" s="1"/>
  <c r="H17" i="2" a="1"/>
  <c r="H17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25" i="2" a="1"/>
  <c r="H25" i="2" s="1"/>
  <c r="H11" i="2" a="1"/>
  <c r="H11" i="2" s="1"/>
  <c r="H10" i="2" a="1"/>
  <c r="H10" i="2" s="1"/>
  <c r="H15" i="2" a="1"/>
  <c r="H15" i="2" s="1"/>
  <c r="H14" i="2" a="1"/>
  <c r="H14" i="2" s="1"/>
  <c r="H9" i="2" a="1"/>
  <c r="H9" i="2" s="1"/>
  <c r="H13" i="2" a="1"/>
  <c r="H13" i="2" s="1"/>
  <c r="H12" i="2" a="1"/>
  <c r="H12" i="2" s="1"/>
  <c r="H5" i="2" a="1"/>
  <c r="H5" i="2" s="1"/>
  <c r="H4" i="2" a="1"/>
  <c r="H4" i="2" s="1"/>
  <c r="H7" i="2" a="1"/>
  <c r="H7" i="2" s="1"/>
  <c r="H8" i="2" a="1"/>
  <c r="H8" i="2" s="1"/>
  <c r="H6" i="2" a="1"/>
  <c r="H6" i="2" s="1"/>
  <c r="BQ100" i="2" a="1"/>
  <c r="BQ100" i="2" s="1"/>
  <c r="BQ99" i="2" a="1"/>
  <c r="BQ99" i="2" s="1"/>
  <c r="BQ103" i="2" a="1"/>
  <c r="BQ103" i="2" s="1"/>
  <c r="BQ102" i="2" a="1"/>
  <c r="BQ102" i="2" s="1"/>
  <c r="BQ101" i="2" a="1"/>
  <c r="BQ101" i="2" s="1"/>
  <c r="BQ98" i="2" a="1"/>
  <c r="BQ98" i="2" s="1"/>
  <c r="BQ97" i="2" a="1"/>
  <c r="BQ97" i="2" s="1"/>
  <c r="BQ96" i="2" a="1"/>
  <c r="BQ96" i="2" s="1"/>
  <c r="BQ95" i="2" a="1"/>
  <c r="BQ95" i="2" s="1"/>
  <c r="BQ93" i="2" a="1"/>
  <c r="BQ93" i="2" s="1"/>
  <c r="BQ92" i="2" a="1"/>
  <c r="BQ92" i="2" s="1"/>
  <c r="BQ94" i="2" a="1"/>
  <c r="BQ94" i="2" s="1"/>
  <c r="BQ90" i="2" a="1"/>
  <c r="BQ90" i="2" s="1"/>
  <c r="BQ89" i="2" a="1"/>
  <c r="BQ89" i="2" s="1"/>
  <c r="BQ91" i="2" a="1"/>
  <c r="BQ91" i="2" s="1"/>
  <c r="BQ88" i="2" a="1"/>
  <c r="BQ88" i="2" s="1"/>
  <c r="BQ86" i="2" a="1"/>
  <c r="BQ86" i="2" s="1"/>
  <c r="BQ87" i="2" a="1"/>
  <c r="BQ87" i="2" s="1"/>
  <c r="BQ85" i="2" a="1"/>
  <c r="BQ85" i="2" s="1"/>
  <c r="BQ84" i="2" a="1"/>
  <c r="BQ84" i="2" s="1"/>
  <c r="BQ81" i="2" a="1"/>
  <c r="BQ81" i="2" s="1"/>
  <c r="BQ80" i="2" a="1"/>
  <c r="BQ80" i="2" s="1"/>
  <c r="BQ82" i="2" a="1"/>
  <c r="BQ82" i="2" s="1"/>
  <c r="BQ83" i="2" a="1"/>
  <c r="BQ83" i="2" s="1"/>
  <c r="BQ75" i="2" a="1"/>
  <c r="BQ75" i="2" s="1"/>
  <c r="BQ78" i="2" a="1"/>
  <c r="BQ78" i="2" s="1"/>
  <c r="BQ79" i="2" a="1"/>
  <c r="BQ79" i="2" s="1"/>
  <c r="BQ76" i="2" a="1"/>
  <c r="BQ76" i="2" s="1"/>
  <c r="BQ77" i="2" a="1"/>
  <c r="BQ77" i="2" s="1"/>
  <c r="BQ73" i="2" a="1"/>
  <c r="BQ73" i="2" s="1"/>
  <c r="BQ74" i="2" a="1"/>
  <c r="BQ74" i="2" s="1"/>
  <c r="BQ72" i="2" a="1"/>
  <c r="BQ72" i="2" s="1"/>
  <c r="BQ69" i="2" a="1"/>
  <c r="BQ69" i="2" s="1"/>
  <c r="BQ68" i="2" a="1"/>
  <c r="BQ68" i="2" s="1"/>
  <c r="BQ71" i="2" a="1"/>
  <c r="BQ71" i="2" s="1"/>
  <c r="BQ70" i="2" a="1"/>
  <c r="BQ70" i="2" s="1"/>
  <c r="BQ65" i="2" a="1"/>
  <c r="BQ65" i="2" s="1"/>
  <c r="BQ64" i="2" a="1"/>
  <c r="BQ64" i="2" s="1"/>
  <c r="BQ67" i="2" a="1"/>
  <c r="BQ67" i="2" s="1"/>
  <c r="BQ66" i="2" a="1"/>
  <c r="BQ66" i="2" s="1"/>
  <c r="BQ62" i="2" a="1"/>
  <c r="BQ62" i="2" s="1"/>
  <c r="BQ61" i="2" a="1"/>
  <c r="BQ61" i="2" s="1"/>
  <c r="BQ60" i="2" a="1"/>
  <c r="BQ60" i="2" s="1"/>
  <c r="BQ63" i="2" a="1"/>
  <c r="BQ63" i="2" s="1"/>
  <c r="BQ57" i="2" a="1"/>
  <c r="BQ57" i="2" s="1"/>
  <c r="BQ59" i="2" a="1"/>
  <c r="BQ59" i="2" s="1"/>
  <c r="BQ56" i="2" a="1"/>
  <c r="BQ56" i="2" s="1"/>
  <c r="BQ58" i="2" a="1"/>
  <c r="BQ58" i="2" s="1"/>
  <c r="BQ51" i="2" a="1"/>
  <c r="BQ51" i="2" s="1"/>
  <c r="BQ50" i="2" a="1"/>
  <c r="BQ50" i="2" s="1"/>
  <c r="BQ55" i="2" a="1"/>
  <c r="BQ55" i="2" s="1"/>
  <c r="BQ49" i="2" a="1"/>
  <c r="BQ49" i="2" s="1"/>
  <c r="BQ48" i="2" a="1"/>
  <c r="BQ48" i="2" s="1"/>
  <c r="BQ54" i="2" a="1"/>
  <c r="BQ54" i="2" s="1"/>
  <c r="BQ52" i="2" a="1"/>
  <c r="BQ52" i="2" s="1"/>
  <c r="BQ53" i="2" a="1"/>
  <c r="BQ53" i="2" s="1"/>
  <c r="BQ47" i="2" a="1"/>
  <c r="BQ47" i="2" s="1"/>
  <c r="BQ41" i="2" a="1"/>
  <c r="BQ41" i="2" s="1"/>
  <c r="BQ44" i="2" a="1"/>
  <c r="BQ44" i="2" s="1"/>
  <c r="BQ43" i="2" a="1"/>
  <c r="BQ43" i="2" s="1"/>
  <c r="BQ42" i="2" a="1"/>
  <c r="BQ42" i="2" s="1"/>
  <c r="BQ40" i="2" a="1"/>
  <c r="BQ40" i="2" s="1"/>
  <c r="BQ46" i="2" a="1"/>
  <c r="BQ46" i="2" s="1"/>
  <c r="BQ45" i="2" a="1"/>
  <c r="BQ45" i="2" s="1"/>
  <c r="BQ37" i="2" a="1"/>
  <c r="BQ37" i="2" s="1"/>
  <c r="BQ34" i="2" a="1"/>
  <c r="BQ34" i="2" s="1"/>
  <c r="BQ36" i="2" a="1"/>
  <c r="BQ36" i="2" s="1"/>
  <c r="BQ39" i="2" a="1"/>
  <c r="BQ39" i="2" s="1"/>
  <c r="BQ33" i="2" a="1"/>
  <c r="BQ33" i="2" s="1"/>
  <c r="BQ35" i="2" a="1"/>
  <c r="BQ35" i="2" s="1"/>
  <c r="BQ38" i="2" a="1"/>
  <c r="BQ38" i="2" s="1"/>
  <c r="BQ30" i="2" a="1"/>
  <c r="BQ30" i="2" s="1"/>
  <c r="BQ31" i="2" a="1"/>
  <c r="BQ31" i="2" s="1"/>
  <c r="BQ26" i="2" a="1"/>
  <c r="BQ26" i="2" s="1"/>
  <c r="BQ29" i="2" a="1"/>
  <c r="BQ29" i="2" s="1"/>
  <c r="BQ32" i="2" a="1"/>
  <c r="BQ32" i="2" s="1"/>
  <c r="BQ28" i="2" a="1"/>
  <c r="BQ28" i="2" s="1"/>
  <c r="BQ27" i="2" a="1"/>
  <c r="BQ27" i="2" s="1"/>
  <c r="BQ25" i="2" a="1"/>
  <c r="BQ25" i="2" s="1"/>
  <c r="BQ17" i="2" a="1"/>
  <c r="BQ17" i="2" s="1"/>
  <c r="BQ24" i="2" a="1"/>
  <c r="BQ24" i="2" s="1"/>
  <c r="BQ23" i="2" a="1"/>
  <c r="BQ23" i="2" s="1"/>
  <c r="BQ22" i="2" a="1"/>
  <c r="BQ22" i="2" s="1"/>
  <c r="BQ21" i="2" a="1"/>
  <c r="BQ21" i="2" s="1"/>
  <c r="BQ20" i="2" a="1"/>
  <c r="BQ20" i="2" s="1"/>
  <c r="BQ19" i="2" a="1"/>
  <c r="BQ19" i="2" s="1"/>
  <c r="BQ18" i="2" a="1"/>
  <c r="BQ18" i="2" s="1"/>
  <c r="BQ16" i="2" a="1"/>
  <c r="BQ16" i="2" s="1"/>
  <c r="BQ14" i="2" a="1"/>
  <c r="BQ14" i="2" s="1"/>
  <c r="BQ9" i="2" a="1"/>
  <c r="BQ9" i="2" s="1"/>
  <c r="BQ13" i="2" a="1"/>
  <c r="BQ13" i="2" s="1"/>
  <c r="BQ8" i="2" a="1"/>
  <c r="BQ8" i="2" s="1"/>
  <c r="BQ15" i="2" a="1"/>
  <c r="BQ15" i="2" s="1"/>
  <c r="BQ12" i="2" a="1"/>
  <c r="BQ12" i="2" s="1"/>
  <c r="BQ10" i="2" a="1"/>
  <c r="BQ10" i="2" s="1"/>
  <c r="BQ11" i="2" a="1"/>
  <c r="BQ11" i="2" s="1"/>
  <c r="BQ4" i="2" a="1"/>
  <c r="BQ4" i="2" s="1"/>
  <c r="BQ7" i="2" a="1"/>
  <c r="BQ7" i="2" s="1"/>
  <c r="BQ6" i="2" a="1"/>
  <c r="BQ6" i="2" s="1"/>
  <c r="BQ5" i="2" a="1"/>
  <c r="BQ5" i="2" s="1"/>
  <c r="CC100" i="2" a="1"/>
  <c r="CC100" i="2" s="1"/>
  <c r="CC103" i="2" a="1"/>
  <c r="CC103" i="2" s="1"/>
  <c r="CC102" i="2" a="1"/>
  <c r="CC102" i="2" s="1"/>
  <c r="CC101" i="2" a="1"/>
  <c r="CC101" i="2" s="1"/>
  <c r="CC99" i="2" a="1"/>
  <c r="CC99" i="2" s="1"/>
  <c r="CC96" i="2" a="1"/>
  <c r="CC96" i="2" s="1"/>
  <c r="CC95" i="2" a="1"/>
  <c r="CC95" i="2" s="1"/>
  <c r="CC98" i="2" a="1"/>
  <c r="CC98" i="2" s="1"/>
  <c r="CC97" i="2" a="1"/>
  <c r="CC97" i="2" s="1"/>
  <c r="CC92" i="2" a="1"/>
  <c r="CC92" i="2" s="1"/>
  <c r="CC94" i="2" a="1"/>
  <c r="CC94" i="2" s="1"/>
  <c r="CC93" i="2" a="1"/>
  <c r="CC93" i="2" s="1"/>
  <c r="CC90" i="2" a="1"/>
  <c r="CC90" i="2" s="1"/>
  <c r="CC91" i="2" a="1"/>
  <c r="CC91" i="2" s="1"/>
  <c r="CC89" i="2" a="1"/>
  <c r="CC89" i="2" s="1"/>
  <c r="CC88" i="2" a="1"/>
  <c r="CC88" i="2" s="1"/>
  <c r="CC85" i="2" a="1"/>
  <c r="CC85" i="2" s="1"/>
  <c r="CC84" i="2" a="1"/>
  <c r="CC84" i="2" s="1"/>
  <c r="CC86" i="2" a="1"/>
  <c r="CC86" i="2" s="1"/>
  <c r="CC87" i="2" a="1"/>
  <c r="CC87" i="2" s="1"/>
  <c r="CC83" i="2" a="1"/>
  <c r="CC83" i="2" s="1"/>
  <c r="CC82" i="2" a="1"/>
  <c r="CC82" i="2" s="1"/>
  <c r="CC81" i="2" a="1"/>
  <c r="CC81" i="2" s="1"/>
  <c r="CC80" i="2" a="1"/>
  <c r="CC80" i="2" s="1"/>
  <c r="CC79" i="2" a="1"/>
  <c r="CC79" i="2" s="1"/>
  <c r="CC76" i="2" a="1"/>
  <c r="CC76" i="2" s="1"/>
  <c r="CC78" i="2" a="1"/>
  <c r="CC78" i="2" s="1"/>
  <c r="CC77" i="2" a="1"/>
  <c r="CC77" i="2" s="1"/>
  <c r="CC75" i="2" a="1"/>
  <c r="CC75" i="2" s="1"/>
  <c r="CC71" i="2" a="1"/>
  <c r="CC71" i="2" s="1"/>
  <c r="CC74" i="2" a="1"/>
  <c r="CC74" i="2" s="1"/>
  <c r="CC73" i="2" a="1"/>
  <c r="CC73" i="2" s="1"/>
  <c r="CC72" i="2" a="1"/>
  <c r="CC72" i="2" s="1"/>
  <c r="CC70" i="2" a="1"/>
  <c r="CC70" i="2" s="1"/>
  <c r="CC69" i="2" a="1"/>
  <c r="CC69" i="2" s="1"/>
  <c r="CC68" i="2" a="1"/>
  <c r="CC68" i="2" s="1"/>
  <c r="CC64" i="2" a="1"/>
  <c r="CC64" i="2" s="1"/>
  <c r="CC63" i="2" a="1"/>
  <c r="CC63" i="2" s="1"/>
  <c r="CC66" i="2" a="1"/>
  <c r="CC66" i="2" s="1"/>
  <c r="CC67" i="2" a="1"/>
  <c r="CC67" i="2" s="1"/>
  <c r="CC65" i="2" a="1"/>
  <c r="CC65" i="2" s="1"/>
  <c r="CC61" i="2" a="1"/>
  <c r="CC61" i="2" s="1"/>
  <c r="CC60" i="2" a="1"/>
  <c r="CC60" i="2" s="1"/>
  <c r="CC59" i="2" a="1"/>
  <c r="CC59" i="2" s="1"/>
  <c r="CC62" i="2" a="1"/>
  <c r="CC62" i="2" s="1"/>
  <c r="CC56" i="2" a="1"/>
  <c r="CC56" i="2" s="1"/>
  <c r="CC58" i="2" a="1"/>
  <c r="CC58" i="2" s="1"/>
  <c r="CC57" i="2" a="1"/>
  <c r="CC57" i="2" s="1"/>
  <c r="CC50" i="2" a="1"/>
  <c r="CC50" i="2" s="1"/>
  <c r="CC49" i="2" a="1"/>
  <c r="CC49" i="2" s="1"/>
  <c r="CC54" i="2" a="1"/>
  <c r="CC54" i="2" s="1"/>
  <c r="CC52" i="2" a="1"/>
  <c r="CC52" i="2" s="1"/>
  <c r="CC53" i="2" a="1"/>
  <c r="CC53" i="2" s="1"/>
  <c r="CC55" i="2" a="1"/>
  <c r="CC55" i="2" s="1"/>
  <c r="CC51" i="2" a="1"/>
  <c r="CC51" i="2" s="1"/>
  <c r="CC44" i="2" a="1"/>
  <c r="CC44" i="2" s="1"/>
  <c r="CC40" i="2" a="1"/>
  <c r="CC40" i="2" s="1"/>
  <c r="CC48" i="2" a="1"/>
  <c r="CC48" i="2" s="1"/>
  <c r="CC43" i="2" a="1"/>
  <c r="CC43" i="2" s="1"/>
  <c r="CC42" i="2" a="1"/>
  <c r="CC42" i="2" s="1"/>
  <c r="CC46" i="2" a="1"/>
  <c r="CC46" i="2" s="1"/>
  <c r="CC45" i="2" a="1"/>
  <c r="CC45" i="2" s="1"/>
  <c r="CC41" i="2" a="1"/>
  <c r="CC41" i="2" s="1"/>
  <c r="CC47" i="2" a="1"/>
  <c r="CC47" i="2" s="1"/>
  <c r="CC39" i="2" a="1"/>
  <c r="CC39" i="2" s="1"/>
  <c r="CC35" i="2" a="1"/>
  <c r="CC35" i="2" s="1"/>
  <c r="CC33" i="2" a="1"/>
  <c r="CC33" i="2" s="1"/>
  <c r="CC38" i="2" a="1"/>
  <c r="CC38" i="2" s="1"/>
  <c r="CC37" i="2" a="1"/>
  <c r="CC37" i="2" s="1"/>
  <c r="CC34" i="2" a="1"/>
  <c r="CC34" i="2" s="1"/>
  <c r="CC36" i="2" a="1"/>
  <c r="CC36" i="2" s="1"/>
  <c r="CC29" i="2" a="1"/>
  <c r="CC29" i="2" s="1"/>
  <c r="CC32" i="2" a="1"/>
  <c r="CC32" i="2" s="1"/>
  <c r="CC28" i="2" a="1"/>
  <c r="CC28" i="2" s="1"/>
  <c r="CC27" i="2" a="1"/>
  <c r="CC27" i="2" s="1"/>
  <c r="CC25" i="2" a="1"/>
  <c r="CC25" i="2" s="1"/>
  <c r="CC30" i="2" a="1"/>
  <c r="CC30" i="2" s="1"/>
  <c r="CC26" i="2" a="1"/>
  <c r="CC26" i="2" s="1"/>
  <c r="CC31" i="2" a="1"/>
  <c r="CC31" i="2" s="1"/>
  <c r="CC17" i="2" a="1"/>
  <c r="CC17" i="2" s="1"/>
  <c r="CC24" i="2" a="1"/>
  <c r="CC24" i="2" s="1"/>
  <c r="CC23" i="2" a="1"/>
  <c r="CC23" i="2" s="1"/>
  <c r="CC22" i="2" a="1"/>
  <c r="CC22" i="2" s="1"/>
  <c r="CC21" i="2" a="1"/>
  <c r="CC21" i="2" s="1"/>
  <c r="CC20" i="2" a="1"/>
  <c r="CC20" i="2" s="1"/>
  <c r="CC19" i="2" a="1"/>
  <c r="CC19" i="2" s="1"/>
  <c r="CC18" i="2" a="1"/>
  <c r="CC18" i="2" s="1"/>
  <c r="CC16" i="2" a="1"/>
  <c r="CC16" i="2" s="1"/>
  <c r="CC12" i="2" a="1"/>
  <c r="CC12" i="2" s="1"/>
  <c r="CC10" i="2" a="1"/>
  <c r="CC10" i="2" s="1"/>
  <c r="CC11" i="2" a="1"/>
  <c r="CC11" i="2" s="1"/>
  <c r="CC9" i="2" a="1"/>
  <c r="CC9" i="2" s="1"/>
  <c r="CC14" i="2" a="1"/>
  <c r="CC14" i="2" s="1"/>
  <c r="CC15" i="2" a="1"/>
  <c r="CC15" i="2" s="1"/>
  <c r="CC13" i="2" a="1"/>
  <c r="CC13" i="2" s="1"/>
  <c r="CC8" i="2" a="1"/>
  <c r="CC8" i="2" s="1"/>
  <c r="CC7" i="2" a="1"/>
  <c r="CC7" i="2" s="1"/>
  <c r="CC5" i="2" a="1"/>
  <c r="CC5" i="2" s="1"/>
  <c r="CC6" i="2" a="1"/>
  <c r="CC6" i="2" s="1"/>
  <c r="CC4" i="2" a="1"/>
  <c r="CC4" i="2" s="1"/>
  <c r="AF101" i="2" a="1"/>
  <c r="AF101" i="2" s="1"/>
  <c r="AF100" i="2" a="1"/>
  <c r="AF100" i="2" s="1"/>
  <c r="AF103" i="2" a="1"/>
  <c r="AF103" i="2" s="1"/>
  <c r="AF102" i="2" a="1"/>
  <c r="AF102" i="2" s="1"/>
  <c r="AF98" i="2" a="1"/>
  <c r="AF98" i="2" s="1"/>
  <c r="AF97" i="2" a="1"/>
  <c r="AF97" i="2" s="1"/>
  <c r="AF99" i="2" a="1"/>
  <c r="AF99" i="2" s="1"/>
  <c r="AF96" i="2" a="1"/>
  <c r="AF96" i="2" s="1"/>
  <c r="AF95" i="2" a="1"/>
  <c r="AF95" i="2" s="1"/>
  <c r="AF94" i="2" a="1"/>
  <c r="AF94" i="2" s="1"/>
  <c r="AF93" i="2" a="1"/>
  <c r="AF93" i="2" s="1"/>
  <c r="AF92" i="2" a="1"/>
  <c r="AF92" i="2" s="1"/>
  <c r="AF88" i="2" a="1"/>
  <c r="AF88" i="2" s="1"/>
  <c r="AF91" i="2" a="1"/>
  <c r="AF91" i="2" s="1"/>
  <c r="AF90" i="2" a="1"/>
  <c r="AF90" i="2" s="1"/>
  <c r="AF89" i="2" a="1"/>
  <c r="AF89" i="2" s="1"/>
  <c r="AF87" i="2" a="1"/>
  <c r="AF87" i="2" s="1"/>
  <c r="AF86" i="2" a="1"/>
  <c r="AF86" i="2" s="1"/>
  <c r="AF85" i="2" a="1"/>
  <c r="AF85" i="2" s="1"/>
  <c r="AF84" i="2" a="1"/>
  <c r="AF84" i="2" s="1"/>
  <c r="AF81" i="2" a="1"/>
  <c r="AF81" i="2" s="1"/>
  <c r="AF83" i="2" a="1"/>
  <c r="AF83" i="2" s="1"/>
  <c r="AF82" i="2" a="1"/>
  <c r="AF82" i="2" s="1"/>
  <c r="AF80" i="2" a="1"/>
  <c r="AF80" i="2" s="1"/>
  <c r="AF78" i="2" a="1"/>
  <c r="AF78" i="2" s="1"/>
  <c r="AF79" i="2" a="1"/>
  <c r="AF79" i="2" s="1"/>
  <c r="AF77" i="2" a="1"/>
  <c r="AF77" i="2" s="1"/>
  <c r="AF76" i="2" a="1"/>
  <c r="AF76" i="2" s="1"/>
  <c r="AF73" i="2" a="1"/>
  <c r="AF73" i="2" s="1"/>
  <c r="AF72" i="2" a="1"/>
  <c r="AF72" i="2" s="1"/>
  <c r="AF74" i="2" a="1"/>
  <c r="AF74" i="2" s="1"/>
  <c r="AF75" i="2" a="1"/>
  <c r="AF75" i="2" s="1"/>
  <c r="AF69" i="2" a="1"/>
  <c r="AF69" i="2" s="1"/>
  <c r="AF68" i="2" a="1"/>
  <c r="AF68" i="2" s="1"/>
  <c r="AF71" i="2" a="1"/>
  <c r="AF71" i="2" s="1"/>
  <c r="AF70" i="2" a="1"/>
  <c r="AF70" i="2" s="1"/>
  <c r="AF66" i="2" a="1"/>
  <c r="AF66" i="2" s="1"/>
  <c r="AF67" i="2" a="1"/>
  <c r="AF67" i="2" s="1"/>
  <c r="AF64" i="2" a="1"/>
  <c r="AF64" i="2" s="1"/>
  <c r="AF65" i="2" a="1"/>
  <c r="AF65" i="2" s="1"/>
  <c r="AF63" i="2" a="1"/>
  <c r="AF63" i="2" s="1"/>
  <c r="AF62" i="2" a="1"/>
  <c r="AF62" i="2" s="1"/>
  <c r="AF61" i="2" a="1"/>
  <c r="AF61" i="2" s="1"/>
  <c r="AF59" i="2" a="1"/>
  <c r="AF59" i="2" s="1"/>
  <c r="AF58" i="2" a="1"/>
  <c r="AF58" i="2" s="1"/>
  <c r="AF60" i="2" a="1"/>
  <c r="AF60" i="2" s="1"/>
  <c r="AF57" i="2" a="1"/>
  <c r="AF57" i="2" s="1"/>
  <c r="AF53" i="2" a="1"/>
  <c r="AF53" i="2" s="1"/>
  <c r="AF52" i="2" a="1"/>
  <c r="AF52" i="2" s="1"/>
  <c r="AF51" i="2" a="1"/>
  <c r="AF51" i="2" s="1"/>
  <c r="AF50" i="2" a="1"/>
  <c r="AF50" i="2" s="1"/>
  <c r="AF49" i="2" a="1"/>
  <c r="AF49" i="2" s="1"/>
  <c r="AF56" i="2" a="1"/>
  <c r="AF56" i="2" s="1"/>
  <c r="AF55" i="2" a="1"/>
  <c r="AF55" i="2" s="1"/>
  <c r="AF48" i="2" a="1"/>
  <c r="AF48" i="2" s="1"/>
  <c r="AF54" i="2" a="1"/>
  <c r="AF54" i="2" s="1"/>
  <c r="AF45" i="2" a="1"/>
  <c r="AF45" i="2" s="1"/>
  <c r="AF47" i="2" a="1"/>
  <c r="AF47" i="2" s="1"/>
  <c r="AF40" i="2" a="1"/>
  <c r="AF40" i="2" s="1"/>
  <c r="AF44" i="2" a="1"/>
  <c r="AF44" i="2" s="1"/>
  <c r="AF42" i="2" a="1"/>
  <c r="AF42" i="2" s="1"/>
  <c r="AF43" i="2" a="1"/>
  <c r="AF43" i="2" s="1"/>
  <c r="AF46" i="2" a="1"/>
  <c r="AF46" i="2" s="1"/>
  <c r="AF36" i="2" a="1"/>
  <c r="AF36" i="2" s="1"/>
  <c r="AF39" i="2" a="1"/>
  <c r="AF39" i="2" s="1"/>
  <c r="AF41" i="2" a="1"/>
  <c r="AF41" i="2" s="1"/>
  <c r="AF35" i="2" a="1"/>
  <c r="AF35" i="2" s="1"/>
  <c r="AF38" i="2" a="1"/>
  <c r="AF38" i="2" s="1"/>
  <c r="AF37" i="2" a="1"/>
  <c r="AF37" i="2" s="1"/>
  <c r="AF27" i="2" a="1"/>
  <c r="AF27" i="2" s="1"/>
  <c r="AF33" i="2" a="1"/>
  <c r="AF33" i="2" s="1"/>
  <c r="AF34" i="2" a="1"/>
  <c r="AF34" i="2" s="1"/>
  <c r="AF31" i="2" a="1"/>
  <c r="AF31" i="2" s="1"/>
  <c r="AF30" i="2" a="1"/>
  <c r="AF30" i="2" s="1"/>
  <c r="AF32" i="2" a="1"/>
  <c r="AF32" i="2" s="1"/>
  <c r="AF29" i="2" a="1"/>
  <c r="AF29" i="2" s="1"/>
  <c r="AF26" i="2" a="1"/>
  <c r="AF26" i="2" s="1"/>
  <c r="AF28" i="2" a="1"/>
  <c r="AF28" i="2" s="1"/>
  <c r="AF25" i="2" a="1"/>
  <c r="AF25" i="2" s="1"/>
  <c r="AF18" i="2" a="1"/>
  <c r="AF18" i="2" s="1"/>
  <c r="AF17" i="2" a="1"/>
  <c r="AF17" i="2" s="1"/>
  <c r="AF16" i="2" a="1"/>
  <c r="AF16" i="2" s="1"/>
  <c r="AF24" i="2" a="1"/>
  <c r="AF24" i="2" s="1"/>
  <c r="AF23" i="2" a="1"/>
  <c r="AF23" i="2" s="1"/>
  <c r="AF22" i="2" a="1"/>
  <c r="AF22" i="2" s="1"/>
  <c r="AF21" i="2" a="1"/>
  <c r="AF21" i="2" s="1"/>
  <c r="AF20" i="2" a="1"/>
  <c r="AF20" i="2" s="1"/>
  <c r="AF19" i="2" a="1"/>
  <c r="AF19" i="2" s="1"/>
  <c r="AF11" i="2" a="1"/>
  <c r="AF11" i="2" s="1"/>
  <c r="AF8" i="2" a="1"/>
  <c r="AF8" i="2" s="1"/>
  <c r="AF14" i="2" a="1"/>
  <c r="AF14" i="2" s="1"/>
  <c r="AF9" i="2" a="1"/>
  <c r="AF9" i="2" s="1"/>
  <c r="AF15" i="2" a="1"/>
  <c r="AF15" i="2" s="1"/>
  <c r="AF10" i="2" a="1"/>
  <c r="AF10" i="2" s="1"/>
  <c r="AF13" i="2" a="1"/>
  <c r="AF13" i="2" s="1"/>
  <c r="AF12" i="2" a="1"/>
  <c r="AF12" i="2" s="1"/>
  <c r="AF6" i="2" a="1"/>
  <c r="AF6" i="2" s="1"/>
  <c r="AF4" i="2" a="1"/>
  <c r="AF4" i="2" s="1"/>
  <c r="AF7" i="2" a="1"/>
  <c r="AF7" i="2" s="1"/>
  <c r="AF5" i="2" a="1"/>
  <c r="AF5" i="2" s="1"/>
  <c r="V101" i="2" a="1"/>
  <c r="V101" i="2" s="1"/>
  <c r="V100" i="2" a="1"/>
  <c r="V100" i="2" s="1"/>
  <c r="V103" i="2" a="1"/>
  <c r="V103" i="2" s="1"/>
  <c r="V102" i="2" a="1"/>
  <c r="V102" i="2" s="1"/>
  <c r="V99" i="2" a="1"/>
  <c r="V99" i="2" s="1"/>
  <c r="V97" i="2" a="1"/>
  <c r="V97" i="2" s="1"/>
  <c r="V98" i="2" a="1"/>
  <c r="V98" i="2" s="1"/>
  <c r="V92" i="2" a="1"/>
  <c r="V92" i="2" s="1"/>
  <c r="V96" i="2" a="1"/>
  <c r="V96" i="2" s="1"/>
  <c r="V95" i="2" a="1"/>
  <c r="V95" i="2" s="1"/>
  <c r="V94" i="2" a="1"/>
  <c r="V94" i="2" s="1"/>
  <c r="V93" i="2" a="1"/>
  <c r="V93" i="2" s="1"/>
  <c r="V88" i="2" a="1"/>
  <c r="V88" i="2" s="1"/>
  <c r="V91" i="2" a="1"/>
  <c r="V91" i="2" s="1"/>
  <c r="V90" i="2" a="1"/>
  <c r="V90" i="2" s="1"/>
  <c r="V89" i="2" a="1"/>
  <c r="V89" i="2" s="1"/>
  <c r="V87" i="2" a="1"/>
  <c r="V87" i="2" s="1"/>
  <c r="V86" i="2" a="1"/>
  <c r="V86" i="2" s="1"/>
  <c r="V84" i="2" a="1"/>
  <c r="V84" i="2" s="1"/>
  <c r="V85" i="2" a="1"/>
  <c r="V85" i="2" s="1"/>
  <c r="V81" i="2" a="1"/>
  <c r="V81" i="2" s="1"/>
  <c r="V83" i="2" a="1"/>
  <c r="V83" i="2" s="1"/>
  <c r="V82" i="2" a="1"/>
  <c r="V82" i="2" s="1"/>
  <c r="V77" i="2" a="1"/>
  <c r="V77" i="2" s="1"/>
  <c r="V78" i="2" a="1"/>
  <c r="V78" i="2" s="1"/>
  <c r="V80" i="2" a="1"/>
  <c r="V80" i="2" s="1"/>
  <c r="V79" i="2" a="1"/>
  <c r="V79" i="2" s="1"/>
  <c r="V73" i="2" a="1"/>
  <c r="V73" i="2" s="1"/>
  <c r="V75" i="2" a="1"/>
  <c r="V75" i="2" s="1"/>
  <c r="V72" i="2" a="1"/>
  <c r="V72" i="2" s="1"/>
  <c r="V76" i="2" a="1"/>
  <c r="V76" i="2" s="1"/>
  <c r="V74" i="2" a="1"/>
  <c r="V74" i="2" s="1"/>
  <c r="V70" i="2" a="1"/>
  <c r="V70" i="2" s="1"/>
  <c r="V69" i="2" a="1"/>
  <c r="V69" i="2" s="1"/>
  <c r="V71" i="2" a="1"/>
  <c r="V71" i="2" s="1"/>
  <c r="V67" i="2" a="1"/>
  <c r="V67" i="2" s="1"/>
  <c r="V66" i="2" a="1"/>
  <c r="V66" i="2" s="1"/>
  <c r="V68" i="2" a="1"/>
  <c r="V68" i="2" s="1"/>
  <c r="V64" i="2" a="1"/>
  <c r="V64" i="2" s="1"/>
  <c r="V65" i="2" a="1"/>
  <c r="V65" i="2" s="1"/>
  <c r="V63" i="2" a="1"/>
  <c r="V63" i="2" s="1"/>
  <c r="V62" i="2" a="1"/>
  <c r="V62" i="2" s="1"/>
  <c r="V61" i="2" a="1"/>
  <c r="V61" i="2" s="1"/>
  <c r="V57" i="2" a="1"/>
  <c r="V57" i="2" s="1"/>
  <c r="V56" i="2" a="1"/>
  <c r="V56" i="2" s="1"/>
  <c r="V60" i="2" a="1"/>
  <c r="V60" i="2" s="1"/>
  <c r="V59" i="2" a="1"/>
  <c r="V59" i="2" s="1"/>
  <c r="V58" i="2" a="1"/>
  <c r="V58" i="2" s="1"/>
  <c r="V52" i="2" a="1"/>
  <c r="V52" i="2" s="1"/>
  <c r="V51" i="2" a="1"/>
  <c r="V51" i="2" s="1"/>
  <c r="V53" i="2" a="1"/>
  <c r="V53" i="2" s="1"/>
  <c r="V50" i="2" a="1"/>
  <c r="V50" i="2" s="1"/>
  <c r="V55" i="2" a="1"/>
  <c r="V55" i="2" s="1"/>
  <c r="V49" i="2" a="1"/>
  <c r="V49" i="2" s="1"/>
  <c r="V54" i="2" a="1"/>
  <c r="V54" i="2" s="1"/>
  <c r="V45" i="2" a="1"/>
  <c r="V45" i="2" s="1"/>
  <c r="V47" i="2" a="1"/>
  <c r="V47" i="2" s="1"/>
  <c r="V40" i="2" a="1"/>
  <c r="V40" i="2" s="1"/>
  <c r="V48" i="2" a="1"/>
  <c r="V48" i="2" s="1"/>
  <c r="V44" i="2" a="1"/>
  <c r="V44" i="2" s="1"/>
  <c r="V42" i="2" a="1"/>
  <c r="V42" i="2" s="1"/>
  <c r="V46" i="2" a="1"/>
  <c r="V46" i="2" s="1"/>
  <c r="V43" i="2" a="1"/>
  <c r="V43" i="2" s="1"/>
  <c r="V36" i="2" a="1"/>
  <c r="V36" i="2" s="1"/>
  <c r="V39" i="2" a="1"/>
  <c r="V39" i="2" s="1"/>
  <c r="V41" i="2" a="1"/>
  <c r="V41" i="2" s="1"/>
  <c r="V35" i="2" a="1"/>
  <c r="V35" i="2" s="1"/>
  <c r="V38" i="2" a="1"/>
  <c r="V38" i="2" s="1"/>
  <c r="V34" i="2" a="1"/>
  <c r="V34" i="2" s="1"/>
  <c r="V37" i="2" a="1"/>
  <c r="V37" i="2" s="1"/>
  <c r="V28" i="2" a="1"/>
  <c r="V28" i="2" s="1"/>
  <c r="V33" i="2" a="1"/>
  <c r="V33" i="2" s="1"/>
  <c r="V27" i="2" a="1"/>
  <c r="V27" i="2" s="1"/>
  <c r="V26" i="2" a="1"/>
  <c r="V26" i="2" s="1"/>
  <c r="V31" i="2" a="1"/>
  <c r="V31" i="2" s="1"/>
  <c r="V30" i="2" a="1"/>
  <c r="V30" i="2" s="1"/>
  <c r="V32" i="2" a="1"/>
  <c r="V32" i="2" s="1"/>
  <c r="V29" i="2" a="1"/>
  <c r="V29" i="2" s="1"/>
  <c r="V17" i="2" a="1"/>
  <c r="V17" i="2" s="1"/>
  <c r="V18" i="2" a="1"/>
  <c r="V18" i="2" s="1"/>
  <c r="V24" i="2" a="1"/>
  <c r="V24" i="2" s="1"/>
  <c r="V23" i="2" a="1"/>
  <c r="V23" i="2" s="1"/>
  <c r="V22" i="2" a="1"/>
  <c r="V22" i="2" s="1"/>
  <c r="V21" i="2" a="1"/>
  <c r="V21" i="2" s="1"/>
  <c r="V20" i="2" a="1"/>
  <c r="V20" i="2" s="1"/>
  <c r="V19" i="2" a="1"/>
  <c r="V19" i="2" s="1"/>
  <c r="V16" i="2" a="1"/>
  <c r="V16" i="2" s="1"/>
  <c r="V25" i="2" a="1"/>
  <c r="V25" i="2" s="1"/>
  <c r="V12" i="2" a="1"/>
  <c r="V12" i="2" s="1"/>
  <c r="V8" i="2" a="1"/>
  <c r="V8" i="2" s="1"/>
  <c r="V11" i="2" a="1"/>
  <c r="V11" i="2" s="1"/>
  <c r="V10" i="2" a="1"/>
  <c r="V10" i="2" s="1"/>
  <c r="V15" i="2" a="1"/>
  <c r="V15" i="2" s="1"/>
  <c r="V14" i="2" a="1"/>
  <c r="V14" i="2" s="1"/>
  <c r="V9" i="2" a="1"/>
  <c r="V9" i="2" s="1"/>
  <c r="V13" i="2" a="1"/>
  <c r="V13" i="2" s="1"/>
  <c r="V6" i="2" a="1"/>
  <c r="V6" i="2" s="1"/>
  <c r="V5" i="2" a="1"/>
  <c r="V5" i="2" s="1"/>
  <c r="V4" i="2" a="1"/>
  <c r="V4" i="2" s="1"/>
  <c r="V7" i="2" a="1"/>
  <c r="V7" i="2" s="1"/>
  <c r="BR100" i="2" a="1"/>
  <c r="BR100" i="2" s="1"/>
  <c r="BR99" i="2" a="1"/>
  <c r="BR99" i="2" s="1"/>
  <c r="BR103" i="2" a="1"/>
  <c r="BR103" i="2" s="1"/>
  <c r="BR102" i="2" a="1"/>
  <c r="BR102" i="2" s="1"/>
  <c r="BR101" i="2" a="1"/>
  <c r="BR101" i="2" s="1"/>
  <c r="BR98" i="2" a="1"/>
  <c r="BR98" i="2" s="1"/>
  <c r="BR97" i="2" a="1"/>
  <c r="BR97" i="2" s="1"/>
  <c r="BR96" i="2" a="1"/>
  <c r="BR96" i="2" s="1"/>
  <c r="BR95" i="2" a="1"/>
  <c r="BR95" i="2" s="1"/>
  <c r="BR93" i="2" a="1"/>
  <c r="BR93" i="2" s="1"/>
  <c r="BR92" i="2" a="1"/>
  <c r="BR92" i="2" s="1"/>
  <c r="BR94" i="2" a="1"/>
  <c r="BR94" i="2" s="1"/>
  <c r="BR90" i="2" a="1"/>
  <c r="BR90" i="2" s="1"/>
  <c r="BR89" i="2" a="1"/>
  <c r="BR89" i="2" s="1"/>
  <c r="BR91" i="2" a="1"/>
  <c r="BR91" i="2" s="1"/>
  <c r="BR88" i="2" a="1"/>
  <c r="BR88" i="2" s="1"/>
  <c r="BR86" i="2" a="1"/>
  <c r="BR86" i="2" s="1"/>
  <c r="BR87" i="2" a="1"/>
  <c r="BR87" i="2" s="1"/>
  <c r="BR85" i="2" a="1"/>
  <c r="BR85" i="2" s="1"/>
  <c r="BR84" i="2" a="1"/>
  <c r="BR84" i="2" s="1"/>
  <c r="BR81" i="2" a="1"/>
  <c r="BR81" i="2" s="1"/>
  <c r="BR80" i="2" a="1"/>
  <c r="BR80" i="2" s="1"/>
  <c r="BR82" i="2" a="1"/>
  <c r="BR82" i="2" s="1"/>
  <c r="BR83" i="2" a="1"/>
  <c r="BR83" i="2" s="1"/>
  <c r="BR79" i="2" a="1"/>
  <c r="BR79" i="2" s="1"/>
  <c r="BR78" i="2" a="1"/>
  <c r="BR78" i="2" s="1"/>
  <c r="BR76" i="2" a="1"/>
  <c r="BR76" i="2" s="1"/>
  <c r="BR77" i="2" a="1"/>
  <c r="BR77" i="2" s="1"/>
  <c r="BR74" i="2" a="1"/>
  <c r="BR74" i="2" s="1"/>
  <c r="BR72" i="2" a="1"/>
  <c r="BR72" i="2" s="1"/>
  <c r="BR75" i="2" a="1"/>
  <c r="BR75" i="2" s="1"/>
  <c r="BR73" i="2" a="1"/>
  <c r="BR73" i="2" s="1"/>
  <c r="BR71" i="2" a="1"/>
  <c r="BR71" i="2" s="1"/>
  <c r="BR70" i="2" a="1"/>
  <c r="BR70" i="2" s="1"/>
  <c r="BR69" i="2" a="1"/>
  <c r="BR69" i="2" s="1"/>
  <c r="BR65" i="2" a="1"/>
  <c r="BR65" i="2" s="1"/>
  <c r="BR64" i="2" a="1"/>
  <c r="BR64" i="2" s="1"/>
  <c r="BR68" i="2" a="1"/>
  <c r="BR68" i="2" s="1"/>
  <c r="BR67" i="2" a="1"/>
  <c r="BR67" i="2" s="1"/>
  <c r="BR66" i="2" a="1"/>
  <c r="BR66" i="2" s="1"/>
  <c r="BR62" i="2" a="1"/>
  <c r="BR62" i="2" s="1"/>
  <c r="BR61" i="2" a="1"/>
  <c r="BR61" i="2" s="1"/>
  <c r="BR60" i="2" a="1"/>
  <c r="BR60" i="2" s="1"/>
  <c r="BR63" i="2" a="1"/>
  <c r="BR63" i="2" s="1"/>
  <c r="BR59" i="2" a="1"/>
  <c r="BR59" i="2" s="1"/>
  <c r="BR57" i="2" a="1"/>
  <c r="BR57" i="2" s="1"/>
  <c r="BR58" i="2" a="1"/>
  <c r="BR58" i="2" s="1"/>
  <c r="BR51" i="2" a="1"/>
  <c r="BR51" i="2" s="1"/>
  <c r="BR55" i="2" a="1"/>
  <c r="BR55" i="2" s="1"/>
  <c r="BR50" i="2" a="1"/>
  <c r="BR50" i="2" s="1"/>
  <c r="BR49" i="2" a="1"/>
  <c r="BR49" i="2" s="1"/>
  <c r="BR48" i="2" a="1"/>
  <c r="BR48" i="2" s="1"/>
  <c r="BR56" i="2" a="1"/>
  <c r="BR56" i="2" s="1"/>
  <c r="BR54" i="2" a="1"/>
  <c r="BR54" i="2" s="1"/>
  <c r="BR53" i="2" a="1"/>
  <c r="BR53" i="2" s="1"/>
  <c r="BR52" i="2" a="1"/>
  <c r="BR52" i="2" s="1"/>
  <c r="BR44" i="2" a="1"/>
  <c r="BR44" i="2" s="1"/>
  <c r="BR43" i="2" a="1"/>
  <c r="BR43" i="2" s="1"/>
  <c r="BR42" i="2" a="1"/>
  <c r="BR42" i="2" s="1"/>
  <c r="BR46" i="2" a="1"/>
  <c r="BR46" i="2" s="1"/>
  <c r="BR45" i="2" a="1"/>
  <c r="BR45" i="2" s="1"/>
  <c r="BR47" i="2" a="1"/>
  <c r="BR47" i="2" s="1"/>
  <c r="BR41" i="2" a="1"/>
  <c r="BR41" i="2" s="1"/>
  <c r="BR37" i="2" a="1"/>
  <c r="BR37" i="2" s="1"/>
  <c r="BR34" i="2" a="1"/>
  <c r="BR34" i="2" s="1"/>
  <c r="BR40" i="2" a="1"/>
  <c r="BR40" i="2" s="1"/>
  <c r="BR36" i="2" a="1"/>
  <c r="BR36" i="2" s="1"/>
  <c r="BR39" i="2" a="1"/>
  <c r="BR39" i="2" s="1"/>
  <c r="BR33" i="2" a="1"/>
  <c r="BR33" i="2" s="1"/>
  <c r="BR35" i="2" a="1"/>
  <c r="BR35" i="2" s="1"/>
  <c r="BR38" i="2" a="1"/>
  <c r="BR38" i="2" s="1"/>
  <c r="BR31" i="2" a="1"/>
  <c r="BR31" i="2" s="1"/>
  <c r="BR30" i="2" a="1"/>
  <c r="BR30" i="2" s="1"/>
  <c r="BR26" i="2" a="1"/>
  <c r="BR26" i="2" s="1"/>
  <c r="BR29" i="2" a="1"/>
  <c r="BR29" i="2" s="1"/>
  <c r="BR32" i="2" a="1"/>
  <c r="BR32" i="2" s="1"/>
  <c r="BR28" i="2" a="1"/>
  <c r="BR28" i="2" s="1"/>
  <c r="BR27" i="2" a="1"/>
  <c r="BR27" i="2" s="1"/>
  <c r="BR17" i="2" a="1"/>
  <c r="BR17" i="2" s="1"/>
  <c r="BR15" i="2" a="1"/>
  <c r="BR15" i="2" s="1"/>
  <c r="BR24" i="2" a="1"/>
  <c r="BR24" i="2" s="1"/>
  <c r="BR23" i="2" a="1"/>
  <c r="BR23" i="2" s="1"/>
  <c r="BR22" i="2" a="1"/>
  <c r="BR22" i="2" s="1"/>
  <c r="BR21" i="2" a="1"/>
  <c r="BR21" i="2" s="1"/>
  <c r="BR20" i="2" a="1"/>
  <c r="BR20" i="2" s="1"/>
  <c r="BR19" i="2" a="1"/>
  <c r="BR19" i="2" s="1"/>
  <c r="BR18" i="2" a="1"/>
  <c r="BR18" i="2" s="1"/>
  <c r="BR16" i="2" a="1"/>
  <c r="BR16" i="2" s="1"/>
  <c r="BR25" i="2" a="1"/>
  <c r="BR25" i="2" s="1"/>
  <c r="BR14" i="2" a="1"/>
  <c r="BR14" i="2" s="1"/>
  <c r="BR9" i="2" a="1"/>
  <c r="BR9" i="2" s="1"/>
  <c r="BR13" i="2" a="1"/>
  <c r="BR13" i="2" s="1"/>
  <c r="BR12" i="2" a="1"/>
  <c r="BR12" i="2" s="1"/>
  <c r="BR10" i="2" a="1"/>
  <c r="BR10" i="2" s="1"/>
  <c r="BR11" i="2" a="1"/>
  <c r="BR11" i="2" s="1"/>
  <c r="BR8" i="2" a="1"/>
  <c r="BR8" i="2" s="1"/>
  <c r="BR7" i="2" a="1"/>
  <c r="BR7" i="2" s="1"/>
  <c r="BR4" i="2" a="1"/>
  <c r="BR4" i="2" s="1"/>
  <c r="BR6" i="2" a="1"/>
  <c r="BR6" i="2" s="1"/>
  <c r="BR5" i="2" a="1"/>
  <c r="BR5" i="2" s="1"/>
  <c r="CD100" i="2" a="1"/>
  <c r="CD100" i="2" s="1"/>
  <c r="CD103" i="2" a="1"/>
  <c r="CD103" i="2" s="1"/>
  <c r="CD102" i="2" a="1"/>
  <c r="CD102" i="2" s="1"/>
  <c r="CD101" i="2" a="1"/>
  <c r="CD101" i="2" s="1"/>
  <c r="CD99" i="2" a="1"/>
  <c r="CD99" i="2" s="1"/>
  <c r="CD95" i="2" a="1"/>
  <c r="CD95" i="2" s="1"/>
  <c r="CD98" i="2" a="1"/>
  <c r="CD98" i="2" s="1"/>
  <c r="CD97" i="2" a="1"/>
  <c r="CD97" i="2" s="1"/>
  <c r="CD96" i="2" a="1"/>
  <c r="CD96" i="2" s="1"/>
  <c r="CD94" i="2" a="1"/>
  <c r="CD94" i="2" s="1"/>
  <c r="CD93" i="2" a="1"/>
  <c r="CD93" i="2" s="1"/>
  <c r="CD92" i="2" a="1"/>
  <c r="CD92" i="2" s="1"/>
  <c r="CD90" i="2" a="1"/>
  <c r="CD90" i="2" s="1"/>
  <c r="CD91" i="2" a="1"/>
  <c r="CD91" i="2" s="1"/>
  <c r="CD89" i="2" a="1"/>
  <c r="CD89" i="2" s="1"/>
  <c r="CD88" i="2" a="1"/>
  <c r="CD88" i="2" s="1"/>
  <c r="CD85" i="2" a="1"/>
  <c r="CD85" i="2" s="1"/>
  <c r="CD84" i="2" a="1"/>
  <c r="CD84" i="2" s="1"/>
  <c r="CD86" i="2" a="1"/>
  <c r="CD86" i="2" s="1"/>
  <c r="CD87" i="2" a="1"/>
  <c r="CD87" i="2" s="1"/>
  <c r="CD82" i="2" a="1"/>
  <c r="CD82" i="2" s="1"/>
  <c r="CD83" i="2" a="1"/>
  <c r="CD83" i="2" s="1"/>
  <c r="CD81" i="2" a="1"/>
  <c r="CD81" i="2" s="1"/>
  <c r="CD80" i="2" a="1"/>
  <c r="CD80" i="2" s="1"/>
  <c r="CD79" i="2" a="1"/>
  <c r="CD79" i="2" s="1"/>
  <c r="CD76" i="2" a="1"/>
  <c r="CD76" i="2" s="1"/>
  <c r="CD78" i="2" a="1"/>
  <c r="CD78" i="2" s="1"/>
  <c r="CD77" i="2" a="1"/>
  <c r="CD77" i="2" s="1"/>
  <c r="CD75" i="2" a="1"/>
  <c r="CD75" i="2" s="1"/>
  <c r="CD73" i="2" a="1"/>
  <c r="CD73" i="2" s="1"/>
  <c r="CD72" i="2" a="1"/>
  <c r="CD72" i="2" s="1"/>
  <c r="CD74" i="2" a="1"/>
  <c r="CD74" i="2" s="1"/>
  <c r="CD71" i="2" a="1"/>
  <c r="CD71" i="2" s="1"/>
  <c r="CD70" i="2" a="1"/>
  <c r="CD70" i="2" s="1"/>
  <c r="CD69" i="2" a="1"/>
  <c r="CD69" i="2" s="1"/>
  <c r="CD68" i="2" a="1"/>
  <c r="CD68" i="2" s="1"/>
  <c r="CD66" i="2" a="1"/>
  <c r="CD66" i="2" s="1"/>
  <c r="CD67" i="2" a="1"/>
  <c r="CD67" i="2" s="1"/>
  <c r="CD65" i="2" a="1"/>
  <c r="CD65" i="2" s="1"/>
  <c r="CD64" i="2" a="1"/>
  <c r="CD64" i="2" s="1"/>
  <c r="CD63" i="2" a="1"/>
  <c r="CD63" i="2" s="1"/>
  <c r="CD61" i="2" a="1"/>
  <c r="CD61" i="2" s="1"/>
  <c r="CD60" i="2" a="1"/>
  <c r="CD60" i="2" s="1"/>
  <c r="CD62" i="2" a="1"/>
  <c r="CD62" i="2" s="1"/>
  <c r="CD58" i="2" a="1"/>
  <c r="CD58" i="2" s="1"/>
  <c r="CD59" i="2" a="1"/>
  <c r="CD59" i="2" s="1"/>
  <c r="CD57" i="2" a="1"/>
  <c r="CD57" i="2" s="1"/>
  <c r="CD50" i="2" a="1"/>
  <c r="CD50" i="2" s="1"/>
  <c r="CD56" i="2" a="1"/>
  <c r="CD56" i="2" s="1"/>
  <c r="CD49" i="2" a="1"/>
  <c r="CD49" i="2" s="1"/>
  <c r="CD54" i="2" a="1"/>
  <c r="CD54" i="2" s="1"/>
  <c r="CD52" i="2" a="1"/>
  <c r="CD52" i="2" s="1"/>
  <c r="CD48" i="2" a="1"/>
  <c r="CD48" i="2" s="1"/>
  <c r="CD53" i="2" a="1"/>
  <c r="CD53" i="2" s="1"/>
  <c r="CD55" i="2" a="1"/>
  <c r="CD55" i="2" s="1"/>
  <c r="CD51" i="2" a="1"/>
  <c r="CD51" i="2" s="1"/>
  <c r="CD44" i="2" a="1"/>
  <c r="CD44" i="2" s="1"/>
  <c r="CD43" i="2" a="1"/>
  <c r="CD43" i="2" s="1"/>
  <c r="CD42" i="2" a="1"/>
  <c r="CD42" i="2" s="1"/>
  <c r="CD46" i="2" a="1"/>
  <c r="CD46" i="2" s="1"/>
  <c r="CD45" i="2" a="1"/>
  <c r="CD45" i="2" s="1"/>
  <c r="CD41" i="2" a="1"/>
  <c r="CD41" i="2" s="1"/>
  <c r="CD47" i="2" a="1"/>
  <c r="CD47" i="2" s="1"/>
  <c r="CD39" i="2" a="1"/>
  <c r="CD39" i="2" s="1"/>
  <c r="CD35" i="2" a="1"/>
  <c r="CD35" i="2" s="1"/>
  <c r="CD38" i="2" a="1"/>
  <c r="CD38" i="2" s="1"/>
  <c r="CD37" i="2" a="1"/>
  <c r="CD37" i="2" s="1"/>
  <c r="CD40" i="2" a="1"/>
  <c r="CD40" i="2" s="1"/>
  <c r="CD34" i="2" a="1"/>
  <c r="CD34" i="2" s="1"/>
  <c r="CD36" i="2" a="1"/>
  <c r="CD36" i="2" s="1"/>
  <c r="CD29" i="2" a="1"/>
  <c r="CD29" i="2" s="1"/>
  <c r="CD32" i="2" a="1"/>
  <c r="CD32" i="2" s="1"/>
  <c r="CD28" i="2" a="1"/>
  <c r="CD28" i="2" s="1"/>
  <c r="CD27" i="2" a="1"/>
  <c r="CD27" i="2" s="1"/>
  <c r="CD25" i="2" a="1"/>
  <c r="CD25" i="2" s="1"/>
  <c r="CD33" i="2" a="1"/>
  <c r="CD33" i="2" s="1"/>
  <c r="CD30" i="2" a="1"/>
  <c r="CD30" i="2" s="1"/>
  <c r="CD26" i="2" a="1"/>
  <c r="CD26" i="2" s="1"/>
  <c r="CD31" i="2" a="1"/>
  <c r="CD31" i="2" s="1"/>
  <c r="CD17" i="2" a="1"/>
  <c r="CD17" i="2" s="1"/>
  <c r="CD24" i="2" a="1"/>
  <c r="CD24" i="2" s="1"/>
  <c r="CD23" i="2" a="1"/>
  <c r="CD23" i="2" s="1"/>
  <c r="CD22" i="2" a="1"/>
  <c r="CD22" i="2" s="1"/>
  <c r="CD21" i="2" a="1"/>
  <c r="CD21" i="2" s="1"/>
  <c r="CD20" i="2" a="1"/>
  <c r="CD20" i="2" s="1"/>
  <c r="CD19" i="2" a="1"/>
  <c r="CD19" i="2" s="1"/>
  <c r="CD18" i="2" a="1"/>
  <c r="CD18" i="2" s="1"/>
  <c r="CD16" i="2" a="1"/>
  <c r="CD16" i="2" s="1"/>
  <c r="CD15" i="2" a="1"/>
  <c r="CD15" i="2" s="1"/>
  <c r="CD12" i="2" a="1"/>
  <c r="CD12" i="2" s="1"/>
  <c r="CD10" i="2" a="1"/>
  <c r="CD10" i="2" s="1"/>
  <c r="CD11" i="2" a="1"/>
  <c r="CD11" i="2" s="1"/>
  <c r="CD9" i="2" a="1"/>
  <c r="CD9" i="2" s="1"/>
  <c r="CD14" i="2" a="1"/>
  <c r="CD14" i="2" s="1"/>
  <c r="CD7" i="2" a="1"/>
  <c r="CD7" i="2" s="1"/>
  <c r="CD13" i="2" a="1"/>
  <c r="CD13" i="2" s="1"/>
  <c r="CD8" i="2" a="1"/>
  <c r="CD8" i="2" s="1"/>
  <c r="CD5" i="2" a="1"/>
  <c r="CD5" i="2" s="1"/>
  <c r="CD6" i="2" a="1"/>
  <c r="CD6" i="2" s="1"/>
  <c r="CD4" i="2" a="1"/>
  <c r="CD4" i="2" s="1"/>
  <c r="BD101" i="2" a="1"/>
  <c r="BD101" i="2" s="1"/>
  <c r="BD100" i="2" a="1"/>
  <c r="BD100" i="2" s="1"/>
  <c r="BD99" i="2" a="1"/>
  <c r="BD99" i="2" s="1"/>
  <c r="BD103" i="2" a="1"/>
  <c r="BD103" i="2" s="1"/>
  <c r="BD102" i="2" a="1"/>
  <c r="BD102" i="2" s="1"/>
  <c r="BD96" i="2" a="1"/>
  <c r="BD96" i="2" s="1"/>
  <c r="BD97" i="2" a="1"/>
  <c r="BD97" i="2" s="1"/>
  <c r="BD98" i="2" a="1"/>
  <c r="BD98" i="2" s="1"/>
  <c r="BD92" i="2" a="1"/>
  <c r="BD92" i="2" s="1"/>
  <c r="BD95" i="2" a="1"/>
  <c r="BD95" i="2" s="1"/>
  <c r="BD94" i="2" a="1"/>
  <c r="BD94" i="2" s="1"/>
  <c r="BD93" i="2" a="1"/>
  <c r="BD93" i="2" s="1"/>
  <c r="BD89" i="2" a="1"/>
  <c r="BD89" i="2" s="1"/>
  <c r="BD91" i="2" a="1"/>
  <c r="BD91" i="2" s="1"/>
  <c r="BD88" i="2" a="1"/>
  <c r="BD88" i="2" s="1"/>
  <c r="BD90" i="2" a="1"/>
  <c r="BD90" i="2" s="1"/>
  <c r="BD85" i="2" a="1"/>
  <c r="BD85" i="2" s="1"/>
  <c r="BD84" i="2" a="1"/>
  <c r="BD84" i="2" s="1"/>
  <c r="BD86" i="2" a="1"/>
  <c r="BD86" i="2" s="1"/>
  <c r="BD87" i="2" a="1"/>
  <c r="BD87" i="2" s="1"/>
  <c r="BD83" i="2" a="1"/>
  <c r="BD83" i="2" s="1"/>
  <c r="BD82" i="2" a="1"/>
  <c r="BD82" i="2" s="1"/>
  <c r="BD81" i="2" a="1"/>
  <c r="BD81" i="2" s="1"/>
  <c r="BD80" i="2" a="1"/>
  <c r="BD80" i="2" s="1"/>
  <c r="BD79" i="2" a="1"/>
  <c r="BD79" i="2" s="1"/>
  <c r="BD76" i="2" a="1"/>
  <c r="BD76" i="2" s="1"/>
  <c r="BD77" i="2" a="1"/>
  <c r="BD77" i="2" s="1"/>
  <c r="BD78" i="2" a="1"/>
  <c r="BD78" i="2" s="1"/>
  <c r="BD75" i="2" a="1"/>
  <c r="BD75" i="2" s="1"/>
  <c r="BD74" i="2" a="1"/>
  <c r="BD74" i="2" s="1"/>
  <c r="BD73" i="2" a="1"/>
  <c r="BD73" i="2" s="1"/>
  <c r="BD72" i="2" a="1"/>
  <c r="BD72" i="2" s="1"/>
  <c r="BD70" i="2" a="1"/>
  <c r="BD70" i="2" s="1"/>
  <c r="BD69" i="2" a="1"/>
  <c r="BD69" i="2" s="1"/>
  <c r="BD68" i="2" a="1"/>
  <c r="BD68" i="2" s="1"/>
  <c r="BD71" i="2" a="1"/>
  <c r="BD71" i="2" s="1"/>
  <c r="BD67" i="2" a="1"/>
  <c r="BD67" i="2" s="1"/>
  <c r="BD66" i="2" a="1"/>
  <c r="BD66" i="2" s="1"/>
  <c r="BD65" i="2" a="1"/>
  <c r="BD65" i="2" s="1"/>
  <c r="BD64" i="2" a="1"/>
  <c r="BD64" i="2" s="1"/>
  <c r="BD63" i="2" a="1"/>
  <c r="BD63" i="2" s="1"/>
  <c r="BD60" i="2" a="1"/>
  <c r="BD60" i="2" s="1"/>
  <c r="BD62" i="2" a="1"/>
  <c r="BD62" i="2" s="1"/>
  <c r="BD61" i="2" a="1"/>
  <c r="BD61" i="2" s="1"/>
  <c r="BD57" i="2" a="1"/>
  <c r="BD57" i="2" s="1"/>
  <c r="BD58" i="2" a="1"/>
  <c r="BD58" i="2" s="1"/>
  <c r="BD59" i="2" a="1"/>
  <c r="BD59" i="2" s="1"/>
  <c r="BD49" i="2" a="1"/>
  <c r="BD49" i="2" s="1"/>
  <c r="BD48" i="2" a="1"/>
  <c r="BD48" i="2" s="1"/>
  <c r="BD54" i="2" a="1"/>
  <c r="BD54" i="2" s="1"/>
  <c r="BD52" i="2" a="1"/>
  <c r="BD52" i="2" s="1"/>
  <c r="BD53" i="2" a="1"/>
  <c r="BD53" i="2" s="1"/>
  <c r="BD56" i="2" a="1"/>
  <c r="BD56" i="2" s="1"/>
  <c r="BD51" i="2" a="1"/>
  <c r="BD51" i="2" s="1"/>
  <c r="BD50" i="2" a="1"/>
  <c r="BD50" i="2" s="1"/>
  <c r="BD55" i="2" a="1"/>
  <c r="BD55" i="2" s="1"/>
  <c r="BD42" i="2" a="1"/>
  <c r="BD42" i="2" s="1"/>
  <c r="BD43" i="2" a="1"/>
  <c r="BD43" i="2" s="1"/>
  <c r="BD46" i="2" a="1"/>
  <c r="BD46" i="2" s="1"/>
  <c r="BD45" i="2" a="1"/>
  <c r="BD45" i="2" s="1"/>
  <c r="BD41" i="2" a="1"/>
  <c r="BD41" i="2" s="1"/>
  <c r="BD47" i="2" a="1"/>
  <c r="BD47" i="2" s="1"/>
  <c r="BD44" i="2" a="1"/>
  <c r="BD44" i="2" s="1"/>
  <c r="BD36" i="2" a="1"/>
  <c r="BD36" i="2" s="1"/>
  <c r="BD33" i="2" a="1"/>
  <c r="BD33" i="2" s="1"/>
  <c r="BD39" i="2" a="1"/>
  <c r="BD39" i="2" s="1"/>
  <c r="BD40" i="2" a="1"/>
  <c r="BD40" i="2" s="1"/>
  <c r="BD35" i="2" a="1"/>
  <c r="BD35" i="2" s="1"/>
  <c r="BD38" i="2" a="1"/>
  <c r="BD38" i="2" s="1"/>
  <c r="BD37" i="2" a="1"/>
  <c r="BD37" i="2" s="1"/>
  <c r="BD34" i="2" a="1"/>
  <c r="BD34" i="2" s="1"/>
  <c r="BD32" i="2" a="1"/>
  <c r="BD32" i="2" s="1"/>
  <c r="BD29" i="2" a="1"/>
  <c r="BD29" i="2" s="1"/>
  <c r="BD28" i="2" a="1"/>
  <c r="BD28" i="2" s="1"/>
  <c r="BD27" i="2" a="1"/>
  <c r="BD27" i="2" s="1"/>
  <c r="BD26" i="2" a="1"/>
  <c r="BD26" i="2" s="1"/>
  <c r="BD30" i="2" a="1"/>
  <c r="BD30" i="2" s="1"/>
  <c r="BD31" i="2" a="1"/>
  <c r="BD31" i="2" s="1"/>
  <c r="BD17" i="2" a="1"/>
  <c r="BD17" i="2" s="1"/>
  <c r="BD16" i="2" a="1"/>
  <c r="BD16" i="2" s="1"/>
  <c r="BD24" i="2" a="1"/>
  <c r="BD24" i="2" s="1"/>
  <c r="BD23" i="2" a="1"/>
  <c r="BD23" i="2" s="1"/>
  <c r="BD22" i="2" a="1"/>
  <c r="BD22" i="2" s="1"/>
  <c r="BD21" i="2" a="1"/>
  <c r="BD21" i="2" s="1"/>
  <c r="BD20" i="2" a="1"/>
  <c r="BD20" i="2" s="1"/>
  <c r="BD19" i="2" a="1"/>
  <c r="BD19" i="2" s="1"/>
  <c r="BD25" i="2" a="1"/>
  <c r="BD25" i="2" s="1"/>
  <c r="BD15" i="2" a="1"/>
  <c r="BD15" i="2" s="1"/>
  <c r="BD18" i="2" a="1"/>
  <c r="BD18" i="2" s="1"/>
  <c r="BD8" i="2" a="1"/>
  <c r="BD8" i="2" s="1"/>
  <c r="BD12" i="2" a="1"/>
  <c r="BD12" i="2" s="1"/>
  <c r="BD11" i="2" a="1"/>
  <c r="BD11" i="2" s="1"/>
  <c r="BD10" i="2" a="1"/>
  <c r="BD10" i="2" s="1"/>
  <c r="BD14" i="2" a="1"/>
  <c r="BD14" i="2" s="1"/>
  <c r="BD9" i="2" a="1"/>
  <c r="BD9" i="2" s="1"/>
  <c r="BD13" i="2" a="1"/>
  <c r="BD13" i="2" s="1"/>
  <c r="BD7" i="2" a="1"/>
  <c r="BD7" i="2" s="1"/>
  <c r="BD5" i="2" a="1"/>
  <c r="BD5" i="2" s="1"/>
  <c r="BD6" i="2" a="1"/>
  <c r="BD6" i="2" s="1"/>
  <c r="BD4" i="2" a="1"/>
  <c r="BD4" i="2" s="1"/>
  <c r="CO100" i="2" a="1"/>
  <c r="CO100" i="2" s="1"/>
  <c r="CO99" i="2" a="1"/>
  <c r="CO99" i="2" s="1"/>
  <c r="CO103" i="2" a="1"/>
  <c r="CO103" i="2" s="1"/>
  <c r="CO102" i="2" a="1"/>
  <c r="CO102" i="2" s="1"/>
  <c r="CO101" i="2" a="1"/>
  <c r="CO101" i="2" s="1"/>
  <c r="CO98" i="2" a="1"/>
  <c r="CO98" i="2" s="1"/>
  <c r="CO97" i="2" a="1"/>
  <c r="CO97" i="2" s="1"/>
  <c r="CO96" i="2" a="1"/>
  <c r="CO96" i="2" s="1"/>
  <c r="CO95" i="2" a="1"/>
  <c r="CO95" i="2" s="1"/>
  <c r="CO94" i="2" a="1"/>
  <c r="CO94" i="2" s="1"/>
  <c r="CO93" i="2" a="1"/>
  <c r="CO93" i="2" s="1"/>
  <c r="CO92" i="2" a="1"/>
  <c r="CO92" i="2" s="1"/>
  <c r="CO91" i="2" a="1"/>
  <c r="CO91" i="2" s="1"/>
  <c r="CO89" i="2" a="1"/>
  <c r="CO89" i="2" s="1"/>
  <c r="CO88" i="2" a="1"/>
  <c r="CO88" i="2" s="1"/>
  <c r="CO90" i="2" a="1"/>
  <c r="CO90" i="2" s="1"/>
  <c r="CO85" i="2" a="1"/>
  <c r="CO85" i="2" s="1"/>
  <c r="CO84" i="2" a="1"/>
  <c r="CO84" i="2" s="1"/>
  <c r="CO86" i="2" a="1"/>
  <c r="CO86" i="2" s="1"/>
  <c r="CO87" i="2" a="1"/>
  <c r="CO87" i="2" s="1"/>
  <c r="CO82" i="2" a="1"/>
  <c r="CO82" i="2" s="1"/>
  <c r="CO81" i="2" a="1"/>
  <c r="CO81" i="2" s="1"/>
  <c r="CO80" i="2" a="1"/>
  <c r="CO80" i="2" s="1"/>
  <c r="CO83" i="2" a="1"/>
  <c r="CO83" i="2" s="1"/>
  <c r="CO78" i="2" a="1"/>
  <c r="CO78" i="2" s="1"/>
  <c r="CO79" i="2" a="1"/>
  <c r="CO79" i="2" s="1"/>
  <c r="CO76" i="2" a="1"/>
  <c r="CO76" i="2" s="1"/>
  <c r="CO77" i="2" a="1"/>
  <c r="CO77" i="2" s="1"/>
  <c r="CO75" i="2" a="1"/>
  <c r="CO75" i="2" s="1"/>
  <c r="CO72" i="2" a="1"/>
  <c r="CO72" i="2" s="1"/>
  <c r="CO74" i="2" a="1"/>
  <c r="CO74" i="2" s="1"/>
  <c r="CO73" i="2" a="1"/>
  <c r="CO73" i="2" s="1"/>
  <c r="CO71" i="2" a="1"/>
  <c r="CO71" i="2" s="1"/>
  <c r="CO69" i="2" a="1"/>
  <c r="CO69" i="2" s="1"/>
  <c r="CO68" i="2" a="1"/>
  <c r="CO68" i="2" s="1"/>
  <c r="CO70" i="2" a="1"/>
  <c r="CO70" i="2" s="1"/>
  <c r="CO66" i="2" a="1"/>
  <c r="CO66" i="2" s="1"/>
  <c r="CO67" i="2" a="1"/>
  <c r="CO67" i="2" s="1"/>
  <c r="CO65" i="2" a="1"/>
  <c r="CO65" i="2" s="1"/>
  <c r="CO64" i="2" a="1"/>
  <c r="CO64" i="2" s="1"/>
  <c r="CO60" i="2" a="1"/>
  <c r="CO60" i="2" s="1"/>
  <c r="CO63" i="2" a="1"/>
  <c r="CO63" i="2" s="1"/>
  <c r="CO62" i="2" a="1"/>
  <c r="CO62" i="2" s="1"/>
  <c r="CO61" i="2" a="1"/>
  <c r="CO61" i="2" s="1"/>
  <c r="CO57" i="2" a="1"/>
  <c r="CO57" i="2" s="1"/>
  <c r="CO59" i="2" a="1"/>
  <c r="CO59" i="2" s="1"/>
  <c r="CO56" i="2" a="1"/>
  <c r="CO56" i="2" s="1"/>
  <c r="CO58" i="2" a="1"/>
  <c r="CO58" i="2" s="1"/>
  <c r="CO49" i="2" a="1"/>
  <c r="CO49" i="2" s="1"/>
  <c r="CO54" i="2" a="1"/>
  <c r="CO54" i="2" s="1"/>
  <c r="CO53" i="2" a="1"/>
  <c r="CO53" i="2" s="1"/>
  <c r="CO52" i="2" a="1"/>
  <c r="CO52" i="2" s="1"/>
  <c r="CO48" i="2" a="1"/>
  <c r="CO48" i="2" s="1"/>
  <c r="CO55" i="2" a="1"/>
  <c r="CO55" i="2" s="1"/>
  <c r="CO51" i="2" a="1"/>
  <c r="CO51" i="2" s="1"/>
  <c r="CO50" i="2" a="1"/>
  <c r="CO50" i="2" s="1"/>
  <c r="CO46" i="2" a="1"/>
  <c r="CO46" i="2" s="1"/>
  <c r="CO42" i="2" a="1"/>
  <c r="CO42" i="2" s="1"/>
  <c r="CO45" i="2" a="1"/>
  <c r="CO45" i="2" s="1"/>
  <c r="CO47" i="2" a="1"/>
  <c r="CO47" i="2" s="1"/>
  <c r="CO41" i="2" a="1"/>
  <c r="CO41" i="2" s="1"/>
  <c r="CO40" i="2" a="1"/>
  <c r="CO40" i="2" s="1"/>
  <c r="CO44" i="2" a="1"/>
  <c r="CO44" i="2" s="1"/>
  <c r="CO43" i="2" a="1"/>
  <c r="CO43" i="2" s="1"/>
  <c r="CO37" i="2" a="1"/>
  <c r="CO37" i="2" s="1"/>
  <c r="CO34" i="2" a="1"/>
  <c r="CO34" i="2" s="1"/>
  <c r="CO36" i="2" a="1"/>
  <c r="CO36" i="2" s="1"/>
  <c r="CO39" i="2" a="1"/>
  <c r="CO39" i="2" s="1"/>
  <c r="CO35" i="2" a="1"/>
  <c r="CO35" i="2" s="1"/>
  <c r="CO38" i="2" a="1"/>
  <c r="CO38" i="2" s="1"/>
  <c r="CO33" i="2" a="1"/>
  <c r="CO33" i="2" s="1"/>
  <c r="CO32" i="2" a="1"/>
  <c r="CO32" i="2" s="1"/>
  <c r="CO28" i="2" a="1"/>
  <c r="CO28" i="2" s="1"/>
  <c r="CO27" i="2" a="1"/>
  <c r="CO27" i="2" s="1"/>
  <c r="CO26" i="2" a="1"/>
  <c r="CO26" i="2" s="1"/>
  <c r="CO25" i="2" a="1"/>
  <c r="CO25" i="2" s="1"/>
  <c r="CO31" i="2" a="1"/>
  <c r="CO31" i="2" s="1"/>
  <c r="CO30" i="2" a="1"/>
  <c r="CO30" i="2" s="1"/>
  <c r="CO29" i="2" a="1"/>
  <c r="CO29" i="2" s="1"/>
  <c r="CO16" i="2" a="1"/>
  <c r="CO16" i="2" s="1"/>
  <c r="CO17" i="2" a="1"/>
  <c r="CO17" i="2" s="1"/>
  <c r="CO15" i="2" a="1"/>
  <c r="CO15" i="2" s="1"/>
  <c r="CO24" i="2" a="1"/>
  <c r="CO24" i="2" s="1"/>
  <c r="CO23" i="2" a="1"/>
  <c r="CO23" i="2" s="1"/>
  <c r="CO22" i="2" a="1"/>
  <c r="CO22" i="2" s="1"/>
  <c r="CO21" i="2" a="1"/>
  <c r="CO21" i="2" s="1"/>
  <c r="CO20" i="2" a="1"/>
  <c r="CO20" i="2" s="1"/>
  <c r="CO19" i="2" a="1"/>
  <c r="CO19" i="2" s="1"/>
  <c r="CO18" i="2" a="1"/>
  <c r="CO18" i="2" s="1"/>
  <c r="CO11" i="2" a="1"/>
  <c r="CO11" i="2" s="1"/>
  <c r="CO10" i="2" a="1"/>
  <c r="CO10" i="2" s="1"/>
  <c r="CO7" i="2" a="1"/>
  <c r="CO7" i="2" s="1"/>
  <c r="CO9" i="2" a="1"/>
  <c r="CO9" i="2" s="1"/>
  <c r="CO14" i="2" a="1"/>
  <c r="CO14" i="2" s="1"/>
  <c r="CO13" i="2" a="1"/>
  <c r="CO13" i="2" s="1"/>
  <c r="CO12" i="2" a="1"/>
  <c r="CO12" i="2" s="1"/>
  <c r="CO8" i="2" a="1"/>
  <c r="CO8" i="2" s="1"/>
  <c r="CO5" i="2" a="1"/>
  <c r="CO5" i="2" s="1"/>
  <c r="CO6" i="2" a="1"/>
  <c r="CO6" i="2" s="1"/>
  <c r="CO4" i="2" a="1"/>
  <c r="CO4" i="2" s="1"/>
  <c r="AH100" i="2" a="1"/>
  <c r="AH100" i="2" s="1"/>
  <c r="AH103" i="2" a="1"/>
  <c r="AH103" i="2" s="1"/>
  <c r="AH102" i="2" a="1"/>
  <c r="AH102" i="2" s="1"/>
  <c r="AH101" i="2" a="1"/>
  <c r="AH101" i="2" s="1"/>
  <c r="AH98" i="2" a="1"/>
  <c r="AH98" i="2" s="1"/>
  <c r="AH97" i="2" a="1"/>
  <c r="AH97" i="2" s="1"/>
  <c r="AH99" i="2" a="1"/>
  <c r="AH99" i="2" s="1"/>
  <c r="AH96" i="2" a="1"/>
  <c r="AH96" i="2" s="1"/>
  <c r="AH95" i="2" a="1"/>
  <c r="AH95" i="2" s="1"/>
  <c r="AH94" i="2" a="1"/>
  <c r="AH94" i="2" s="1"/>
  <c r="AH93" i="2" a="1"/>
  <c r="AH93" i="2" s="1"/>
  <c r="AH92" i="2" a="1"/>
  <c r="AH92" i="2" s="1"/>
  <c r="AH91" i="2" a="1"/>
  <c r="AH91" i="2" s="1"/>
  <c r="AH90" i="2" a="1"/>
  <c r="AH90" i="2" s="1"/>
  <c r="AH89" i="2" a="1"/>
  <c r="AH89" i="2" s="1"/>
  <c r="AH88" i="2" a="1"/>
  <c r="AH88" i="2" s="1"/>
  <c r="AH86" i="2" a="1"/>
  <c r="AH86" i="2" s="1"/>
  <c r="AH85" i="2" a="1"/>
  <c r="AH85" i="2" s="1"/>
  <c r="AH84" i="2" a="1"/>
  <c r="AH84" i="2" s="1"/>
  <c r="AH87" i="2" a="1"/>
  <c r="AH87" i="2" s="1"/>
  <c r="AH81" i="2" a="1"/>
  <c r="AH81" i="2" s="1"/>
  <c r="AH83" i="2" a="1"/>
  <c r="AH83" i="2" s="1"/>
  <c r="AH82" i="2" a="1"/>
  <c r="AH82" i="2" s="1"/>
  <c r="AH80" i="2" a="1"/>
  <c r="AH80" i="2" s="1"/>
  <c r="AH78" i="2" a="1"/>
  <c r="AH78" i="2" s="1"/>
  <c r="AH79" i="2" a="1"/>
  <c r="AH79" i="2" s="1"/>
  <c r="AH77" i="2" a="1"/>
  <c r="AH77" i="2" s="1"/>
  <c r="AH74" i="2" a="1"/>
  <c r="AH74" i="2" s="1"/>
  <c r="AH75" i="2" a="1"/>
  <c r="AH75" i="2" s="1"/>
  <c r="AH76" i="2" a="1"/>
  <c r="AH76" i="2" s="1"/>
  <c r="AH73" i="2" a="1"/>
  <c r="AH73" i="2" s="1"/>
  <c r="AH72" i="2" a="1"/>
  <c r="AH72" i="2" s="1"/>
  <c r="AH69" i="2" a="1"/>
  <c r="AH69" i="2" s="1"/>
  <c r="AH68" i="2" a="1"/>
  <c r="AH68" i="2" s="1"/>
  <c r="AH71" i="2" a="1"/>
  <c r="AH71" i="2" s="1"/>
  <c r="AH70" i="2" a="1"/>
  <c r="AH70" i="2" s="1"/>
  <c r="AH64" i="2" a="1"/>
  <c r="AH64" i="2" s="1"/>
  <c r="AH65" i="2" a="1"/>
  <c r="AH65" i="2" s="1"/>
  <c r="AH67" i="2" a="1"/>
  <c r="AH67" i="2" s="1"/>
  <c r="AH66" i="2" a="1"/>
  <c r="AH66" i="2" s="1"/>
  <c r="AH63" i="2" a="1"/>
  <c r="AH63" i="2" s="1"/>
  <c r="AH61" i="2" a="1"/>
  <c r="AH61" i="2" s="1"/>
  <c r="AH60" i="2" a="1"/>
  <c r="AH60" i="2" s="1"/>
  <c r="AH62" i="2" a="1"/>
  <c r="AH62" i="2" s="1"/>
  <c r="AH58" i="2" a="1"/>
  <c r="AH58" i="2" s="1"/>
  <c r="AH59" i="2" a="1"/>
  <c r="AH59" i="2" s="1"/>
  <c r="AH57" i="2" a="1"/>
  <c r="AH57" i="2" s="1"/>
  <c r="AH50" i="2" a="1"/>
  <c r="AH50" i="2" s="1"/>
  <c r="AH56" i="2" a="1"/>
  <c r="AH56" i="2" s="1"/>
  <c r="AH49" i="2" a="1"/>
  <c r="AH49" i="2" s="1"/>
  <c r="AH55" i="2" a="1"/>
  <c r="AH55" i="2" s="1"/>
  <c r="AH54" i="2" a="1"/>
  <c r="AH54" i="2" s="1"/>
  <c r="AH52" i="2" a="1"/>
  <c r="AH52" i="2" s="1"/>
  <c r="AH53" i="2" a="1"/>
  <c r="AH53" i="2" s="1"/>
  <c r="AH51" i="2" a="1"/>
  <c r="AH51" i="2" s="1"/>
  <c r="AH44" i="2" a="1"/>
  <c r="AH44" i="2" s="1"/>
  <c r="AH42" i="2" a="1"/>
  <c r="AH42" i="2" s="1"/>
  <c r="AH43" i="2" a="1"/>
  <c r="AH43" i="2" s="1"/>
  <c r="AH48" i="2" a="1"/>
  <c r="AH48" i="2" s="1"/>
  <c r="AH46" i="2" a="1"/>
  <c r="AH46" i="2" s="1"/>
  <c r="AH45" i="2" a="1"/>
  <c r="AH45" i="2" s="1"/>
  <c r="AH41" i="2" a="1"/>
  <c r="AH41" i="2" s="1"/>
  <c r="AH47" i="2" a="1"/>
  <c r="AH47" i="2" s="1"/>
  <c r="AH35" i="2" a="1"/>
  <c r="AH35" i="2" s="1"/>
  <c r="AH38" i="2" a="1"/>
  <c r="AH38" i="2" s="1"/>
  <c r="AH34" i="2" a="1"/>
  <c r="AH34" i="2" s="1"/>
  <c r="AH37" i="2" a="1"/>
  <c r="AH37" i="2" s="1"/>
  <c r="AH33" i="2" a="1"/>
  <c r="AH33" i="2" s="1"/>
  <c r="AH40" i="2" a="1"/>
  <c r="AH40" i="2" s="1"/>
  <c r="AH36" i="2" a="1"/>
  <c r="AH36" i="2" s="1"/>
  <c r="AH39" i="2" a="1"/>
  <c r="AH39" i="2" s="1"/>
  <c r="AH31" i="2" a="1"/>
  <c r="AH31" i="2" s="1"/>
  <c r="AH30" i="2" a="1"/>
  <c r="AH30" i="2" s="1"/>
  <c r="AH32" i="2" a="1"/>
  <c r="AH32" i="2" s="1"/>
  <c r="AH29" i="2" a="1"/>
  <c r="AH29" i="2" s="1"/>
  <c r="AH26" i="2" a="1"/>
  <c r="AH26" i="2" s="1"/>
  <c r="AH28" i="2" a="1"/>
  <c r="AH28" i="2" s="1"/>
  <c r="AH27" i="2" a="1"/>
  <c r="AH27" i="2" s="1"/>
  <c r="AH18" i="2" a="1"/>
  <c r="AH18" i="2" s="1"/>
  <c r="AH17" i="2" a="1"/>
  <c r="AH17" i="2" s="1"/>
  <c r="AH16" i="2" a="1"/>
  <c r="AH16" i="2" s="1"/>
  <c r="AH24" i="2" a="1"/>
  <c r="AH24" i="2" s="1"/>
  <c r="AH23" i="2" a="1"/>
  <c r="AH23" i="2" s="1"/>
  <c r="AH22" i="2" a="1"/>
  <c r="AH22" i="2" s="1"/>
  <c r="AH21" i="2" a="1"/>
  <c r="AH21" i="2" s="1"/>
  <c r="AH20" i="2" a="1"/>
  <c r="AH20" i="2" s="1"/>
  <c r="AH19" i="2" a="1"/>
  <c r="AH19" i="2" s="1"/>
  <c r="AH25" i="2" a="1"/>
  <c r="AH25" i="2" s="1"/>
  <c r="AH11" i="2" a="1"/>
  <c r="AH11" i="2" s="1"/>
  <c r="AH8" i="2" a="1"/>
  <c r="AH8" i="2" s="1"/>
  <c r="AH14" i="2" a="1"/>
  <c r="AH14" i="2" s="1"/>
  <c r="AH10" i="2" a="1"/>
  <c r="AH10" i="2" s="1"/>
  <c r="AH9" i="2" a="1"/>
  <c r="AH9" i="2" s="1"/>
  <c r="AH15" i="2" a="1"/>
  <c r="AH15" i="2" s="1"/>
  <c r="AH13" i="2" a="1"/>
  <c r="AH13" i="2" s="1"/>
  <c r="AH12" i="2" a="1"/>
  <c r="AH12" i="2" s="1"/>
  <c r="AH6" i="2" a="1"/>
  <c r="AH6" i="2" s="1"/>
  <c r="AH7" i="2" a="1"/>
  <c r="AH7" i="2" s="1"/>
  <c r="AH4" i="2" a="1"/>
  <c r="AH4" i="2" s="1"/>
  <c r="AH5" i="2" a="1"/>
  <c r="AH5" i="2" s="1"/>
  <c r="BS99" i="2" a="1"/>
  <c r="BS99" i="2" s="1"/>
  <c r="BS103" i="2" a="1"/>
  <c r="BS103" i="2" s="1"/>
  <c r="BS102" i="2" a="1"/>
  <c r="BS102" i="2" s="1"/>
  <c r="BS101" i="2" a="1"/>
  <c r="BS101" i="2" s="1"/>
  <c r="BS100" i="2" a="1"/>
  <c r="BS100" i="2" s="1"/>
  <c r="BS98" i="2" a="1"/>
  <c r="BS98" i="2" s="1"/>
  <c r="BS97" i="2" a="1"/>
  <c r="BS97" i="2" s="1"/>
  <c r="BS96" i="2" a="1"/>
  <c r="BS96" i="2" s="1"/>
  <c r="BS95" i="2" a="1"/>
  <c r="BS95" i="2" s="1"/>
  <c r="BS93" i="2" a="1"/>
  <c r="BS93" i="2" s="1"/>
  <c r="BS92" i="2" a="1"/>
  <c r="BS92" i="2" s="1"/>
  <c r="BS94" i="2" a="1"/>
  <c r="BS94" i="2" s="1"/>
  <c r="BS90" i="2" a="1"/>
  <c r="BS90" i="2" s="1"/>
  <c r="BS89" i="2" a="1"/>
  <c r="BS89" i="2" s="1"/>
  <c r="BS91" i="2" a="1"/>
  <c r="BS91" i="2" s="1"/>
  <c r="BS88" i="2" a="1"/>
  <c r="BS88" i="2" s="1"/>
  <c r="BS86" i="2" a="1"/>
  <c r="BS86" i="2" s="1"/>
  <c r="BS87" i="2" a="1"/>
  <c r="BS87" i="2" s="1"/>
  <c r="BS85" i="2" a="1"/>
  <c r="BS85" i="2" s="1"/>
  <c r="BS84" i="2" a="1"/>
  <c r="BS84" i="2" s="1"/>
  <c r="BS80" i="2" a="1"/>
  <c r="BS80" i="2" s="1"/>
  <c r="BS81" i="2" a="1"/>
  <c r="BS81" i="2" s="1"/>
  <c r="BS82" i="2" a="1"/>
  <c r="BS82" i="2" s="1"/>
  <c r="BS83" i="2" a="1"/>
  <c r="BS83" i="2" s="1"/>
  <c r="BS79" i="2" a="1"/>
  <c r="BS79" i="2" s="1"/>
  <c r="BS78" i="2" a="1"/>
  <c r="BS78" i="2" s="1"/>
  <c r="BS76" i="2" a="1"/>
  <c r="BS76" i="2" s="1"/>
  <c r="BS77" i="2" a="1"/>
  <c r="BS77" i="2" s="1"/>
  <c r="BS71" i="2" a="1"/>
  <c r="BS71" i="2" s="1"/>
  <c r="BS75" i="2" a="1"/>
  <c r="BS75" i="2" s="1"/>
  <c r="BS73" i="2" a="1"/>
  <c r="BS73" i="2" s="1"/>
  <c r="BS74" i="2" a="1"/>
  <c r="BS74" i="2" s="1"/>
  <c r="BS72" i="2" a="1"/>
  <c r="BS72" i="2" s="1"/>
  <c r="BS68" i="2" a="1"/>
  <c r="BS68" i="2" s="1"/>
  <c r="BS70" i="2" a="1"/>
  <c r="BS70" i="2" s="1"/>
  <c r="BS69" i="2" a="1"/>
  <c r="BS69" i="2" s="1"/>
  <c r="BS64" i="2" a="1"/>
  <c r="BS64" i="2" s="1"/>
  <c r="BS66" i="2" a="1"/>
  <c r="BS66" i="2" s="1"/>
  <c r="BS67" i="2" a="1"/>
  <c r="BS67" i="2" s="1"/>
  <c r="BS65" i="2" a="1"/>
  <c r="BS65" i="2" s="1"/>
  <c r="BS61" i="2" a="1"/>
  <c r="BS61" i="2" s="1"/>
  <c r="BS60" i="2" a="1"/>
  <c r="BS60" i="2" s="1"/>
  <c r="BS63" i="2" a="1"/>
  <c r="BS63" i="2" s="1"/>
  <c r="BS62" i="2" a="1"/>
  <c r="BS62" i="2" s="1"/>
  <c r="BS57" i="2" a="1"/>
  <c r="BS57" i="2" s="1"/>
  <c r="BS59" i="2" a="1"/>
  <c r="BS59" i="2" s="1"/>
  <c r="BS56" i="2" a="1"/>
  <c r="BS56" i="2" s="1"/>
  <c r="BS58" i="2" a="1"/>
  <c r="BS58" i="2" s="1"/>
  <c r="BS51" i="2" a="1"/>
  <c r="BS51" i="2" s="1"/>
  <c r="BS55" i="2" a="1"/>
  <c r="BS55" i="2" s="1"/>
  <c r="BS50" i="2" a="1"/>
  <c r="BS50" i="2" s="1"/>
  <c r="BS49" i="2" a="1"/>
  <c r="BS49" i="2" s="1"/>
  <c r="BS54" i="2" a="1"/>
  <c r="BS54" i="2" s="1"/>
  <c r="BS53" i="2" a="1"/>
  <c r="BS53" i="2" s="1"/>
  <c r="BS52" i="2" a="1"/>
  <c r="BS52" i="2" s="1"/>
  <c r="BS44" i="2" a="1"/>
  <c r="BS44" i="2" s="1"/>
  <c r="BS43" i="2" a="1"/>
  <c r="BS43" i="2" s="1"/>
  <c r="BS42" i="2" a="1"/>
  <c r="BS42" i="2" s="1"/>
  <c r="BS40" i="2" a="1"/>
  <c r="BS40" i="2" s="1"/>
  <c r="BS46" i="2" a="1"/>
  <c r="BS46" i="2" s="1"/>
  <c r="BS45" i="2" a="1"/>
  <c r="BS45" i="2" s="1"/>
  <c r="BS48" i="2" a="1"/>
  <c r="BS48" i="2" s="1"/>
  <c r="BS47" i="2" a="1"/>
  <c r="BS47" i="2" s="1"/>
  <c r="BS41" i="2" a="1"/>
  <c r="BS41" i="2" s="1"/>
  <c r="BS34" i="2" a="1"/>
  <c r="BS34" i="2" s="1"/>
  <c r="BS36" i="2" a="1"/>
  <c r="BS36" i="2" s="1"/>
  <c r="BS39" i="2" a="1"/>
  <c r="BS39" i="2" s="1"/>
  <c r="BS35" i="2" a="1"/>
  <c r="BS35" i="2" s="1"/>
  <c r="BS38" i="2" a="1"/>
  <c r="BS38" i="2" s="1"/>
  <c r="BS37" i="2" a="1"/>
  <c r="BS37" i="2" s="1"/>
  <c r="BS31" i="2" a="1"/>
  <c r="BS31" i="2" s="1"/>
  <c r="BS30" i="2" a="1"/>
  <c r="BS30" i="2" s="1"/>
  <c r="BS33" i="2" a="1"/>
  <c r="BS33" i="2" s="1"/>
  <c r="BS26" i="2" a="1"/>
  <c r="BS26" i="2" s="1"/>
  <c r="BS29" i="2" a="1"/>
  <c r="BS29" i="2" s="1"/>
  <c r="BS25" i="2" a="1"/>
  <c r="BS25" i="2" s="1"/>
  <c r="BS32" i="2" a="1"/>
  <c r="BS32" i="2" s="1"/>
  <c r="BS28" i="2" a="1"/>
  <c r="BS28" i="2" s="1"/>
  <c r="BS27" i="2" a="1"/>
  <c r="BS27" i="2" s="1"/>
  <c r="BS17" i="2" a="1"/>
  <c r="BS17" i="2" s="1"/>
  <c r="BS15" i="2" a="1"/>
  <c r="BS15" i="2" s="1"/>
  <c r="BS24" i="2" a="1"/>
  <c r="BS24" i="2" s="1"/>
  <c r="BS23" i="2" a="1"/>
  <c r="BS23" i="2" s="1"/>
  <c r="BS22" i="2" a="1"/>
  <c r="BS22" i="2" s="1"/>
  <c r="BS21" i="2" a="1"/>
  <c r="BS21" i="2" s="1"/>
  <c r="BS20" i="2" a="1"/>
  <c r="BS20" i="2" s="1"/>
  <c r="BS19" i="2" a="1"/>
  <c r="BS19" i="2" s="1"/>
  <c r="BS18" i="2" a="1"/>
  <c r="BS18" i="2" s="1"/>
  <c r="BS16" i="2" a="1"/>
  <c r="BS16" i="2" s="1"/>
  <c r="BS13" i="2" a="1"/>
  <c r="BS13" i="2" s="1"/>
  <c r="BS8" i="2" a="1"/>
  <c r="BS8" i="2" s="1"/>
  <c r="BS12" i="2" a="1"/>
  <c r="BS12" i="2" s="1"/>
  <c r="BS10" i="2" a="1"/>
  <c r="BS10" i="2" s="1"/>
  <c r="BS11" i="2" a="1"/>
  <c r="BS11" i="2" s="1"/>
  <c r="BS9" i="2" a="1"/>
  <c r="BS9" i="2" s="1"/>
  <c r="BS14" i="2" a="1"/>
  <c r="BS14" i="2" s="1"/>
  <c r="BS7" i="2" a="1"/>
  <c r="BS7" i="2" s="1"/>
  <c r="BS4" i="2" a="1"/>
  <c r="BS4" i="2" s="1"/>
  <c r="BS5" i="2" a="1"/>
  <c r="BS5" i="2" s="1"/>
  <c r="BS6" i="2" a="1"/>
  <c r="BS6" i="2" s="1"/>
  <c r="CE100" i="2" a="1"/>
  <c r="CE100" i="2" s="1"/>
  <c r="CE103" i="2" a="1"/>
  <c r="CE103" i="2" s="1"/>
  <c r="CE102" i="2" a="1"/>
  <c r="CE102" i="2" s="1"/>
  <c r="CE101" i="2" a="1"/>
  <c r="CE101" i="2" s="1"/>
  <c r="CE99" i="2" a="1"/>
  <c r="CE99" i="2" s="1"/>
  <c r="CE95" i="2" a="1"/>
  <c r="CE95" i="2" s="1"/>
  <c r="CE98" i="2" a="1"/>
  <c r="CE98" i="2" s="1"/>
  <c r="CE97" i="2" a="1"/>
  <c r="CE97" i="2" s="1"/>
  <c r="CE96" i="2" a="1"/>
  <c r="CE96" i="2" s="1"/>
  <c r="CE94" i="2" a="1"/>
  <c r="CE94" i="2" s="1"/>
  <c r="CE93" i="2" a="1"/>
  <c r="CE93" i="2" s="1"/>
  <c r="CE92" i="2" a="1"/>
  <c r="CE92" i="2" s="1"/>
  <c r="CE91" i="2" a="1"/>
  <c r="CE91" i="2" s="1"/>
  <c r="CE89" i="2" a="1"/>
  <c r="CE89" i="2" s="1"/>
  <c r="CE88" i="2" a="1"/>
  <c r="CE88" i="2" s="1"/>
  <c r="CE90" i="2" a="1"/>
  <c r="CE90" i="2" s="1"/>
  <c r="CE85" i="2" a="1"/>
  <c r="CE85" i="2" s="1"/>
  <c r="CE84" i="2" a="1"/>
  <c r="CE84" i="2" s="1"/>
  <c r="CE86" i="2" a="1"/>
  <c r="CE86" i="2" s="1"/>
  <c r="CE87" i="2" a="1"/>
  <c r="CE87" i="2" s="1"/>
  <c r="CE82" i="2" a="1"/>
  <c r="CE82" i="2" s="1"/>
  <c r="CE83" i="2" a="1"/>
  <c r="CE83" i="2" s="1"/>
  <c r="CE81" i="2" a="1"/>
  <c r="CE81" i="2" s="1"/>
  <c r="CE80" i="2" a="1"/>
  <c r="CE80" i="2" s="1"/>
  <c r="CE78" i="2" a="1"/>
  <c r="CE78" i="2" s="1"/>
  <c r="CE77" i="2" a="1"/>
  <c r="CE77" i="2" s="1"/>
  <c r="CE79" i="2" a="1"/>
  <c r="CE79" i="2" s="1"/>
  <c r="CE76" i="2" a="1"/>
  <c r="CE76" i="2" s="1"/>
  <c r="CE75" i="2" a="1"/>
  <c r="CE75" i="2" s="1"/>
  <c r="CE73" i="2" a="1"/>
  <c r="CE73" i="2" s="1"/>
  <c r="CE72" i="2" a="1"/>
  <c r="CE72" i="2" s="1"/>
  <c r="CE74" i="2" a="1"/>
  <c r="CE74" i="2" s="1"/>
  <c r="CE70" i="2" a="1"/>
  <c r="CE70" i="2" s="1"/>
  <c r="CE69" i="2" a="1"/>
  <c r="CE69" i="2" s="1"/>
  <c r="CE68" i="2" a="1"/>
  <c r="CE68" i="2" s="1"/>
  <c r="CE71" i="2" a="1"/>
  <c r="CE71" i="2" s="1"/>
  <c r="CE66" i="2" a="1"/>
  <c r="CE66" i="2" s="1"/>
  <c r="CE67" i="2" a="1"/>
  <c r="CE67" i="2" s="1"/>
  <c r="CE65" i="2" a="1"/>
  <c r="CE65" i="2" s="1"/>
  <c r="CE64" i="2" a="1"/>
  <c r="CE64" i="2" s="1"/>
  <c r="CE63" i="2" a="1"/>
  <c r="CE63" i="2" s="1"/>
  <c r="CE60" i="2" a="1"/>
  <c r="CE60" i="2" s="1"/>
  <c r="CE62" i="2" a="1"/>
  <c r="CE62" i="2" s="1"/>
  <c r="CE61" i="2" a="1"/>
  <c r="CE61" i="2" s="1"/>
  <c r="CE56" i="2" a="1"/>
  <c r="CE56" i="2" s="1"/>
  <c r="CE58" i="2" a="1"/>
  <c r="CE58" i="2" s="1"/>
  <c r="CE59" i="2" a="1"/>
  <c r="CE59" i="2" s="1"/>
  <c r="CE57" i="2" a="1"/>
  <c r="CE57" i="2" s="1"/>
  <c r="CE49" i="2" a="1"/>
  <c r="CE49" i="2" s="1"/>
  <c r="CE54" i="2" a="1"/>
  <c r="CE54" i="2" s="1"/>
  <c r="CE52" i="2" a="1"/>
  <c r="CE52" i="2" s="1"/>
  <c r="CE48" i="2" a="1"/>
  <c r="CE48" i="2" s="1"/>
  <c r="CE53" i="2" a="1"/>
  <c r="CE53" i="2" s="1"/>
  <c r="CE55" i="2" a="1"/>
  <c r="CE55" i="2" s="1"/>
  <c r="CE51" i="2" a="1"/>
  <c r="CE51" i="2" s="1"/>
  <c r="CE50" i="2" a="1"/>
  <c r="CE50" i="2" s="1"/>
  <c r="CE43" i="2" a="1"/>
  <c r="CE43" i="2" s="1"/>
  <c r="CE42" i="2" a="1"/>
  <c r="CE42" i="2" s="1"/>
  <c r="CE46" i="2" a="1"/>
  <c r="CE46" i="2" s="1"/>
  <c r="CE45" i="2" a="1"/>
  <c r="CE45" i="2" s="1"/>
  <c r="CE41" i="2" a="1"/>
  <c r="CE41" i="2" s="1"/>
  <c r="CE47" i="2" a="1"/>
  <c r="CE47" i="2" s="1"/>
  <c r="CE44" i="2" a="1"/>
  <c r="CE44" i="2" s="1"/>
  <c r="CE35" i="2" a="1"/>
  <c r="CE35" i="2" s="1"/>
  <c r="CE38" i="2" a="1"/>
  <c r="CE38" i="2" s="1"/>
  <c r="CE37" i="2" a="1"/>
  <c r="CE37" i="2" s="1"/>
  <c r="CE40" i="2" a="1"/>
  <c r="CE40" i="2" s="1"/>
  <c r="CE34" i="2" a="1"/>
  <c r="CE34" i="2" s="1"/>
  <c r="CE36" i="2" a="1"/>
  <c r="CE36" i="2" s="1"/>
  <c r="CE39" i="2" a="1"/>
  <c r="CE39" i="2" s="1"/>
  <c r="CE32" i="2" a="1"/>
  <c r="CE32" i="2" s="1"/>
  <c r="CE28" i="2" a="1"/>
  <c r="CE28" i="2" s="1"/>
  <c r="CE27" i="2" a="1"/>
  <c r="CE27" i="2" s="1"/>
  <c r="CE25" i="2" a="1"/>
  <c r="CE25" i="2" s="1"/>
  <c r="CE33" i="2" a="1"/>
  <c r="CE33" i="2" s="1"/>
  <c r="CE26" i="2" a="1"/>
  <c r="CE26" i="2" s="1"/>
  <c r="CE31" i="2" a="1"/>
  <c r="CE31" i="2" s="1"/>
  <c r="CE30" i="2" a="1"/>
  <c r="CE30" i="2" s="1"/>
  <c r="CE29" i="2" a="1"/>
  <c r="CE29" i="2" s="1"/>
  <c r="CE17" i="2" a="1"/>
  <c r="CE17" i="2" s="1"/>
  <c r="CE24" i="2" a="1"/>
  <c r="CE24" i="2" s="1"/>
  <c r="CE23" i="2" a="1"/>
  <c r="CE23" i="2" s="1"/>
  <c r="CE22" i="2" a="1"/>
  <c r="CE22" i="2" s="1"/>
  <c r="CE21" i="2" a="1"/>
  <c r="CE21" i="2" s="1"/>
  <c r="CE20" i="2" a="1"/>
  <c r="CE20" i="2" s="1"/>
  <c r="CE19" i="2" a="1"/>
  <c r="CE19" i="2" s="1"/>
  <c r="CE18" i="2" a="1"/>
  <c r="CE18" i="2" s="1"/>
  <c r="CE16" i="2" a="1"/>
  <c r="CE16" i="2" s="1"/>
  <c r="CE15" i="2" a="1"/>
  <c r="CE15" i="2" s="1"/>
  <c r="CE12" i="2" a="1"/>
  <c r="CE12" i="2" s="1"/>
  <c r="CE10" i="2" a="1"/>
  <c r="CE10" i="2" s="1"/>
  <c r="CE11" i="2" a="1"/>
  <c r="CE11" i="2" s="1"/>
  <c r="CE9" i="2" a="1"/>
  <c r="CE9" i="2" s="1"/>
  <c r="CE14" i="2" a="1"/>
  <c r="CE14" i="2" s="1"/>
  <c r="CE13" i="2" a="1"/>
  <c r="CE13" i="2" s="1"/>
  <c r="CE8" i="2" a="1"/>
  <c r="CE8" i="2" s="1"/>
  <c r="CE6" i="2" a="1"/>
  <c r="CE6" i="2" s="1"/>
  <c r="CE4" i="2" a="1"/>
  <c r="CE4" i="2" s="1"/>
  <c r="CE5" i="2" a="1"/>
  <c r="CE5" i="2" s="1"/>
  <c r="CE7" i="2" a="1"/>
  <c r="CE7" i="2" s="1"/>
  <c r="CM103" i="2" a="1"/>
  <c r="CM103" i="2" s="1"/>
  <c r="CM102" i="2" a="1"/>
  <c r="CM102" i="2" s="1"/>
  <c r="CM101" i="2" a="1"/>
  <c r="CM101" i="2" s="1"/>
  <c r="CM100" i="2" a="1"/>
  <c r="CM100" i="2" s="1"/>
  <c r="CM99" i="2" a="1"/>
  <c r="CM99" i="2" s="1"/>
  <c r="CM95" i="2" a="1"/>
  <c r="CM95" i="2" s="1"/>
  <c r="CM98" i="2" a="1"/>
  <c r="CM98" i="2" s="1"/>
  <c r="CM97" i="2" a="1"/>
  <c r="CM97" i="2" s="1"/>
  <c r="CM96" i="2" a="1"/>
  <c r="CM96" i="2" s="1"/>
  <c r="CM94" i="2" a="1"/>
  <c r="CM94" i="2" s="1"/>
  <c r="CM93" i="2" a="1"/>
  <c r="CM93" i="2" s="1"/>
  <c r="CM92" i="2" a="1"/>
  <c r="CM92" i="2" s="1"/>
  <c r="CM90" i="2" a="1"/>
  <c r="CM90" i="2" s="1"/>
  <c r="CM89" i="2" a="1"/>
  <c r="CM89" i="2" s="1"/>
  <c r="CM91" i="2" a="1"/>
  <c r="CM91" i="2" s="1"/>
  <c r="CM88" i="2" a="1"/>
  <c r="CM88" i="2" s="1"/>
  <c r="CM85" i="2" a="1"/>
  <c r="CM85" i="2" s="1"/>
  <c r="CM84" i="2" a="1"/>
  <c r="CM84" i="2" s="1"/>
  <c r="CM87" i="2" a="1"/>
  <c r="CM87" i="2" s="1"/>
  <c r="CM86" i="2" a="1"/>
  <c r="CM86" i="2" s="1"/>
  <c r="CM82" i="2" a="1"/>
  <c r="CM82" i="2" s="1"/>
  <c r="CM81" i="2" a="1"/>
  <c r="CM81" i="2" s="1"/>
  <c r="CM83" i="2" a="1"/>
  <c r="CM83" i="2" s="1"/>
  <c r="CM80" i="2" a="1"/>
  <c r="CM80" i="2" s="1"/>
  <c r="CM79" i="2" a="1"/>
  <c r="CM79" i="2" s="1"/>
  <c r="CM77" i="2" a="1"/>
  <c r="CM77" i="2" s="1"/>
  <c r="CM76" i="2" a="1"/>
  <c r="CM76" i="2" s="1"/>
  <c r="CM78" i="2" a="1"/>
  <c r="CM78" i="2" s="1"/>
  <c r="CM75" i="2" a="1"/>
  <c r="CM75" i="2" s="1"/>
  <c r="CM72" i="2" a="1"/>
  <c r="CM72" i="2" s="1"/>
  <c r="CM73" i="2" a="1"/>
  <c r="CM73" i="2" s="1"/>
  <c r="CM74" i="2" a="1"/>
  <c r="CM74" i="2" s="1"/>
  <c r="CM71" i="2" a="1"/>
  <c r="CM71" i="2" s="1"/>
  <c r="CM70" i="2" a="1"/>
  <c r="CM70" i="2" s="1"/>
  <c r="CM69" i="2" a="1"/>
  <c r="CM69" i="2" s="1"/>
  <c r="CM68" i="2" a="1"/>
  <c r="CM68" i="2" s="1"/>
  <c r="CM64" i="2" a="1"/>
  <c r="CM64" i="2" s="1"/>
  <c r="CM66" i="2" a="1"/>
  <c r="CM66" i="2" s="1"/>
  <c r="CM67" i="2" a="1"/>
  <c r="CM67" i="2" s="1"/>
  <c r="CM65" i="2" a="1"/>
  <c r="CM65" i="2" s="1"/>
  <c r="CM60" i="2" a="1"/>
  <c r="CM60" i="2" s="1"/>
  <c r="CM63" i="2" a="1"/>
  <c r="CM63" i="2" s="1"/>
  <c r="CM62" i="2" a="1"/>
  <c r="CM62" i="2" s="1"/>
  <c r="CM61" i="2" a="1"/>
  <c r="CM61" i="2" s="1"/>
  <c r="CM58" i="2" a="1"/>
  <c r="CM58" i="2" s="1"/>
  <c r="CM57" i="2" a="1"/>
  <c r="CM57" i="2" s="1"/>
  <c r="CM59" i="2" a="1"/>
  <c r="CM59" i="2" s="1"/>
  <c r="CM56" i="2" a="1"/>
  <c r="CM56" i="2" s="1"/>
  <c r="CM50" i="2" a="1"/>
  <c r="CM50" i="2" s="1"/>
  <c r="CM49" i="2" a="1"/>
  <c r="CM49" i="2" s="1"/>
  <c r="CM53" i="2" a="1"/>
  <c r="CM53" i="2" s="1"/>
  <c r="CM54" i="2" a="1"/>
  <c r="CM54" i="2" s="1"/>
  <c r="CM52" i="2" a="1"/>
  <c r="CM52" i="2" s="1"/>
  <c r="CM48" i="2" a="1"/>
  <c r="CM48" i="2" s="1"/>
  <c r="CM55" i="2" a="1"/>
  <c r="CM55" i="2" s="1"/>
  <c r="CM51" i="2" a="1"/>
  <c r="CM51" i="2" s="1"/>
  <c r="CM44" i="2" a="1"/>
  <c r="CM44" i="2" s="1"/>
  <c r="CM43" i="2" a="1"/>
  <c r="CM43" i="2" s="1"/>
  <c r="CM46" i="2" a="1"/>
  <c r="CM46" i="2" s="1"/>
  <c r="CM42" i="2" a="1"/>
  <c r="CM42" i="2" s="1"/>
  <c r="CM45" i="2" a="1"/>
  <c r="CM45" i="2" s="1"/>
  <c r="CM47" i="2" a="1"/>
  <c r="CM47" i="2" s="1"/>
  <c r="CM41" i="2" a="1"/>
  <c r="CM41" i="2" s="1"/>
  <c r="CM35" i="2" a="1"/>
  <c r="CM35" i="2" s="1"/>
  <c r="CM38" i="2" a="1"/>
  <c r="CM38" i="2" s="1"/>
  <c r="CM40" i="2" a="1"/>
  <c r="CM40" i="2" s="1"/>
  <c r="CM37" i="2" a="1"/>
  <c r="CM37" i="2" s="1"/>
  <c r="CM34" i="2" a="1"/>
  <c r="CM34" i="2" s="1"/>
  <c r="CM36" i="2" a="1"/>
  <c r="CM36" i="2" s="1"/>
  <c r="CM39" i="2" a="1"/>
  <c r="CM39" i="2" s="1"/>
  <c r="CM33" i="2" a="1"/>
  <c r="CM33" i="2" s="1"/>
  <c r="CM32" i="2" a="1"/>
  <c r="CM32" i="2" s="1"/>
  <c r="CM28" i="2" a="1"/>
  <c r="CM28" i="2" s="1"/>
  <c r="CM27" i="2" a="1"/>
  <c r="CM27" i="2" s="1"/>
  <c r="CM26" i="2" a="1"/>
  <c r="CM26" i="2" s="1"/>
  <c r="CM25" i="2" a="1"/>
  <c r="CM25" i="2" s="1"/>
  <c r="CM31" i="2" a="1"/>
  <c r="CM31" i="2" s="1"/>
  <c r="CM30" i="2" a="1"/>
  <c r="CM30" i="2" s="1"/>
  <c r="CM29" i="2" a="1"/>
  <c r="CM29" i="2" s="1"/>
  <c r="CM17" i="2" a="1"/>
  <c r="CM17" i="2" s="1"/>
  <c r="CM16" i="2" a="1"/>
  <c r="CM16" i="2" s="1"/>
  <c r="CM15" i="2" a="1"/>
  <c r="CM15" i="2" s="1"/>
  <c r="CM24" i="2" a="1"/>
  <c r="CM24" i="2" s="1"/>
  <c r="CM23" i="2" a="1"/>
  <c r="CM23" i="2" s="1"/>
  <c r="CM22" i="2" a="1"/>
  <c r="CM22" i="2" s="1"/>
  <c r="CM21" i="2" a="1"/>
  <c r="CM21" i="2" s="1"/>
  <c r="CM20" i="2" a="1"/>
  <c r="CM20" i="2" s="1"/>
  <c r="CM19" i="2" a="1"/>
  <c r="CM19" i="2" s="1"/>
  <c r="CM18" i="2" a="1"/>
  <c r="CM18" i="2" s="1"/>
  <c r="CM12" i="2" a="1"/>
  <c r="CM12" i="2" s="1"/>
  <c r="CM8" i="2" a="1"/>
  <c r="CM8" i="2" s="1"/>
  <c r="CM11" i="2" a="1"/>
  <c r="CM11" i="2" s="1"/>
  <c r="CM10" i="2" a="1"/>
  <c r="CM10" i="2" s="1"/>
  <c r="CM9" i="2" a="1"/>
  <c r="CM9" i="2" s="1"/>
  <c r="CM14" i="2" a="1"/>
  <c r="CM14" i="2" s="1"/>
  <c r="CM13" i="2" a="1"/>
  <c r="CM13" i="2" s="1"/>
  <c r="CM6" i="2" a="1"/>
  <c r="CM6" i="2" s="1"/>
  <c r="CM4" i="2" a="1"/>
  <c r="CM4" i="2" s="1"/>
  <c r="CM7" i="2" a="1"/>
  <c r="CM7" i="2" s="1"/>
  <c r="CM5" i="2" a="1"/>
  <c r="CM5" i="2" s="1"/>
  <c r="CN101" i="2" a="1"/>
  <c r="CN101" i="2" s="1"/>
  <c r="CN100" i="2" a="1"/>
  <c r="CN100" i="2" s="1"/>
  <c r="CN99" i="2" a="1"/>
  <c r="CN99" i="2" s="1"/>
  <c r="CN103" i="2" a="1"/>
  <c r="CN103" i="2" s="1"/>
  <c r="CN102" i="2" a="1"/>
  <c r="CN102" i="2" s="1"/>
  <c r="CN98" i="2" a="1"/>
  <c r="CN98" i="2" s="1"/>
  <c r="CN97" i="2" a="1"/>
  <c r="CN97" i="2" s="1"/>
  <c r="CN96" i="2" a="1"/>
  <c r="CN96" i="2" s="1"/>
  <c r="CN95" i="2" a="1"/>
  <c r="CN95" i="2" s="1"/>
  <c r="CN94" i="2" a="1"/>
  <c r="CN94" i="2" s="1"/>
  <c r="CN93" i="2" a="1"/>
  <c r="CN93" i="2" s="1"/>
  <c r="CN92" i="2" a="1"/>
  <c r="CN92" i="2" s="1"/>
  <c r="CN91" i="2" a="1"/>
  <c r="CN91" i="2" s="1"/>
  <c r="CN89" i="2" a="1"/>
  <c r="CN89" i="2" s="1"/>
  <c r="CN88" i="2" a="1"/>
  <c r="CN88" i="2" s="1"/>
  <c r="CN90" i="2" a="1"/>
  <c r="CN90" i="2" s="1"/>
  <c r="CN85" i="2" a="1"/>
  <c r="CN85" i="2" s="1"/>
  <c r="CN84" i="2" a="1"/>
  <c r="CN84" i="2" s="1"/>
  <c r="CN86" i="2" a="1"/>
  <c r="CN86" i="2" s="1"/>
  <c r="CN87" i="2" a="1"/>
  <c r="CN87" i="2" s="1"/>
  <c r="CN82" i="2" a="1"/>
  <c r="CN82" i="2" s="1"/>
  <c r="CN81" i="2" a="1"/>
  <c r="CN81" i="2" s="1"/>
  <c r="CN83" i="2" a="1"/>
  <c r="CN83" i="2" s="1"/>
  <c r="CN80" i="2" a="1"/>
  <c r="CN80" i="2" s="1"/>
  <c r="CN78" i="2" a="1"/>
  <c r="CN78" i="2" s="1"/>
  <c r="CN79" i="2" a="1"/>
  <c r="CN79" i="2" s="1"/>
  <c r="CN77" i="2" a="1"/>
  <c r="CN77" i="2" s="1"/>
  <c r="CN76" i="2" a="1"/>
  <c r="CN76" i="2" s="1"/>
  <c r="CN75" i="2" a="1"/>
  <c r="CN75" i="2" s="1"/>
  <c r="CN72" i="2" a="1"/>
  <c r="CN72" i="2" s="1"/>
  <c r="CN73" i="2" a="1"/>
  <c r="CN73" i="2" s="1"/>
  <c r="CN74" i="2" a="1"/>
  <c r="CN74" i="2" s="1"/>
  <c r="CN71" i="2" a="1"/>
  <c r="CN71" i="2" s="1"/>
  <c r="CN70" i="2" a="1"/>
  <c r="CN70" i="2" s="1"/>
  <c r="CN69" i="2" a="1"/>
  <c r="CN69" i="2" s="1"/>
  <c r="CN68" i="2" a="1"/>
  <c r="CN68" i="2" s="1"/>
  <c r="CN66" i="2" a="1"/>
  <c r="CN66" i="2" s="1"/>
  <c r="CN67" i="2" a="1"/>
  <c r="CN67" i="2" s="1"/>
  <c r="CN65" i="2" a="1"/>
  <c r="CN65" i="2" s="1"/>
  <c r="CN64" i="2" a="1"/>
  <c r="CN64" i="2" s="1"/>
  <c r="CN63" i="2" a="1"/>
  <c r="CN63" i="2" s="1"/>
  <c r="CN60" i="2" a="1"/>
  <c r="CN60" i="2" s="1"/>
  <c r="CN62" i="2" a="1"/>
  <c r="CN62" i="2" s="1"/>
  <c r="CN61" i="2" a="1"/>
  <c r="CN61" i="2" s="1"/>
  <c r="CN56" i="2" a="1"/>
  <c r="CN56" i="2" s="1"/>
  <c r="CN58" i="2" a="1"/>
  <c r="CN58" i="2" s="1"/>
  <c r="CN57" i="2" a="1"/>
  <c r="CN57" i="2" s="1"/>
  <c r="CN59" i="2" a="1"/>
  <c r="CN59" i="2" s="1"/>
  <c r="CN50" i="2" a="1"/>
  <c r="CN50" i="2" s="1"/>
  <c r="CN49" i="2" a="1"/>
  <c r="CN49" i="2" s="1"/>
  <c r="CN53" i="2" a="1"/>
  <c r="CN53" i="2" s="1"/>
  <c r="CN54" i="2" a="1"/>
  <c r="CN54" i="2" s="1"/>
  <c r="CN52" i="2" a="1"/>
  <c r="CN52" i="2" s="1"/>
  <c r="CN48" i="2" a="1"/>
  <c r="CN48" i="2" s="1"/>
  <c r="CN55" i="2" a="1"/>
  <c r="CN55" i="2" s="1"/>
  <c r="CN51" i="2" a="1"/>
  <c r="CN51" i="2" s="1"/>
  <c r="CN46" i="2" a="1"/>
  <c r="CN46" i="2" s="1"/>
  <c r="CN43" i="2" a="1"/>
  <c r="CN43" i="2" s="1"/>
  <c r="CN42" i="2" a="1"/>
  <c r="CN42" i="2" s="1"/>
  <c r="CN45" i="2" a="1"/>
  <c r="CN45" i="2" s="1"/>
  <c r="CN47" i="2" a="1"/>
  <c r="CN47" i="2" s="1"/>
  <c r="CN41" i="2" a="1"/>
  <c r="CN41" i="2" s="1"/>
  <c r="CN40" i="2" a="1"/>
  <c r="CN40" i="2" s="1"/>
  <c r="CN44" i="2" a="1"/>
  <c r="CN44" i="2" s="1"/>
  <c r="CN38" i="2" a="1"/>
  <c r="CN38" i="2" s="1"/>
  <c r="CN33" i="2" a="1"/>
  <c r="CN33" i="2" s="1"/>
  <c r="CN37" i="2" a="1"/>
  <c r="CN37" i="2" s="1"/>
  <c r="CN34" i="2" a="1"/>
  <c r="CN34" i="2" s="1"/>
  <c r="CN36" i="2" a="1"/>
  <c r="CN36" i="2" s="1"/>
  <c r="CN39" i="2" a="1"/>
  <c r="CN39" i="2" s="1"/>
  <c r="CN35" i="2" a="1"/>
  <c r="CN35" i="2" s="1"/>
  <c r="CN32" i="2" a="1"/>
  <c r="CN32" i="2" s="1"/>
  <c r="CN28" i="2" a="1"/>
  <c r="CN28" i="2" s="1"/>
  <c r="CN27" i="2" a="1"/>
  <c r="CN27" i="2" s="1"/>
  <c r="CN26" i="2" a="1"/>
  <c r="CN26" i="2" s="1"/>
  <c r="CN25" i="2" a="1"/>
  <c r="CN25" i="2" s="1"/>
  <c r="CN31" i="2" a="1"/>
  <c r="CN31" i="2" s="1"/>
  <c r="CN30" i="2" a="1"/>
  <c r="CN30" i="2" s="1"/>
  <c r="CN29" i="2" a="1"/>
  <c r="CN29" i="2" s="1"/>
  <c r="CN16" i="2" a="1"/>
  <c r="CN16" i="2" s="1"/>
  <c r="CN17" i="2" a="1"/>
  <c r="CN17" i="2" s="1"/>
  <c r="CN15" i="2" a="1"/>
  <c r="CN15" i="2" s="1"/>
  <c r="CN24" i="2" a="1"/>
  <c r="CN24" i="2" s="1"/>
  <c r="CN23" i="2" a="1"/>
  <c r="CN23" i="2" s="1"/>
  <c r="CN22" i="2" a="1"/>
  <c r="CN22" i="2" s="1"/>
  <c r="CN21" i="2" a="1"/>
  <c r="CN21" i="2" s="1"/>
  <c r="CN20" i="2" a="1"/>
  <c r="CN20" i="2" s="1"/>
  <c r="CN19" i="2" a="1"/>
  <c r="CN19" i="2" s="1"/>
  <c r="CN18" i="2" a="1"/>
  <c r="CN18" i="2" s="1"/>
  <c r="CN11" i="2" a="1"/>
  <c r="CN11" i="2" s="1"/>
  <c r="CN10" i="2" a="1"/>
  <c r="CN10" i="2" s="1"/>
  <c r="CN9" i="2" a="1"/>
  <c r="CN9" i="2" s="1"/>
  <c r="CN14" i="2" a="1"/>
  <c r="CN14" i="2" s="1"/>
  <c r="CN13" i="2" a="1"/>
  <c r="CN13" i="2" s="1"/>
  <c r="CN12" i="2" a="1"/>
  <c r="CN12" i="2" s="1"/>
  <c r="CN8" i="2" a="1"/>
  <c r="CN8" i="2" s="1"/>
  <c r="CN5" i="2" a="1"/>
  <c r="CN5" i="2" s="1"/>
  <c r="CN6" i="2" a="1"/>
  <c r="CN6" i="2" s="1"/>
  <c r="CN4" i="2" a="1"/>
  <c r="CN4" i="2" s="1"/>
  <c r="CN7" i="2" a="1"/>
  <c r="CN7" i="2" s="1"/>
  <c r="BE100" i="2" a="1"/>
  <c r="BE100" i="2" s="1"/>
  <c r="BE99" i="2" a="1"/>
  <c r="BE99" i="2" s="1"/>
  <c r="BE103" i="2" a="1"/>
  <c r="BE103" i="2" s="1"/>
  <c r="BE102" i="2" a="1"/>
  <c r="BE102" i="2" s="1"/>
  <c r="BE101" i="2" a="1"/>
  <c r="BE101" i="2" s="1"/>
  <c r="BE97" i="2" a="1"/>
  <c r="BE97" i="2" s="1"/>
  <c r="BE98" i="2" a="1"/>
  <c r="BE98" i="2" s="1"/>
  <c r="BE96" i="2" a="1"/>
  <c r="BE96" i="2" s="1"/>
  <c r="BE95" i="2" a="1"/>
  <c r="BE95" i="2" s="1"/>
  <c r="BE94" i="2" a="1"/>
  <c r="BE94" i="2" s="1"/>
  <c r="BE93" i="2" a="1"/>
  <c r="BE93" i="2" s="1"/>
  <c r="BE92" i="2" a="1"/>
  <c r="BE92" i="2" s="1"/>
  <c r="BE89" i="2" a="1"/>
  <c r="BE89" i="2" s="1"/>
  <c r="BE91" i="2" a="1"/>
  <c r="BE91" i="2" s="1"/>
  <c r="BE88" i="2" a="1"/>
  <c r="BE88" i="2" s="1"/>
  <c r="BE90" i="2" a="1"/>
  <c r="BE90" i="2" s="1"/>
  <c r="BE85" i="2" a="1"/>
  <c r="BE85" i="2" s="1"/>
  <c r="BE84" i="2" a="1"/>
  <c r="BE84" i="2" s="1"/>
  <c r="BE87" i="2" a="1"/>
  <c r="BE87" i="2" s="1"/>
  <c r="BE86" i="2" a="1"/>
  <c r="BE86" i="2" s="1"/>
  <c r="BE82" i="2" a="1"/>
  <c r="BE82" i="2" s="1"/>
  <c r="BE83" i="2" a="1"/>
  <c r="BE83" i="2" s="1"/>
  <c r="BE81" i="2" a="1"/>
  <c r="BE81" i="2" s="1"/>
  <c r="BE80" i="2" a="1"/>
  <c r="BE80" i="2" s="1"/>
  <c r="BE77" i="2" a="1"/>
  <c r="BE77" i="2" s="1"/>
  <c r="BE78" i="2" a="1"/>
  <c r="BE78" i="2" s="1"/>
  <c r="BE79" i="2" a="1"/>
  <c r="BE79" i="2" s="1"/>
  <c r="BE75" i="2" a="1"/>
  <c r="BE75" i="2" s="1"/>
  <c r="BE76" i="2" a="1"/>
  <c r="BE76" i="2" s="1"/>
  <c r="BE73" i="2" a="1"/>
  <c r="BE73" i="2" s="1"/>
  <c r="BE74" i="2" a="1"/>
  <c r="BE74" i="2" s="1"/>
  <c r="BE72" i="2" a="1"/>
  <c r="BE72" i="2" s="1"/>
  <c r="BE70" i="2" a="1"/>
  <c r="BE70" i="2" s="1"/>
  <c r="BE69" i="2" a="1"/>
  <c r="BE69" i="2" s="1"/>
  <c r="BE71" i="2" a="1"/>
  <c r="BE71" i="2" s="1"/>
  <c r="BE68" i="2" a="1"/>
  <c r="BE68" i="2" s="1"/>
  <c r="BE67" i="2" a="1"/>
  <c r="BE67" i="2" s="1"/>
  <c r="BE66" i="2" a="1"/>
  <c r="BE66" i="2" s="1"/>
  <c r="BE65" i="2" a="1"/>
  <c r="BE65" i="2" s="1"/>
  <c r="BE64" i="2" a="1"/>
  <c r="BE64" i="2" s="1"/>
  <c r="BE60" i="2" a="1"/>
  <c r="BE60" i="2" s="1"/>
  <c r="BE62" i="2" a="1"/>
  <c r="BE62" i="2" s="1"/>
  <c r="BE61" i="2" a="1"/>
  <c r="BE61" i="2" s="1"/>
  <c r="BE63" i="2" a="1"/>
  <c r="BE63" i="2" s="1"/>
  <c r="BE56" i="2" a="1"/>
  <c r="BE56" i="2" s="1"/>
  <c r="BE58" i="2" a="1"/>
  <c r="BE58" i="2" s="1"/>
  <c r="BE59" i="2" a="1"/>
  <c r="BE59" i="2" s="1"/>
  <c r="BE57" i="2" a="1"/>
  <c r="BE57" i="2" s="1"/>
  <c r="BE54" i="2" a="1"/>
  <c r="BE54" i="2" s="1"/>
  <c r="BE53" i="2" a="1"/>
  <c r="BE53" i="2" s="1"/>
  <c r="BE52" i="2" a="1"/>
  <c r="BE52" i="2" s="1"/>
  <c r="BE51" i="2" a="1"/>
  <c r="BE51" i="2" s="1"/>
  <c r="BE50" i="2" a="1"/>
  <c r="BE50" i="2" s="1"/>
  <c r="BE55" i="2" a="1"/>
  <c r="BE55" i="2" s="1"/>
  <c r="BE49" i="2" a="1"/>
  <c r="BE49" i="2" s="1"/>
  <c r="BE46" i="2" a="1"/>
  <c r="BE46" i="2" s="1"/>
  <c r="BE45" i="2" a="1"/>
  <c r="BE45" i="2" s="1"/>
  <c r="BE40" i="2" a="1"/>
  <c r="BE40" i="2" s="1"/>
  <c r="BE41" i="2" a="1"/>
  <c r="BE41" i="2" s="1"/>
  <c r="BE47" i="2" a="1"/>
  <c r="BE47" i="2" s="1"/>
  <c r="BE48" i="2" a="1"/>
  <c r="BE48" i="2" s="1"/>
  <c r="BE44" i="2" a="1"/>
  <c r="BE44" i="2" s="1"/>
  <c r="BE42" i="2" a="1"/>
  <c r="BE42" i="2" s="1"/>
  <c r="BE43" i="2" a="1"/>
  <c r="BE43" i="2" s="1"/>
  <c r="BE39" i="2" a="1"/>
  <c r="BE39" i="2" s="1"/>
  <c r="BE35" i="2" a="1"/>
  <c r="BE35" i="2" s="1"/>
  <c r="BE38" i="2" a="1"/>
  <c r="BE38" i="2" s="1"/>
  <c r="BE37" i="2" a="1"/>
  <c r="BE37" i="2" s="1"/>
  <c r="BE34" i="2" a="1"/>
  <c r="BE34" i="2" s="1"/>
  <c r="BE36" i="2" a="1"/>
  <c r="BE36" i="2" s="1"/>
  <c r="BE28" i="2" a="1"/>
  <c r="BE28" i="2" s="1"/>
  <c r="BE33" i="2" a="1"/>
  <c r="BE33" i="2" s="1"/>
  <c r="BE27" i="2" a="1"/>
  <c r="BE27" i="2" s="1"/>
  <c r="BE26" i="2" a="1"/>
  <c r="BE26" i="2" s="1"/>
  <c r="BE31" i="2" a="1"/>
  <c r="BE31" i="2" s="1"/>
  <c r="BE30" i="2" a="1"/>
  <c r="BE30" i="2" s="1"/>
  <c r="BE32" i="2" a="1"/>
  <c r="BE32" i="2" s="1"/>
  <c r="BE29" i="2" a="1"/>
  <c r="BE29" i="2" s="1"/>
  <c r="BE17" i="2" a="1"/>
  <c r="BE17" i="2" s="1"/>
  <c r="BE16" i="2" a="1"/>
  <c r="BE16" i="2" s="1"/>
  <c r="BE24" i="2" a="1"/>
  <c r="BE24" i="2" s="1"/>
  <c r="BE23" i="2" a="1"/>
  <c r="BE23" i="2" s="1"/>
  <c r="BE22" i="2" a="1"/>
  <c r="BE22" i="2" s="1"/>
  <c r="BE21" i="2" a="1"/>
  <c r="BE21" i="2" s="1"/>
  <c r="BE20" i="2" a="1"/>
  <c r="BE20" i="2" s="1"/>
  <c r="BE19" i="2" a="1"/>
  <c r="BE19" i="2" s="1"/>
  <c r="BE25" i="2" a="1"/>
  <c r="BE25" i="2" s="1"/>
  <c r="BE15" i="2" a="1"/>
  <c r="BE15" i="2" s="1"/>
  <c r="BE18" i="2" a="1"/>
  <c r="BE18" i="2" s="1"/>
  <c r="BE12" i="2" a="1"/>
  <c r="BE12" i="2" s="1"/>
  <c r="BE11" i="2" a="1"/>
  <c r="BE11" i="2" s="1"/>
  <c r="BE10" i="2" a="1"/>
  <c r="BE10" i="2" s="1"/>
  <c r="BE14" i="2" a="1"/>
  <c r="BE14" i="2" s="1"/>
  <c r="BE9" i="2" a="1"/>
  <c r="BE9" i="2" s="1"/>
  <c r="BE13" i="2" a="1"/>
  <c r="BE13" i="2" s="1"/>
  <c r="BE8" i="2" a="1"/>
  <c r="BE8" i="2" s="1"/>
  <c r="BE5" i="2" a="1"/>
  <c r="BE5" i="2" s="1"/>
  <c r="BE6" i="2" a="1"/>
  <c r="BE6" i="2" s="1"/>
  <c r="BE4" i="2" a="1"/>
  <c r="BE4" i="2" s="1"/>
  <c r="BE7" i="2" a="1"/>
  <c r="BE7" i="2" s="1"/>
  <c r="AU100" i="2" a="1"/>
  <c r="AU100" i="2" s="1"/>
  <c r="AU103" i="2" a="1"/>
  <c r="AU103" i="2" s="1"/>
  <c r="AU102" i="2" a="1"/>
  <c r="AU102" i="2" s="1"/>
  <c r="AU101" i="2" a="1"/>
  <c r="AU101" i="2" s="1"/>
  <c r="AU99" i="2" a="1"/>
  <c r="AU99" i="2" s="1"/>
  <c r="AU96" i="2" a="1"/>
  <c r="AU96" i="2" s="1"/>
  <c r="AU95" i="2" a="1"/>
  <c r="AU95" i="2" s="1"/>
  <c r="AU98" i="2" a="1"/>
  <c r="AU98" i="2" s="1"/>
  <c r="AU97" i="2" a="1"/>
  <c r="AU97" i="2" s="1"/>
  <c r="AU92" i="2" a="1"/>
  <c r="AU92" i="2" s="1"/>
  <c r="AU94" i="2" a="1"/>
  <c r="AU94" i="2" s="1"/>
  <c r="AU93" i="2" a="1"/>
  <c r="AU93" i="2" s="1"/>
  <c r="AU90" i="2" a="1"/>
  <c r="AU90" i="2" s="1"/>
  <c r="AU89" i="2" a="1"/>
  <c r="AU89" i="2" s="1"/>
  <c r="AU91" i="2" a="1"/>
  <c r="AU91" i="2" s="1"/>
  <c r="AU88" i="2" a="1"/>
  <c r="AU88" i="2" s="1"/>
  <c r="AU85" i="2" a="1"/>
  <c r="AU85" i="2" s="1"/>
  <c r="AU84" i="2" a="1"/>
  <c r="AU84" i="2" s="1"/>
  <c r="AU87" i="2" a="1"/>
  <c r="AU87" i="2" s="1"/>
  <c r="AU86" i="2" a="1"/>
  <c r="AU86" i="2" s="1"/>
  <c r="AU82" i="2" a="1"/>
  <c r="AU82" i="2" s="1"/>
  <c r="AU83" i="2" a="1"/>
  <c r="AU83" i="2" s="1"/>
  <c r="AU81" i="2" a="1"/>
  <c r="AU81" i="2" s="1"/>
  <c r="AU80" i="2" a="1"/>
  <c r="AU80" i="2" s="1"/>
  <c r="AU79" i="2" a="1"/>
  <c r="AU79" i="2" s="1"/>
  <c r="AU77" i="2" a="1"/>
  <c r="AU77" i="2" s="1"/>
  <c r="AU78" i="2" a="1"/>
  <c r="AU78" i="2" s="1"/>
  <c r="AU75" i="2" a="1"/>
  <c r="AU75" i="2" s="1"/>
  <c r="AU76" i="2" a="1"/>
  <c r="AU76" i="2" s="1"/>
  <c r="AU74" i="2" a="1"/>
  <c r="AU74" i="2" s="1"/>
  <c r="AU73" i="2" a="1"/>
  <c r="AU73" i="2" s="1"/>
  <c r="AU72" i="2" a="1"/>
  <c r="AU72" i="2" s="1"/>
  <c r="AU70" i="2" a="1"/>
  <c r="AU70" i="2" s="1"/>
  <c r="AU69" i="2" a="1"/>
  <c r="AU69" i="2" s="1"/>
  <c r="AU68" i="2" a="1"/>
  <c r="AU68" i="2" s="1"/>
  <c r="AU71" i="2" a="1"/>
  <c r="AU71" i="2" s="1"/>
  <c r="AU67" i="2" a="1"/>
  <c r="AU67" i="2" s="1"/>
  <c r="AU66" i="2" a="1"/>
  <c r="AU66" i="2" s="1"/>
  <c r="AU65" i="2" a="1"/>
  <c r="AU65" i="2" s="1"/>
  <c r="AU64" i="2" a="1"/>
  <c r="AU64" i="2" s="1"/>
  <c r="AU60" i="2" a="1"/>
  <c r="AU60" i="2" s="1"/>
  <c r="AU62" i="2" a="1"/>
  <c r="AU62" i="2" s="1"/>
  <c r="AU61" i="2" a="1"/>
  <c r="AU61" i="2" s="1"/>
  <c r="AU63" i="2" a="1"/>
  <c r="AU63" i="2" s="1"/>
  <c r="AU57" i="2" a="1"/>
  <c r="AU57" i="2" s="1"/>
  <c r="AU58" i="2" a="1"/>
  <c r="AU58" i="2" s="1"/>
  <c r="AU59" i="2" a="1"/>
  <c r="AU59" i="2" s="1"/>
  <c r="AU56" i="2" a="1"/>
  <c r="AU56" i="2" s="1"/>
  <c r="AU54" i="2" a="1"/>
  <c r="AU54" i="2" s="1"/>
  <c r="AU53" i="2" a="1"/>
  <c r="AU53" i="2" s="1"/>
  <c r="AU52" i="2" a="1"/>
  <c r="AU52" i="2" s="1"/>
  <c r="AU51" i="2" a="1"/>
  <c r="AU51" i="2" s="1"/>
  <c r="AU50" i="2" a="1"/>
  <c r="AU50" i="2" s="1"/>
  <c r="AU55" i="2" a="1"/>
  <c r="AU55" i="2" s="1"/>
  <c r="AU49" i="2" a="1"/>
  <c r="AU49" i="2" s="1"/>
  <c r="AU43" i="2" a="1"/>
  <c r="AU43" i="2" s="1"/>
  <c r="AU46" i="2" a="1"/>
  <c r="AU46" i="2" s="1"/>
  <c r="AU45" i="2" a="1"/>
  <c r="AU45" i="2" s="1"/>
  <c r="AU41" i="2" a="1"/>
  <c r="AU41" i="2" s="1"/>
  <c r="AU40" i="2" a="1"/>
  <c r="AU40" i="2" s="1"/>
  <c r="AU47" i="2" a="1"/>
  <c r="AU47" i="2" s="1"/>
  <c r="AU48" i="2" a="1"/>
  <c r="AU48" i="2" s="1"/>
  <c r="AU44" i="2" a="1"/>
  <c r="AU44" i="2" s="1"/>
  <c r="AU42" i="2" a="1"/>
  <c r="AU42" i="2" s="1"/>
  <c r="AU36" i="2" a="1"/>
  <c r="AU36" i="2" s="1"/>
  <c r="AU39" i="2" a="1"/>
  <c r="AU39" i="2" s="1"/>
  <c r="AU35" i="2" a="1"/>
  <c r="AU35" i="2" s="1"/>
  <c r="AU38" i="2" a="1"/>
  <c r="AU38" i="2" s="1"/>
  <c r="AU37" i="2" a="1"/>
  <c r="AU37" i="2" s="1"/>
  <c r="AU34" i="2" a="1"/>
  <c r="AU34" i="2" s="1"/>
  <c r="AU29" i="2" a="1"/>
  <c r="AU29" i="2" s="1"/>
  <c r="AU28" i="2" a="1"/>
  <c r="AU28" i="2" s="1"/>
  <c r="AU26" i="2" a="1"/>
  <c r="AU26" i="2" s="1"/>
  <c r="AU27" i="2" a="1"/>
  <c r="AU27" i="2" s="1"/>
  <c r="AU30" i="2" a="1"/>
  <c r="AU30" i="2" s="1"/>
  <c r="AU31" i="2" a="1"/>
  <c r="AU31" i="2" s="1"/>
  <c r="AU33" i="2" a="1"/>
  <c r="AU33" i="2" s="1"/>
  <c r="AU32" i="2" a="1"/>
  <c r="AU32" i="2" s="1"/>
  <c r="AU17" i="2" a="1"/>
  <c r="AU17" i="2" s="1"/>
  <c r="AU25" i="2" a="1"/>
  <c r="AU25" i="2" s="1"/>
  <c r="AU24" i="2" a="1"/>
  <c r="AU24" i="2" s="1"/>
  <c r="AU23" i="2" a="1"/>
  <c r="AU23" i="2" s="1"/>
  <c r="AU22" i="2" a="1"/>
  <c r="AU22" i="2" s="1"/>
  <c r="AU21" i="2" a="1"/>
  <c r="AU21" i="2" s="1"/>
  <c r="AU20" i="2" a="1"/>
  <c r="AU20" i="2" s="1"/>
  <c r="AU19" i="2" a="1"/>
  <c r="AU19" i="2" s="1"/>
  <c r="AU16" i="2" a="1"/>
  <c r="AU16" i="2" s="1"/>
  <c r="AU18" i="2" a="1"/>
  <c r="AU18" i="2" s="1"/>
  <c r="AU15" i="2" a="1"/>
  <c r="AU15" i="2" s="1"/>
  <c r="AU13" i="2" a="1"/>
  <c r="AU13" i="2" s="1"/>
  <c r="AU12" i="2" a="1"/>
  <c r="AU12" i="2" s="1"/>
  <c r="AU8" i="2" a="1"/>
  <c r="AU8" i="2" s="1"/>
  <c r="AU11" i="2" a="1"/>
  <c r="AU11" i="2" s="1"/>
  <c r="AU10" i="2" a="1"/>
  <c r="AU10" i="2" s="1"/>
  <c r="AU14" i="2" a="1"/>
  <c r="AU14" i="2" s="1"/>
  <c r="AU9" i="2" a="1"/>
  <c r="AU9" i="2" s="1"/>
  <c r="AU7" i="2" a="1"/>
  <c r="AU7" i="2" s="1"/>
  <c r="AU4" i="2" a="1"/>
  <c r="AU4" i="2" s="1"/>
  <c r="AU5" i="2" a="1"/>
  <c r="AU5" i="2" s="1"/>
  <c r="AU6" i="2" a="1"/>
  <c r="AU6" i="2" s="1"/>
  <c r="BT99" i="2" a="1"/>
  <c r="BT99" i="2" s="1"/>
  <c r="BT103" i="2" a="1"/>
  <c r="BT103" i="2" s="1"/>
  <c r="BT102" i="2" a="1"/>
  <c r="BT102" i="2" s="1"/>
  <c r="BT101" i="2" a="1"/>
  <c r="BT101" i="2" s="1"/>
  <c r="BT100" i="2" a="1"/>
  <c r="BT100" i="2" s="1"/>
  <c r="BT97" i="2" a="1"/>
  <c r="BT97" i="2" s="1"/>
  <c r="BT96" i="2" a="1"/>
  <c r="BT96" i="2" s="1"/>
  <c r="BT95" i="2" a="1"/>
  <c r="BT95" i="2" s="1"/>
  <c r="BT98" i="2" a="1"/>
  <c r="BT98" i="2" s="1"/>
  <c r="BT92" i="2" a="1"/>
  <c r="BT92" i="2" s="1"/>
  <c r="BT94" i="2" a="1"/>
  <c r="BT94" i="2" s="1"/>
  <c r="BT93" i="2" a="1"/>
  <c r="BT93" i="2" s="1"/>
  <c r="BT90" i="2" a="1"/>
  <c r="BT90" i="2" s="1"/>
  <c r="BT89" i="2" a="1"/>
  <c r="BT89" i="2" s="1"/>
  <c r="BT91" i="2" a="1"/>
  <c r="BT91" i="2" s="1"/>
  <c r="BT88" i="2" a="1"/>
  <c r="BT88" i="2" s="1"/>
  <c r="BT85" i="2" a="1"/>
  <c r="BT85" i="2" s="1"/>
  <c r="BT84" i="2" a="1"/>
  <c r="BT84" i="2" s="1"/>
  <c r="BT86" i="2" a="1"/>
  <c r="BT86" i="2" s="1"/>
  <c r="BT87" i="2" a="1"/>
  <c r="BT87" i="2" s="1"/>
  <c r="BT81" i="2" a="1"/>
  <c r="BT81" i="2" s="1"/>
  <c r="BT82" i="2" a="1"/>
  <c r="BT82" i="2" s="1"/>
  <c r="BT83" i="2" a="1"/>
  <c r="BT83" i="2" s="1"/>
  <c r="BT80" i="2" a="1"/>
  <c r="BT80" i="2" s="1"/>
  <c r="BT79" i="2" a="1"/>
  <c r="BT79" i="2" s="1"/>
  <c r="BT78" i="2" a="1"/>
  <c r="BT78" i="2" s="1"/>
  <c r="BT76" i="2" a="1"/>
  <c r="BT76" i="2" s="1"/>
  <c r="BT77" i="2" a="1"/>
  <c r="BT77" i="2" s="1"/>
  <c r="BT75" i="2" a="1"/>
  <c r="BT75" i="2" s="1"/>
  <c r="BT73" i="2" a="1"/>
  <c r="BT73" i="2" s="1"/>
  <c r="BT74" i="2" a="1"/>
  <c r="BT74" i="2" s="1"/>
  <c r="BT72" i="2" a="1"/>
  <c r="BT72" i="2" s="1"/>
  <c r="BT71" i="2" a="1"/>
  <c r="BT71" i="2" s="1"/>
  <c r="BT70" i="2" a="1"/>
  <c r="BT70" i="2" s="1"/>
  <c r="BT69" i="2" a="1"/>
  <c r="BT69" i="2" s="1"/>
  <c r="BT68" i="2" a="1"/>
  <c r="BT68" i="2" s="1"/>
  <c r="BT64" i="2" a="1"/>
  <c r="BT64" i="2" s="1"/>
  <c r="BT66" i="2" a="1"/>
  <c r="BT66" i="2" s="1"/>
  <c r="BT67" i="2" a="1"/>
  <c r="BT67" i="2" s="1"/>
  <c r="BT65" i="2" a="1"/>
  <c r="BT65" i="2" s="1"/>
  <c r="BT63" i="2" a="1"/>
  <c r="BT63" i="2" s="1"/>
  <c r="BT61" i="2" a="1"/>
  <c r="BT61" i="2" s="1"/>
  <c r="BT60" i="2" a="1"/>
  <c r="BT60" i="2" s="1"/>
  <c r="BT59" i="2" a="1"/>
  <c r="BT59" i="2" s="1"/>
  <c r="BT62" i="2" a="1"/>
  <c r="BT62" i="2" s="1"/>
  <c r="BT57" i="2" a="1"/>
  <c r="BT57" i="2" s="1"/>
  <c r="BT58" i="2" a="1"/>
  <c r="BT58" i="2" s="1"/>
  <c r="BT55" i="2" a="1"/>
  <c r="BT55" i="2" s="1"/>
  <c r="BT50" i="2" a="1"/>
  <c r="BT50" i="2" s="1"/>
  <c r="BT49" i="2" a="1"/>
  <c r="BT49" i="2" s="1"/>
  <c r="BT54" i="2" a="1"/>
  <c r="BT54" i="2" s="1"/>
  <c r="BT53" i="2" a="1"/>
  <c r="BT53" i="2" s="1"/>
  <c r="BT52" i="2" a="1"/>
  <c r="BT52" i="2" s="1"/>
  <c r="BT56" i="2" a="1"/>
  <c r="BT56" i="2" s="1"/>
  <c r="BT51" i="2" a="1"/>
  <c r="BT51" i="2" s="1"/>
  <c r="BT44" i="2" a="1"/>
  <c r="BT44" i="2" s="1"/>
  <c r="BT43" i="2" a="1"/>
  <c r="BT43" i="2" s="1"/>
  <c r="BT42" i="2" a="1"/>
  <c r="BT42" i="2" s="1"/>
  <c r="BT46" i="2" a="1"/>
  <c r="BT46" i="2" s="1"/>
  <c r="BT45" i="2" a="1"/>
  <c r="BT45" i="2" s="1"/>
  <c r="BT48" i="2" a="1"/>
  <c r="BT48" i="2" s="1"/>
  <c r="BT41" i="2" a="1"/>
  <c r="BT41" i="2" s="1"/>
  <c r="BT47" i="2" a="1"/>
  <c r="BT47" i="2" s="1"/>
  <c r="BT36" i="2" a="1"/>
  <c r="BT36" i="2" s="1"/>
  <c r="BT39" i="2" a="1"/>
  <c r="BT39" i="2" s="1"/>
  <c r="BT40" i="2" a="1"/>
  <c r="BT40" i="2" s="1"/>
  <c r="BT35" i="2" a="1"/>
  <c r="BT35" i="2" s="1"/>
  <c r="BT33" i="2" a="1"/>
  <c r="BT33" i="2" s="1"/>
  <c r="BT38" i="2" a="1"/>
  <c r="BT38" i="2" s="1"/>
  <c r="BT37" i="2" a="1"/>
  <c r="BT37" i="2" s="1"/>
  <c r="BT34" i="2" a="1"/>
  <c r="BT34" i="2" s="1"/>
  <c r="BT31" i="2" a="1"/>
  <c r="BT31" i="2" s="1"/>
  <c r="BT26" i="2" a="1"/>
  <c r="BT26" i="2" s="1"/>
  <c r="BT29" i="2" a="1"/>
  <c r="BT29" i="2" s="1"/>
  <c r="BT25" i="2" a="1"/>
  <c r="BT25" i="2" s="1"/>
  <c r="BT32" i="2" a="1"/>
  <c r="BT32" i="2" s="1"/>
  <c r="BT28" i="2" a="1"/>
  <c r="BT28" i="2" s="1"/>
  <c r="BT27" i="2" a="1"/>
  <c r="BT27" i="2" s="1"/>
  <c r="BT30" i="2" a="1"/>
  <c r="BT30" i="2" s="1"/>
  <c r="BT24" i="2" a="1"/>
  <c r="BT24" i="2" s="1"/>
  <c r="BT23" i="2" a="1"/>
  <c r="BT23" i="2" s="1"/>
  <c r="BT22" i="2" a="1"/>
  <c r="BT22" i="2" s="1"/>
  <c r="BT21" i="2" a="1"/>
  <c r="BT21" i="2" s="1"/>
  <c r="BT20" i="2" a="1"/>
  <c r="BT20" i="2" s="1"/>
  <c r="BT19" i="2" a="1"/>
  <c r="BT19" i="2" s="1"/>
  <c r="BT18" i="2" a="1"/>
  <c r="BT18" i="2" s="1"/>
  <c r="BT16" i="2" a="1"/>
  <c r="BT16" i="2" s="1"/>
  <c r="BT17" i="2" a="1"/>
  <c r="BT17" i="2" s="1"/>
  <c r="BT13" i="2" a="1"/>
  <c r="BT13" i="2" s="1"/>
  <c r="BT8" i="2" a="1"/>
  <c r="BT8" i="2" s="1"/>
  <c r="BT12" i="2" a="1"/>
  <c r="BT12" i="2" s="1"/>
  <c r="BT10" i="2" a="1"/>
  <c r="BT10" i="2" s="1"/>
  <c r="BT15" i="2" a="1"/>
  <c r="BT15" i="2" s="1"/>
  <c r="BT11" i="2" a="1"/>
  <c r="BT11" i="2" s="1"/>
  <c r="BT9" i="2" a="1"/>
  <c r="BT9" i="2" s="1"/>
  <c r="BT14" i="2" a="1"/>
  <c r="BT14" i="2" s="1"/>
  <c r="BT7" i="2" a="1"/>
  <c r="BT7" i="2" s="1"/>
  <c r="BT4" i="2" a="1"/>
  <c r="BT4" i="2" s="1"/>
  <c r="BT5" i="2" a="1"/>
  <c r="BT5" i="2" s="1"/>
  <c r="BT6" i="2" a="1"/>
  <c r="BT6" i="2" s="1"/>
  <c r="CF100" i="2" a="1"/>
  <c r="CF100" i="2" s="1"/>
  <c r="CF103" i="2" a="1"/>
  <c r="CF103" i="2" s="1"/>
  <c r="CF102" i="2" a="1"/>
  <c r="CF102" i="2" s="1"/>
  <c r="CF101" i="2" a="1"/>
  <c r="CF101" i="2" s="1"/>
  <c r="CF99" i="2" a="1"/>
  <c r="CF99" i="2" s="1"/>
  <c r="CF98" i="2" a="1"/>
  <c r="CF98" i="2" s="1"/>
  <c r="CF97" i="2" a="1"/>
  <c r="CF97" i="2" s="1"/>
  <c r="CF96" i="2" a="1"/>
  <c r="CF96" i="2" s="1"/>
  <c r="CF94" i="2" a="1"/>
  <c r="CF94" i="2" s="1"/>
  <c r="CF95" i="2" a="1"/>
  <c r="CF95" i="2" s="1"/>
  <c r="CF93" i="2" a="1"/>
  <c r="CF93" i="2" s="1"/>
  <c r="CF92" i="2" a="1"/>
  <c r="CF92" i="2" s="1"/>
  <c r="CF91" i="2" a="1"/>
  <c r="CF91" i="2" s="1"/>
  <c r="CF89" i="2" a="1"/>
  <c r="CF89" i="2" s="1"/>
  <c r="CF88" i="2" a="1"/>
  <c r="CF88" i="2" s="1"/>
  <c r="CF90" i="2" a="1"/>
  <c r="CF90" i="2" s="1"/>
  <c r="CF85" i="2" a="1"/>
  <c r="CF85" i="2" s="1"/>
  <c r="CF84" i="2" a="1"/>
  <c r="CF84" i="2" s="1"/>
  <c r="CF86" i="2" a="1"/>
  <c r="CF86" i="2" s="1"/>
  <c r="CF87" i="2" a="1"/>
  <c r="CF87" i="2" s="1"/>
  <c r="CF82" i="2" a="1"/>
  <c r="CF82" i="2" s="1"/>
  <c r="CF83" i="2" a="1"/>
  <c r="CF83" i="2" s="1"/>
  <c r="CF81" i="2" a="1"/>
  <c r="CF81" i="2" s="1"/>
  <c r="CF80" i="2" a="1"/>
  <c r="CF80" i="2" s="1"/>
  <c r="CF76" i="2" a="1"/>
  <c r="CF76" i="2" s="1"/>
  <c r="CF79" i="2" a="1"/>
  <c r="CF79" i="2" s="1"/>
  <c r="CF78" i="2" a="1"/>
  <c r="CF78" i="2" s="1"/>
  <c r="CF77" i="2" a="1"/>
  <c r="CF77" i="2" s="1"/>
  <c r="CF75" i="2" a="1"/>
  <c r="CF75" i="2" s="1"/>
  <c r="CF73" i="2" a="1"/>
  <c r="CF73" i="2" s="1"/>
  <c r="CF72" i="2" a="1"/>
  <c r="CF72" i="2" s="1"/>
  <c r="CF74" i="2" a="1"/>
  <c r="CF74" i="2" s="1"/>
  <c r="CF70" i="2" a="1"/>
  <c r="CF70" i="2" s="1"/>
  <c r="CF69" i="2" a="1"/>
  <c r="CF69" i="2" s="1"/>
  <c r="CF68" i="2" a="1"/>
  <c r="CF68" i="2" s="1"/>
  <c r="CF71" i="2" a="1"/>
  <c r="CF71" i="2" s="1"/>
  <c r="CF66" i="2" a="1"/>
  <c r="CF66" i="2" s="1"/>
  <c r="CF67" i="2" a="1"/>
  <c r="CF67" i="2" s="1"/>
  <c r="CF65" i="2" a="1"/>
  <c r="CF65" i="2" s="1"/>
  <c r="CF64" i="2" a="1"/>
  <c r="CF64" i="2" s="1"/>
  <c r="CF59" i="2" a="1"/>
  <c r="CF59" i="2" s="1"/>
  <c r="CF62" i="2" a="1"/>
  <c r="CF62" i="2" s="1"/>
  <c r="CF61" i="2" a="1"/>
  <c r="CF61" i="2" s="1"/>
  <c r="CF60" i="2" a="1"/>
  <c r="CF60" i="2" s="1"/>
  <c r="CF63" i="2" a="1"/>
  <c r="CF63" i="2" s="1"/>
  <c r="CF57" i="2" a="1"/>
  <c r="CF57" i="2" s="1"/>
  <c r="CF56" i="2" a="1"/>
  <c r="CF56" i="2" s="1"/>
  <c r="CF58" i="2" a="1"/>
  <c r="CF58" i="2" s="1"/>
  <c r="CF49" i="2" a="1"/>
  <c r="CF49" i="2" s="1"/>
  <c r="CF54" i="2" a="1"/>
  <c r="CF54" i="2" s="1"/>
  <c r="CF52" i="2" a="1"/>
  <c r="CF52" i="2" s="1"/>
  <c r="CF48" i="2" a="1"/>
  <c r="CF48" i="2" s="1"/>
  <c r="CF53" i="2" a="1"/>
  <c r="CF53" i="2" s="1"/>
  <c r="CF55" i="2" a="1"/>
  <c r="CF55" i="2" s="1"/>
  <c r="CF51" i="2" a="1"/>
  <c r="CF51" i="2" s="1"/>
  <c r="CF50" i="2" a="1"/>
  <c r="CF50" i="2" s="1"/>
  <c r="CF43" i="2" a="1"/>
  <c r="CF43" i="2" s="1"/>
  <c r="CF42" i="2" a="1"/>
  <c r="CF42" i="2" s="1"/>
  <c r="CF46" i="2" a="1"/>
  <c r="CF46" i="2" s="1"/>
  <c r="CF45" i="2" a="1"/>
  <c r="CF45" i="2" s="1"/>
  <c r="CF41" i="2" a="1"/>
  <c r="CF41" i="2" s="1"/>
  <c r="CF47" i="2" a="1"/>
  <c r="CF47" i="2" s="1"/>
  <c r="CF44" i="2" a="1"/>
  <c r="CF44" i="2" s="1"/>
  <c r="CF38" i="2" a="1"/>
  <c r="CF38" i="2" s="1"/>
  <c r="CF37" i="2" a="1"/>
  <c r="CF37" i="2" s="1"/>
  <c r="CF40" i="2" a="1"/>
  <c r="CF40" i="2" s="1"/>
  <c r="CF34" i="2" a="1"/>
  <c r="CF34" i="2" s="1"/>
  <c r="CF36" i="2" a="1"/>
  <c r="CF36" i="2" s="1"/>
  <c r="CF39" i="2" a="1"/>
  <c r="CF39" i="2" s="1"/>
  <c r="CF35" i="2" a="1"/>
  <c r="CF35" i="2" s="1"/>
  <c r="CF32" i="2" a="1"/>
  <c r="CF32" i="2" s="1"/>
  <c r="CF28" i="2" a="1"/>
  <c r="CF28" i="2" s="1"/>
  <c r="CF27" i="2" a="1"/>
  <c r="CF27" i="2" s="1"/>
  <c r="CF25" i="2" a="1"/>
  <c r="CF25" i="2" s="1"/>
  <c r="CF33" i="2" a="1"/>
  <c r="CF33" i="2" s="1"/>
  <c r="CF26" i="2" a="1"/>
  <c r="CF26" i="2" s="1"/>
  <c r="CF31" i="2" a="1"/>
  <c r="CF31" i="2" s="1"/>
  <c r="CF30" i="2" a="1"/>
  <c r="CF30" i="2" s="1"/>
  <c r="CF29" i="2" a="1"/>
  <c r="CF29" i="2" s="1"/>
  <c r="CF24" i="2" a="1"/>
  <c r="CF24" i="2" s="1"/>
  <c r="CF23" i="2" a="1"/>
  <c r="CF23" i="2" s="1"/>
  <c r="CF22" i="2" a="1"/>
  <c r="CF22" i="2" s="1"/>
  <c r="CF21" i="2" a="1"/>
  <c r="CF21" i="2" s="1"/>
  <c r="CF20" i="2" a="1"/>
  <c r="CF20" i="2" s="1"/>
  <c r="CF19" i="2" a="1"/>
  <c r="CF19" i="2" s="1"/>
  <c r="CF18" i="2" a="1"/>
  <c r="CF18" i="2" s="1"/>
  <c r="CF16" i="2" a="1"/>
  <c r="CF16" i="2" s="1"/>
  <c r="CF17" i="2" a="1"/>
  <c r="CF17" i="2" s="1"/>
  <c r="CF10" i="2" a="1"/>
  <c r="CF10" i="2" s="1"/>
  <c r="CF11" i="2" a="1"/>
  <c r="CF11" i="2" s="1"/>
  <c r="CF9" i="2" a="1"/>
  <c r="CF9" i="2" s="1"/>
  <c r="CF14" i="2" a="1"/>
  <c r="CF14" i="2" s="1"/>
  <c r="CF13" i="2" a="1"/>
  <c r="CF13" i="2" s="1"/>
  <c r="CF8" i="2" a="1"/>
  <c r="CF8" i="2" s="1"/>
  <c r="CF15" i="2" a="1"/>
  <c r="CF15" i="2" s="1"/>
  <c r="CF12" i="2" a="1"/>
  <c r="CF12" i="2" s="1"/>
  <c r="CF5" i="2" a="1"/>
  <c r="CF5" i="2" s="1"/>
  <c r="CF7" i="2" a="1"/>
  <c r="CF7" i="2" s="1"/>
  <c r="CF6" i="2" a="1"/>
  <c r="CF6" i="2" s="1"/>
  <c r="CF4" i="2" a="1"/>
  <c r="CF4" i="2" s="1"/>
  <c r="BP101" i="2" a="1"/>
  <c r="BP101" i="2" s="1"/>
  <c r="BP100" i="2" a="1"/>
  <c r="BP100" i="2" s="1"/>
  <c r="BP99" i="2" a="1"/>
  <c r="BP99" i="2" s="1"/>
  <c r="BP103" i="2" a="1"/>
  <c r="BP103" i="2" s="1"/>
  <c r="BP102" i="2" a="1"/>
  <c r="BP102" i="2" s="1"/>
  <c r="BP98" i="2" a="1"/>
  <c r="BP98" i="2" s="1"/>
  <c r="BP97" i="2" a="1"/>
  <c r="BP97" i="2" s="1"/>
  <c r="BP96" i="2" a="1"/>
  <c r="BP96" i="2" s="1"/>
  <c r="BP94" i="2" a="1"/>
  <c r="BP94" i="2" s="1"/>
  <c r="BP95" i="2" a="1"/>
  <c r="BP95" i="2" s="1"/>
  <c r="BP93" i="2" a="1"/>
  <c r="BP93" i="2" s="1"/>
  <c r="BP92" i="2" a="1"/>
  <c r="BP92" i="2" s="1"/>
  <c r="BP90" i="2" a="1"/>
  <c r="BP90" i="2" s="1"/>
  <c r="BP89" i="2" a="1"/>
  <c r="BP89" i="2" s="1"/>
  <c r="BP91" i="2" a="1"/>
  <c r="BP91" i="2" s="1"/>
  <c r="BP88" i="2" a="1"/>
  <c r="BP88" i="2" s="1"/>
  <c r="BP86" i="2" a="1"/>
  <c r="BP86" i="2" s="1"/>
  <c r="BP87" i="2" a="1"/>
  <c r="BP87" i="2" s="1"/>
  <c r="BP85" i="2" a="1"/>
  <c r="BP85" i="2" s="1"/>
  <c r="BP84" i="2" a="1"/>
  <c r="BP84" i="2" s="1"/>
  <c r="BP81" i="2" a="1"/>
  <c r="BP81" i="2" s="1"/>
  <c r="BP80" i="2" a="1"/>
  <c r="BP80" i="2" s="1"/>
  <c r="BP82" i="2" a="1"/>
  <c r="BP82" i="2" s="1"/>
  <c r="BP83" i="2" a="1"/>
  <c r="BP83" i="2" s="1"/>
  <c r="BP78" i="2" a="1"/>
  <c r="BP78" i="2" s="1"/>
  <c r="BP79" i="2" a="1"/>
  <c r="BP79" i="2" s="1"/>
  <c r="BP76" i="2" a="1"/>
  <c r="BP76" i="2" s="1"/>
  <c r="BP77" i="2" a="1"/>
  <c r="BP77" i="2" s="1"/>
  <c r="BP73" i="2" a="1"/>
  <c r="BP73" i="2" s="1"/>
  <c r="BP74" i="2" a="1"/>
  <c r="BP74" i="2" s="1"/>
  <c r="BP72" i="2" a="1"/>
  <c r="BP72" i="2" s="1"/>
  <c r="BP75" i="2" a="1"/>
  <c r="BP75" i="2" s="1"/>
  <c r="BP69" i="2" a="1"/>
  <c r="BP69" i="2" s="1"/>
  <c r="BP68" i="2" a="1"/>
  <c r="BP68" i="2" s="1"/>
  <c r="BP71" i="2" a="1"/>
  <c r="BP71" i="2" s="1"/>
  <c r="BP70" i="2" a="1"/>
  <c r="BP70" i="2" s="1"/>
  <c r="BP65" i="2" a="1"/>
  <c r="BP65" i="2" s="1"/>
  <c r="BP64" i="2" a="1"/>
  <c r="BP64" i="2" s="1"/>
  <c r="BP67" i="2" a="1"/>
  <c r="BP67" i="2" s="1"/>
  <c r="BP66" i="2" a="1"/>
  <c r="BP66" i="2" s="1"/>
  <c r="BP63" i="2" a="1"/>
  <c r="BP63" i="2" s="1"/>
  <c r="BP59" i="2" a="1"/>
  <c r="BP59" i="2" s="1"/>
  <c r="BP62" i="2" a="1"/>
  <c r="BP62" i="2" s="1"/>
  <c r="BP61" i="2" a="1"/>
  <c r="BP61" i="2" s="1"/>
  <c r="BP60" i="2" a="1"/>
  <c r="BP60" i="2" s="1"/>
  <c r="BP57" i="2" a="1"/>
  <c r="BP57" i="2" s="1"/>
  <c r="BP58" i="2" a="1"/>
  <c r="BP58" i="2" s="1"/>
  <c r="BP51" i="2" a="1"/>
  <c r="BP51" i="2" s="1"/>
  <c r="BP50" i="2" a="1"/>
  <c r="BP50" i="2" s="1"/>
  <c r="BP55" i="2" a="1"/>
  <c r="BP55" i="2" s="1"/>
  <c r="BP49" i="2" a="1"/>
  <c r="BP49" i="2" s="1"/>
  <c r="BP56" i="2" a="1"/>
  <c r="BP56" i="2" s="1"/>
  <c r="BP48" i="2" a="1"/>
  <c r="BP48" i="2" s="1"/>
  <c r="BP54" i="2" a="1"/>
  <c r="BP54" i="2" s="1"/>
  <c r="BP52" i="2" a="1"/>
  <c r="BP52" i="2" s="1"/>
  <c r="BP53" i="2" a="1"/>
  <c r="BP53" i="2" s="1"/>
  <c r="BP45" i="2" a="1"/>
  <c r="BP45" i="2" s="1"/>
  <c r="BP47" i="2" a="1"/>
  <c r="BP47" i="2" s="1"/>
  <c r="BP41" i="2" a="1"/>
  <c r="BP41" i="2" s="1"/>
  <c r="BP44" i="2" a="1"/>
  <c r="BP44" i="2" s="1"/>
  <c r="BP42" i="2" a="1"/>
  <c r="BP42" i="2" s="1"/>
  <c r="BP40" i="2" a="1"/>
  <c r="BP40" i="2" s="1"/>
  <c r="BP43" i="2" a="1"/>
  <c r="BP43" i="2" s="1"/>
  <c r="BP46" i="2" a="1"/>
  <c r="BP46" i="2" s="1"/>
  <c r="BP38" i="2" a="1"/>
  <c r="BP38" i="2" s="1"/>
  <c r="BP37" i="2" a="1"/>
  <c r="BP37" i="2" s="1"/>
  <c r="BP34" i="2" a="1"/>
  <c r="BP34" i="2" s="1"/>
  <c r="BP36" i="2" a="1"/>
  <c r="BP36" i="2" s="1"/>
  <c r="BP39" i="2" a="1"/>
  <c r="BP39" i="2" s="1"/>
  <c r="BP35" i="2" a="1"/>
  <c r="BP35" i="2" s="1"/>
  <c r="BP27" i="2" a="1"/>
  <c r="BP27" i="2" s="1"/>
  <c r="BP33" i="2" a="1"/>
  <c r="BP33" i="2" s="1"/>
  <c r="BP30" i="2" a="1"/>
  <c r="BP30" i="2" s="1"/>
  <c r="BP31" i="2" a="1"/>
  <c r="BP31" i="2" s="1"/>
  <c r="BP26" i="2" a="1"/>
  <c r="BP26" i="2" s="1"/>
  <c r="BP29" i="2" a="1"/>
  <c r="BP29" i="2" s="1"/>
  <c r="BP32" i="2" a="1"/>
  <c r="BP32" i="2" s="1"/>
  <c r="BP28" i="2" a="1"/>
  <c r="BP28" i="2" s="1"/>
  <c r="BP16" i="2" a="1"/>
  <c r="BP16" i="2" s="1"/>
  <c r="BP25" i="2" a="1"/>
  <c r="BP25" i="2" s="1"/>
  <c r="BP17" i="2" a="1"/>
  <c r="BP17" i="2" s="1"/>
  <c r="BP15" i="2" a="1"/>
  <c r="BP15" i="2" s="1"/>
  <c r="BP24" i="2" a="1"/>
  <c r="BP24" i="2" s="1"/>
  <c r="BP23" i="2" a="1"/>
  <c r="BP23" i="2" s="1"/>
  <c r="BP22" i="2" a="1"/>
  <c r="BP22" i="2" s="1"/>
  <c r="BP21" i="2" a="1"/>
  <c r="BP21" i="2" s="1"/>
  <c r="BP20" i="2" a="1"/>
  <c r="BP20" i="2" s="1"/>
  <c r="BP19" i="2" a="1"/>
  <c r="BP19" i="2" s="1"/>
  <c r="BP18" i="2" a="1"/>
  <c r="BP18" i="2" s="1"/>
  <c r="BP14" i="2" a="1"/>
  <c r="BP14" i="2" s="1"/>
  <c r="BP9" i="2" a="1"/>
  <c r="BP9" i="2" s="1"/>
  <c r="BP13" i="2" a="1"/>
  <c r="BP13" i="2" s="1"/>
  <c r="BP8" i="2" a="1"/>
  <c r="BP8" i="2" s="1"/>
  <c r="BP12" i="2" a="1"/>
  <c r="BP12" i="2" s="1"/>
  <c r="BP10" i="2" a="1"/>
  <c r="BP10" i="2" s="1"/>
  <c r="BP11" i="2" a="1"/>
  <c r="BP11" i="2" s="1"/>
  <c r="BP4" i="2" a="1"/>
  <c r="BP4" i="2" s="1"/>
  <c r="BP7" i="2" a="1"/>
  <c r="BP7" i="2" s="1"/>
  <c r="BP6" i="2" a="1"/>
  <c r="BP6" i="2" s="1"/>
  <c r="BP5" i="2" a="1"/>
  <c r="BP5" i="2" s="1"/>
  <c r="BF100" i="2" a="1"/>
  <c r="BF100" i="2" s="1"/>
  <c r="BF103" i="2" a="1"/>
  <c r="BF103" i="2" s="1"/>
  <c r="BF102" i="2" a="1"/>
  <c r="BF102" i="2" s="1"/>
  <c r="BF101" i="2" a="1"/>
  <c r="BF101" i="2" s="1"/>
  <c r="BF98" i="2" a="1"/>
  <c r="BF98" i="2" s="1"/>
  <c r="BF97" i="2" a="1"/>
  <c r="BF97" i="2" s="1"/>
  <c r="BF99" i="2" a="1"/>
  <c r="BF99" i="2" s="1"/>
  <c r="BF96" i="2" a="1"/>
  <c r="BF96" i="2" s="1"/>
  <c r="BF95" i="2" a="1"/>
  <c r="BF95" i="2" s="1"/>
  <c r="BF94" i="2" a="1"/>
  <c r="BF94" i="2" s="1"/>
  <c r="BF93" i="2" a="1"/>
  <c r="BF93" i="2" s="1"/>
  <c r="BF92" i="2" a="1"/>
  <c r="BF92" i="2" s="1"/>
  <c r="BF91" i="2" a="1"/>
  <c r="BF91" i="2" s="1"/>
  <c r="BF88" i="2" a="1"/>
  <c r="BF88" i="2" s="1"/>
  <c r="BF90" i="2" a="1"/>
  <c r="BF90" i="2" s="1"/>
  <c r="BF89" i="2" a="1"/>
  <c r="BF89" i="2" s="1"/>
  <c r="BF84" i="2" a="1"/>
  <c r="BF84" i="2" s="1"/>
  <c r="BF87" i="2" a="1"/>
  <c r="BF87" i="2" s="1"/>
  <c r="BF86" i="2" a="1"/>
  <c r="BF86" i="2" s="1"/>
  <c r="BF85" i="2" a="1"/>
  <c r="BF85" i="2" s="1"/>
  <c r="BF81" i="2" a="1"/>
  <c r="BF81" i="2" s="1"/>
  <c r="BF80" i="2" a="1"/>
  <c r="BF80" i="2" s="1"/>
  <c r="BF82" i="2" a="1"/>
  <c r="BF82" i="2" s="1"/>
  <c r="BF83" i="2" a="1"/>
  <c r="BF83" i="2" s="1"/>
  <c r="BF77" i="2" a="1"/>
  <c r="BF77" i="2" s="1"/>
  <c r="BF79" i="2" a="1"/>
  <c r="BF79" i="2" s="1"/>
  <c r="BF78" i="2" a="1"/>
  <c r="BF78" i="2" s="1"/>
  <c r="BF76" i="2" a="1"/>
  <c r="BF76" i="2" s="1"/>
  <c r="BF73" i="2" a="1"/>
  <c r="BF73" i="2" s="1"/>
  <c r="BF74" i="2" a="1"/>
  <c r="BF74" i="2" s="1"/>
  <c r="BF72" i="2" a="1"/>
  <c r="BF72" i="2" s="1"/>
  <c r="BF75" i="2" a="1"/>
  <c r="BF75" i="2" s="1"/>
  <c r="BF70" i="2" a="1"/>
  <c r="BF70" i="2" s="1"/>
  <c r="BF69" i="2" a="1"/>
  <c r="BF69" i="2" s="1"/>
  <c r="BF71" i="2" a="1"/>
  <c r="BF71" i="2" s="1"/>
  <c r="BF66" i="2" a="1"/>
  <c r="BF66" i="2" s="1"/>
  <c r="BF67" i="2" a="1"/>
  <c r="BF67" i="2" s="1"/>
  <c r="BF65" i="2" a="1"/>
  <c r="BF65" i="2" s="1"/>
  <c r="BF64" i="2" a="1"/>
  <c r="BF64" i="2" s="1"/>
  <c r="BF68" i="2" a="1"/>
  <c r="BF68" i="2" s="1"/>
  <c r="BF62" i="2" a="1"/>
  <c r="BF62" i="2" s="1"/>
  <c r="BF61" i="2" a="1"/>
  <c r="BF61" i="2" s="1"/>
  <c r="BF63" i="2" a="1"/>
  <c r="BF63" i="2" s="1"/>
  <c r="BF56" i="2" a="1"/>
  <c r="BF56" i="2" s="1"/>
  <c r="BF60" i="2" a="1"/>
  <c r="BF60" i="2" s="1"/>
  <c r="BF58" i="2" a="1"/>
  <c r="BF58" i="2" s="1"/>
  <c r="BF59" i="2" a="1"/>
  <c r="BF59" i="2" s="1"/>
  <c r="BF57" i="2" a="1"/>
  <c r="BF57" i="2" s="1"/>
  <c r="BF54" i="2" a="1"/>
  <c r="BF54" i="2" s="1"/>
  <c r="BF53" i="2" a="1"/>
  <c r="BF53" i="2" s="1"/>
  <c r="BF52" i="2" a="1"/>
  <c r="BF52" i="2" s="1"/>
  <c r="BF51" i="2" a="1"/>
  <c r="BF51" i="2" s="1"/>
  <c r="BF55" i="2" a="1"/>
  <c r="BF55" i="2" s="1"/>
  <c r="BF50" i="2" a="1"/>
  <c r="BF50" i="2" s="1"/>
  <c r="BF49" i="2" a="1"/>
  <c r="BF49" i="2" s="1"/>
  <c r="BF46" i="2" a="1"/>
  <c r="BF46" i="2" s="1"/>
  <c r="BF45" i="2" a="1"/>
  <c r="BF45" i="2" s="1"/>
  <c r="BF41" i="2" a="1"/>
  <c r="BF41" i="2" s="1"/>
  <c r="BF47" i="2" a="1"/>
  <c r="BF47" i="2" s="1"/>
  <c r="BF48" i="2" a="1"/>
  <c r="BF48" i="2" s="1"/>
  <c r="BF44" i="2" a="1"/>
  <c r="BF44" i="2" s="1"/>
  <c r="BF42" i="2" a="1"/>
  <c r="BF42" i="2" s="1"/>
  <c r="BF43" i="2" a="1"/>
  <c r="BF43" i="2" s="1"/>
  <c r="BF40" i="2" a="1"/>
  <c r="BF40" i="2" s="1"/>
  <c r="BF35" i="2" a="1"/>
  <c r="BF35" i="2" s="1"/>
  <c r="BF38" i="2" a="1"/>
  <c r="BF38" i="2" s="1"/>
  <c r="BF37" i="2" a="1"/>
  <c r="BF37" i="2" s="1"/>
  <c r="BF34" i="2" a="1"/>
  <c r="BF34" i="2" s="1"/>
  <c r="BF36" i="2" a="1"/>
  <c r="BF36" i="2" s="1"/>
  <c r="BF39" i="2" a="1"/>
  <c r="BF39" i="2" s="1"/>
  <c r="BF33" i="2" a="1"/>
  <c r="BF33" i="2" s="1"/>
  <c r="BF27" i="2" a="1"/>
  <c r="BF27" i="2" s="1"/>
  <c r="BF30" i="2" a="1"/>
  <c r="BF30" i="2" s="1"/>
  <c r="BF26" i="2" a="1"/>
  <c r="BF26" i="2" s="1"/>
  <c r="BF31" i="2" a="1"/>
  <c r="BF31" i="2" s="1"/>
  <c r="BF29" i="2" a="1"/>
  <c r="BF29" i="2" s="1"/>
  <c r="BF32" i="2" a="1"/>
  <c r="BF32" i="2" s="1"/>
  <c r="BF28" i="2" a="1"/>
  <c r="BF28" i="2" s="1"/>
  <c r="BF17" i="2" a="1"/>
  <c r="BF17" i="2" s="1"/>
  <c r="BF16" i="2" a="1"/>
  <c r="BF16" i="2" s="1"/>
  <c r="BF24" i="2" a="1"/>
  <c r="BF24" i="2" s="1"/>
  <c r="BF23" i="2" a="1"/>
  <c r="BF23" i="2" s="1"/>
  <c r="BF22" i="2" a="1"/>
  <c r="BF22" i="2" s="1"/>
  <c r="BF21" i="2" a="1"/>
  <c r="BF21" i="2" s="1"/>
  <c r="BF20" i="2" a="1"/>
  <c r="BF20" i="2" s="1"/>
  <c r="BF19" i="2" a="1"/>
  <c r="BF19" i="2" s="1"/>
  <c r="BF25" i="2" a="1"/>
  <c r="BF25" i="2" s="1"/>
  <c r="BF18" i="2" a="1"/>
  <c r="BF18" i="2" s="1"/>
  <c r="BF10" i="2" a="1"/>
  <c r="BF10" i="2" s="1"/>
  <c r="BF11" i="2" a="1"/>
  <c r="BF11" i="2" s="1"/>
  <c r="BF15" i="2" a="1"/>
  <c r="BF15" i="2" s="1"/>
  <c r="BF9" i="2" a="1"/>
  <c r="BF9" i="2" s="1"/>
  <c r="BF14" i="2" a="1"/>
  <c r="BF14" i="2" s="1"/>
  <c r="BF13" i="2" a="1"/>
  <c r="BF13" i="2" s="1"/>
  <c r="BF8" i="2" a="1"/>
  <c r="BF8" i="2" s="1"/>
  <c r="BF12" i="2" a="1"/>
  <c r="BF12" i="2" s="1"/>
  <c r="BF6" i="2" a="1"/>
  <c r="BF6" i="2" s="1"/>
  <c r="BF7" i="2" a="1"/>
  <c r="BF7" i="2" s="1"/>
  <c r="BF4" i="2" a="1"/>
  <c r="BF4" i="2" s="1"/>
  <c r="BF5" i="2" a="1"/>
  <c r="BF5" i="2" s="1"/>
  <c r="AJ103" i="2" a="1"/>
  <c r="AJ103" i="2" s="1"/>
  <c r="AJ102" i="2" a="1"/>
  <c r="AJ102" i="2" s="1"/>
  <c r="AJ101" i="2" a="1"/>
  <c r="AJ101" i="2" s="1"/>
  <c r="AJ100" i="2" a="1"/>
  <c r="AJ100" i="2" s="1"/>
  <c r="AJ98" i="2" a="1"/>
  <c r="AJ98" i="2" s="1"/>
  <c r="AJ97" i="2" a="1"/>
  <c r="AJ97" i="2" s="1"/>
  <c r="AJ99" i="2" a="1"/>
  <c r="AJ99" i="2" s="1"/>
  <c r="AJ96" i="2" a="1"/>
  <c r="AJ96" i="2" s="1"/>
  <c r="AJ95" i="2" a="1"/>
  <c r="AJ95" i="2" s="1"/>
  <c r="AJ93" i="2" a="1"/>
  <c r="AJ93" i="2" s="1"/>
  <c r="AJ92" i="2" a="1"/>
  <c r="AJ92" i="2" s="1"/>
  <c r="AJ94" i="2" a="1"/>
  <c r="AJ94" i="2" s="1"/>
  <c r="AJ90" i="2" a="1"/>
  <c r="AJ90" i="2" s="1"/>
  <c r="AJ89" i="2" a="1"/>
  <c r="AJ89" i="2" s="1"/>
  <c r="AJ88" i="2" a="1"/>
  <c r="AJ88" i="2" s="1"/>
  <c r="AJ91" i="2" a="1"/>
  <c r="AJ91" i="2" s="1"/>
  <c r="AJ85" i="2" a="1"/>
  <c r="AJ85" i="2" s="1"/>
  <c r="AJ84" i="2" a="1"/>
  <c r="AJ84" i="2" s="1"/>
  <c r="AJ87" i="2" a="1"/>
  <c r="AJ87" i="2" s="1"/>
  <c r="AJ86" i="2" a="1"/>
  <c r="AJ86" i="2" s="1"/>
  <c r="AJ83" i="2" a="1"/>
  <c r="AJ83" i="2" s="1"/>
  <c r="AJ82" i="2" a="1"/>
  <c r="AJ82" i="2" s="1"/>
  <c r="AJ81" i="2" a="1"/>
  <c r="AJ81" i="2" s="1"/>
  <c r="AJ80" i="2" a="1"/>
  <c r="AJ80" i="2" s="1"/>
  <c r="AJ78" i="2" a="1"/>
  <c r="AJ78" i="2" s="1"/>
  <c r="AJ79" i="2" a="1"/>
  <c r="AJ79" i="2" s="1"/>
  <c r="AJ77" i="2" a="1"/>
  <c r="AJ77" i="2" s="1"/>
  <c r="AJ76" i="2" a="1"/>
  <c r="AJ76" i="2" s="1"/>
  <c r="AJ74" i="2" a="1"/>
  <c r="AJ74" i="2" s="1"/>
  <c r="AJ75" i="2" a="1"/>
  <c r="AJ75" i="2" s="1"/>
  <c r="AJ73" i="2" a="1"/>
  <c r="AJ73" i="2" s="1"/>
  <c r="AJ72" i="2" a="1"/>
  <c r="AJ72" i="2" s="1"/>
  <c r="AJ71" i="2" a="1"/>
  <c r="AJ71" i="2" s="1"/>
  <c r="AJ70" i="2" a="1"/>
  <c r="AJ70" i="2" s="1"/>
  <c r="AJ69" i="2" a="1"/>
  <c r="AJ69" i="2" s="1"/>
  <c r="AJ68" i="2" a="1"/>
  <c r="AJ68" i="2" s="1"/>
  <c r="AJ65" i="2" a="1"/>
  <c r="AJ65" i="2" s="1"/>
  <c r="AJ67" i="2" a="1"/>
  <c r="AJ67" i="2" s="1"/>
  <c r="AJ66" i="2" a="1"/>
  <c r="AJ66" i="2" s="1"/>
  <c r="AJ64" i="2" a="1"/>
  <c r="AJ64" i="2" s="1"/>
  <c r="AJ60" i="2" a="1"/>
  <c r="AJ60" i="2" s="1"/>
  <c r="AJ62" i="2" a="1"/>
  <c r="AJ62" i="2" s="1"/>
  <c r="AJ63" i="2" a="1"/>
  <c r="AJ63" i="2" s="1"/>
  <c r="AJ61" i="2" a="1"/>
  <c r="AJ61" i="2" s="1"/>
  <c r="AJ57" i="2" a="1"/>
  <c r="AJ57" i="2" s="1"/>
  <c r="AJ58" i="2" a="1"/>
  <c r="AJ58" i="2" s="1"/>
  <c r="AJ59" i="2" a="1"/>
  <c r="AJ59" i="2" s="1"/>
  <c r="AJ56" i="2" a="1"/>
  <c r="AJ56" i="2" s="1"/>
  <c r="AJ55" i="2" a="1"/>
  <c r="AJ55" i="2" s="1"/>
  <c r="AJ49" i="2" a="1"/>
  <c r="AJ49" i="2" s="1"/>
  <c r="AJ48" i="2" a="1"/>
  <c r="AJ48" i="2" s="1"/>
  <c r="AJ54" i="2" a="1"/>
  <c r="AJ54" i="2" s="1"/>
  <c r="AJ52" i="2" a="1"/>
  <c r="AJ52" i="2" s="1"/>
  <c r="AJ53" i="2" a="1"/>
  <c r="AJ53" i="2" s="1"/>
  <c r="AJ51" i="2" a="1"/>
  <c r="AJ51" i="2" s="1"/>
  <c r="AJ50" i="2" a="1"/>
  <c r="AJ50" i="2" s="1"/>
  <c r="AJ44" i="2" a="1"/>
  <c r="AJ44" i="2" s="1"/>
  <c r="AJ42" i="2" a="1"/>
  <c r="AJ42" i="2" s="1"/>
  <c r="AJ43" i="2" a="1"/>
  <c r="AJ43" i="2" s="1"/>
  <c r="AJ46" i="2" a="1"/>
  <c r="AJ46" i="2" s="1"/>
  <c r="AJ45" i="2" a="1"/>
  <c r="AJ45" i="2" s="1"/>
  <c r="AJ41" i="2" a="1"/>
  <c r="AJ41" i="2" s="1"/>
  <c r="AJ40" i="2" a="1"/>
  <c r="AJ40" i="2" s="1"/>
  <c r="AJ47" i="2" a="1"/>
  <c r="AJ47" i="2" s="1"/>
  <c r="AJ34" i="2" a="1"/>
  <c r="AJ34" i="2" s="1"/>
  <c r="AJ37" i="2" a="1"/>
  <c r="AJ37" i="2" s="1"/>
  <c r="AJ36" i="2" a="1"/>
  <c r="AJ36" i="2" s="1"/>
  <c r="AJ39" i="2" a="1"/>
  <c r="AJ39" i="2" s="1"/>
  <c r="AJ35" i="2" a="1"/>
  <c r="AJ35" i="2" s="1"/>
  <c r="AJ38" i="2" a="1"/>
  <c r="AJ38" i="2" s="1"/>
  <c r="AJ31" i="2" a="1"/>
  <c r="AJ31" i="2" s="1"/>
  <c r="AJ30" i="2" a="1"/>
  <c r="AJ30" i="2" s="1"/>
  <c r="AJ32" i="2" a="1"/>
  <c r="AJ32" i="2" s="1"/>
  <c r="AJ29" i="2" a="1"/>
  <c r="AJ29" i="2" s="1"/>
  <c r="AJ26" i="2" a="1"/>
  <c r="AJ26" i="2" s="1"/>
  <c r="AJ25" i="2" a="1"/>
  <c r="AJ25" i="2" s="1"/>
  <c r="AJ28" i="2" a="1"/>
  <c r="AJ28" i="2" s="1"/>
  <c r="AJ27" i="2" a="1"/>
  <c r="AJ27" i="2" s="1"/>
  <c r="AJ33" i="2" a="1"/>
  <c r="AJ33" i="2" s="1"/>
  <c r="AJ24" i="2" a="1"/>
  <c r="AJ24" i="2" s="1"/>
  <c r="AJ23" i="2" a="1"/>
  <c r="AJ23" i="2" s="1"/>
  <c r="AJ22" i="2" a="1"/>
  <c r="AJ22" i="2" s="1"/>
  <c r="AJ21" i="2" a="1"/>
  <c r="AJ21" i="2" s="1"/>
  <c r="AJ20" i="2" a="1"/>
  <c r="AJ20" i="2" s="1"/>
  <c r="AJ19" i="2" a="1"/>
  <c r="AJ19" i="2" s="1"/>
  <c r="AJ18" i="2" a="1"/>
  <c r="AJ18" i="2" s="1"/>
  <c r="AJ17" i="2" a="1"/>
  <c r="AJ17" i="2" s="1"/>
  <c r="AJ16" i="2" a="1"/>
  <c r="AJ16" i="2" s="1"/>
  <c r="AJ10" i="2" a="1"/>
  <c r="AJ10" i="2" s="1"/>
  <c r="AJ14" i="2" a="1"/>
  <c r="AJ14" i="2" s="1"/>
  <c r="AJ9" i="2" a="1"/>
  <c r="AJ9" i="2" s="1"/>
  <c r="AJ15" i="2" a="1"/>
  <c r="AJ15" i="2" s="1"/>
  <c r="AJ13" i="2" a="1"/>
  <c r="AJ13" i="2" s="1"/>
  <c r="AJ12" i="2" a="1"/>
  <c r="AJ12" i="2" s="1"/>
  <c r="AJ11" i="2" a="1"/>
  <c r="AJ11" i="2" s="1"/>
  <c r="AJ8" i="2" a="1"/>
  <c r="AJ8" i="2" s="1"/>
  <c r="AJ5" i="2" a="1"/>
  <c r="AJ5" i="2" s="1"/>
  <c r="AJ7" i="2" a="1"/>
  <c r="AJ7" i="2" s="1"/>
  <c r="AJ4" i="2" a="1"/>
  <c r="AJ4" i="2" s="1"/>
  <c r="AJ6" i="2" a="1"/>
  <c r="AJ6" i="2" s="1"/>
  <c r="AW100" i="2" a="1"/>
  <c r="AW100" i="2" s="1"/>
  <c r="AW103" i="2" a="1"/>
  <c r="AW103" i="2" s="1"/>
  <c r="AW102" i="2" a="1"/>
  <c r="AW102" i="2" s="1"/>
  <c r="AW101" i="2" a="1"/>
  <c r="AW101" i="2" s="1"/>
  <c r="AW97" i="2" a="1"/>
  <c r="AW97" i="2" s="1"/>
  <c r="AW98" i="2" a="1"/>
  <c r="AW98" i="2" s="1"/>
  <c r="AW99" i="2" a="1"/>
  <c r="AW99" i="2" s="1"/>
  <c r="AW96" i="2" a="1"/>
  <c r="AW96" i="2" s="1"/>
  <c r="AW94" i="2" a="1"/>
  <c r="AW94" i="2" s="1"/>
  <c r="AW93" i="2" a="1"/>
  <c r="AW93" i="2" s="1"/>
  <c r="AW95" i="2" a="1"/>
  <c r="AW95" i="2" s="1"/>
  <c r="AW92" i="2" a="1"/>
  <c r="AW92" i="2" s="1"/>
  <c r="AW91" i="2" a="1"/>
  <c r="AW91" i="2" s="1"/>
  <c r="AW88" i="2" a="1"/>
  <c r="AW88" i="2" s="1"/>
  <c r="AW90" i="2" a="1"/>
  <c r="AW90" i="2" s="1"/>
  <c r="AW89" i="2" a="1"/>
  <c r="AW89" i="2" s="1"/>
  <c r="AW84" i="2" a="1"/>
  <c r="AW84" i="2" s="1"/>
  <c r="AW87" i="2" a="1"/>
  <c r="AW87" i="2" s="1"/>
  <c r="AW86" i="2" a="1"/>
  <c r="AW86" i="2" s="1"/>
  <c r="AW85" i="2" a="1"/>
  <c r="AW85" i="2" s="1"/>
  <c r="AW81" i="2" a="1"/>
  <c r="AW81" i="2" s="1"/>
  <c r="AW82" i="2" a="1"/>
  <c r="AW82" i="2" s="1"/>
  <c r="AW83" i="2" a="1"/>
  <c r="AW83" i="2" s="1"/>
  <c r="AW80" i="2" a="1"/>
  <c r="AW80" i="2" s="1"/>
  <c r="AW78" i="2" a="1"/>
  <c r="AW78" i="2" s="1"/>
  <c r="AW79" i="2" a="1"/>
  <c r="AW79" i="2" s="1"/>
  <c r="AW77" i="2" a="1"/>
  <c r="AW77" i="2" s="1"/>
  <c r="AW76" i="2" a="1"/>
  <c r="AW76" i="2" s="1"/>
  <c r="AW74" i="2" a="1"/>
  <c r="AW74" i="2" s="1"/>
  <c r="AW72" i="2" a="1"/>
  <c r="AW72" i="2" s="1"/>
  <c r="AW73" i="2" a="1"/>
  <c r="AW73" i="2" s="1"/>
  <c r="AW75" i="2" a="1"/>
  <c r="AW75" i="2" s="1"/>
  <c r="AW70" i="2" a="1"/>
  <c r="AW70" i="2" s="1"/>
  <c r="AW69" i="2" a="1"/>
  <c r="AW69" i="2" s="1"/>
  <c r="AW68" i="2" a="1"/>
  <c r="AW68" i="2" s="1"/>
  <c r="AW71" i="2" a="1"/>
  <c r="AW71" i="2" s="1"/>
  <c r="AW67" i="2" a="1"/>
  <c r="AW67" i="2" s="1"/>
  <c r="AW65" i="2" a="1"/>
  <c r="AW65" i="2" s="1"/>
  <c r="AW66" i="2" a="1"/>
  <c r="AW66" i="2" s="1"/>
  <c r="AW64" i="2" a="1"/>
  <c r="AW64" i="2" s="1"/>
  <c r="AW62" i="2" a="1"/>
  <c r="AW62" i="2" s="1"/>
  <c r="AW61" i="2" a="1"/>
  <c r="AW61" i="2" s="1"/>
  <c r="AW63" i="2" a="1"/>
  <c r="AW63" i="2" s="1"/>
  <c r="AW60" i="2" a="1"/>
  <c r="AW60" i="2" s="1"/>
  <c r="AW58" i="2" a="1"/>
  <c r="AW58" i="2" s="1"/>
  <c r="AW59" i="2" a="1"/>
  <c r="AW59" i="2" s="1"/>
  <c r="AW57" i="2" a="1"/>
  <c r="AW57" i="2" s="1"/>
  <c r="AW53" i="2" a="1"/>
  <c r="AW53" i="2" s="1"/>
  <c r="AW52" i="2" a="1"/>
  <c r="AW52" i="2" s="1"/>
  <c r="AW51" i="2" a="1"/>
  <c r="AW51" i="2" s="1"/>
  <c r="AW55" i="2" a="1"/>
  <c r="AW55" i="2" s="1"/>
  <c r="AW50" i="2" a="1"/>
  <c r="AW50" i="2" s="1"/>
  <c r="AW49" i="2" a="1"/>
  <c r="AW49" i="2" s="1"/>
  <c r="AW56" i="2" a="1"/>
  <c r="AW56" i="2" s="1"/>
  <c r="AW54" i="2" a="1"/>
  <c r="AW54" i="2" s="1"/>
  <c r="AW45" i="2" a="1"/>
  <c r="AW45" i="2" s="1"/>
  <c r="AW41" i="2" a="1"/>
  <c r="AW41" i="2" s="1"/>
  <c r="AW47" i="2" a="1"/>
  <c r="AW47" i="2" s="1"/>
  <c r="AW44" i="2" a="1"/>
  <c r="AW44" i="2" s="1"/>
  <c r="AW42" i="2" a="1"/>
  <c r="AW42" i="2" s="1"/>
  <c r="AW48" i="2" a="1"/>
  <c r="AW48" i="2" s="1"/>
  <c r="AW46" i="2" a="1"/>
  <c r="AW46" i="2" s="1"/>
  <c r="AW43" i="2" a="1"/>
  <c r="AW43" i="2" s="1"/>
  <c r="AW39" i="2" a="1"/>
  <c r="AW39" i="2" s="1"/>
  <c r="AW35" i="2" a="1"/>
  <c r="AW35" i="2" s="1"/>
  <c r="AW38" i="2" a="1"/>
  <c r="AW38" i="2" s="1"/>
  <c r="AW34" i="2" a="1"/>
  <c r="AW34" i="2" s="1"/>
  <c r="AW37" i="2" a="1"/>
  <c r="AW37" i="2" s="1"/>
  <c r="AW40" i="2" a="1"/>
  <c r="AW40" i="2" s="1"/>
  <c r="AW36" i="2" a="1"/>
  <c r="AW36" i="2" s="1"/>
  <c r="AW28" i="2" a="1"/>
  <c r="AW28" i="2" s="1"/>
  <c r="AW27" i="2" a="1"/>
  <c r="AW27" i="2" s="1"/>
  <c r="AW26" i="2" a="1"/>
  <c r="AW26" i="2" s="1"/>
  <c r="AW30" i="2" a="1"/>
  <c r="AW30" i="2" s="1"/>
  <c r="AW31" i="2" a="1"/>
  <c r="AW31" i="2" s="1"/>
  <c r="AW33" i="2" a="1"/>
  <c r="AW33" i="2" s="1"/>
  <c r="AW29" i="2" a="1"/>
  <c r="AW29" i="2" s="1"/>
  <c r="AW32" i="2" a="1"/>
  <c r="AW32" i="2" s="1"/>
  <c r="AW25" i="2" a="1"/>
  <c r="AW25" i="2" s="1"/>
  <c r="AW24" i="2" a="1"/>
  <c r="AW24" i="2" s="1"/>
  <c r="AW23" i="2" a="1"/>
  <c r="AW23" i="2" s="1"/>
  <c r="AW22" i="2" a="1"/>
  <c r="AW22" i="2" s="1"/>
  <c r="AW21" i="2" a="1"/>
  <c r="AW21" i="2" s="1"/>
  <c r="AW20" i="2" a="1"/>
  <c r="AW20" i="2" s="1"/>
  <c r="AW19" i="2" a="1"/>
  <c r="AW19" i="2" s="1"/>
  <c r="AW18" i="2" a="1"/>
  <c r="AW18" i="2" s="1"/>
  <c r="AW16" i="2" a="1"/>
  <c r="AW16" i="2" s="1"/>
  <c r="AW15" i="2" a="1"/>
  <c r="AW15" i="2" s="1"/>
  <c r="AW17" i="2" a="1"/>
  <c r="AW17" i="2" s="1"/>
  <c r="AW12" i="2" a="1"/>
  <c r="AW12" i="2" s="1"/>
  <c r="AW8" i="2" a="1"/>
  <c r="AW8" i="2" s="1"/>
  <c r="AW10" i="2" a="1"/>
  <c r="AW10" i="2" s="1"/>
  <c r="AW11" i="2" a="1"/>
  <c r="AW11" i="2" s="1"/>
  <c r="AW9" i="2" a="1"/>
  <c r="AW9" i="2" s="1"/>
  <c r="AW14" i="2" a="1"/>
  <c r="AW14" i="2" s="1"/>
  <c r="AW13" i="2" a="1"/>
  <c r="AW13" i="2" s="1"/>
  <c r="AW6" i="2" a="1"/>
  <c r="AW6" i="2" s="1"/>
  <c r="AW7" i="2" a="1"/>
  <c r="AW7" i="2" s="1"/>
  <c r="AW4" i="2" a="1"/>
  <c r="AW4" i="2" s="1"/>
  <c r="AW5" i="2" a="1"/>
  <c r="AW5" i="2" s="1"/>
  <c r="CG100" i="2" a="1"/>
  <c r="CG100" i="2" s="1"/>
  <c r="CG103" i="2" a="1"/>
  <c r="CG103" i="2" s="1"/>
  <c r="CG102" i="2" a="1"/>
  <c r="CG102" i="2" s="1"/>
  <c r="CG101" i="2" a="1"/>
  <c r="CG101" i="2" s="1"/>
  <c r="CG99" i="2" a="1"/>
  <c r="CG99" i="2" s="1"/>
  <c r="CG97" i="2" a="1"/>
  <c r="CG97" i="2" s="1"/>
  <c r="CG98" i="2" a="1"/>
  <c r="CG98" i="2" s="1"/>
  <c r="CG96" i="2" a="1"/>
  <c r="CG96" i="2" s="1"/>
  <c r="CG95" i="2" a="1"/>
  <c r="CG95" i="2" s="1"/>
  <c r="CG94" i="2" a="1"/>
  <c r="CG94" i="2" s="1"/>
  <c r="CG93" i="2" a="1"/>
  <c r="CG93" i="2" s="1"/>
  <c r="CG92" i="2" a="1"/>
  <c r="CG92" i="2" s="1"/>
  <c r="CG88" i="2" a="1"/>
  <c r="CG88" i="2" s="1"/>
  <c r="CG90" i="2" a="1"/>
  <c r="CG90" i="2" s="1"/>
  <c r="CG91" i="2" a="1"/>
  <c r="CG91" i="2" s="1"/>
  <c r="CG89" i="2" a="1"/>
  <c r="CG89" i="2" s="1"/>
  <c r="CG85" i="2" a="1"/>
  <c r="CG85" i="2" s="1"/>
  <c r="CG84" i="2" a="1"/>
  <c r="CG84" i="2" s="1"/>
  <c r="CG87" i="2" a="1"/>
  <c r="CG87" i="2" s="1"/>
  <c r="CG86" i="2" a="1"/>
  <c r="CG86" i="2" s="1"/>
  <c r="CG83" i="2" a="1"/>
  <c r="CG83" i="2" s="1"/>
  <c r="CG81" i="2" a="1"/>
  <c r="CG81" i="2" s="1"/>
  <c r="CG80" i="2" a="1"/>
  <c r="CG80" i="2" s="1"/>
  <c r="CG82" i="2" a="1"/>
  <c r="CG82" i="2" s="1"/>
  <c r="CG76" i="2" a="1"/>
  <c r="CG76" i="2" s="1"/>
  <c r="CG79" i="2" a="1"/>
  <c r="CG79" i="2" s="1"/>
  <c r="CG78" i="2" a="1"/>
  <c r="CG78" i="2" s="1"/>
  <c r="CG77" i="2" a="1"/>
  <c r="CG77" i="2" s="1"/>
  <c r="CG75" i="2" a="1"/>
  <c r="CG75" i="2" s="1"/>
  <c r="CG73" i="2" a="1"/>
  <c r="CG73" i="2" s="1"/>
  <c r="CG72" i="2" a="1"/>
  <c r="CG72" i="2" s="1"/>
  <c r="CG74" i="2" a="1"/>
  <c r="CG74" i="2" s="1"/>
  <c r="CG70" i="2" a="1"/>
  <c r="CG70" i="2" s="1"/>
  <c r="CG69" i="2" a="1"/>
  <c r="CG69" i="2" s="1"/>
  <c r="CG68" i="2" a="1"/>
  <c r="CG68" i="2" s="1"/>
  <c r="CG71" i="2" a="1"/>
  <c r="CG71" i="2" s="1"/>
  <c r="CG67" i="2" a="1"/>
  <c r="CG67" i="2" s="1"/>
  <c r="CG65" i="2" a="1"/>
  <c r="CG65" i="2" s="1"/>
  <c r="CG64" i="2" a="1"/>
  <c r="CG64" i="2" s="1"/>
  <c r="CG63" i="2" a="1"/>
  <c r="CG63" i="2" s="1"/>
  <c r="CG66" i="2" a="1"/>
  <c r="CG66" i="2" s="1"/>
  <c r="CG62" i="2" a="1"/>
  <c r="CG62" i="2" s="1"/>
  <c r="CG61" i="2" a="1"/>
  <c r="CG61" i="2" s="1"/>
  <c r="CG60" i="2" a="1"/>
  <c r="CG60" i="2" s="1"/>
  <c r="CG59" i="2" a="1"/>
  <c r="CG59" i="2" s="1"/>
  <c r="CG57" i="2" a="1"/>
  <c r="CG57" i="2" s="1"/>
  <c r="CG56" i="2" a="1"/>
  <c r="CG56" i="2" s="1"/>
  <c r="CG58" i="2" a="1"/>
  <c r="CG58" i="2" s="1"/>
  <c r="CG54" i="2" a="1"/>
  <c r="CG54" i="2" s="1"/>
  <c r="CG52" i="2" a="1"/>
  <c r="CG52" i="2" s="1"/>
  <c r="CG53" i="2" a="1"/>
  <c r="CG53" i="2" s="1"/>
  <c r="CG55" i="2" a="1"/>
  <c r="CG55" i="2" s="1"/>
  <c r="CG51" i="2" a="1"/>
  <c r="CG51" i="2" s="1"/>
  <c r="CG50" i="2" a="1"/>
  <c r="CG50" i="2" s="1"/>
  <c r="CG49" i="2" a="1"/>
  <c r="CG49" i="2" s="1"/>
  <c r="CG46" i="2" a="1"/>
  <c r="CG46" i="2" s="1"/>
  <c r="CG45" i="2" a="1"/>
  <c r="CG45" i="2" s="1"/>
  <c r="CG48" i="2" a="1"/>
  <c r="CG48" i="2" s="1"/>
  <c r="CG41" i="2" a="1"/>
  <c r="CG41" i="2" s="1"/>
  <c r="CG47" i="2" a="1"/>
  <c r="CG47" i="2" s="1"/>
  <c r="CG44" i="2" a="1"/>
  <c r="CG44" i="2" s="1"/>
  <c r="CG40" i="2" a="1"/>
  <c r="CG40" i="2" s="1"/>
  <c r="CG43" i="2" a="1"/>
  <c r="CG43" i="2" s="1"/>
  <c r="CG42" i="2" a="1"/>
  <c r="CG42" i="2" s="1"/>
  <c r="CG37" i="2" a="1"/>
  <c r="CG37" i="2" s="1"/>
  <c r="CG34" i="2" a="1"/>
  <c r="CG34" i="2" s="1"/>
  <c r="CG36" i="2" a="1"/>
  <c r="CG36" i="2" s="1"/>
  <c r="CG39" i="2" a="1"/>
  <c r="CG39" i="2" s="1"/>
  <c r="CG35" i="2" a="1"/>
  <c r="CG35" i="2" s="1"/>
  <c r="CG33" i="2" a="1"/>
  <c r="CG33" i="2" s="1"/>
  <c r="CG38" i="2" a="1"/>
  <c r="CG38" i="2" s="1"/>
  <c r="CG27" i="2" a="1"/>
  <c r="CG27" i="2" s="1"/>
  <c r="CG26" i="2" a="1"/>
  <c r="CG26" i="2" s="1"/>
  <c r="CG30" i="2" a="1"/>
  <c r="CG30" i="2" s="1"/>
  <c r="CG31" i="2" a="1"/>
  <c r="CG31" i="2" s="1"/>
  <c r="CG29" i="2" a="1"/>
  <c r="CG29" i="2" s="1"/>
  <c r="CG28" i="2" a="1"/>
  <c r="CG28" i="2" s="1"/>
  <c r="CG32" i="2" a="1"/>
  <c r="CG32" i="2" s="1"/>
  <c r="CG24" i="2" a="1"/>
  <c r="CG24" i="2" s="1"/>
  <c r="CG23" i="2" a="1"/>
  <c r="CG23" i="2" s="1"/>
  <c r="CG22" i="2" a="1"/>
  <c r="CG22" i="2" s="1"/>
  <c r="CG21" i="2" a="1"/>
  <c r="CG21" i="2" s="1"/>
  <c r="CG20" i="2" a="1"/>
  <c r="CG20" i="2" s="1"/>
  <c r="CG19" i="2" a="1"/>
  <c r="CG19" i="2" s="1"/>
  <c r="CG18" i="2" a="1"/>
  <c r="CG18" i="2" s="1"/>
  <c r="CG16" i="2" a="1"/>
  <c r="CG16" i="2" s="1"/>
  <c r="CG15" i="2" a="1"/>
  <c r="CG15" i="2" s="1"/>
  <c r="CG25" i="2" a="1"/>
  <c r="CG25" i="2" s="1"/>
  <c r="CG17" i="2" a="1"/>
  <c r="CG17" i="2" s="1"/>
  <c r="CG10" i="2" a="1"/>
  <c r="CG10" i="2" s="1"/>
  <c r="CG11" i="2" a="1"/>
  <c r="CG11" i="2" s="1"/>
  <c r="CG9" i="2" a="1"/>
  <c r="CG9" i="2" s="1"/>
  <c r="CG14" i="2" a="1"/>
  <c r="CG14" i="2" s="1"/>
  <c r="CG13" i="2" a="1"/>
  <c r="CG13" i="2" s="1"/>
  <c r="CG8" i="2" a="1"/>
  <c r="CG8" i="2" s="1"/>
  <c r="CG12" i="2" a="1"/>
  <c r="CG12" i="2" s="1"/>
  <c r="CG5" i="2" a="1"/>
  <c r="CG5" i="2" s="1"/>
  <c r="CG7" i="2" a="1"/>
  <c r="CG7" i="2" s="1"/>
  <c r="CG6" i="2" a="1"/>
  <c r="CG6" i="2" s="1"/>
  <c r="CG4" i="2" a="1"/>
  <c r="CG4" i="2" s="1"/>
  <c r="AS99" i="2" a="1"/>
  <c r="AS99" i="2" s="1"/>
  <c r="AS100" i="2" a="1"/>
  <c r="AS100" i="2" s="1"/>
  <c r="AS103" i="2" a="1"/>
  <c r="AS103" i="2" s="1"/>
  <c r="AS102" i="2" a="1"/>
  <c r="AS102" i="2" s="1"/>
  <c r="AS101" i="2" a="1"/>
  <c r="AS101" i="2" s="1"/>
  <c r="AS96" i="2" a="1"/>
  <c r="AS96" i="2" s="1"/>
  <c r="AS98" i="2" a="1"/>
  <c r="AS98" i="2" s="1"/>
  <c r="AS97" i="2" a="1"/>
  <c r="AS97" i="2" s="1"/>
  <c r="AS95" i="2" a="1"/>
  <c r="AS95" i="2" s="1"/>
  <c r="AS93" i="2" a="1"/>
  <c r="AS93" i="2" s="1"/>
  <c r="AS92" i="2" a="1"/>
  <c r="AS92" i="2" s="1"/>
  <c r="AS94" i="2" a="1"/>
  <c r="AS94" i="2" s="1"/>
  <c r="AS90" i="2" a="1"/>
  <c r="AS90" i="2" s="1"/>
  <c r="AS89" i="2" a="1"/>
  <c r="AS89" i="2" s="1"/>
  <c r="AS88" i="2" a="1"/>
  <c r="AS88" i="2" s="1"/>
  <c r="AS91" i="2" a="1"/>
  <c r="AS91" i="2" s="1"/>
  <c r="AS85" i="2" a="1"/>
  <c r="AS85" i="2" s="1"/>
  <c r="AS84" i="2" a="1"/>
  <c r="AS84" i="2" s="1"/>
  <c r="AS87" i="2" a="1"/>
  <c r="AS87" i="2" s="1"/>
  <c r="AS86" i="2" a="1"/>
  <c r="AS86" i="2" s="1"/>
  <c r="AS80" i="2" a="1"/>
  <c r="AS80" i="2" s="1"/>
  <c r="AS83" i="2" a="1"/>
  <c r="AS83" i="2" s="1"/>
  <c r="AS82" i="2" a="1"/>
  <c r="AS82" i="2" s="1"/>
  <c r="AS81" i="2" a="1"/>
  <c r="AS81" i="2" s="1"/>
  <c r="AS78" i="2" a="1"/>
  <c r="AS78" i="2" s="1"/>
  <c r="AS79" i="2" a="1"/>
  <c r="AS79" i="2" s="1"/>
  <c r="AS76" i="2" a="1"/>
  <c r="AS76" i="2" s="1"/>
  <c r="AS77" i="2" a="1"/>
  <c r="AS77" i="2" s="1"/>
  <c r="AS75" i="2" a="1"/>
  <c r="AS75" i="2" s="1"/>
  <c r="AS74" i="2" a="1"/>
  <c r="AS74" i="2" s="1"/>
  <c r="AS73" i="2" a="1"/>
  <c r="AS73" i="2" s="1"/>
  <c r="AS72" i="2" a="1"/>
  <c r="AS72" i="2" s="1"/>
  <c r="AS71" i="2" a="1"/>
  <c r="AS71" i="2" s="1"/>
  <c r="AS70" i="2" a="1"/>
  <c r="AS70" i="2" s="1"/>
  <c r="AS69" i="2" a="1"/>
  <c r="AS69" i="2" s="1"/>
  <c r="AS68" i="2" a="1"/>
  <c r="AS68" i="2" s="1"/>
  <c r="AS66" i="2" a="1"/>
  <c r="AS66" i="2" s="1"/>
  <c r="AS65" i="2" a="1"/>
  <c r="AS65" i="2" s="1"/>
  <c r="AS67" i="2" a="1"/>
  <c r="AS67" i="2" s="1"/>
  <c r="AS64" i="2" a="1"/>
  <c r="AS64" i="2" s="1"/>
  <c r="AS60" i="2" a="1"/>
  <c r="AS60" i="2" s="1"/>
  <c r="AS62" i="2" a="1"/>
  <c r="AS62" i="2" s="1"/>
  <c r="AS63" i="2" a="1"/>
  <c r="AS63" i="2" s="1"/>
  <c r="AS61" i="2" a="1"/>
  <c r="AS61" i="2" s="1"/>
  <c r="AS57" i="2" a="1"/>
  <c r="AS57" i="2" s="1"/>
  <c r="AS56" i="2" a="1"/>
  <c r="AS56" i="2" s="1"/>
  <c r="AS58" i="2" a="1"/>
  <c r="AS58" i="2" s="1"/>
  <c r="AS59" i="2" a="1"/>
  <c r="AS59" i="2" s="1"/>
  <c r="AS55" i="2" a="1"/>
  <c r="AS55" i="2" s="1"/>
  <c r="AS49" i="2" a="1"/>
  <c r="AS49" i="2" s="1"/>
  <c r="AS48" i="2" a="1"/>
  <c r="AS48" i="2" s="1"/>
  <c r="AS54" i="2" a="1"/>
  <c r="AS54" i="2" s="1"/>
  <c r="AS53" i="2" a="1"/>
  <c r="AS53" i="2" s="1"/>
  <c r="AS52" i="2" a="1"/>
  <c r="AS52" i="2" s="1"/>
  <c r="AS51" i="2" a="1"/>
  <c r="AS51" i="2" s="1"/>
  <c r="AS50" i="2" a="1"/>
  <c r="AS50" i="2" s="1"/>
  <c r="AS44" i="2" a="1"/>
  <c r="AS44" i="2" s="1"/>
  <c r="AS42" i="2" a="1"/>
  <c r="AS42" i="2" s="1"/>
  <c r="AS43" i="2" a="1"/>
  <c r="AS43" i="2" s="1"/>
  <c r="AS46" i="2" a="1"/>
  <c r="AS46" i="2" s="1"/>
  <c r="AS45" i="2" a="1"/>
  <c r="AS45" i="2" s="1"/>
  <c r="AS41" i="2" a="1"/>
  <c r="AS41" i="2" s="1"/>
  <c r="AS47" i="2" a="1"/>
  <c r="AS47" i="2" s="1"/>
  <c r="AS40" i="2" a="1"/>
  <c r="AS40" i="2" s="1"/>
  <c r="AS37" i="2" a="1"/>
  <c r="AS37" i="2" s="1"/>
  <c r="AS34" i="2" a="1"/>
  <c r="AS34" i="2" s="1"/>
  <c r="AS36" i="2" a="1"/>
  <c r="AS36" i="2" s="1"/>
  <c r="AS39" i="2" a="1"/>
  <c r="AS39" i="2" s="1"/>
  <c r="AS35" i="2" a="1"/>
  <c r="AS35" i="2" s="1"/>
  <c r="AS38" i="2" a="1"/>
  <c r="AS38" i="2" s="1"/>
  <c r="AS33" i="2" a="1"/>
  <c r="AS33" i="2" s="1"/>
  <c r="AS32" i="2" a="1"/>
  <c r="AS32" i="2" s="1"/>
  <c r="AS29" i="2" a="1"/>
  <c r="AS29" i="2" s="1"/>
  <c r="AS28" i="2" a="1"/>
  <c r="AS28" i="2" s="1"/>
  <c r="AS26" i="2" a="1"/>
  <c r="AS26" i="2" s="1"/>
  <c r="AS27" i="2" a="1"/>
  <c r="AS27" i="2" s="1"/>
  <c r="AS30" i="2" a="1"/>
  <c r="AS30" i="2" s="1"/>
  <c r="AS31" i="2" a="1"/>
  <c r="AS31" i="2" s="1"/>
  <c r="AS17" i="2" a="1"/>
  <c r="AS17" i="2" s="1"/>
  <c r="AS25" i="2" a="1"/>
  <c r="AS25" i="2" s="1"/>
  <c r="AS24" i="2" a="1"/>
  <c r="AS24" i="2" s="1"/>
  <c r="AS23" i="2" a="1"/>
  <c r="AS23" i="2" s="1"/>
  <c r="AS22" i="2" a="1"/>
  <c r="AS22" i="2" s="1"/>
  <c r="AS21" i="2" a="1"/>
  <c r="AS21" i="2" s="1"/>
  <c r="AS20" i="2" a="1"/>
  <c r="AS20" i="2" s="1"/>
  <c r="AS19" i="2" a="1"/>
  <c r="AS19" i="2" s="1"/>
  <c r="AS16" i="2" a="1"/>
  <c r="AS16" i="2" s="1"/>
  <c r="AS18" i="2" a="1"/>
  <c r="AS18" i="2" s="1"/>
  <c r="AS15" i="2" a="1"/>
  <c r="AS15" i="2" s="1"/>
  <c r="AS13" i="2" a="1"/>
  <c r="AS13" i="2" s="1"/>
  <c r="AS12" i="2" a="1"/>
  <c r="AS12" i="2" s="1"/>
  <c r="AS8" i="2" a="1"/>
  <c r="AS8" i="2" s="1"/>
  <c r="AS11" i="2" a="1"/>
  <c r="AS11" i="2" s="1"/>
  <c r="AS10" i="2" a="1"/>
  <c r="AS10" i="2" s="1"/>
  <c r="AS14" i="2" a="1"/>
  <c r="AS14" i="2" s="1"/>
  <c r="AS9" i="2" a="1"/>
  <c r="AS9" i="2" s="1"/>
  <c r="AS7" i="2" a="1"/>
  <c r="AS7" i="2" s="1"/>
  <c r="AS4" i="2" a="1"/>
  <c r="AS4" i="2" s="1"/>
  <c r="AS5" i="2" a="1"/>
  <c r="AS5" i="2" s="1"/>
  <c r="AS6" i="2" a="1"/>
  <c r="AS6" i="2" s="1"/>
  <c r="W101" i="2" a="1"/>
  <c r="W101" i="2" s="1"/>
  <c r="W100" i="2" a="1"/>
  <c r="W100" i="2" s="1"/>
  <c r="W103" i="2" a="1"/>
  <c r="W103" i="2" s="1"/>
  <c r="W102" i="2" a="1"/>
  <c r="W102" i="2" s="1"/>
  <c r="W99" i="2" a="1"/>
  <c r="W99" i="2" s="1"/>
  <c r="W97" i="2" a="1"/>
  <c r="W97" i="2" s="1"/>
  <c r="W98" i="2" a="1"/>
  <c r="W98" i="2" s="1"/>
  <c r="W96" i="2" a="1"/>
  <c r="W96" i="2" s="1"/>
  <c r="W95" i="2" a="1"/>
  <c r="W95" i="2" s="1"/>
  <c r="W94" i="2" a="1"/>
  <c r="W94" i="2" s="1"/>
  <c r="W93" i="2" a="1"/>
  <c r="W93" i="2" s="1"/>
  <c r="W92" i="2" a="1"/>
  <c r="W92" i="2" s="1"/>
  <c r="W88" i="2" a="1"/>
  <c r="W88" i="2" s="1"/>
  <c r="W91" i="2" a="1"/>
  <c r="W91" i="2" s="1"/>
  <c r="W90" i="2" a="1"/>
  <c r="W90" i="2" s="1"/>
  <c r="W89" i="2" a="1"/>
  <c r="W89" i="2" s="1"/>
  <c r="W87" i="2" a="1"/>
  <c r="W87" i="2" s="1"/>
  <c r="W86" i="2" a="1"/>
  <c r="W86" i="2" s="1"/>
  <c r="W85" i="2" a="1"/>
  <c r="W85" i="2" s="1"/>
  <c r="W84" i="2" a="1"/>
  <c r="W84" i="2" s="1"/>
  <c r="W81" i="2" a="1"/>
  <c r="W81" i="2" s="1"/>
  <c r="W83" i="2" a="1"/>
  <c r="W83" i="2" s="1"/>
  <c r="W82" i="2" a="1"/>
  <c r="W82" i="2" s="1"/>
  <c r="W78" i="2" a="1"/>
  <c r="W78" i="2" s="1"/>
  <c r="W80" i="2" a="1"/>
  <c r="W80" i="2" s="1"/>
  <c r="W79" i="2" a="1"/>
  <c r="W79" i="2" s="1"/>
  <c r="W76" i="2" a="1"/>
  <c r="W76" i="2" s="1"/>
  <c r="W77" i="2" a="1"/>
  <c r="W77" i="2" s="1"/>
  <c r="W75" i="2" a="1"/>
  <c r="W75" i="2" s="1"/>
  <c r="W72" i="2" a="1"/>
  <c r="W72" i="2" s="1"/>
  <c r="W74" i="2" a="1"/>
  <c r="W74" i="2" s="1"/>
  <c r="W73" i="2" a="1"/>
  <c r="W73" i="2" s="1"/>
  <c r="W70" i="2" a="1"/>
  <c r="W70" i="2" s="1"/>
  <c r="W69" i="2" a="1"/>
  <c r="W69" i="2" s="1"/>
  <c r="W68" i="2" a="1"/>
  <c r="W68" i="2" s="1"/>
  <c r="W71" i="2" a="1"/>
  <c r="W71" i="2" s="1"/>
  <c r="W67" i="2" a="1"/>
  <c r="W67" i="2" s="1"/>
  <c r="W66" i="2" a="1"/>
  <c r="W66" i="2" s="1"/>
  <c r="W64" i="2" a="1"/>
  <c r="W64" i="2" s="1"/>
  <c r="W65" i="2" a="1"/>
  <c r="W65" i="2" s="1"/>
  <c r="W63" i="2" a="1"/>
  <c r="W63" i="2" s="1"/>
  <c r="W62" i="2" a="1"/>
  <c r="W62" i="2" s="1"/>
  <c r="W61" i="2" a="1"/>
  <c r="W61" i="2" s="1"/>
  <c r="W60" i="2" a="1"/>
  <c r="W60" i="2" s="1"/>
  <c r="W59" i="2" a="1"/>
  <c r="W59" i="2" s="1"/>
  <c r="W58" i="2" a="1"/>
  <c r="W58" i="2" s="1"/>
  <c r="W57" i="2" a="1"/>
  <c r="W57" i="2" s="1"/>
  <c r="W52" i="2" a="1"/>
  <c r="W52" i="2" s="1"/>
  <c r="W51" i="2" a="1"/>
  <c r="W51" i="2" s="1"/>
  <c r="W53" i="2" a="1"/>
  <c r="W53" i="2" s="1"/>
  <c r="W50" i="2" a="1"/>
  <c r="W50" i="2" s="1"/>
  <c r="W56" i="2" a="1"/>
  <c r="W56" i="2" s="1"/>
  <c r="W55" i="2" a="1"/>
  <c r="W55" i="2" s="1"/>
  <c r="W49" i="2" a="1"/>
  <c r="W49" i="2" s="1"/>
  <c r="W54" i="2" a="1"/>
  <c r="W54" i="2" s="1"/>
  <c r="W47" i="2" a="1"/>
  <c r="W47" i="2" s="1"/>
  <c r="W48" i="2" a="1"/>
  <c r="W48" i="2" s="1"/>
  <c r="W44" i="2" a="1"/>
  <c r="W44" i="2" s="1"/>
  <c r="W42" i="2" a="1"/>
  <c r="W42" i="2" s="1"/>
  <c r="W46" i="2" a="1"/>
  <c r="W46" i="2" s="1"/>
  <c r="W43" i="2" a="1"/>
  <c r="W43" i="2" s="1"/>
  <c r="W45" i="2" a="1"/>
  <c r="W45" i="2" s="1"/>
  <c r="W36" i="2" a="1"/>
  <c r="W36" i="2" s="1"/>
  <c r="W39" i="2" a="1"/>
  <c r="W39" i="2" s="1"/>
  <c r="W41" i="2" a="1"/>
  <c r="W41" i="2" s="1"/>
  <c r="W35" i="2" a="1"/>
  <c r="W35" i="2" s="1"/>
  <c r="W38" i="2" a="1"/>
  <c r="W38" i="2" s="1"/>
  <c r="W34" i="2" a="1"/>
  <c r="W34" i="2" s="1"/>
  <c r="W40" i="2" a="1"/>
  <c r="W40" i="2" s="1"/>
  <c r="W37" i="2" a="1"/>
  <c r="W37" i="2" s="1"/>
  <c r="W33" i="2" a="1"/>
  <c r="W33" i="2" s="1"/>
  <c r="W27" i="2" a="1"/>
  <c r="W27" i="2" s="1"/>
  <c r="W26" i="2" a="1"/>
  <c r="W26" i="2" s="1"/>
  <c r="W31" i="2" a="1"/>
  <c r="W31" i="2" s="1"/>
  <c r="W30" i="2" a="1"/>
  <c r="W30" i="2" s="1"/>
  <c r="W32" i="2" a="1"/>
  <c r="W32" i="2" s="1"/>
  <c r="W29" i="2" a="1"/>
  <c r="W29" i="2" s="1"/>
  <c r="W28" i="2" a="1"/>
  <c r="W28" i="2" s="1"/>
  <c r="W17" i="2" a="1"/>
  <c r="W17" i="2" s="1"/>
  <c r="W18" i="2" a="1"/>
  <c r="W18" i="2" s="1"/>
  <c r="W24" i="2" a="1"/>
  <c r="W24" i="2" s="1"/>
  <c r="W23" i="2" a="1"/>
  <c r="W23" i="2" s="1"/>
  <c r="W22" i="2" a="1"/>
  <c r="W22" i="2" s="1"/>
  <c r="W21" i="2" a="1"/>
  <c r="W21" i="2" s="1"/>
  <c r="W20" i="2" a="1"/>
  <c r="W20" i="2" s="1"/>
  <c r="W19" i="2" a="1"/>
  <c r="W19" i="2" s="1"/>
  <c r="W16" i="2" a="1"/>
  <c r="W16" i="2" s="1"/>
  <c r="W15" i="2" a="1"/>
  <c r="W15" i="2" s="1"/>
  <c r="W25" i="2" a="1"/>
  <c r="W25" i="2" s="1"/>
  <c r="W12" i="2" a="1"/>
  <c r="W12" i="2" s="1"/>
  <c r="W11" i="2" a="1"/>
  <c r="W11" i="2" s="1"/>
  <c r="W10" i="2" a="1"/>
  <c r="W10" i="2" s="1"/>
  <c r="W14" i="2" a="1"/>
  <c r="W14" i="2" s="1"/>
  <c r="W9" i="2" a="1"/>
  <c r="W9" i="2" s="1"/>
  <c r="W13" i="2" a="1"/>
  <c r="W13" i="2" s="1"/>
  <c r="W8" i="2" a="1"/>
  <c r="W8" i="2" s="1"/>
  <c r="W6" i="2" a="1"/>
  <c r="W6" i="2" s="1"/>
  <c r="W5" i="2" a="1"/>
  <c r="W5" i="2" s="1"/>
  <c r="W4" i="2" a="1"/>
  <c r="W4" i="2" s="1"/>
  <c r="W7" i="2" a="1"/>
  <c r="W7" i="2" s="1"/>
  <c r="AV100" i="2" a="1"/>
  <c r="AV100" i="2" s="1"/>
  <c r="AV103" i="2" a="1"/>
  <c r="AV103" i="2" s="1"/>
  <c r="AV102" i="2" a="1"/>
  <c r="AV102" i="2" s="1"/>
  <c r="AV101" i="2" a="1"/>
  <c r="AV101" i="2" s="1"/>
  <c r="AV99" i="2" a="1"/>
  <c r="AV99" i="2" s="1"/>
  <c r="AV96" i="2" a="1"/>
  <c r="AV96" i="2" s="1"/>
  <c r="AV95" i="2" a="1"/>
  <c r="AV95" i="2" s="1"/>
  <c r="AV98" i="2" a="1"/>
  <c r="AV98" i="2" s="1"/>
  <c r="AV97" i="2" a="1"/>
  <c r="AV97" i="2" s="1"/>
  <c r="AV92" i="2" a="1"/>
  <c r="AV92" i="2" s="1"/>
  <c r="AV94" i="2" a="1"/>
  <c r="AV94" i="2" s="1"/>
  <c r="AV93" i="2" a="1"/>
  <c r="AV93" i="2" s="1"/>
  <c r="AV89" i="2" a="1"/>
  <c r="AV89" i="2" s="1"/>
  <c r="AV91" i="2" a="1"/>
  <c r="AV91" i="2" s="1"/>
  <c r="AV88" i="2" a="1"/>
  <c r="AV88" i="2" s="1"/>
  <c r="AV90" i="2" a="1"/>
  <c r="AV90" i="2" s="1"/>
  <c r="AV84" i="2" a="1"/>
  <c r="AV84" i="2" s="1"/>
  <c r="AV87" i="2" a="1"/>
  <c r="AV87" i="2" s="1"/>
  <c r="AV86" i="2" a="1"/>
  <c r="AV86" i="2" s="1"/>
  <c r="AV85" i="2" a="1"/>
  <c r="AV85" i="2" s="1"/>
  <c r="AV81" i="2" a="1"/>
  <c r="AV81" i="2" s="1"/>
  <c r="AV82" i="2" a="1"/>
  <c r="AV82" i="2" s="1"/>
  <c r="AV80" i="2" a="1"/>
  <c r="AV80" i="2" s="1"/>
  <c r="AV83" i="2" a="1"/>
  <c r="AV83" i="2" s="1"/>
  <c r="AV79" i="2" a="1"/>
  <c r="AV79" i="2" s="1"/>
  <c r="AV77" i="2" a="1"/>
  <c r="AV77" i="2" s="1"/>
  <c r="AV76" i="2" a="1"/>
  <c r="AV76" i="2" s="1"/>
  <c r="AV78" i="2" a="1"/>
  <c r="AV78" i="2" s="1"/>
  <c r="AV74" i="2" a="1"/>
  <c r="AV74" i="2" s="1"/>
  <c r="AV73" i="2" a="1"/>
  <c r="AV73" i="2" s="1"/>
  <c r="AV72" i="2" a="1"/>
  <c r="AV72" i="2" s="1"/>
  <c r="AV75" i="2" a="1"/>
  <c r="AV75" i="2" s="1"/>
  <c r="AV70" i="2" a="1"/>
  <c r="AV70" i="2" s="1"/>
  <c r="AV69" i="2" a="1"/>
  <c r="AV69" i="2" s="1"/>
  <c r="AV68" i="2" a="1"/>
  <c r="AV68" i="2" s="1"/>
  <c r="AV71" i="2" a="1"/>
  <c r="AV71" i="2" s="1"/>
  <c r="AV63" i="2" a="1"/>
  <c r="AV63" i="2" s="1"/>
  <c r="AV67" i="2" a="1"/>
  <c r="AV67" i="2" s="1"/>
  <c r="AV66" i="2" a="1"/>
  <c r="AV66" i="2" s="1"/>
  <c r="AV65" i="2" a="1"/>
  <c r="AV65" i="2" s="1"/>
  <c r="AV64" i="2" a="1"/>
  <c r="AV64" i="2" s="1"/>
  <c r="AV60" i="2" a="1"/>
  <c r="AV60" i="2" s="1"/>
  <c r="AV62" i="2" a="1"/>
  <c r="AV62" i="2" s="1"/>
  <c r="AV61" i="2" a="1"/>
  <c r="AV61" i="2" s="1"/>
  <c r="AV58" i="2" a="1"/>
  <c r="AV58" i="2" s="1"/>
  <c r="AV59" i="2" a="1"/>
  <c r="AV59" i="2" s="1"/>
  <c r="AV57" i="2" a="1"/>
  <c r="AV57" i="2" s="1"/>
  <c r="AV53" i="2" a="1"/>
  <c r="AV53" i="2" s="1"/>
  <c r="AV52" i="2" a="1"/>
  <c r="AV52" i="2" s="1"/>
  <c r="AV51" i="2" a="1"/>
  <c r="AV51" i="2" s="1"/>
  <c r="AV55" i="2" a="1"/>
  <c r="AV55" i="2" s="1"/>
  <c r="AV50" i="2" a="1"/>
  <c r="AV50" i="2" s="1"/>
  <c r="AV49" i="2" a="1"/>
  <c r="AV49" i="2" s="1"/>
  <c r="AV56" i="2" a="1"/>
  <c r="AV56" i="2" s="1"/>
  <c r="AV54" i="2" a="1"/>
  <c r="AV54" i="2" s="1"/>
  <c r="AV46" i="2" a="1"/>
  <c r="AV46" i="2" s="1"/>
  <c r="AV43" i="2" a="1"/>
  <c r="AV43" i="2" s="1"/>
  <c r="AV45" i="2" a="1"/>
  <c r="AV45" i="2" s="1"/>
  <c r="AV41" i="2" a="1"/>
  <c r="AV41" i="2" s="1"/>
  <c r="AV47" i="2" a="1"/>
  <c r="AV47" i="2" s="1"/>
  <c r="AV48" i="2" a="1"/>
  <c r="AV48" i="2" s="1"/>
  <c r="AV44" i="2" a="1"/>
  <c r="AV44" i="2" s="1"/>
  <c r="AV42" i="2" a="1"/>
  <c r="AV42" i="2" s="1"/>
  <c r="AV36" i="2" a="1"/>
  <c r="AV36" i="2" s="1"/>
  <c r="AV39" i="2" a="1"/>
  <c r="AV39" i="2" s="1"/>
  <c r="AV35" i="2" a="1"/>
  <c r="AV35" i="2" s="1"/>
  <c r="AV38" i="2" a="1"/>
  <c r="AV38" i="2" s="1"/>
  <c r="AV34" i="2" a="1"/>
  <c r="AV34" i="2" s="1"/>
  <c r="AV40" i="2" a="1"/>
  <c r="AV40" i="2" s="1"/>
  <c r="AV37" i="2" a="1"/>
  <c r="AV37" i="2" s="1"/>
  <c r="AV28" i="2" a="1"/>
  <c r="AV28" i="2" s="1"/>
  <c r="AV27" i="2" a="1"/>
  <c r="AV27" i="2" s="1"/>
  <c r="AV26" i="2" a="1"/>
  <c r="AV26" i="2" s="1"/>
  <c r="AV25" i="2" a="1"/>
  <c r="AV25" i="2" s="1"/>
  <c r="AV30" i="2" a="1"/>
  <c r="AV30" i="2" s="1"/>
  <c r="AV31" i="2" a="1"/>
  <c r="AV31" i="2" s="1"/>
  <c r="AV33" i="2" a="1"/>
  <c r="AV33" i="2" s="1"/>
  <c r="AV32" i="2" a="1"/>
  <c r="AV32" i="2" s="1"/>
  <c r="AV29" i="2" a="1"/>
  <c r="AV29" i="2" s="1"/>
  <c r="AV24" i="2" a="1"/>
  <c r="AV24" i="2" s="1"/>
  <c r="AV23" i="2" a="1"/>
  <c r="AV23" i="2" s="1"/>
  <c r="AV22" i="2" a="1"/>
  <c r="AV22" i="2" s="1"/>
  <c r="AV21" i="2" a="1"/>
  <c r="AV21" i="2" s="1"/>
  <c r="AV20" i="2" a="1"/>
  <c r="AV20" i="2" s="1"/>
  <c r="AV19" i="2" a="1"/>
  <c r="AV19" i="2" s="1"/>
  <c r="AV18" i="2" a="1"/>
  <c r="AV18" i="2" s="1"/>
  <c r="AV16" i="2" a="1"/>
  <c r="AV16" i="2" s="1"/>
  <c r="AV17" i="2" a="1"/>
  <c r="AV17" i="2" s="1"/>
  <c r="AV12" i="2" a="1"/>
  <c r="AV12" i="2" s="1"/>
  <c r="AV8" i="2" a="1"/>
  <c r="AV8" i="2" s="1"/>
  <c r="AV10" i="2" a="1"/>
  <c r="AV10" i="2" s="1"/>
  <c r="AV11" i="2" a="1"/>
  <c r="AV11" i="2" s="1"/>
  <c r="AV9" i="2" a="1"/>
  <c r="AV9" i="2" s="1"/>
  <c r="AV14" i="2" a="1"/>
  <c r="AV14" i="2" s="1"/>
  <c r="AV15" i="2" a="1"/>
  <c r="AV15" i="2" s="1"/>
  <c r="AV13" i="2" a="1"/>
  <c r="AV13" i="2" s="1"/>
  <c r="AV5" i="2" a="1"/>
  <c r="AV5" i="2" s="1"/>
  <c r="AV6" i="2" a="1"/>
  <c r="AV6" i="2" s="1"/>
  <c r="AV7" i="2" a="1"/>
  <c r="AV7" i="2" s="1"/>
  <c r="AV4" i="2" a="1"/>
  <c r="AV4" i="2" s="1"/>
  <c r="BU103" i="2" a="1"/>
  <c r="BU103" i="2" s="1"/>
  <c r="BU102" i="2" a="1"/>
  <c r="BU102" i="2" s="1"/>
  <c r="BU101" i="2" a="1"/>
  <c r="BU101" i="2" s="1"/>
  <c r="BU100" i="2" a="1"/>
  <c r="BU100" i="2" s="1"/>
  <c r="BU99" i="2" a="1"/>
  <c r="BU99" i="2" s="1"/>
  <c r="BU96" i="2" a="1"/>
  <c r="BU96" i="2" s="1"/>
  <c r="BU98" i="2" a="1"/>
  <c r="BU98" i="2" s="1"/>
  <c r="BU97" i="2" a="1"/>
  <c r="BU97" i="2" s="1"/>
  <c r="BU92" i="2" a="1"/>
  <c r="BU92" i="2" s="1"/>
  <c r="BU94" i="2" a="1"/>
  <c r="BU94" i="2" s="1"/>
  <c r="BU93" i="2" a="1"/>
  <c r="BU93" i="2" s="1"/>
  <c r="BU95" i="2" a="1"/>
  <c r="BU95" i="2" s="1"/>
  <c r="BU90" i="2" a="1"/>
  <c r="BU90" i="2" s="1"/>
  <c r="BU89" i="2" a="1"/>
  <c r="BU89" i="2" s="1"/>
  <c r="BU91" i="2" a="1"/>
  <c r="BU91" i="2" s="1"/>
  <c r="BU88" i="2" a="1"/>
  <c r="BU88" i="2" s="1"/>
  <c r="BU85" i="2" a="1"/>
  <c r="BU85" i="2" s="1"/>
  <c r="BU84" i="2" a="1"/>
  <c r="BU84" i="2" s="1"/>
  <c r="BU87" i="2" a="1"/>
  <c r="BU87" i="2" s="1"/>
  <c r="BU86" i="2" a="1"/>
  <c r="BU86" i="2" s="1"/>
  <c r="BU82" i="2" a="1"/>
  <c r="BU82" i="2" s="1"/>
  <c r="BU83" i="2" a="1"/>
  <c r="BU83" i="2" s="1"/>
  <c r="BU80" i="2" a="1"/>
  <c r="BU80" i="2" s="1"/>
  <c r="BU81" i="2" a="1"/>
  <c r="BU81" i="2" s="1"/>
  <c r="BU79" i="2" a="1"/>
  <c r="BU79" i="2" s="1"/>
  <c r="BU78" i="2" a="1"/>
  <c r="BU78" i="2" s="1"/>
  <c r="BU76" i="2" a="1"/>
  <c r="BU76" i="2" s="1"/>
  <c r="BU77" i="2" a="1"/>
  <c r="BU77" i="2" s="1"/>
  <c r="BU75" i="2" a="1"/>
  <c r="BU75" i="2" s="1"/>
  <c r="BU73" i="2" a="1"/>
  <c r="BU73" i="2" s="1"/>
  <c r="BU72" i="2" a="1"/>
  <c r="BU72" i="2" s="1"/>
  <c r="BU74" i="2" a="1"/>
  <c r="BU74" i="2" s="1"/>
  <c r="BU71" i="2" a="1"/>
  <c r="BU71" i="2" s="1"/>
  <c r="BU70" i="2" a="1"/>
  <c r="BU70" i="2" s="1"/>
  <c r="BU69" i="2" a="1"/>
  <c r="BU69" i="2" s="1"/>
  <c r="BU68" i="2" a="1"/>
  <c r="BU68" i="2" s="1"/>
  <c r="BU66" i="2" a="1"/>
  <c r="BU66" i="2" s="1"/>
  <c r="BU67" i="2" a="1"/>
  <c r="BU67" i="2" s="1"/>
  <c r="BU65" i="2" a="1"/>
  <c r="BU65" i="2" s="1"/>
  <c r="BU64" i="2" a="1"/>
  <c r="BU64" i="2" s="1"/>
  <c r="BU60" i="2" a="1"/>
  <c r="BU60" i="2" s="1"/>
  <c r="BU59" i="2" a="1"/>
  <c r="BU59" i="2" s="1"/>
  <c r="BU63" i="2" a="1"/>
  <c r="BU63" i="2" s="1"/>
  <c r="BU62" i="2" a="1"/>
  <c r="BU62" i="2" s="1"/>
  <c r="BU61" i="2" a="1"/>
  <c r="BU61" i="2" s="1"/>
  <c r="BU56" i="2" a="1"/>
  <c r="BU56" i="2" s="1"/>
  <c r="BU58" i="2" a="1"/>
  <c r="BU58" i="2" s="1"/>
  <c r="BU57" i="2" a="1"/>
  <c r="BU57" i="2" s="1"/>
  <c r="BU49" i="2" a="1"/>
  <c r="BU49" i="2" s="1"/>
  <c r="BU54" i="2" a="1"/>
  <c r="BU54" i="2" s="1"/>
  <c r="BU48" i="2" a="1"/>
  <c r="BU48" i="2" s="1"/>
  <c r="BU52" i="2" a="1"/>
  <c r="BU52" i="2" s="1"/>
  <c r="BU53" i="2" a="1"/>
  <c r="BU53" i="2" s="1"/>
  <c r="BU51" i="2" a="1"/>
  <c r="BU51" i="2" s="1"/>
  <c r="BU55" i="2" a="1"/>
  <c r="BU55" i="2" s="1"/>
  <c r="BU50" i="2" a="1"/>
  <c r="BU50" i="2" s="1"/>
  <c r="BU44" i="2" a="1"/>
  <c r="BU44" i="2" s="1"/>
  <c r="BU43" i="2" a="1"/>
  <c r="BU43" i="2" s="1"/>
  <c r="BU42" i="2" a="1"/>
  <c r="BU42" i="2" s="1"/>
  <c r="BU40" i="2" a="1"/>
  <c r="BU40" i="2" s="1"/>
  <c r="BU46" i="2" a="1"/>
  <c r="BU46" i="2" s="1"/>
  <c r="BU45" i="2" a="1"/>
  <c r="BU45" i="2" s="1"/>
  <c r="BU41" i="2" a="1"/>
  <c r="BU41" i="2" s="1"/>
  <c r="BU47" i="2" a="1"/>
  <c r="BU47" i="2" s="1"/>
  <c r="BU39" i="2" a="1"/>
  <c r="BU39" i="2" s="1"/>
  <c r="BU36" i="2" a="1"/>
  <c r="BU36" i="2" s="1"/>
  <c r="BU35" i="2" a="1"/>
  <c r="BU35" i="2" s="1"/>
  <c r="BU33" i="2" a="1"/>
  <c r="BU33" i="2" s="1"/>
  <c r="BU38" i="2" a="1"/>
  <c r="BU38" i="2" s="1"/>
  <c r="BU37" i="2" a="1"/>
  <c r="BU37" i="2" s="1"/>
  <c r="BU34" i="2" a="1"/>
  <c r="BU34" i="2" s="1"/>
  <c r="BU29" i="2" a="1"/>
  <c r="BU29" i="2" s="1"/>
  <c r="BU28" i="2" a="1"/>
  <c r="BU28" i="2" s="1"/>
  <c r="BU32" i="2" a="1"/>
  <c r="BU32" i="2" s="1"/>
  <c r="BU27" i="2" a="1"/>
  <c r="BU27" i="2" s="1"/>
  <c r="BU30" i="2" a="1"/>
  <c r="BU30" i="2" s="1"/>
  <c r="BU26" i="2" a="1"/>
  <c r="BU26" i="2" s="1"/>
  <c r="BU31" i="2" a="1"/>
  <c r="BU31" i="2" s="1"/>
  <c r="BU24" i="2" a="1"/>
  <c r="BU24" i="2" s="1"/>
  <c r="BU23" i="2" a="1"/>
  <c r="BU23" i="2" s="1"/>
  <c r="BU22" i="2" a="1"/>
  <c r="BU22" i="2" s="1"/>
  <c r="BU21" i="2" a="1"/>
  <c r="BU21" i="2" s="1"/>
  <c r="BU20" i="2" a="1"/>
  <c r="BU20" i="2" s="1"/>
  <c r="BU19" i="2" a="1"/>
  <c r="BU19" i="2" s="1"/>
  <c r="BU18" i="2" a="1"/>
  <c r="BU18" i="2" s="1"/>
  <c r="BU16" i="2" a="1"/>
  <c r="BU16" i="2" s="1"/>
  <c r="BU25" i="2" a="1"/>
  <c r="BU25" i="2" s="1"/>
  <c r="BU17" i="2" a="1"/>
  <c r="BU17" i="2" s="1"/>
  <c r="BU13" i="2" a="1"/>
  <c r="BU13" i="2" s="1"/>
  <c r="BU12" i="2" a="1"/>
  <c r="BU12" i="2" s="1"/>
  <c r="BU10" i="2" a="1"/>
  <c r="BU10" i="2" s="1"/>
  <c r="BU15" i="2" a="1"/>
  <c r="BU15" i="2" s="1"/>
  <c r="BU11" i="2" a="1"/>
  <c r="BU11" i="2" s="1"/>
  <c r="BU9" i="2" a="1"/>
  <c r="BU9" i="2" s="1"/>
  <c r="BU14" i="2" a="1"/>
  <c r="BU14" i="2" s="1"/>
  <c r="BU8" i="2" a="1"/>
  <c r="BU8" i="2" s="1"/>
  <c r="BU7" i="2" a="1"/>
  <c r="BU7" i="2" s="1"/>
  <c r="BU5" i="2" a="1"/>
  <c r="BU5" i="2" s="1"/>
  <c r="BU4" i="2" a="1"/>
  <c r="BU4" i="2" s="1"/>
  <c r="BU6" i="2" a="1"/>
  <c r="BU6" i="2" s="1"/>
  <c r="CH100" i="2" a="1"/>
  <c r="CH100" i="2" s="1"/>
  <c r="CH103" i="2" a="1"/>
  <c r="CH103" i="2" s="1"/>
  <c r="CH102" i="2" a="1"/>
  <c r="CH102" i="2" s="1"/>
  <c r="CH99" i="2" a="1"/>
  <c r="CH99" i="2" s="1"/>
  <c r="CH101" i="2" a="1"/>
  <c r="CH101" i="2" s="1"/>
  <c r="CH97" i="2" a="1"/>
  <c r="CH97" i="2" s="1"/>
  <c r="CH98" i="2" a="1"/>
  <c r="CH98" i="2" s="1"/>
  <c r="CH96" i="2" a="1"/>
  <c r="CH96" i="2" s="1"/>
  <c r="CH95" i="2" a="1"/>
  <c r="CH95" i="2" s="1"/>
  <c r="CH93" i="2" a="1"/>
  <c r="CH93" i="2" s="1"/>
  <c r="CH92" i="2" a="1"/>
  <c r="CH92" i="2" s="1"/>
  <c r="CH94" i="2" a="1"/>
  <c r="CH94" i="2" s="1"/>
  <c r="CH88" i="2" a="1"/>
  <c r="CH88" i="2" s="1"/>
  <c r="CH90" i="2" a="1"/>
  <c r="CH90" i="2" s="1"/>
  <c r="CH89" i="2" a="1"/>
  <c r="CH89" i="2" s="1"/>
  <c r="CH91" i="2" a="1"/>
  <c r="CH91" i="2" s="1"/>
  <c r="CH85" i="2" a="1"/>
  <c r="CH85" i="2" s="1"/>
  <c r="CH84" i="2" a="1"/>
  <c r="CH84" i="2" s="1"/>
  <c r="CH87" i="2" a="1"/>
  <c r="CH87" i="2" s="1"/>
  <c r="CH86" i="2" a="1"/>
  <c r="CH86" i="2" s="1"/>
  <c r="CH83" i="2" a="1"/>
  <c r="CH83" i="2" s="1"/>
  <c r="CH81" i="2" a="1"/>
  <c r="CH81" i="2" s="1"/>
  <c r="CH80" i="2" a="1"/>
  <c r="CH80" i="2" s="1"/>
  <c r="CH82" i="2" a="1"/>
  <c r="CH82" i="2" s="1"/>
  <c r="CH76" i="2" a="1"/>
  <c r="CH76" i="2" s="1"/>
  <c r="CH79" i="2" a="1"/>
  <c r="CH79" i="2" s="1"/>
  <c r="CH77" i="2" a="1"/>
  <c r="CH77" i="2" s="1"/>
  <c r="CH78" i="2" a="1"/>
  <c r="CH78" i="2" s="1"/>
  <c r="CH73" i="2" a="1"/>
  <c r="CH73" i="2" s="1"/>
  <c r="CH72" i="2" a="1"/>
  <c r="CH72" i="2" s="1"/>
  <c r="CH74" i="2" a="1"/>
  <c r="CH74" i="2" s="1"/>
  <c r="CH75" i="2" a="1"/>
  <c r="CH75" i="2" s="1"/>
  <c r="CH69" i="2" a="1"/>
  <c r="CH69" i="2" s="1"/>
  <c r="CH68" i="2" a="1"/>
  <c r="CH68" i="2" s="1"/>
  <c r="CH71" i="2" a="1"/>
  <c r="CH71" i="2" s="1"/>
  <c r="CH70" i="2" a="1"/>
  <c r="CH70" i="2" s="1"/>
  <c r="CH65" i="2" a="1"/>
  <c r="CH65" i="2" s="1"/>
  <c r="CH64" i="2" a="1"/>
  <c r="CH64" i="2" s="1"/>
  <c r="CH66" i="2" a="1"/>
  <c r="CH66" i="2" s="1"/>
  <c r="CH67" i="2" a="1"/>
  <c r="CH67" i="2" s="1"/>
  <c r="CH62" i="2" a="1"/>
  <c r="CH62" i="2" s="1"/>
  <c r="CH61" i="2" a="1"/>
  <c r="CH61" i="2" s="1"/>
  <c r="CH60" i="2" a="1"/>
  <c r="CH60" i="2" s="1"/>
  <c r="CH63" i="2" a="1"/>
  <c r="CH63" i="2" s="1"/>
  <c r="CH59" i="2" a="1"/>
  <c r="CH59" i="2" s="1"/>
  <c r="CH57" i="2" a="1"/>
  <c r="CH57" i="2" s="1"/>
  <c r="CH56" i="2" a="1"/>
  <c r="CH56" i="2" s="1"/>
  <c r="CH58" i="2" a="1"/>
  <c r="CH58" i="2" s="1"/>
  <c r="CH53" i="2" a="1"/>
  <c r="CH53" i="2" s="1"/>
  <c r="CH55" i="2" a="1"/>
  <c r="CH55" i="2" s="1"/>
  <c r="CH51" i="2" a="1"/>
  <c r="CH51" i="2" s="1"/>
  <c r="CH50" i="2" a="1"/>
  <c r="CH50" i="2" s="1"/>
  <c r="CH49" i="2" a="1"/>
  <c r="CH49" i="2" s="1"/>
  <c r="CH52" i="2" a="1"/>
  <c r="CH52" i="2" s="1"/>
  <c r="CH48" i="2" a="1"/>
  <c r="CH48" i="2" s="1"/>
  <c r="CH54" i="2" a="1"/>
  <c r="CH54" i="2" s="1"/>
  <c r="CH41" i="2" a="1"/>
  <c r="CH41" i="2" s="1"/>
  <c r="CH47" i="2" a="1"/>
  <c r="CH47" i="2" s="1"/>
  <c r="CH44" i="2" a="1"/>
  <c r="CH44" i="2" s="1"/>
  <c r="CH40" i="2" a="1"/>
  <c r="CH40" i="2" s="1"/>
  <c r="CH43" i="2" a="1"/>
  <c r="CH43" i="2" s="1"/>
  <c r="CH42" i="2" a="1"/>
  <c r="CH42" i="2" s="1"/>
  <c r="CH46" i="2" a="1"/>
  <c r="CH46" i="2" s="1"/>
  <c r="CH45" i="2" a="1"/>
  <c r="CH45" i="2" s="1"/>
  <c r="CH37" i="2" a="1"/>
  <c r="CH37" i="2" s="1"/>
  <c r="CH34" i="2" a="1"/>
  <c r="CH34" i="2" s="1"/>
  <c r="CH39" i="2" a="1"/>
  <c r="CH39" i="2" s="1"/>
  <c r="CH36" i="2" a="1"/>
  <c r="CH36" i="2" s="1"/>
  <c r="CH35" i="2" a="1"/>
  <c r="CH35" i="2" s="1"/>
  <c r="CH38" i="2" a="1"/>
  <c r="CH38" i="2" s="1"/>
  <c r="CH27" i="2" a="1"/>
  <c r="CH27" i="2" s="1"/>
  <c r="CH26" i="2" a="1"/>
  <c r="CH26" i="2" s="1"/>
  <c r="CH25" i="2" a="1"/>
  <c r="CH25" i="2" s="1"/>
  <c r="CH30" i="2" a="1"/>
  <c r="CH30" i="2" s="1"/>
  <c r="CH33" i="2" a="1"/>
  <c r="CH33" i="2" s="1"/>
  <c r="CH31" i="2" a="1"/>
  <c r="CH31" i="2" s="1"/>
  <c r="CH29" i="2" a="1"/>
  <c r="CH29" i="2" s="1"/>
  <c r="CH28" i="2" a="1"/>
  <c r="CH28" i="2" s="1"/>
  <c r="CH32" i="2" a="1"/>
  <c r="CH32" i="2" s="1"/>
  <c r="CH24" i="2" a="1"/>
  <c r="CH24" i="2" s="1"/>
  <c r="CH23" i="2" a="1"/>
  <c r="CH23" i="2" s="1"/>
  <c r="CH22" i="2" a="1"/>
  <c r="CH22" i="2" s="1"/>
  <c r="CH21" i="2" a="1"/>
  <c r="CH21" i="2" s="1"/>
  <c r="CH20" i="2" a="1"/>
  <c r="CH20" i="2" s="1"/>
  <c r="CH19" i="2" a="1"/>
  <c r="CH19" i="2" s="1"/>
  <c r="CH18" i="2" a="1"/>
  <c r="CH18" i="2" s="1"/>
  <c r="CH16" i="2" a="1"/>
  <c r="CH16" i="2" s="1"/>
  <c r="CH15" i="2" a="1"/>
  <c r="CH15" i="2" s="1"/>
  <c r="CH17" i="2" a="1"/>
  <c r="CH17" i="2" s="1"/>
  <c r="CH11" i="2" a="1"/>
  <c r="CH11" i="2" s="1"/>
  <c r="CH9" i="2" a="1"/>
  <c r="CH9" i="2" s="1"/>
  <c r="CH7" i="2" a="1"/>
  <c r="CH7" i="2" s="1"/>
  <c r="CH14" i="2" a="1"/>
  <c r="CH14" i="2" s="1"/>
  <c r="CH13" i="2" a="1"/>
  <c r="CH13" i="2" s="1"/>
  <c r="CH8" i="2" a="1"/>
  <c r="CH8" i="2" s="1"/>
  <c r="CH12" i="2" a="1"/>
  <c r="CH12" i="2" s="1"/>
  <c r="CH10" i="2" a="1"/>
  <c r="CH10" i="2" s="1"/>
  <c r="CH5" i="2" a="1"/>
  <c r="CH5" i="2" s="1"/>
  <c r="CH6" i="2" a="1"/>
  <c r="CH6" i="2" s="1"/>
  <c r="CH4" i="2" a="1"/>
  <c r="CH4" i="2" s="1"/>
  <c r="B103" i="2" a="1"/>
  <c r="B103" i="2" s="1"/>
  <c r="B102" i="2" a="1"/>
  <c r="B102" i="2" s="1"/>
  <c r="B101" i="2" a="1"/>
  <c r="B101" i="2" s="1"/>
  <c r="B100" i="2" a="1"/>
  <c r="B100" i="2" s="1"/>
  <c r="B96" i="2" a="1"/>
  <c r="B96" i="2" s="1"/>
  <c r="B99" i="2" a="1"/>
  <c r="B99" i="2" s="1"/>
  <c r="B97" i="2" a="1"/>
  <c r="B97" i="2" s="1"/>
  <c r="B98" i="2" a="1"/>
  <c r="B98" i="2" s="1"/>
  <c r="B93" i="2" a="1"/>
  <c r="B93" i="2" s="1"/>
  <c r="B92" i="2" a="1"/>
  <c r="B92" i="2" s="1"/>
  <c r="B95" i="2" a="1"/>
  <c r="B95" i="2" s="1"/>
  <c r="B94" i="2" a="1"/>
  <c r="B94" i="2" s="1"/>
  <c r="B90" i="2" a="1"/>
  <c r="B90" i="2" s="1"/>
  <c r="B89" i="2" a="1"/>
  <c r="B89" i="2" s="1"/>
  <c r="B88" i="2" a="1"/>
  <c r="B88" i="2" s="1"/>
  <c r="B91" i="2" a="1"/>
  <c r="B91" i="2" s="1"/>
  <c r="B87" i="2" a="1"/>
  <c r="B87" i="2" s="1"/>
  <c r="B86" i="2" a="1"/>
  <c r="B86" i="2" s="1"/>
  <c r="B84" i="2" a="1"/>
  <c r="B84" i="2" s="1"/>
  <c r="B85" i="2" a="1"/>
  <c r="B85" i="2" s="1"/>
  <c r="B81" i="2" a="1"/>
  <c r="B81" i="2" s="1"/>
  <c r="B83" i="2" a="1"/>
  <c r="B83" i="2" s="1"/>
  <c r="B82" i="2" a="1"/>
  <c r="B82" i="2" s="1"/>
  <c r="B79" i="2" a="1"/>
  <c r="B79" i="2" s="1"/>
  <c r="B77" i="2" a="1"/>
  <c r="B77" i="2" s="1"/>
  <c r="B80" i="2" a="1"/>
  <c r="B80" i="2" s="1"/>
  <c r="B78" i="2" a="1"/>
  <c r="B78" i="2" s="1"/>
  <c r="B73" i="2" a="1"/>
  <c r="B73" i="2" s="1"/>
  <c r="B75" i="2" a="1"/>
  <c r="B75" i="2" s="1"/>
  <c r="B74" i="2" a="1"/>
  <c r="B74" i="2" s="1"/>
  <c r="B76" i="2" a="1"/>
  <c r="B76" i="2" s="1"/>
  <c r="B72" i="2" a="1"/>
  <c r="B72" i="2" s="1"/>
  <c r="B70" i="2" a="1"/>
  <c r="B70" i="2" s="1"/>
  <c r="B69" i="2" a="1"/>
  <c r="B69" i="2" s="1"/>
  <c r="B71" i="2" a="1"/>
  <c r="B71" i="2" s="1"/>
  <c r="B65" i="2" a="1"/>
  <c r="B65" i="2" s="1"/>
  <c r="B66" i="2" a="1"/>
  <c r="B66" i="2" s="1"/>
  <c r="B64" i="2" a="1"/>
  <c r="B64" i="2" s="1"/>
  <c r="B68" i="2" a="1"/>
  <c r="B68" i="2" s="1"/>
  <c r="B67" i="2" a="1"/>
  <c r="B67" i="2" s="1"/>
  <c r="B63" i="2" a="1"/>
  <c r="B63" i="2" s="1"/>
  <c r="B62" i="2" a="1"/>
  <c r="B62" i="2" s="1"/>
  <c r="B61" i="2" a="1"/>
  <c r="B61" i="2" s="1"/>
  <c r="B57" i="2" a="1"/>
  <c r="B57" i="2" s="1"/>
  <c r="B59" i="2" a="1"/>
  <c r="B59" i="2" s="1"/>
  <c r="B60" i="2" a="1"/>
  <c r="B60" i="2" s="1"/>
  <c r="B58" i="2" a="1"/>
  <c r="B58" i="2" s="1"/>
  <c r="B54" i="2" a="1"/>
  <c r="B54" i="2" s="1"/>
  <c r="B52" i="2" a="1"/>
  <c r="B52" i="2" s="1"/>
  <c r="B51" i="2" a="1"/>
  <c r="B51" i="2" s="1"/>
  <c r="B50" i="2" a="1"/>
  <c r="B50" i="2" s="1"/>
  <c r="B53" i="2" a="1"/>
  <c r="B53" i="2" s="1"/>
  <c r="B49" i="2" a="1"/>
  <c r="B49" i="2" s="1"/>
  <c r="B56" i="2" a="1"/>
  <c r="B56" i="2" s="1"/>
  <c r="B55" i="2" a="1"/>
  <c r="B55" i="2" s="1"/>
  <c r="B44" i="2" a="1"/>
  <c r="B44" i="2" s="1"/>
  <c r="B45" i="2" a="1"/>
  <c r="B45" i="2" s="1"/>
  <c r="B43" i="2" a="1"/>
  <c r="B43" i="2" s="1"/>
  <c r="B48" i="2" a="1"/>
  <c r="B48" i="2" s="1"/>
  <c r="B46" i="2" a="1"/>
  <c r="B46" i="2" s="1"/>
  <c r="B41" i="2" a="1"/>
  <c r="B41" i="2" s="1"/>
  <c r="B47" i="2" a="1"/>
  <c r="B47" i="2" s="1"/>
  <c r="B42" i="2" a="1"/>
  <c r="B42" i="2" s="1"/>
  <c r="B38" i="2" a="1"/>
  <c r="B38" i="2" s="1"/>
  <c r="B34" i="2" a="1"/>
  <c r="B34" i="2" s="1"/>
  <c r="B37" i="2" a="1"/>
  <c r="B37" i="2" s="1"/>
  <c r="B36" i="2" a="1"/>
  <c r="B36" i="2" s="1"/>
  <c r="B39" i="2" a="1"/>
  <c r="B39" i="2" s="1"/>
  <c r="B40" i="2" a="1"/>
  <c r="B40" i="2" s="1"/>
  <c r="B35" i="2" a="1"/>
  <c r="B35" i="2" s="1"/>
  <c r="B29" i="2" a="1"/>
  <c r="B29" i="2" s="1"/>
  <c r="B33" i="2" a="1"/>
  <c r="B33" i="2" s="1"/>
  <c r="B26" i="2" a="1"/>
  <c r="B26" i="2" s="1"/>
  <c r="B28" i="2" a="1"/>
  <c r="B28" i="2" s="1"/>
  <c r="B27" i="2" a="1"/>
  <c r="B27" i="2" s="1"/>
  <c r="B31" i="2" a="1"/>
  <c r="B31" i="2" s="1"/>
  <c r="B30" i="2" a="1"/>
  <c r="B30" i="2" s="1"/>
  <c r="B32" i="2" a="1"/>
  <c r="B32" i="2" s="1"/>
  <c r="B16" i="2" a="1"/>
  <c r="B16" i="2" s="1"/>
  <c r="B24" i="2" a="1"/>
  <c r="B24" i="2" s="1"/>
  <c r="B23" i="2" a="1"/>
  <c r="B23" i="2" s="1"/>
  <c r="B22" i="2" a="1"/>
  <c r="B22" i="2" s="1"/>
  <c r="B21" i="2" a="1"/>
  <c r="B21" i="2" s="1"/>
  <c r="B20" i="2" a="1"/>
  <c r="B20" i="2" s="1"/>
  <c r="B19" i="2" a="1"/>
  <c r="B19" i="2" s="1"/>
  <c r="B18" i="2" a="1"/>
  <c r="B18" i="2" s="1"/>
  <c r="B25" i="2" a="1"/>
  <c r="B25" i="2" s="1"/>
  <c r="B17" i="2" a="1"/>
  <c r="B17" i="2" s="1"/>
  <c r="B14" i="2" a="1"/>
  <c r="B14" i="2" s="1"/>
  <c r="B9" i="2" a="1"/>
  <c r="B9" i="2" s="1"/>
  <c r="B13" i="2" a="1"/>
  <c r="B13" i="2" s="1"/>
  <c r="B12" i="2" a="1"/>
  <c r="B12" i="2" s="1"/>
  <c r="B10" i="2" a="1"/>
  <c r="B10" i="2" s="1"/>
  <c r="B15" i="2" a="1"/>
  <c r="B15" i="2" s="1"/>
  <c r="B11" i="2" a="1"/>
  <c r="B11" i="2" s="1"/>
  <c r="B7" i="2" a="1"/>
  <c r="B7" i="2" s="1"/>
  <c r="B4" i="2" a="1"/>
  <c r="B4" i="2" s="1"/>
  <c r="B6" i="2" a="1"/>
  <c r="B6" i="2" s="1"/>
  <c r="B8" i="2" a="1"/>
  <c r="B8" i="2" s="1"/>
  <c r="B5" i="2" a="1"/>
  <c r="B5" i="2" s="1"/>
  <c r="N101" i="2" a="1"/>
  <c r="N101" i="2" s="1"/>
  <c r="N100" i="2" a="1"/>
  <c r="N100" i="2" s="1"/>
  <c r="N103" i="2" a="1"/>
  <c r="N103" i="2" s="1"/>
  <c r="N102" i="2" a="1"/>
  <c r="N102" i="2" s="1"/>
  <c r="N99" i="2" a="1"/>
  <c r="N99" i="2" s="1"/>
  <c r="N97" i="2" a="1"/>
  <c r="N97" i="2" s="1"/>
  <c r="N98" i="2" a="1"/>
  <c r="N98" i="2" s="1"/>
  <c r="N96" i="2" a="1"/>
  <c r="N96" i="2" s="1"/>
  <c r="N95" i="2" a="1"/>
  <c r="N95" i="2" s="1"/>
  <c r="N94" i="2" a="1"/>
  <c r="N94" i="2" s="1"/>
  <c r="N93" i="2" a="1"/>
  <c r="N93" i="2" s="1"/>
  <c r="N92" i="2" a="1"/>
  <c r="N92" i="2" s="1"/>
  <c r="N88" i="2" a="1"/>
  <c r="N88" i="2" s="1"/>
  <c r="N91" i="2" a="1"/>
  <c r="N91" i="2" s="1"/>
  <c r="N90" i="2" a="1"/>
  <c r="N90" i="2" s="1"/>
  <c r="N89" i="2" a="1"/>
  <c r="N89" i="2" s="1"/>
  <c r="N87" i="2" a="1"/>
  <c r="N87" i="2" s="1"/>
  <c r="N86" i="2" a="1"/>
  <c r="N86" i="2" s="1"/>
  <c r="N84" i="2" a="1"/>
  <c r="N84" i="2" s="1"/>
  <c r="N85" i="2" a="1"/>
  <c r="N85" i="2" s="1"/>
  <c r="N82" i="2" a="1"/>
  <c r="N82" i="2" s="1"/>
  <c r="N83" i="2" a="1"/>
  <c r="N83" i="2" s="1"/>
  <c r="N81" i="2" a="1"/>
  <c r="N81" i="2" s="1"/>
  <c r="N78" i="2" a="1"/>
  <c r="N78" i="2" s="1"/>
  <c r="N80" i="2" a="1"/>
  <c r="N80" i="2" s="1"/>
  <c r="N79" i="2" a="1"/>
  <c r="N79" i="2" s="1"/>
  <c r="N77" i="2" a="1"/>
  <c r="N77" i="2" s="1"/>
  <c r="N76" i="2" a="1"/>
  <c r="N76" i="2" s="1"/>
  <c r="N72" i="2" a="1"/>
  <c r="N72" i="2" s="1"/>
  <c r="N74" i="2" a="1"/>
  <c r="N74" i="2" s="1"/>
  <c r="N73" i="2" a="1"/>
  <c r="N73" i="2" s="1"/>
  <c r="N75" i="2" a="1"/>
  <c r="N75" i="2" s="1"/>
  <c r="N70" i="2" a="1"/>
  <c r="N70" i="2" s="1"/>
  <c r="N69" i="2" a="1"/>
  <c r="N69" i="2" s="1"/>
  <c r="N71" i="2" a="1"/>
  <c r="N71" i="2" s="1"/>
  <c r="N66" i="2" a="1"/>
  <c r="N66" i="2" s="1"/>
  <c r="N64" i="2" a="1"/>
  <c r="N64" i="2" s="1"/>
  <c r="N67" i="2" a="1"/>
  <c r="N67" i="2" s="1"/>
  <c r="N68" i="2" a="1"/>
  <c r="N68" i="2" s="1"/>
  <c r="N65" i="2" a="1"/>
  <c r="N65" i="2" s="1"/>
  <c r="N62" i="2" a="1"/>
  <c r="N62" i="2" s="1"/>
  <c r="N61" i="2" a="1"/>
  <c r="N61" i="2" s="1"/>
  <c r="N60" i="2" a="1"/>
  <c r="N60" i="2" s="1"/>
  <c r="N63" i="2" a="1"/>
  <c r="N63" i="2" s="1"/>
  <c r="N56" i="2" a="1"/>
  <c r="N56" i="2" s="1"/>
  <c r="N59" i="2" a="1"/>
  <c r="N59" i="2" s="1"/>
  <c r="N58" i="2" a="1"/>
  <c r="N58" i="2" s="1"/>
  <c r="N57" i="2" a="1"/>
  <c r="N57" i="2" s="1"/>
  <c r="N51" i="2" a="1"/>
  <c r="N51" i="2" s="1"/>
  <c r="N50" i="2" a="1"/>
  <c r="N50" i="2" s="1"/>
  <c r="N53" i="2" a="1"/>
  <c r="N53" i="2" s="1"/>
  <c r="N55" i="2" a="1"/>
  <c r="N55" i="2" s="1"/>
  <c r="N49" i="2" a="1"/>
  <c r="N49" i="2" s="1"/>
  <c r="N54" i="2" a="1"/>
  <c r="N54" i="2" s="1"/>
  <c r="N52" i="2" a="1"/>
  <c r="N52" i="2" s="1"/>
  <c r="N47" i="2" a="1"/>
  <c r="N47" i="2" s="1"/>
  <c r="N48" i="2" a="1"/>
  <c r="N48" i="2" s="1"/>
  <c r="N42" i="2" a="1"/>
  <c r="N42" i="2" s="1"/>
  <c r="N44" i="2" a="1"/>
  <c r="N44" i="2" s="1"/>
  <c r="N45" i="2" a="1"/>
  <c r="N45" i="2" s="1"/>
  <c r="N43" i="2" a="1"/>
  <c r="N43" i="2" s="1"/>
  <c r="N46" i="2" a="1"/>
  <c r="N46" i="2" s="1"/>
  <c r="N39" i="2" a="1"/>
  <c r="N39" i="2" s="1"/>
  <c r="N36" i="2" a="1"/>
  <c r="N36" i="2" s="1"/>
  <c r="N35" i="2" a="1"/>
  <c r="N35" i="2" s="1"/>
  <c r="N41" i="2" a="1"/>
  <c r="N41" i="2" s="1"/>
  <c r="N40" i="2" a="1"/>
  <c r="N40" i="2" s="1"/>
  <c r="N38" i="2" a="1"/>
  <c r="N38" i="2" s="1"/>
  <c r="N34" i="2" a="1"/>
  <c r="N34" i="2" s="1"/>
  <c r="N37" i="2" a="1"/>
  <c r="N37" i="2" s="1"/>
  <c r="N27" i="2" a="1"/>
  <c r="N27" i="2" s="1"/>
  <c r="N26" i="2" a="1"/>
  <c r="N26" i="2" s="1"/>
  <c r="N30" i="2" a="1"/>
  <c r="N30" i="2" s="1"/>
  <c r="N31" i="2" a="1"/>
  <c r="N31" i="2" s="1"/>
  <c r="N32" i="2" a="1"/>
  <c r="N32" i="2" s="1"/>
  <c r="N29" i="2" a="1"/>
  <c r="N29" i="2" s="1"/>
  <c r="N28" i="2" a="1"/>
  <c r="N28" i="2" s="1"/>
  <c r="N33" i="2" a="1"/>
  <c r="N33" i="2" s="1"/>
  <c r="N24" i="2" a="1"/>
  <c r="N24" i="2" s="1"/>
  <c r="N23" i="2" a="1"/>
  <c r="N23" i="2" s="1"/>
  <c r="N22" i="2" a="1"/>
  <c r="N22" i="2" s="1"/>
  <c r="N21" i="2" a="1"/>
  <c r="N21" i="2" s="1"/>
  <c r="N20" i="2" a="1"/>
  <c r="N20" i="2" s="1"/>
  <c r="N19" i="2" a="1"/>
  <c r="N19" i="2" s="1"/>
  <c r="N18" i="2" a="1"/>
  <c r="N18" i="2" s="1"/>
  <c r="N25" i="2" a="1"/>
  <c r="N25" i="2" s="1"/>
  <c r="N16" i="2" a="1"/>
  <c r="N16" i="2" s="1"/>
  <c r="N17" i="2" a="1"/>
  <c r="N17" i="2" s="1"/>
  <c r="N13" i="2" a="1"/>
  <c r="N13" i="2" s="1"/>
  <c r="N12" i="2" a="1"/>
  <c r="N12" i="2" s="1"/>
  <c r="N10" i="2" a="1"/>
  <c r="N10" i="2" s="1"/>
  <c r="N11" i="2" a="1"/>
  <c r="N11" i="2" s="1"/>
  <c r="N15" i="2" a="1"/>
  <c r="N15" i="2" s="1"/>
  <c r="N14" i="2" a="1"/>
  <c r="N14" i="2" s="1"/>
  <c r="N9" i="2" a="1"/>
  <c r="N9" i="2" s="1"/>
  <c r="N6" i="2" a="1"/>
  <c r="N6" i="2" s="1"/>
  <c r="N8" i="2" a="1"/>
  <c r="N8" i="2" s="1"/>
  <c r="N5" i="2" a="1"/>
  <c r="N5" i="2" s="1"/>
  <c r="N7" i="2" a="1"/>
  <c r="N7" i="2" s="1"/>
  <c r="N4" i="2" a="1"/>
  <c r="N4" i="2" s="1"/>
  <c r="Z100" i="2" a="1"/>
  <c r="Z100" i="2" s="1"/>
  <c r="Z103" i="2" a="1"/>
  <c r="Z103" i="2" s="1"/>
  <c r="Z102" i="2" a="1"/>
  <c r="Z102" i="2" s="1"/>
  <c r="Z101" i="2" a="1"/>
  <c r="Z101" i="2" s="1"/>
  <c r="Z99" i="2" a="1"/>
  <c r="Z99" i="2" s="1"/>
  <c r="Z97" i="2" a="1"/>
  <c r="Z97" i="2" s="1"/>
  <c r="Z98" i="2" a="1"/>
  <c r="Z98" i="2" s="1"/>
  <c r="Z96" i="2" a="1"/>
  <c r="Z96" i="2" s="1"/>
  <c r="Z94" i="2" a="1"/>
  <c r="Z94" i="2" s="1"/>
  <c r="Z93" i="2" a="1"/>
  <c r="Z93" i="2" s="1"/>
  <c r="Z92" i="2" a="1"/>
  <c r="Z92" i="2" s="1"/>
  <c r="Z95" i="2" a="1"/>
  <c r="Z95" i="2" s="1"/>
  <c r="Z91" i="2" a="1"/>
  <c r="Z91" i="2" s="1"/>
  <c r="Z90" i="2" a="1"/>
  <c r="Z90" i="2" s="1"/>
  <c r="Z89" i="2" a="1"/>
  <c r="Z89" i="2" s="1"/>
  <c r="Z88" i="2" a="1"/>
  <c r="Z88" i="2" s="1"/>
  <c r="Z86" i="2" a="1"/>
  <c r="Z86" i="2" s="1"/>
  <c r="Z84" i="2" a="1"/>
  <c r="Z84" i="2" s="1"/>
  <c r="Z85" i="2" a="1"/>
  <c r="Z85" i="2" s="1"/>
  <c r="Z87" i="2" a="1"/>
  <c r="Z87" i="2" s="1"/>
  <c r="Z83" i="2" a="1"/>
  <c r="Z83" i="2" s="1"/>
  <c r="Z82" i="2" a="1"/>
  <c r="Z82" i="2" s="1"/>
  <c r="Z81" i="2" a="1"/>
  <c r="Z81" i="2" s="1"/>
  <c r="Z80" i="2" a="1"/>
  <c r="Z80" i="2" s="1"/>
  <c r="Z78" i="2" a="1"/>
  <c r="Z78" i="2" s="1"/>
  <c r="Z79" i="2" a="1"/>
  <c r="Z79" i="2" s="1"/>
  <c r="Z76" i="2" a="1"/>
  <c r="Z76" i="2" s="1"/>
  <c r="Z77" i="2" a="1"/>
  <c r="Z77" i="2" s="1"/>
  <c r="Z72" i="2" a="1"/>
  <c r="Z72" i="2" s="1"/>
  <c r="Z74" i="2" a="1"/>
  <c r="Z74" i="2" s="1"/>
  <c r="Z75" i="2" a="1"/>
  <c r="Z75" i="2" s="1"/>
  <c r="Z73" i="2" a="1"/>
  <c r="Z73" i="2" s="1"/>
  <c r="Z68" i="2" a="1"/>
  <c r="Z68" i="2" s="1"/>
  <c r="Z71" i="2" a="1"/>
  <c r="Z71" i="2" s="1"/>
  <c r="Z70" i="2" a="1"/>
  <c r="Z70" i="2" s="1"/>
  <c r="Z69" i="2" a="1"/>
  <c r="Z69" i="2" s="1"/>
  <c r="Z65" i="2" a="1"/>
  <c r="Z65" i="2" s="1"/>
  <c r="Z66" i="2" a="1"/>
  <c r="Z66" i="2" s="1"/>
  <c r="Z64" i="2" a="1"/>
  <c r="Z64" i="2" s="1"/>
  <c r="Z67" i="2" a="1"/>
  <c r="Z67" i="2" s="1"/>
  <c r="Z60" i="2" a="1"/>
  <c r="Z60" i="2" s="1"/>
  <c r="Z62" i="2" a="1"/>
  <c r="Z62" i="2" s="1"/>
  <c r="Z63" i="2" a="1"/>
  <c r="Z63" i="2" s="1"/>
  <c r="Z61" i="2" a="1"/>
  <c r="Z61" i="2" s="1"/>
  <c r="Z57" i="2" a="1"/>
  <c r="Z57" i="2" s="1"/>
  <c r="Z59" i="2" a="1"/>
  <c r="Z59" i="2" s="1"/>
  <c r="Z58" i="2" a="1"/>
  <c r="Z58" i="2" s="1"/>
  <c r="Z56" i="2" a="1"/>
  <c r="Z56" i="2" s="1"/>
  <c r="Z55" i="2" a="1"/>
  <c r="Z55" i="2" s="1"/>
  <c r="Z49" i="2" a="1"/>
  <c r="Z49" i="2" s="1"/>
  <c r="Z48" i="2" a="1"/>
  <c r="Z48" i="2" s="1"/>
  <c r="Z54" i="2" a="1"/>
  <c r="Z54" i="2" s="1"/>
  <c r="Z52" i="2" a="1"/>
  <c r="Z52" i="2" s="1"/>
  <c r="Z53" i="2" a="1"/>
  <c r="Z53" i="2" s="1"/>
  <c r="Z51" i="2" a="1"/>
  <c r="Z51" i="2" s="1"/>
  <c r="Z50" i="2" a="1"/>
  <c r="Z50" i="2" s="1"/>
  <c r="Z44" i="2" a="1"/>
  <c r="Z44" i="2" s="1"/>
  <c r="Z42" i="2" a="1"/>
  <c r="Z42" i="2" s="1"/>
  <c r="Z46" i="2" a="1"/>
  <c r="Z46" i="2" s="1"/>
  <c r="Z43" i="2" a="1"/>
  <c r="Z43" i="2" s="1"/>
  <c r="Z45" i="2" a="1"/>
  <c r="Z45" i="2" s="1"/>
  <c r="Z41" i="2" a="1"/>
  <c r="Z41" i="2" s="1"/>
  <c r="Z47" i="2" a="1"/>
  <c r="Z47" i="2" s="1"/>
  <c r="Z35" i="2" a="1"/>
  <c r="Z35" i="2" s="1"/>
  <c r="Z38" i="2" a="1"/>
  <c r="Z38" i="2" s="1"/>
  <c r="Z34" i="2" a="1"/>
  <c r="Z34" i="2" s="1"/>
  <c r="Z40" i="2" a="1"/>
  <c r="Z40" i="2" s="1"/>
  <c r="Z37" i="2" a="1"/>
  <c r="Z37" i="2" s="1"/>
  <c r="Z36" i="2" a="1"/>
  <c r="Z36" i="2" s="1"/>
  <c r="Z39" i="2" a="1"/>
  <c r="Z39" i="2" s="1"/>
  <c r="Z30" i="2" a="1"/>
  <c r="Z30" i="2" s="1"/>
  <c r="Z31" i="2" a="1"/>
  <c r="Z31" i="2" s="1"/>
  <c r="Z26" i="2" a="1"/>
  <c r="Z26" i="2" s="1"/>
  <c r="Z32" i="2" a="1"/>
  <c r="Z32" i="2" s="1"/>
  <c r="Z29" i="2" a="1"/>
  <c r="Z29" i="2" s="1"/>
  <c r="Z28" i="2" a="1"/>
  <c r="Z28" i="2" s="1"/>
  <c r="Z33" i="2" a="1"/>
  <c r="Z33" i="2" s="1"/>
  <c r="Z27" i="2" a="1"/>
  <c r="Z27" i="2" s="1"/>
  <c r="Z24" i="2" a="1"/>
  <c r="Z24" i="2" s="1"/>
  <c r="Z23" i="2" a="1"/>
  <c r="Z23" i="2" s="1"/>
  <c r="Z22" i="2" a="1"/>
  <c r="Z22" i="2" s="1"/>
  <c r="Z21" i="2" a="1"/>
  <c r="Z21" i="2" s="1"/>
  <c r="Z20" i="2" a="1"/>
  <c r="Z20" i="2" s="1"/>
  <c r="Z19" i="2" a="1"/>
  <c r="Z19" i="2" s="1"/>
  <c r="Z16" i="2" a="1"/>
  <c r="Z16" i="2" s="1"/>
  <c r="Z25" i="2" a="1"/>
  <c r="Z25" i="2" s="1"/>
  <c r="Z17" i="2" a="1"/>
  <c r="Z17" i="2" s="1"/>
  <c r="Z18" i="2" a="1"/>
  <c r="Z18" i="2" s="1"/>
  <c r="Z11" i="2" a="1"/>
  <c r="Z11" i="2" s="1"/>
  <c r="Z10" i="2" a="1"/>
  <c r="Z10" i="2" s="1"/>
  <c r="Z15" i="2" a="1"/>
  <c r="Z15" i="2" s="1"/>
  <c r="Z14" i="2" a="1"/>
  <c r="Z14" i="2" s="1"/>
  <c r="Z9" i="2" a="1"/>
  <c r="Z9" i="2" s="1"/>
  <c r="Z13" i="2" a="1"/>
  <c r="Z13" i="2" s="1"/>
  <c r="Z12" i="2" a="1"/>
  <c r="Z12" i="2" s="1"/>
  <c r="Z8" i="2" a="1"/>
  <c r="Z8" i="2" s="1"/>
  <c r="Z6" i="2" a="1"/>
  <c r="Z6" i="2" s="1"/>
  <c r="Z5" i="2" a="1"/>
  <c r="Z5" i="2" s="1"/>
  <c r="Z7" i="2" a="1"/>
  <c r="Z7" i="2" s="1"/>
  <c r="Z4" i="2" a="1"/>
  <c r="Z4" i="2" s="1"/>
  <c r="AL103" i="2" a="1"/>
  <c r="AL103" i="2" s="1"/>
  <c r="AL102" i="2" a="1"/>
  <c r="AL102" i="2" s="1"/>
  <c r="AL101" i="2" a="1"/>
  <c r="AL101" i="2" s="1"/>
  <c r="AL100" i="2" a="1"/>
  <c r="AL100" i="2" s="1"/>
  <c r="AL96" i="2" a="1"/>
  <c r="AL96" i="2" s="1"/>
  <c r="AL99" i="2" a="1"/>
  <c r="AL99" i="2" s="1"/>
  <c r="AL98" i="2" a="1"/>
  <c r="AL98" i="2" s="1"/>
  <c r="AL97" i="2" a="1"/>
  <c r="AL97" i="2" s="1"/>
  <c r="AL92" i="2" a="1"/>
  <c r="AL92" i="2" s="1"/>
  <c r="AL94" i="2" a="1"/>
  <c r="AL94" i="2" s="1"/>
  <c r="AL95" i="2" a="1"/>
  <c r="AL95" i="2" s="1"/>
  <c r="AL93" i="2" a="1"/>
  <c r="AL93" i="2" s="1"/>
  <c r="AL89" i="2" a="1"/>
  <c r="AL89" i="2" s="1"/>
  <c r="AL88" i="2" a="1"/>
  <c r="AL88" i="2" s="1"/>
  <c r="AL91" i="2" a="1"/>
  <c r="AL91" i="2" s="1"/>
  <c r="AL90" i="2" a="1"/>
  <c r="AL90" i="2" s="1"/>
  <c r="AL85" i="2" a="1"/>
  <c r="AL85" i="2" s="1"/>
  <c r="AL84" i="2" a="1"/>
  <c r="AL84" i="2" s="1"/>
  <c r="AL87" i="2" a="1"/>
  <c r="AL87" i="2" s="1"/>
  <c r="AL86" i="2" a="1"/>
  <c r="AL86" i="2" s="1"/>
  <c r="AL82" i="2" a="1"/>
  <c r="AL82" i="2" s="1"/>
  <c r="AL80" i="2" a="1"/>
  <c r="AL80" i="2" s="1"/>
  <c r="AL81" i="2" a="1"/>
  <c r="AL81" i="2" s="1"/>
  <c r="AL83" i="2" a="1"/>
  <c r="AL83" i="2" s="1"/>
  <c r="AL79" i="2" a="1"/>
  <c r="AL79" i="2" s="1"/>
  <c r="AL76" i="2" a="1"/>
  <c r="AL76" i="2" s="1"/>
  <c r="AL77" i="2" a="1"/>
  <c r="AL77" i="2" s="1"/>
  <c r="AL78" i="2" a="1"/>
  <c r="AL78" i="2" s="1"/>
  <c r="AL75" i="2" a="1"/>
  <c r="AL75" i="2" s="1"/>
  <c r="AL74" i="2" a="1"/>
  <c r="AL74" i="2" s="1"/>
  <c r="AL73" i="2" a="1"/>
  <c r="AL73" i="2" s="1"/>
  <c r="AL72" i="2" a="1"/>
  <c r="AL72" i="2" s="1"/>
  <c r="AL70" i="2" a="1"/>
  <c r="AL70" i="2" s="1"/>
  <c r="AL69" i="2" a="1"/>
  <c r="AL69" i="2" s="1"/>
  <c r="AL71" i="2" a="1"/>
  <c r="AL71" i="2" s="1"/>
  <c r="AL65" i="2" a="1"/>
  <c r="AL65" i="2" s="1"/>
  <c r="AL68" i="2" a="1"/>
  <c r="AL68" i="2" s="1"/>
  <c r="AL67" i="2" a="1"/>
  <c r="AL67" i="2" s="1"/>
  <c r="AL66" i="2" a="1"/>
  <c r="AL66" i="2" s="1"/>
  <c r="AL64" i="2" a="1"/>
  <c r="AL64" i="2" s="1"/>
  <c r="AL60" i="2" a="1"/>
  <c r="AL60" i="2" s="1"/>
  <c r="AL62" i="2" a="1"/>
  <c r="AL62" i="2" s="1"/>
  <c r="AL63" i="2" a="1"/>
  <c r="AL63" i="2" s="1"/>
  <c r="AL61" i="2" a="1"/>
  <c r="AL61" i="2" s="1"/>
  <c r="AL57" i="2" a="1"/>
  <c r="AL57" i="2" s="1"/>
  <c r="AL58" i="2" a="1"/>
  <c r="AL58" i="2" s="1"/>
  <c r="AL59" i="2" a="1"/>
  <c r="AL59" i="2" s="1"/>
  <c r="AL54" i="2" a="1"/>
  <c r="AL54" i="2" s="1"/>
  <c r="AL52" i="2" a="1"/>
  <c r="AL52" i="2" s="1"/>
  <c r="AL53" i="2" a="1"/>
  <c r="AL53" i="2" s="1"/>
  <c r="AL51" i="2" a="1"/>
  <c r="AL51" i="2" s="1"/>
  <c r="AL50" i="2" a="1"/>
  <c r="AL50" i="2" s="1"/>
  <c r="AL55" i="2" a="1"/>
  <c r="AL55" i="2" s="1"/>
  <c r="AL49" i="2" a="1"/>
  <c r="AL49" i="2" s="1"/>
  <c r="AL56" i="2" a="1"/>
  <c r="AL56" i="2" s="1"/>
  <c r="AL43" i="2" a="1"/>
  <c r="AL43" i="2" s="1"/>
  <c r="AL46" i="2" a="1"/>
  <c r="AL46" i="2" s="1"/>
  <c r="AL48" i="2" a="1"/>
  <c r="AL48" i="2" s="1"/>
  <c r="AL45" i="2" a="1"/>
  <c r="AL45" i="2" s="1"/>
  <c r="AL41" i="2" a="1"/>
  <c r="AL41" i="2" s="1"/>
  <c r="AL40" i="2" a="1"/>
  <c r="AL40" i="2" s="1"/>
  <c r="AL47" i="2" a="1"/>
  <c r="AL47" i="2" s="1"/>
  <c r="AL44" i="2" a="1"/>
  <c r="AL44" i="2" s="1"/>
  <c r="AL42" i="2" a="1"/>
  <c r="AL42" i="2" s="1"/>
  <c r="AL37" i="2" a="1"/>
  <c r="AL37" i="2" s="1"/>
  <c r="AL36" i="2" a="1"/>
  <c r="AL36" i="2" s="1"/>
  <c r="AL39" i="2" a="1"/>
  <c r="AL39" i="2" s="1"/>
  <c r="AL35" i="2" a="1"/>
  <c r="AL35" i="2" s="1"/>
  <c r="AL38" i="2" a="1"/>
  <c r="AL38" i="2" s="1"/>
  <c r="AL34" i="2" a="1"/>
  <c r="AL34" i="2" s="1"/>
  <c r="AL26" i="2" a="1"/>
  <c r="AL26" i="2" s="1"/>
  <c r="AL25" i="2" a="1"/>
  <c r="AL25" i="2" s="1"/>
  <c r="AL28" i="2" a="1"/>
  <c r="AL28" i="2" s="1"/>
  <c r="AL27" i="2" a="1"/>
  <c r="AL27" i="2" s="1"/>
  <c r="AL33" i="2" a="1"/>
  <c r="AL33" i="2" s="1"/>
  <c r="AL30" i="2" a="1"/>
  <c r="AL30" i="2" s="1"/>
  <c r="AL31" i="2" a="1"/>
  <c r="AL31" i="2" s="1"/>
  <c r="AL32" i="2" a="1"/>
  <c r="AL32" i="2" s="1"/>
  <c r="AL29" i="2" a="1"/>
  <c r="AL29" i="2" s="1"/>
  <c r="AL24" i="2" a="1"/>
  <c r="AL24" i="2" s="1"/>
  <c r="AL23" i="2" a="1"/>
  <c r="AL23" i="2" s="1"/>
  <c r="AL22" i="2" a="1"/>
  <c r="AL22" i="2" s="1"/>
  <c r="AL21" i="2" a="1"/>
  <c r="AL21" i="2" s="1"/>
  <c r="AL20" i="2" a="1"/>
  <c r="AL20" i="2" s="1"/>
  <c r="AL19" i="2" a="1"/>
  <c r="AL19" i="2" s="1"/>
  <c r="AL18" i="2" a="1"/>
  <c r="AL18" i="2" s="1"/>
  <c r="AL17" i="2" a="1"/>
  <c r="AL17" i="2" s="1"/>
  <c r="AL16" i="2" a="1"/>
  <c r="AL16" i="2" s="1"/>
  <c r="AL15" i="2" a="1"/>
  <c r="AL15" i="2" s="1"/>
  <c r="AL13" i="2" a="1"/>
  <c r="AL13" i="2" s="1"/>
  <c r="AL12" i="2" a="1"/>
  <c r="AL12" i="2" s="1"/>
  <c r="AL8" i="2" a="1"/>
  <c r="AL8" i="2" s="1"/>
  <c r="AL11" i="2" a="1"/>
  <c r="AL11" i="2" s="1"/>
  <c r="AL10" i="2" a="1"/>
  <c r="AL10" i="2" s="1"/>
  <c r="AL9" i="2" a="1"/>
  <c r="AL9" i="2" s="1"/>
  <c r="AL14" i="2" a="1"/>
  <c r="AL14" i="2" s="1"/>
  <c r="AL4" i="2" a="1"/>
  <c r="AL4" i="2" s="1"/>
  <c r="AL6" i="2" a="1"/>
  <c r="AL6" i="2" s="1"/>
  <c r="AL7" i="2" a="1"/>
  <c r="AL7" i="2" s="1"/>
  <c r="AL5" i="2" a="1"/>
  <c r="AL5" i="2" s="1"/>
  <c r="AX100" i="2" a="1"/>
  <c r="AX100" i="2" s="1"/>
  <c r="AX103" i="2" a="1"/>
  <c r="AX103" i="2" s="1"/>
  <c r="AX102" i="2" a="1"/>
  <c r="AX102" i="2" s="1"/>
  <c r="AX101" i="2" a="1"/>
  <c r="AX101" i="2" s="1"/>
  <c r="AX97" i="2" a="1"/>
  <c r="AX97" i="2" s="1"/>
  <c r="AX98" i="2" a="1"/>
  <c r="AX98" i="2" s="1"/>
  <c r="AX99" i="2" a="1"/>
  <c r="AX99" i="2" s="1"/>
  <c r="AX96" i="2" a="1"/>
  <c r="AX96" i="2" s="1"/>
  <c r="AX95" i="2" a="1"/>
  <c r="AX95" i="2" s="1"/>
  <c r="AX94" i="2" a="1"/>
  <c r="AX94" i="2" s="1"/>
  <c r="AX93" i="2" a="1"/>
  <c r="AX93" i="2" s="1"/>
  <c r="AX92" i="2" a="1"/>
  <c r="AX92" i="2" s="1"/>
  <c r="AX91" i="2" a="1"/>
  <c r="AX91" i="2" s="1"/>
  <c r="AX88" i="2" a="1"/>
  <c r="AX88" i="2" s="1"/>
  <c r="AX90" i="2" a="1"/>
  <c r="AX90" i="2" s="1"/>
  <c r="AX89" i="2" a="1"/>
  <c r="AX89" i="2" s="1"/>
  <c r="AX87" i="2" a="1"/>
  <c r="AX87" i="2" s="1"/>
  <c r="AX86" i="2" a="1"/>
  <c r="AX86" i="2" s="1"/>
  <c r="AX85" i="2" a="1"/>
  <c r="AX85" i="2" s="1"/>
  <c r="AX84" i="2" a="1"/>
  <c r="AX84" i="2" s="1"/>
  <c r="AX81" i="2" a="1"/>
  <c r="AX81" i="2" s="1"/>
  <c r="AX82" i="2" a="1"/>
  <c r="AX82" i="2" s="1"/>
  <c r="AX83" i="2" a="1"/>
  <c r="AX83" i="2" s="1"/>
  <c r="AX80" i="2" a="1"/>
  <c r="AX80" i="2" s="1"/>
  <c r="AX78" i="2" a="1"/>
  <c r="AX78" i="2" s="1"/>
  <c r="AX79" i="2" a="1"/>
  <c r="AX79" i="2" s="1"/>
  <c r="AX77" i="2" a="1"/>
  <c r="AX77" i="2" s="1"/>
  <c r="AX76" i="2" a="1"/>
  <c r="AX76" i="2" s="1"/>
  <c r="AX74" i="2" a="1"/>
  <c r="AX74" i="2" s="1"/>
  <c r="AX73" i="2" a="1"/>
  <c r="AX73" i="2" s="1"/>
  <c r="AX72" i="2" a="1"/>
  <c r="AX72" i="2" s="1"/>
  <c r="AX75" i="2" a="1"/>
  <c r="AX75" i="2" s="1"/>
  <c r="AX69" i="2" a="1"/>
  <c r="AX69" i="2" s="1"/>
  <c r="AX71" i="2" a="1"/>
  <c r="AX71" i="2" s="1"/>
  <c r="AX70" i="2" a="1"/>
  <c r="AX70" i="2" s="1"/>
  <c r="AX67" i="2" a="1"/>
  <c r="AX67" i="2" s="1"/>
  <c r="AX65" i="2" a="1"/>
  <c r="AX65" i="2" s="1"/>
  <c r="AX66" i="2" a="1"/>
  <c r="AX66" i="2" s="1"/>
  <c r="AX64" i="2" a="1"/>
  <c r="AX64" i="2" s="1"/>
  <c r="AX68" i="2" a="1"/>
  <c r="AX68" i="2" s="1"/>
  <c r="AX62" i="2" a="1"/>
  <c r="AX62" i="2" s="1"/>
  <c r="AX61" i="2" a="1"/>
  <c r="AX61" i="2" s="1"/>
  <c r="AX63" i="2" a="1"/>
  <c r="AX63" i="2" s="1"/>
  <c r="AX60" i="2" a="1"/>
  <c r="AX60" i="2" s="1"/>
  <c r="AX58" i="2" a="1"/>
  <c r="AX58" i="2" s="1"/>
  <c r="AX59" i="2" a="1"/>
  <c r="AX59" i="2" s="1"/>
  <c r="AX57" i="2" a="1"/>
  <c r="AX57" i="2" s="1"/>
  <c r="AX56" i="2" a="1"/>
  <c r="AX56" i="2" s="1"/>
  <c r="AX52" i="2" a="1"/>
  <c r="AX52" i="2" s="1"/>
  <c r="AX51" i="2" a="1"/>
  <c r="AX51" i="2" s="1"/>
  <c r="AX50" i="2" a="1"/>
  <c r="AX50" i="2" s="1"/>
  <c r="AX55" i="2" a="1"/>
  <c r="AX55" i="2" s="1"/>
  <c r="AX49" i="2" a="1"/>
  <c r="AX49" i="2" s="1"/>
  <c r="AX54" i="2" a="1"/>
  <c r="AX54" i="2" s="1"/>
  <c r="AX48" i="2" a="1"/>
  <c r="AX48" i="2" s="1"/>
  <c r="AX53" i="2" a="1"/>
  <c r="AX53" i="2" s="1"/>
  <c r="AX45" i="2" a="1"/>
  <c r="AX45" i="2" s="1"/>
  <c r="AX41" i="2" a="1"/>
  <c r="AX41" i="2" s="1"/>
  <c r="AX47" i="2" a="1"/>
  <c r="AX47" i="2" s="1"/>
  <c r="AX44" i="2" a="1"/>
  <c r="AX44" i="2" s="1"/>
  <c r="AX42" i="2" a="1"/>
  <c r="AX42" i="2" s="1"/>
  <c r="AX46" i="2" a="1"/>
  <c r="AX46" i="2" s="1"/>
  <c r="AX43" i="2" a="1"/>
  <c r="AX43" i="2" s="1"/>
  <c r="AX39" i="2" a="1"/>
  <c r="AX39" i="2" s="1"/>
  <c r="AX38" i="2" a="1"/>
  <c r="AX38" i="2" s="1"/>
  <c r="AX35" i="2" a="1"/>
  <c r="AX35" i="2" s="1"/>
  <c r="AX34" i="2" a="1"/>
  <c r="AX34" i="2" s="1"/>
  <c r="AX40" i="2" a="1"/>
  <c r="AX40" i="2" s="1"/>
  <c r="AX37" i="2" a="1"/>
  <c r="AX37" i="2" s="1"/>
  <c r="AX36" i="2" a="1"/>
  <c r="AX36" i="2" s="1"/>
  <c r="AX26" i="2" a="1"/>
  <c r="AX26" i="2" s="1"/>
  <c r="AX25" i="2" a="1"/>
  <c r="AX25" i="2" s="1"/>
  <c r="AX30" i="2" a="1"/>
  <c r="AX30" i="2" s="1"/>
  <c r="AX31" i="2" a="1"/>
  <c r="AX31" i="2" s="1"/>
  <c r="AX29" i="2" a="1"/>
  <c r="AX29" i="2" s="1"/>
  <c r="AX33" i="2" a="1"/>
  <c r="AX33" i="2" s="1"/>
  <c r="AX32" i="2" a="1"/>
  <c r="AX32" i="2" s="1"/>
  <c r="AX28" i="2" a="1"/>
  <c r="AX28" i="2" s="1"/>
  <c r="AX27" i="2" a="1"/>
  <c r="AX27" i="2" s="1"/>
  <c r="AX24" i="2" a="1"/>
  <c r="AX24" i="2" s="1"/>
  <c r="AX23" i="2" a="1"/>
  <c r="AX23" i="2" s="1"/>
  <c r="AX22" i="2" a="1"/>
  <c r="AX22" i="2" s="1"/>
  <c r="AX21" i="2" a="1"/>
  <c r="AX21" i="2" s="1"/>
  <c r="AX20" i="2" a="1"/>
  <c r="AX20" i="2" s="1"/>
  <c r="AX19" i="2" a="1"/>
  <c r="AX19" i="2" s="1"/>
  <c r="AX18" i="2" a="1"/>
  <c r="AX18" i="2" s="1"/>
  <c r="AX16" i="2" a="1"/>
  <c r="AX16" i="2" s="1"/>
  <c r="AX15" i="2" a="1"/>
  <c r="AX15" i="2" s="1"/>
  <c r="AX17" i="2" a="1"/>
  <c r="AX17" i="2" s="1"/>
  <c r="AX12" i="2" a="1"/>
  <c r="AX12" i="2" s="1"/>
  <c r="AX10" i="2" a="1"/>
  <c r="AX10" i="2" s="1"/>
  <c r="AX11" i="2" a="1"/>
  <c r="AX11" i="2" s="1"/>
  <c r="AX9" i="2" a="1"/>
  <c r="AX9" i="2" s="1"/>
  <c r="AX14" i="2" a="1"/>
  <c r="AX14" i="2" s="1"/>
  <c r="AX13" i="2" a="1"/>
  <c r="AX13" i="2" s="1"/>
  <c r="AX8" i="2" a="1"/>
  <c r="AX8" i="2" s="1"/>
  <c r="AX6" i="2" a="1"/>
  <c r="AX6" i="2" s="1"/>
  <c r="AX7" i="2" a="1"/>
  <c r="AX7" i="2" s="1"/>
  <c r="AX5" i="2" a="1"/>
  <c r="AX5" i="2" s="1"/>
  <c r="AX4" i="2" a="1"/>
  <c r="AX4" i="2" s="1"/>
  <c r="BJ103" i="2" a="1"/>
  <c r="BJ103" i="2" s="1"/>
  <c r="BJ102" i="2" a="1"/>
  <c r="BJ102" i="2" s="1"/>
  <c r="BJ101" i="2" a="1"/>
  <c r="BJ101" i="2" s="1"/>
  <c r="BJ100" i="2" a="1"/>
  <c r="BJ100" i="2" s="1"/>
  <c r="BJ98" i="2" a="1"/>
  <c r="BJ98" i="2" s="1"/>
  <c r="BJ97" i="2" a="1"/>
  <c r="BJ97" i="2" s="1"/>
  <c r="BJ96" i="2" a="1"/>
  <c r="BJ96" i="2" s="1"/>
  <c r="BJ99" i="2" a="1"/>
  <c r="BJ99" i="2" s="1"/>
  <c r="BJ93" i="2" a="1"/>
  <c r="BJ93" i="2" s="1"/>
  <c r="BJ92" i="2" a="1"/>
  <c r="BJ92" i="2" s="1"/>
  <c r="BJ95" i="2" a="1"/>
  <c r="BJ95" i="2" s="1"/>
  <c r="BJ94" i="2" a="1"/>
  <c r="BJ94" i="2" s="1"/>
  <c r="BJ90" i="2" a="1"/>
  <c r="BJ90" i="2" s="1"/>
  <c r="BJ89" i="2" a="1"/>
  <c r="BJ89" i="2" s="1"/>
  <c r="BJ91" i="2" a="1"/>
  <c r="BJ91" i="2" s="1"/>
  <c r="BJ88" i="2" a="1"/>
  <c r="BJ88" i="2" s="1"/>
  <c r="BJ86" i="2" a="1"/>
  <c r="BJ86" i="2" s="1"/>
  <c r="BJ85" i="2" a="1"/>
  <c r="BJ85" i="2" s="1"/>
  <c r="BJ84" i="2" a="1"/>
  <c r="BJ84" i="2" s="1"/>
  <c r="BJ87" i="2" a="1"/>
  <c r="BJ87" i="2" s="1"/>
  <c r="BJ80" i="2" a="1"/>
  <c r="BJ80" i="2" s="1"/>
  <c r="BJ82" i="2" a="1"/>
  <c r="BJ82" i="2" s="1"/>
  <c r="BJ83" i="2" a="1"/>
  <c r="BJ83" i="2" s="1"/>
  <c r="BJ81" i="2" a="1"/>
  <c r="BJ81" i="2" s="1"/>
  <c r="BJ78" i="2" a="1"/>
  <c r="BJ78" i="2" s="1"/>
  <c r="BJ79" i="2" a="1"/>
  <c r="BJ79" i="2" s="1"/>
  <c r="BJ77" i="2" a="1"/>
  <c r="BJ77" i="2" s="1"/>
  <c r="BJ76" i="2" a="1"/>
  <c r="BJ76" i="2" s="1"/>
  <c r="BJ75" i="2" a="1"/>
  <c r="BJ75" i="2" s="1"/>
  <c r="BJ74" i="2" a="1"/>
  <c r="BJ74" i="2" s="1"/>
  <c r="BJ72" i="2" a="1"/>
  <c r="BJ72" i="2" s="1"/>
  <c r="BJ73" i="2" a="1"/>
  <c r="BJ73" i="2" s="1"/>
  <c r="BJ68" i="2" a="1"/>
  <c r="BJ68" i="2" s="1"/>
  <c r="BJ71" i="2" a="1"/>
  <c r="BJ71" i="2" s="1"/>
  <c r="BJ70" i="2" a="1"/>
  <c r="BJ70" i="2" s="1"/>
  <c r="BJ69" i="2" a="1"/>
  <c r="BJ69" i="2" s="1"/>
  <c r="BJ64" i="2" a="1"/>
  <c r="BJ64" i="2" s="1"/>
  <c r="BJ67" i="2" a="1"/>
  <c r="BJ67" i="2" s="1"/>
  <c r="BJ66" i="2" a="1"/>
  <c r="BJ66" i="2" s="1"/>
  <c r="BJ65" i="2" a="1"/>
  <c r="BJ65" i="2" s="1"/>
  <c r="BJ63" i="2" a="1"/>
  <c r="BJ63" i="2" s="1"/>
  <c r="BJ61" i="2" a="1"/>
  <c r="BJ61" i="2" s="1"/>
  <c r="BJ60" i="2" a="1"/>
  <c r="BJ60" i="2" s="1"/>
  <c r="BJ62" i="2" a="1"/>
  <c r="BJ62" i="2" s="1"/>
  <c r="BJ59" i="2" a="1"/>
  <c r="BJ59" i="2" s="1"/>
  <c r="BJ57" i="2" a="1"/>
  <c r="BJ57" i="2" s="1"/>
  <c r="BJ56" i="2" a="1"/>
  <c r="BJ56" i="2" s="1"/>
  <c r="BJ58" i="2" a="1"/>
  <c r="BJ58" i="2" s="1"/>
  <c r="BJ55" i="2" a="1"/>
  <c r="BJ55" i="2" s="1"/>
  <c r="BJ50" i="2" a="1"/>
  <c r="BJ50" i="2" s="1"/>
  <c r="BJ49" i="2" a="1"/>
  <c r="BJ49" i="2" s="1"/>
  <c r="BJ54" i="2" a="1"/>
  <c r="BJ54" i="2" s="1"/>
  <c r="BJ53" i="2" a="1"/>
  <c r="BJ53" i="2" s="1"/>
  <c r="BJ52" i="2" a="1"/>
  <c r="BJ52" i="2" s="1"/>
  <c r="BJ51" i="2" a="1"/>
  <c r="BJ51" i="2" s="1"/>
  <c r="BJ48" i="2" a="1"/>
  <c r="BJ48" i="2" s="1"/>
  <c r="BJ44" i="2" a="1"/>
  <c r="BJ44" i="2" s="1"/>
  <c r="BJ42" i="2" a="1"/>
  <c r="BJ42" i="2" s="1"/>
  <c r="BJ43" i="2" a="1"/>
  <c r="BJ43" i="2" s="1"/>
  <c r="BJ40" i="2" a="1"/>
  <c r="BJ40" i="2" s="1"/>
  <c r="BJ46" i="2" a="1"/>
  <c r="BJ46" i="2" s="1"/>
  <c r="BJ45" i="2" a="1"/>
  <c r="BJ45" i="2" s="1"/>
  <c r="BJ41" i="2" a="1"/>
  <c r="BJ41" i="2" s="1"/>
  <c r="BJ47" i="2" a="1"/>
  <c r="BJ47" i="2" s="1"/>
  <c r="BJ37" i="2" a="1"/>
  <c r="BJ37" i="2" s="1"/>
  <c r="BJ34" i="2" a="1"/>
  <c r="BJ34" i="2" s="1"/>
  <c r="BJ36" i="2" a="1"/>
  <c r="BJ36" i="2" s="1"/>
  <c r="BJ33" i="2" a="1"/>
  <c r="BJ33" i="2" s="1"/>
  <c r="BJ39" i="2" a="1"/>
  <c r="BJ39" i="2" s="1"/>
  <c r="BJ35" i="2" a="1"/>
  <c r="BJ35" i="2" s="1"/>
  <c r="BJ38" i="2" a="1"/>
  <c r="BJ38" i="2" s="1"/>
  <c r="BJ30" i="2" a="1"/>
  <c r="BJ30" i="2" s="1"/>
  <c r="BJ31" i="2" a="1"/>
  <c r="BJ31" i="2" s="1"/>
  <c r="BJ26" i="2" a="1"/>
  <c r="BJ26" i="2" s="1"/>
  <c r="BJ25" i="2" a="1"/>
  <c r="BJ25" i="2" s="1"/>
  <c r="BJ29" i="2" a="1"/>
  <c r="BJ29" i="2" s="1"/>
  <c r="BJ32" i="2" a="1"/>
  <c r="BJ32" i="2" s="1"/>
  <c r="BJ28" i="2" a="1"/>
  <c r="BJ28" i="2" s="1"/>
  <c r="BJ27" i="2" a="1"/>
  <c r="BJ27" i="2" s="1"/>
  <c r="BJ24" i="2" a="1"/>
  <c r="BJ24" i="2" s="1"/>
  <c r="BJ23" i="2" a="1"/>
  <c r="BJ23" i="2" s="1"/>
  <c r="BJ22" i="2" a="1"/>
  <c r="BJ22" i="2" s="1"/>
  <c r="BJ21" i="2" a="1"/>
  <c r="BJ21" i="2" s="1"/>
  <c r="BJ20" i="2" a="1"/>
  <c r="BJ20" i="2" s="1"/>
  <c r="BJ19" i="2" a="1"/>
  <c r="BJ19" i="2" s="1"/>
  <c r="BJ18" i="2" a="1"/>
  <c r="BJ18" i="2" s="1"/>
  <c r="BJ17" i="2" a="1"/>
  <c r="BJ17" i="2" s="1"/>
  <c r="BJ16" i="2" a="1"/>
  <c r="BJ16" i="2" s="1"/>
  <c r="BJ15" i="2" a="1"/>
  <c r="BJ15" i="2" s="1"/>
  <c r="BJ14" i="2" a="1"/>
  <c r="BJ14" i="2" s="1"/>
  <c r="BJ13" i="2" a="1"/>
  <c r="BJ13" i="2" s="1"/>
  <c r="BJ12" i="2" a="1"/>
  <c r="BJ12" i="2" s="1"/>
  <c r="BJ10" i="2" a="1"/>
  <c r="BJ10" i="2" s="1"/>
  <c r="BJ11" i="2" a="1"/>
  <c r="BJ11" i="2" s="1"/>
  <c r="BJ9" i="2" a="1"/>
  <c r="BJ9" i="2" s="1"/>
  <c r="BJ8" i="2" a="1"/>
  <c r="BJ8" i="2" s="1"/>
  <c r="BJ7" i="2" a="1"/>
  <c r="BJ7" i="2" s="1"/>
  <c r="BJ4" i="2" a="1"/>
  <c r="BJ4" i="2" s="1"/>
  <c r="BJ5" i="2" a="1"/>
  <c r="BJ5" i="2" s="1"/>
  <c r="BJ6" i="2" a="1"/>
  <c r="BJ6" i="2" s="1"/>
  <c r="BV103" i="2" a="1"/>
  <c r="BV103" i="2" s="1"/>
  <c r="BV102" i="2" a="1"/>
  <c r="BV102" i="2" s="1"/>
  <c r="BV101" i="2" a="1"/>
  <c r="BV101" i="2" s="1"/>
  <c r="BV100" i="2" a="1"/>
  <c r="BV100" i="2" s="1"/>
  <c r="BV99" i="2" a="1"/>
  <c r="BV99" i="2" s="1"/>
  <c r="BV95" i="2" a="1"/>
  <c r="BV95" i="2" s="1"/>
  <c r="BV98" i="2" a="1"/>
  <c r="BV98" i="2" s="1"/>
  <c r="BV97" i="2" a="1"/>
  <c r="BV97" i="2" s="1"/>
  <c r="BV96" i="2" a="1"/>
  <c r="BV96" i="2" s="1"/>
  <c r="BV94" i="2" a="1"/>
  <c r="BV94" i="2" s="1"/>
  <c r="BV93" i="2" a="1"/>
  <c r="BV93" i="2" s="1"/>
  <c r="BV92" i="2" a="1"/>
  <c r="BV92" i="2" s="1"/>
  <c r="BV90" i="2" a="1"/>
  <c r="BV90" i="2" s="1"/>
  <c r="BV89" i="2" a="1"/>
  <c r="BV89" i="2" s="1"/>
  <c r="BV91" i="2" a="1"/>
  <c r="BV91" i="2" s="1"/>
  <c r="BV88" i="2" a="1"/>
  <c r="BV88" i="2" s="1"/>
  <c r="BV85" i="2" a="1"/>
  <c r="BV85" i="2" s="1"/>
  <c r="BV84" i="2" a="1"/>
  <c r="BV84" i="2" s="1"/>
  <c r="BV87" i="2" a="1"/>
  <c r="BV87" i="2" s="1"/>
  <c r="BV86" i="2" a="1"/>
  <c r="BV86" i="2" s="1"/>
  <c r="BV82" i="2" a="1"/>
  <c r="BV82" i="2" s="1"/>
  <c r="BV83" i="2" a="1"/>
  <c r="BV83" i="2" s="1"/>
  <c r="BV81" i="2" a="1"/>
  <c r="BV81" i="2" s="1"/>
  <c r="BV80" i="2" a="1"/>
  <c r="BV80" i="2" s="1"/>
  <c r="BV78" i="2" a="1"/>
  <c r="BV78" i="2" s="1"/>
  <c r="BV77" i="2" a="1"/>
  <c r="BV77" i="2" s="1"/>
  <c r="BV76" i="2" a="1"/>
  <c r="BV76" i="2" s="1"/>
  <c r="BV79" i="2" a="1"/>
  <c r="BV79" i="2" s="1"/>
  <c r="BV75" i="2" a="1"/>
  <c r="BV75" i="2" s="1"/>
  <c r="BV73" i="2" a="1"/>
  <c r="BV73" i="2" s="1"/>
  <c r="BV72" i="2" a="1"/>
  <c r="BV72" i="2" s="1"/>
  <c r="BV74" i="2" a="1"/>
  <c r="BV74" i="2" s="1"/>
  <c r="BV70" i="2" a="1"/>
  <c r="BV70" i="2" s="1"/>
  <c r="BV69" i="2" a="1"/>
  <c r="BV69" i="2" s="1"/>
  <c r="BV68" i="2" a="1"/>
  <c r="BV68" i="2" s="1"/>
  <c r="BV71" i="2" a="1"/>
  <c r="BV71" i="2" s="1"/>
  <c r="BV67" i="2" a="1"/>
  <c r="BV67" i="2" s="1"/>
  <c r="BV66" i="2" a="1"/>
  <c r="BV66" i="2" s="1"/>
  <c r="BV65" i="2" a="1"/>
  <c r="BV65" i="2" s="1"/>
  <c r="BV63" i="2" a="1"/>
  <c r="BV63" i="2" s="1"/>
  <c r="BV64" i="2" a="1"/>
  <c r="BV64" i="2" s="1"/>
  <c r="BV60" i="2" a="1"/>
  <c r="BV60" i="2" s="1"/>
  <c r="BV62" i="2" a="1"/>
  <c r="BV62" i="2" s="1"/>
  <c r="BV61" i="2" a="1"/>
  <c r="BV61" i="2" s="1"/>
  <c r="BV58" i="2" a="1"/>
  <c r="BV58" i="2" s="1"/>
  <c r="BV59" i="2" a="1"/>
  <c r="BV59" i="2" s="1"/>
  <c r="BV57" i="2" a="1"/>
  <c r="BV57" i="2" s="1"/>
  <c r="BV54" i="2" a="1"/>
  <c r="BV54" i="2" s="1"/>
  <c r="BV48" i="2" a="1"/>
  <c r="BV48" i="2" s="1"/>
  <c r="BV53" i="2" a="1"/>
  <c r="BV53" i="2" s="1"/>
  <c r="BV52" i="2" a="1"/>
  <c r="BV52" i="2" s="1"/>
  <c r="BV56" i="2" a="1"/>
  <c r="BV56" i="2" s="1"/>
  <c r="BV51" i="2" a="1"/>
  <c r="BV51" i="2" s="1"/>
  <c r="BV55" i="2" a="1"/>
  <c r="BV55" i="2" s="1"/>
  <c r="BV50" i="2" a="1"/>
  <c r="BV50" i="2" s="1"/>
  <c r="BV49" i="2" a="1"/>
  <c r="BV49" i="2" s="1"/>
  <c r="BV43" i="2" a="1"/>
  <c r="BV43" i="2" s="1"/>
  <c r="BV42" i="2" a="1"/>
  <c r="BV42" i="2" s="1"/>
  <c r="BV46" i="2" a="1"/>
  <c r="BV46" i="2" s="1"/>
  <c r="BV45" i="2" a="1"/>
  <c r="BV45" i="2" s="1"/>
  <c r="BV47" i="2" a="1"/>
  <c r="BV47" i="2" s="1"/>
  <c r="BV41" i="2" a="1"/>
  <c r="BV41" i="2" s="1"/>
  <c r="BV44" i="2" a="1"/>
  <c r="BV44" i="2" s="1"/>
  <c r="BV35" i="2" a="1"/>
  <c r="BV35" i="2" s="1"/>
  <c r="BV33" i="2" a="1"/>
  <c r="BV33" i="2" s="1"/>
  <c r="BV40" i="2" a="1"/>
  <c r="BV40" i="2" s="1"/>
  <c r="BV38" i="2" a="1"/>
  <c r="BV38" i="2" s="1"/>
  <c r="BV37" i="2" a="1"/>
  <c r="BV37" i="2" s="1"/>
  <c r="BV34" i="2" a="1"/>
  <c r="BV34" i="2" s="1"/>
  <c r="BV36" i="2" a="1"/>
  <c r="BV36" i="2" s="1"/>
  <c r="BV39" i="2" a="1"/>
  <c r="BV39" i="2" s="1"/>
  <c r="BV28" i="2" a="1"/>
  <c r="BV28" i="2" s="1"/>
  <c r="BV25" i="2" a="1"/>
  <c r="BV25" i="2" s="1"/>
  <c r="BV32" i="2" a="1"/>
  <c r="BV32" i="2" s="1"/>
  <c r="BV27" i="2" a="1"/>
  <c r="BV27" i="2" s="1"/>
  <c r="BV30" i="2" a="1"/>
  <c r="BV30" i="2" s="1"/>
  <c r="BV26" i="2" a="1"/>
  <c r="BV26" i="2" s="1"/>
  <c r="BV31" i="2" a="1"/>
  <c r="BV31" i="2" s="1"/>
  <c r="BV29" i="2" a="1"/>
  <c r="BV29" i="2" s="1"/>
  <c r="BV24" i="2" a="1"/>
  <c r="BV24" i="2" s="1"/>
  <c r="BV23" i="2" a="1"/>
  <c r="BV23" i="2" s="1"/>
  <c r="BV22" i="2" a="1"/>
  <c r="BV22" i="2" s="1"/>
  <c r="BV21" i="2" a="1"/>
  <c r="BV21" i="2" s="1"/>
  <c r="BV20" i="2" a="1"/>
  <c r="BV20" i="2" s="1"/>
  <c r="BV19" i="2" a="1"/>
  <c r="BV19" i="2" s="1"/>
  <c r="BV18" i="2" a="1"/>
  <c r="BV18" i="2" s="1"/>
  <c r="BV16" i="2" a="1"/>
  <c r="BV16" i="2" s="1"/>
  <c r="BV17" i="2" a="1"/>
  <c r="BV17" i="2" s="1"/>
  <c r="BV10" i="2" a="1"/>
  <c r="BV10" i="2" s="1"/>
  <c r="BV12" i="2" a="1"/>
  <c r="BV12" i="2" s="1"/>
  <c r="BV15" i="2" a="1"/>
  <c r="BV15" i="2" s="1"/>
  <c r="BV11" i="2" a="1"/>
  <c r="BV11" i="2" s="1"/>
  <c r="BV9" i="2" a="1"/>
  <c r="BV9" i="2" s="1"/>
  <c r="BV14" i="2" a="1"/>
  <c r="BV14" i="2" s="1"/>
  <c r="BV8" i="2" a="1"/>
  <c r="BV8" i="2" s="1"/>
  <c r="BV13" i="2" a="1"/>
  <c r="BV13" i="2" s="1"/>
  <c r="BV5" i="2" a="1"/>
  <c r="BV5" i="2" s="1"/>
  <c r="BV6" i="2" a="1"/>
  <c r="BV6" i="2" s="1"/>
  <c r="BV4" i="2" a="1"/>
  <c r="BV4" i="2" s="1"/>
  <c r="BV7" i="2" a="1"/>
  <c r="BV7" i="2" s="1"/>
  <c r="G103" i="2" a="1"/>
  <c r="G103" i="2" s="1"/>
  <c r="G102" i="2" a="1"/>
  <c r="G102" i="2" s="1"/>
  <c r="G100" i="2" a="1"/>
  <c r="G100" i="2" s="1"/>
  <c r="G101" i="2" a="1"/>
  <c r="G101" i="2" s="1"/>
  <c r="G97" i="2" a="1"/>
  <c r="G97" i="2" s="1"/>
  <c r="G98" i="2" a="1"/>
  <c r="G98" i="2" s="1"/>
  <c r="G96" i="2" a="1"/>
  <c r="G96" i="2" s="1"/>
  <c r="G99" i="2" a="1"/>
  <c r="G99" i="2" s="1"/>
  <c r="G95" i="2" a="1"/>
  <c r="G95" i="2" s="1"/>
  <c r="G94" i="2" a="1"/>
  <c r="G94" i="2" s="1"/>
  <c r="G93" i="2" a="1"/>
  <c r="G93" i="2" s="1"/>
  <c r="G92" i="2" a="1"/>
  <c r="G92" i="2" s="1"/>
  <c r="G91" i="2" a="1"/>
  <c r="G91" i="2" s="1"/>
  <c r="G90" i="2" a="1"/>
  <c r="G90" i="2" s="1"/>
  <c r="G89" i="2" a="1"/>
  <c r="G89" i="2" s="1"/>
  <c r="G88" i="2" a="1"/>
  <c r="G88" i="2" s="1"/>
  <c r="G86" i="2" a="1"/>
  <c r="G86" i="2" s="1"/>
  <c r="G85" i="2" a="1"/>
  <c r="G85" i="2" s="1"/>
  <c r="G87" i="2" a="1"/>
  <c r="G87" i="2" s="1"/>
  <c r="G84" i="2" a="1"/>
  <c r="G84" i="2" s="1"/>
  <c r="G83" i="2" a="1"/>
  <c r="G83" i="2" s="1"/>
  <c r="G82" i="2" a="1"/>
  <c r="G82" i="2" s="1"/>
  <c r="G81" i="2" a="1"/>
  <c r="G81" i="2" s="1"/>
  <c r="G80" i="2" a="1"/>
  <c r="G80" i="2" s="1"/>
  <c r="G78" i="2" a="1"/>
  <c r="G78" i="2" s="1"/>
  <c r="G79" i="2" a="1"/>
  <c r="G79" i="2" s="1"/>
  <c r="G77" i="2" a="1"/>
  <c r="G77" i="2" s="1"/>
  <c r="G74" i="2" a="1"/>
  <c r="G74" i="2" s="1"/>
  <c r="G76" i="2" a="1"/>
  <c r="G76" i="2" s="1"/>
  <c r="G73" i="2" a="1"/>
  <c r="G73" i="2" s="1"/>
  <c r="G75" i="2" a="1"/>
  <c r="G75" i="2" s="1"/>
  <c r="G72" i="2" a="1"/>
  <c r="G72" i="2" s="1"/>
  <c r="G69" i="2" a="1"/>
  <c r="G69" i="2" s="1"/>
  <c r="G71" i="2" a="1"/>
  <c r="G71" i="2" s="1"/>
  <c r="G70" i="2" a="1"/>
  <c r="G70" i="2" s="1"/>
  <c r="G67" i="2" a="1"/>
  <c r="G67" i="2" s="1"/>
  <c r="G68" i="2" a="1"/>
  <c r="G68" i="2" s="1"/>
  <c r="G65" i="2" a="1"/>
  <c r="G65" i="2" s="1"/>
  <c r="G66" i="2" a="1"/>
  <c r="G66" i="2" s="1"/>
  <c r="G64" i="2" a="1"/>
  <c r="G64" i="2" s="1"/>
  <c r="G63" i="2" a="1"/>
  <c r="G63" i="2" s="1"/>
  <c r="G60" i="2" a="1"/>
  <c r="G60" i="2" s="1"/>
  <c r="G62" i="2" a="1"/>
  <c r="G62" i="2" s="1"/>
  <c r="G61" i="2" a="1"/>
  <c r="G61" i="2" s="1"/>
  <c r="G59" i="2" a="1"/>
  <c r="G59" i="2" s="1"/>
  <c r="G58" i="2" a="1"/>
  <c r="G58" i="2" s="1"/>
  <c r="G57" i="2" a="1"/>
  <c r="G57" i="2" s="1"/>
  <c r="G53" i="2" a="1"/>
  <c r="G53" i="2" s="1"/>
  <c r="G50" i="2" a="1"/>
  <c r="G50" i="2" s="1"/>
  <c r="G56" i="2" a="1"/>
  <c r="G56" i="2" s="1"/>
  <c r="G49" i="2" a="1"/>
  <c r="G49" i="2" s="1"/>
  <c r="G55" i="2" a="1"/>
  <c r="G55" i="2" s="1"/>
  <c r="G54" i="2" a="1"/>
  <c r="G54" i="2" s="1"/>
  <c r="G52" i="2" a="1"/>
  <c r="G52" i="2" s="1"/>
  <c r="G51" i="2" a="1"/>
  <c r="G51" i="2" s="1"/>
  <c r="G42" i="2" a="1"/>
  <c r="G42" i="2" s="1"/>
  <c r="G44" i="2" a="1"/>
  <c r="G44" i="2" s="1"/>
  <c r="G46" i="2" a="1"/>
  <c r="G46" i="2" s="1"/>
  <c r="G45" i="2" a="1"/>
  <c r="G45" i="2" s="1"/>
  <c r="G43" i="2" a="1"/>
  <c r="G43" i="2" s="1"/>
  <c r="G41" i="2" a="1"/>
  <c r="G41" i="2" s="1"/>
  <c r="G48" i="2" a="1"/>
  <c r="G48" i="2" s="1"/>
  <c r="G47" i="2" a="1"/>
  <c r="G47" i="2" s="1"/>
  <c r="G36" i="2" a="1"/>
  <c r="G36" i="2" s="1"/>
  <c r="G40" i="2" a="1"/>
  <c r="G40" i="2" s="1"/>
  <c r="G39" i="2" a="1"/>
  <c r="G39" i="2" s="1"/>
  <c r="G35" i="2" a="1"/>
  <c r="G35" i="2" s="1"/>
  <c r="G38" i="2" a="1"/>
  <c r="G38" i="2" s="1"/>
  <c r="G37" i="2" a="1"/>
  <c r="G37" i="2" s="1"/>
  <c r="G32" i="2" a="1"/>
  <c r="G32" i="2" s="1"/>
  <c r="G31" i="2" a="1"/>
  <c r="G31" i="2" s="1"/>
  <c r="G30" i="2" a="1"/>
  <c r="G30" i="2" s="1"/>
  <c r="G29" i="2" a="1"/>
  <c r="G29" i="2" s="1"/>
  <c r="G33" i="2" a="1"/>
  <c r="G33" i="2" s="1"/>
  <c r="G28" i="2" a="1"/>
  <c r="G28" i="2" s="1"/>
  <c r="G26" i="2" a="1"/>
  <c r="G26" i="2" s="1"/>
  <c r="G27" i="2" a="1"/>
  <c r="G27" i="2" s="1"/>
  <c r="G34" i="2" a="1"/>
  <c r="G34" i="2" s="1"/>
  <c r="G25" i="2" a="1"/>
  <c r="G25" i="2" s="1"/>
  <c r="G16" i="2" a="1"/>
  <c r="G16" i="2" s="1"/>
  <c r="G17" i="2" a="1"/>
  <c r="G17" i="2" s="1"/>
  <c r="G24" i="2" a="1"/>
  <c r="G24" i="2" s="1"/>
  <c r="G23" i="2" a="1"/>
  <c r="G23" i="2" s="1"/>
  <c r="G22" i="2" a="1"/>
  <c r="G22" i="2" s="1"/>
  <c r="G21" i="2" a="1"/>
  <c r="G21" i="2" s="1"/>
  <c r="G20" i="2" a="1"/>
  <c r="G20" i="2" s="1"/>
  <c r="G19" i="2" a="1"/>
  <c r="G19" i="2" s="1"/>
  <c r="G18" i="2" a="1"/>
  <c r="G18" i="2" s="1"/>
  <c r="G10" i="2" a="1"/>
  <c r="G10" i="2" s="1"/>
  <c r="G11" i="2" a="1"/>
  <c r="G11" i="2" s="1"/>
  <c r="G15" i="2" a="1"/>
  <c r="G15" i="2" s="1"/>
  <c r="G14" i="2" a="1"/>
  <c r="G14" i="2" s="1"/>
  <c r="G9" i="2" a="1"/>
  <c r="G9" i="2" s="1"/>
  <c r="G13" i="2" a="1"/>
  <c r="G13" i="2" s="1"/>
  <c r="G12" i="2" a="1"/>
  <c r="G12" i="2" s="1"/>
  <c r="G8" i="2" a="1"/>
  <c r="G8" i="2" s="1"/>
  <c r="G5" i="2" a="1"/>
  <c r="G5" i="2" s="1"/>
  <c r="G4" i="2" a="1"/>
  <c r="G4" i="2" s="1"/>
  <c r="G7" i="2" a="1"/>
  <c r="G7" i="2" s="1"/>
  <c r="G6" i="2" a="1"/>
  <c r="G6" i="2" s="1"/>
  <c r="U101" i="2" a="1"/>
  <c r="U101" i="2" s="1"/>
  <c r="U100" i="2" a="1"/>
  <c r="U100" i="2" s="1"/>
  <c r="U103" i="2" a="1"/>
  <c r="U103" i="2" s="1"/>
  <c r="U102" i="2" a="1"/>
  <c r="U102" i="2" s="1"/>
  <c r="U96" i="2" a="1"/>
  <c r="U96" i="2" s="1"/>
  <c r="U99" i="2" a="1"/>
  <c r="U99" i="2" s="1"/>
  <c r="U97" i="2" a="1"/>
  <c r="U97" i="2" s="1"/>
  <c r="U98" i="2" a="1"/>
  <c r="U98" i="2" s="1"/>
  <c r="U92" i="2" a="1"/>
  <c r="U92" i="2" s="1"/>
  <c r="U95" i="2" a="1"/>
  <c r="U95" i="2" s="1"/>
  <c r="U94" i="2" a="1"/>
  <c r="U94" i="2" s="1"/>
  <c r="U93" i="2" a="1"/>
  <c r="U93" i="2" s="1"/>
  <c r="U89" i="2" a="1"/>
  <c r="U89" i="2" s="1"/>
  <c r="U88" i="2" a="1"/>
  <c r="U88" i="2" s="1"/>
  <c r="U91" i="2" a="1"/>
  <c r="U91" i="2" s="1"/>
  <c r="U90" i="2" a="1"/>
  <c r="U90" i="2" s="1"/>
  <c r="U87" i="2" a="1"/>
  <c r="U87" i="2" s="1"/>
  <c r="U86" i="2" a="1"/>
  <c r="U86" i="2" s="1"/>
  <c r="U85" i="2" a="1"/>
  <c r="U85" i="2" s="1"/>
  <c r="U84" i="2" a="1"/>
  <c r="U84" i="2" s="1"/>
  <c r="U80" i="2" a="1"/>
  <c r="U80" i="2" s="1"/>
  <c r="U83" i="2" a="1"/>
  <c r="U83" i="2" s="1"/>
  <c r="U81" i="2" a="1"/>
  <c r="U81" i="2" s="1"/>
  <c r="U82" i="2" a="1"/>
  <c r="U82" i="2" s="1"/>
  <c r="U79" i="2" a="1"/>
  <c r="U79" i="2" s="1"/>
  <c r="U77" i="2" a="1"/>
  <c r="U77" i="2" s="1"/>
  <c r="U78" i="2" a="1"/>
  <c r="U78" i="2" s="1"/>
  <c r="U75" i="2" a="1"/>
  <c r="U75" i="2" s="1"/>
  <c r="U73" i="2" a="1"/>
  <c r="U73" i="2" s="1"/>
  <c r="U72" i="2" a="1"/>
  <c r="U72" i="2" s="1"/>
  <c r="U76" i="2" a="1"/>
  <c r="U76" i="2" s="1"/>
  <c r="U74" i="2" a="1"/>
  <c r="U74" i="2" s="1"/>
  <c r="U70" i="2" a="1"/>
  <c r="U70" i="2" s="1"/>
  <c r="U69" i="2" a="1"/>
  <c r="U69" i="2" s="1"/>
  <c r="U68" i="2" a="1"/>
  <c r="U68" i="2" s="1"/>
  <c r="U71" i="2" a="1"/>
  <c r="U71" i="2" s="1"/>
  <c r="U65" i="2" a="1"/>
  <c r="U65" i="2" s="1"/>
  <c r="U66" i="2" a="1"/>
  <c r="U66" i="2" s="1"/>
  <c r="U67" i="2" a="1"/>
  <c r="U67" i="2" s="1"/>
  <c r="U64" i="2" a="1"/>
  <c r="U64" i="2" s="1"/>
  <c r="U60" i="2" a="1"/>
  <c r="U60" i="2" s="1"/>
  <c r="U63" i="2" a="1"/>
  <c r="U63" i="2" s="1"/>
  <c r="U62" i="2" a="1"/>
  <c r="U62" i="2" s="1"/>
  <c r="U61" i="2" a="1"/>
  <c r="U61" i="2" s="1"/>
  <c r="U57" i="2" a="1"/>
  <c r="U57" i="2" s="1"/>
  <c r="U59" i="2" a="1"/>
  <c r="U59" i="2" s="1"/>
  <c r="U58" i="2" a="1"/>
  <c r="U58" i="2" s="1"/>
  <c r="U54" i="2" a="1"/>
  <c r="U54" i="2" s="1"/>
  <c r="U52" i="2" a="1"/>
  <c r="U52" i="2" s="1"/>
  <c r="U51" i="2" a="1"/>
  <c r="U51" i="2" s="1"/>
  <c r="U53" i="2" a="1"/>
  <c r="U53" i="2" s="1"/>
  <c r="U50" i="2" a="1"/>
  <c r="U50" i="2" s="1"/>
  <c r="U56" i="2" a="1"/>
  <c r="U56" i="2" s="1"/>
  <c r="U49" i="2" a="1"/>
  <c r="U49" i="2" s="1"/>
  <c r="U55" i="2" a="1"/>
  <c r="U55" i="2" s="1"/>
  <c r="U46" i="2" a="1"/>
  <c r="U46" i="2" s="1"/>
  <c r="U43" i="2" a="1"/>
  <c r="U43" i="2" s="1"/>
  <c r="U45" i="2" a="1"/>
  <c r="U45" i="2" s="1"/>
  <c r="U41" i="2" a="1"/>
  <c r="U41" i="2" s="1"/>
  <c r="U47" i="2" a="1"/>
  <c r="U47" i="2" s="1"/>
  <c r="U48" i="2" a="1"/>
  <c r="U48" i="2" s="1"/>
  <c r="U44" i="2" a="1"/>
  <c r="U44" i="2" s="1"/>
  <c r="U42" i="2" a="1"/>
  <c r="U42" i="2" s="1"/>
  <c r="U37" i="2" a="1"/>
  <c r="U37" i="2" s="1"/>
  <c r="U36" i="2" a="1"/>
  <c r="U36" i="2" s="1"/>
  <c r="U39" i="2" a="1"/>
  <c r="U39" i="2" s="1"/>
  <c r="U35" i="2" a="1"/>
  <c r="U35" i="2" s="1"/>
  <c r="U38" i="2" a="1"/>
  <c r="U38" i="2" s="1"/>
  <c r="U40" i="2" a="1"/>
  <c r="U40" i="2" s="1"/>
  <c r="U34" i="2" a="1"/>
  <c r="U34" i="2" s="1"/>
  <c r="U28" i="2" a="1"/>
  <c r="U28" i="2" s="1"/>
  <c r="U33" i="2" a="1"/>
  <c r="U33" i="2" s="1"/>
  <c r="U27" i="2" a="1"/>
  <c r="U27" i="2" s="1"/>
  <c r="U26" i="2" a="1"/>
  <c r="U26" i="2" s="1"/>
  <c r="U31" i="2" a="1"/>
  <c r="U31" i="2" s="1"/>
  <c r="U32" i="2" a="1"/>
  <c r="U32" i="2" s="1"/>
  <c r="U30" i="2" a="1"/>
  <c r="U30" i="2" s="1"/>
  <c r="U29" i="2" a="1"/>
  <c r="U29" i="2" s="1"/>
  <c r="U17" i="2" a="1"/>
  <c r="U17" i="2" s="1"/>
  <c r="U18" i="2" a="1"/>
  <c r="U18" i="2" s="1"/>
  <c r="U24" i="2" a="1"/>
  <c r="U24" i="2" s="1"/>
  <c r="U23" i="2" a="1"/>
  <c r="U23" i="2" s="1"/>
  <c r="U22" i="2" a="1"/>
  <c r="U22" i="2" s="1"/>
  <c r="U21" i="2" a="1"/>
  <c r="U21" i="2" s="1"/>
  <c r="U20" i="2" a="1"/>
  <c r="U20" i="2" s="1"/>
  <c r="U19" i="2" a="1"/>
  <c r="U19" i="2" s="1"/>
  <c r="U16" i="2" a="1"/>
  <c r="U16" i="2" s="1"/>
  <c r="U25" i="2" a="1"/>
  <c r="U25" i="2" s="1"/>
  <c r="U13" i="2" a="1"/>
  <c r="U13" i="2" s="1"/>
  <c r="U12" i="2" a="1"/>
  <c r="U12" i="2" s="1"/>
  <c r="U8" i="2" a="1"/>
  <c r="U8" i="2" s="1"/>
  <c r="U11" i="2" a="1"/>
  <c r="U11" i="2" s="1"/>
  <c r="U10" i="2" a="1"/>
  <c r="U10" i="2" s="1"/>
  <c r="U15" i="2" a="1"/>
  <c r="U15" i="2" s="1"/>
  <c r="U14" i="2" a="1"/>
  <c r="U14" i="2" s="1"/>
  <c r="U9" i="2" a="1"/>
  <c r="U9" i="2" s="1"/>
  <c r="U6" i="2" a="1"/>
  <c r="U6" i="2" s="1"/>
  <c r="U5" i="2" a="1"/>
  <c r="U5" i="2" s="1"/>
  <c r="U4" i="2" a="1"/>
  <c r="U4" i="2" s="1"/>
  <c r="U7" i="2" a="1"/>
  <c r="U7" i="2" s="1"/>
  <c r="K101" i="2" a="1"/>
  <c r="K101" i="2" s="1"/>
  <c r="K103" i="2" a="1"/>
  <c r="K103" i="2" s="1"/>
  <c r="K102" i="2" a="1"/>
  <c r="K102" i="2" s="1"/>
  <c r="K100" i="2" a="1"/>
  <c r="K100" i="2" s="1"/>
  <c r="K96" i="2" a="1"/>
  <c r="K96" i="2" s="1"/>
  <c r="K99" i="2" a="1"/>
  <c r="K99" i="2" s="1"/>
  <c r="K97" i="2" a="1"/>
  <c r="K97" i="2" s="1"/>
  <c r="K98" i="2" a="1"/>
  <c r="K98" i="2" s="1"/>
  <c r="K93" i="2" a="1"/>
  <c r="K93" i="2" s="1"/>
  <c r="K92" i="2" a="1"/>
  <c r="K92" i="2" s="1"/>
  <c r="K95" i="2" a="1"/>
  <c r="K95" i="2" s="1"/>
  <c r="K94" i="2" a="1"/>
  <c r="K94" i="2" s="1"/>
  <c r="K90" i="2" a="1"/>
  <c r="K90" i="2" s="1"/>
  <c r="K89" i="2" a="1"/>
  <c r="K89" i="2" s="1"/>
  <c r="K91" i="2" a="1"/>
  <c r="K91" i="2" s="1"/>
  <c r="K88" i="2" a="1"/>
  <c r="K88" i="2" s="1"/>
  <c r="K87" i="2" a="1"/>
  <c r="K87" i="2" s="1"/>
  <c r="K86" i="2" a="1"/>
  <c r="K86" i="2" s="1"/>
  <c r="K84" i="2" a="1"/>
  <c r="K84" i="2" s="1"/>
  <c r="K85" i="2" a="1"/>
  <c r="K85" i="2" s="1"/>
  <c r="K82" i="2" a="1"/>
  <c r="K82" i="2" s="1"/>
  <c r="K83" i="2" a="1"/>
  <c r="K83" i="2" s="1"/>
  <c r="K81" i="2" a="1"/>
  <c r="K81" i="2" s="1"/>
  <c r="K79" i="2" a="1"/>
  <c r="K79" i="2" s="1"/>
  <c r="K77" i="2" a="1"/>
  <c r="K77" i="2" s="1"/>
  <c r="K80" i="2" a="1"/>
  <c r="K80" i="2" s="1"/>
  <c r="K78" i="2" a="1"/>
  <c r="K78" i="2" s="1"/>
  <c r="K76" i="2" a="1"/>
  <c r="K76" i="2" s="1"/>
  <c r="K73" i="2" a="1"/>
  <c r="K73" i="2" s="1"/>
  <c r="K75" i="2" a="1"/>
  <c r="K75" i="2" s="1"/>
  <c r="K74" i="2" a="1"/>
  <c r="K74" i="2" s="1"/>
  <c r="K70" i="2" a="1"/>
  <c r="K70" i="2" s="1"/>
  <c r="K69" i="2" a="1"/>
  <c r="K69" i="2" s="1"/>
  <c r="K68" i="2" a="1"/>
  <c r="K68" i="2" s="1"/>
  <c r="K72" i="2" a="1"/>
  <c r="K72" i="2" s="1"/>
  <c r="K71" i="2" a="1"/>
  <c r="K71" i="2" s="1"/>
  <c r="K65" i="2" a="1"/>
  <c r="K65" i="2" s="1"/>
  <c r="K63" i="2" a="1"/>
  <c r="K63" i="2" s="1"/>
  <c r="K66" i="2" a="1"/>
  <c r="K66" i="2" s="1"/>
  <c r="K64" i="2" a="1"/>
  <c r="K64" i="2" s="1"/>
  <c r="K67" i="2" a="1"/>
  <c r="K67" i="2" s="1"/>
  <c r="K60" i="2" a="1"/>
  <c r="K60" i="2" s="1"/>
  <c r="K62" i="2" a="1"/>
  <c r="K62" i="2" s="1"/>
  <c r="K61" i="2" a="1"/>
  <c r="K61" i="2" s="1"/>
  <c r="K57" i="2" a="1"/>
  <c r="K57" i="2" s="1"/>
  <c r="K59" i="2" a="1"/>
  <c r="K59" i="2" s="1"/>
  <c r="K58" i="2" a="1"/>
  <c r="K58" i="2" s="1"/>
  <c r="K54" i="2" a="1"/>
  <c r="K54" i="2" s="1"/>
  <c r="K52" i="2" a="1"/>
  <c r="K52" i="2" s="1"/>
  <c r="K51" i="2" a="1"/>
  <c r="K51" i="2" s="1"/>
  <c r="K50" i="2" a="1"/>
  <c r="K50" i="2" s="1"/>
  <c r="K56" i="2" a="1"/>
  <c r="K56" i="2" s="1"/>
  <c r="K55" i="2" a="1"/>
  <c r="K55" i="2" s="1"/>
  <c r="K53" i="2" a="1"/>
  <c r="K53" i="2" s="1"/>
  <c r="K49" i="2" a="1"/>
  <c r="K49" i="2" s="1"/>
  <c r="K44" i="2" a="1"/>
  <c r="K44" i="2" s="1"/>
  <c r="K45" i="2" a="1"/>
  <c r="K45" i="2" s="1"/>
  <c r="K43" i="2" a="1"/>
  <c r="K43" i="2" s="1"/>
  <c r="K46" i="2" a="1"/>
  <c r="K46" i="2" s="1"/>
  <c r="K41" i="2" a="1"/>
  <c r="K41" i="2" s="1"/>
  <c r="K47" i="2" a="1"/>
  <c r="K47" i="2" s="1"/>
  <c r="K48" i="2" a="1"/>
  <c r="K48" i="2" s="1"/>
  <c r="K42" i="2" a="1"/>
  <c r="K42" i="2" s="1"/>
  <c r="K38" i="2" a="1"/>
  <c r="K38" i="2" s="1"/>
  <c r="K34" i="2" a="1"/>
  <c r="K34" i="2" s="1"/>
  <c r="K37" i="2" a="1"/>
  <c r="K37" i="2" s="1"/>
  <c r="K36" i="2" a="1"/>
  <c r="K36" i="2" s="1"/>
  <c r="K39" i="2" a="1"/>
  <c r="K39" i="2" s="1"/>
  <c r="K40" i="2" a="1"/>
  <c r="K40" i="2" s="1"/>
  <c r="K35" i="2" a="1"/>
  <c r="K35" i="2" s="1"/>
  <c r="K29" i="2" a="1"/>
  <c r="K29" i="2" s="1"/>
  <c r="K33" i="2" a="1"/>
  <c r="K33" i="2" s="1"/>
  <c r="K28" i="2" a="1"/>
  <c r="K28" i="2" s="1"/>
  <c r="K26" i="2" a="1"/>
  <c r="K26" i="2" s="1"/>
  <c r="K27" i="2" a="1"/>
  <c r="K27" i="2" s="1"/>
  <c r="K32" i="2" a="1"/>
  <c r="K32" i="2" s="1"/>
  <c r="K31" i="2" a="1"/>
  <c r="K31" i="2" s="1"/>
  <c r="K30" i="2" a="1"/>
  <c r="K30" i="2" s="1"/>
  <c r="K17" i="2" a="1"/>
  <c r="K17" i="2" s="1"/>
  <c r="K24" i="2" a="1"/>
  <c r="K24" i="2" s="1"/>
  <c r="K23" i="2" a="1"/>
  <c r="K23" i="2" s="1"/>
  <c r="K22" i="2" a="1"/>
  <c r="K22" i="2" s="1"/>
  <c r="K21" i="2" a="1"/>
  <c r="K21" i="2" s="1"/>
  <c r="K20" i="2" a="1"/>
  <c r="K20" i="2" s="1"/>
  <c r="K19" i="2" a="1"/>
  <c r="K19" i="2" s="1"/>
  <c r="K18" i="2" a="1"/>
  <c r="K18" i="2" s="1"/>
  <c r="K25" i="2" a="1"/>
  <c r="K25" i="2" s="1"/>
  <c r="K16" i="2" a="1"/>
  <c r="K16" i="2" s="1"/>
  <c r="K14" i="2" a="1"/>
  <c r="K14" i="2" s="1"/>
  <c r="K9" i="2" a="1"/>
  <c r="K9" i="2" s="1"/>
  <c r="K13" i="2" a="1"/>
  <c r="K13" i="2" s="1"/>
  <c r="K12" i="2" a="1"/>
  <c r="K12" i="2" s="1"/>
  <c r="K8" i="2" a="1"/>
  <c r="K8" i="2" s="1"/>
  <c r="K11" i="2" a="1"/>
  <c r="K11" i="2" s="1"/>
  <c r="K10" i="2" a="1"/>
  <c r="K10" i="2" s="1"/>
  <c r="K15" i="2" a="1"/>
  <c r="K15" i="2" s="1"/>
  <c r="K7" i="2" a="1"/>
  <c r="K7" i="2" s="1"/>
  <c r="K6" i="2" a="1"/>
  <c r="K6" i="2" s="1"/>
  <c r="K4" i="2" a="1"/>
  <c r="K4" i="2" s="1"/>
  <c r="K5" i="2" a="1"/>
  <c r="K5" i="2" s="1"/>
  <c r="L101" i="2" a="1"/>
  <c r="L101" i="2" s="1"/>
  <c r="L103" i="2" a="1"/>
  <c r="L103" i="2" s="1"/>
  <c r="L102" i="2" a="1"/>
  <c r="L102" i="2" s="1"/>
  <c r="L100" i="2" a="1"/>
  <c r="L100" i="2" s="1"/>
  <c r="L96" i="2" a="1"/>
  <c r="L96" i="2" s="1"/>
  <c r="L99" i="2" a="1"/>
  <c r="L99" i="2" s="1"/>
  <c r="L97" i="2" a="1"/>
  <c r="L97" i="2" s="1"/>
  <c r="L98" i="2" a="1"/>
  <c r="L98" i="2" s="1"/>
  <c r="L93" i="2" a="1"/>
  <c r="L93" i="2" s="1"/>
  <c r="L92" i="2" a="1"/>
  <c r="L92" i="2" s="1"/>
  <c r="L95" i="2" a="1"/>
  <c r="L95" i="2" s="1"/>
  <c r="L94" i="2" a="1"/>
  <c r="L94" i="2" s="1"/>
  <c r="L89" i="2" a="1"/>
  <c r="L89" i="2" s="1"/>
  <c r="L88" i="2" a="1"/>
  <c r="L88" i="2" s="1"/>
  <c r="L91" i="2" a="1"/>
  <c r="L91" i="2" s="1"/>
  <c r="L90" i="2" a="1"/>
  <c r="L90" i="2" s="1"/>
  <c r="L87" i="2" a="1"/>
  <c r="L87" i="2" s="1"/>
  <c r="L86" i="2" a="1"/>
  <c r="L86" i="2" s="1"/>
  <c r="L84" i="2" a="1"/>
  <c r="L84" i="2" s="1"/>
  <c r="L85" i="2" a="1"/>
  <c r="L85" i="2" s="1"/>
  <c r="L82" i="2" a="1"/>
  <c r="L82" i="2" s="1"/>
  <c r="L83" i="2" a="1"/>
  <c r="L83" i="2" s="1"/>
  <c r="L81" i="2" a="1"/>
  <c r="L81" i="2" s="1"/>
  <c r="L79" i="2" a="1"/>
  <c r="L79" i="2" s="1"/>
  <c r="L77" i="2" a="1"/>
  <c r="L77" i="2" s="1"/>
  <c r="L80" i="2" a="1"/>
  <c r="L80" i="2" s="1"/>
  <c r="L78" i="2" a="1"/>
  <c r="L78" i="2" s="1"/>
  <c r="L76" i="2" a="1"/>
  <c r="L76" i="2" s="1"/>
  <c r="L73" i="2" a="1"/>
  <c r="L73" i="2" s="1"/>
  <c r="L75" i="2" a="1"/>
  <c r="L75" i="2" s="1"/>
  <c r="L72" i="2" a="1"/>
  <c r="L72" i="2" s="1"/>
  <c r="L74" i="2" a="1"/>
  <c r="L74" i="2" s="1"/>
  <c r="L70" i="2" a="1"/>
  <c r="L70" i="2" s="1"/>
  <c r="L69" i="2" a="1"/>
  <c r="L69" i="2" s="1"/>
  <c r="L71" i="2" a="1"/>
  <c r="L71" i="2" s="1"/>
  <c r="L65" i="2" a="1"/>
  <c r="L65" i="2" s="1"/>
  <c r="L66" i="2" a="1"/>
  <c r="L66" i="2" s="1"/>
  <c r="L67" i="2" a="1"/>
  <c r="L67" i="2" s="1"/>
  <c r="L68" i="2" a="1"/>
  <c r="L68" i="2" s="1"/>
  <c r="L60" i="2" a="1"/>
  <c r="L60" i="2" s="1"/>
  <c r="L62" i="2" a="1"/>
  <c r="L62" i="2" s="1"/>
  <c r="L63" i="2" a="1"/>
  <c r="L63" i="2" s="1"/>
  <c r="L64" i="2" a="1"/>
  <c r="L64" i="2" s="1"/>
  <c r="L61" i="2" a="1"/>
  <c r="L61" i="2" s="1"/>
  <c r="L57" i="2" a="1"/>
  <c r="L57" i="2" s="1"/>
  <c r="L59" i="2" a="1"/>
  <c r="L59" i="2" s="1"/>
  <c r="L58" i="2" a="1"/>
  <c r="L58" i="2" s="1"/>
  <c r="L54" i="2" a="1"/>
  <c r="L54" i="2" s="1"/>
  <c r="L52" i="2" a="1"/>
  <c r="L52" i="2" s="1"/>
  <c r="L51" i="2" a="1"/>
  <c r="L51" i="2" s="1"/>
  <c r="L50" i="2" a="1"/>
  <c r="L50" i="2" s="1"/>
  <c r="L56" i="2" a="1"/>
  <c r="L56" i="2" s="1"/>
  <c r="L55" i="2" a="1"/>
  <c r="L55" i="2" s="1"/>
  <c r="L53" i="2" a="1"/>
  <c r="L53" i="2" s="1"/>
  <c r="L49" i="2" a="1"/>
  <c r="L49" i="2" s="1"/>
  <c r="L45" i="2" a="1"/>
  <c r="L45" i="2" s="1"/>
  <c r="L43" i="2" a="1"/>
  <c r="L43" i="2" s="1"/>
  <c r="L46" i="2" a="1"/>
  <c r="L46" i="2" s="1"/>
  <c r="L41" i="2" a="1"/>
  <c r="L41" i="2" s="1"/>
  <c r="L47" i="2" a="1"/>
  <c r="L47" i="2" s="1"/>
  <c r="L48" i="2" a="1"/>
  <c r="L48" i="2" s="1"/>
  <c r="L40" i="2" a="1"/>
  <c r="L40" i="2" s="1"/>
  <c r="L42" i="2" a="1"/>
  <c r="L42" i="2" s="1"/>
  <c r="L44" i="2" a="1"/>
  <c r="L44" i="2" s="1"/>
  <c r="L38" i="2" a="1"/>
  <c r="L38" i="2" s="1"/>
  <c r="L34" i="2" a="1"/>
  <c r="L34" i="2" s="1"/>
  <c r="L37" i="2" a="1"/>
  <c r="L37" i="2" s="1"/>
  <c r="L36" i="2" a="1"/>
  <c r="L36" i="2" s="1"/>
  <c r="L39" i="2" a="1"/>
  <c r="L39" i="2" s="1"/>
  <c r="L35" i="2" a="1"/>
  <c r="L35" i="2" s="1"/>
  <c r="L33" i="2" a="1"/>
  <c r="L33" i="2" s="1"/>
  <c r="L28" i="2" a="1"/>
  <c r="L28" i="2" s="1"/>
  <c r="L26" i="2" a="1"/>
  <c r="L26" i="2" s="1"/>
  <c r="L25" i="2" a="1"/>
  <c r="L25" i="2" s="1"/>
  <c r="L27" i="2" a="1"/>
  <c r="L27" i="2" s="1"/>
  <c r="L32" i="2" a="1"/>
  <c r="L32" i="2" s="1"/>
  <c r="L31" i="2" a="1"/>
  <c r="L31" i="2" s="1"/>
  <c r="L30" i="2" a="1"/>
  <c r="L30" i="2" s="1"/>
  <c r="L29" i="2" a="1"/>
  <c r="L29" i="2" s="1"/>
  <c r="L24" i="2" a="1"/>
  <c r="L24" i="2" s="1"/>
  <c r="L23" i="2" a="1"/>
  <c r="L23" i="2" s="1"/>
  <c r="L22" i="2" a="1"/>
  <c r="L22" i="2" s="1"/>
  <c r="L21" i="2" a="1"/>
  <c r="L21" i="2" s="1"/>
  <c r="L20" i="2" a="1"/>
  <c r="L20" i="2" s="1"/>
  <c r="L19" i="2" a="1"/>
  <c r="L19" i="2" s="1"/>
  <c r="L18" i="2" a="1"/>
  <c r="L18" i="2" s="1"/>
  <c r="L16" i="2" a="1"/>
  <c r="L16" i="2" s="1"/>
  <c r="L17" i="2" a="1"/>
  <c r="L17" i="2" s="1"/>
  <c r="L9" i="2" a="1"/>
  <c r="L9" i="2" s="1"/>
  <c r="L13" i="2" a="1"/>
  <c r="L13" i="2" s="1"/>
  <c r="L12" i="2" a="1"/>
  <c r="L12" i="2" s="1"/>
  <c r="L11" i="2" a="1"/>
  <c r="L11" i="2" s="1"/>
  <c r="L10" i="2" a="1"/>
  <c r="L10" i="2" s="1"/>
  <c r="L15" i="2" a="1"/>
  <c r="L15" i="2" s="1"/>
  <c r="L14" i="2" a="1"/>
  <c r="L14" i="2" s="1"/>
  <c r="L7" i="2" a="1"/>
  <c r="L7" i="2" s="1"/>
  <c r="L4" i="2" a="1"/>
  <c r="L4" i="2" s="1"/>
  <c r="L8" i="2" a="1"/>
  <c r="L8" i="2" s="1"/>
  <c r="L6" i="2" a="1"/>
  <c r="L6" i="2" s="1"/>
  <c r="L5" i="2" a="1"/>
  <c r="L5" i="2" s="1"/>
  <c r="Y100" i="2" a="1"/>
  <c r="Y100" i="2" s="1"/>
  <c r="Y99" i="2" a="1"/>
  <c r="Y99" i="2" s="1"/>
  <c r="Y103" i="2" a="1"/>
  <c r="Y103" i="2" s="1"/>
  <c r="Y102" i="2" a="1"/>
  <c r="Y102" i="2" s="1"/>
  <c r="Y101" i="2" a="1"/>
  <c r="Y101" i="2" s="1"/>
  <c r="Y97" i="2" a="1"/>
  <c r="Y97" i="2" s="1"/>
  <c r="Y98" i="2" a="1"/>
  <c r="Y98" i="2" s="1"/>
  <c r="Y96" i="2" a="1"/>
  <c r="Y96" i="2" s="1"/>
  <c r="Y95" i="2" a="1"/>
  <c r="Y95" i="2" s="1"/>
  <c r="Y94" i="2" a="1"/>
  <c r="Y94" i="2" s="1"/>
  <c r="Y93" i="2" a="1"/>
  <c r="Y93" i="2" s="1"/>
  <c r="Y92" i="2" a="1"/>
  <c r="Y92" i="2" s="1"/>
  <c r="Y91" i="2" a="1"/>
  <c r="Y91" i="2" s="1"/>
  <c r="Y90" i="2" a="1"/>
  <c r="Y90" i="2" s="1"/>
  <c r="Y89" i="2" a="1"/>
  <c r="Y89" i="2" s="1"/>
  <c r="Y88" i="2" a="1"/>
  <c r="Y88" i="2" s="1"/>
  <c r="Y87" i="2" a="1"/>
  <c r="Y87" i="2" s="1"/>
  <c r="Y86" i="2" a="1"/>
  <c r="Y86" i="2" s="1"/>
  <c r="Y84" i="2" a="1"/>
  <c r="Y84" i="2" s="1"/>
  <c r="Y85" i="2" a="1"/>
  <c r="Y85" i="2" s="1"/>
  <c r="Y83" i="2" a="1"/>
  <c r="Y83" i="2" s="1"/>
  <c r="Y82" i="2" a="1"/>
  <c r="Y82" i="2" s="1"/>
  <c r="Y81" i="2" a="1"/>
  <c r="Y81" i="2" s="1"/>
  <c r="Y78" i="2" a="1"/>
  <c r="Y78" i="2" s="1"/>
  <c r="Y79" i="2" a="1"/>
  <c r="Y79" i="2" s="1"/>
  <c r="Y77" i="2" a="1"/>
  <c r="Y77" i="2" s="1"/>
  <c r="Y80" i="2" a="1"/>
  <c r="Y80" i="2" s="1"/>
  <c r="Y76" i="2" a="1"/>
  <c r="Y76" i="2" s="1"/>
  <c r="Y74" i="2" a="1"/>
  <c r="Y74" i="2" s="1"/>
  <c r="Y75" i="2" a="1"/>
  <c r="Y75" i="2" s="1"/>
  <c r="Y73" i="2" a="1"/>
  <c r="Y73" i="2" s="1"/>
  <c r="Y69" i="2" a="1"/>
  <c r="Y69" i="2" s="1"/>
  <c r="Y72" i="2" a="1"/>
  <c r="Y72" i="2" s="1"/>
  <c r="Y71" i="2" a="1"/>
  <c r="Y71" i="2" s="1"/>
  <c r="Y70" i="2" a="1"/>
  <c r="Y70" i="2" s="1"/>
  <c r="Y67" i="2" a="1"/>
  <c r="Y67" i="2" s="1"/>
  <c r="Y68" i="2" a="1"/>
  <c r="Y68" i="2" s="1"/>
  <c r="Y65" i="2" a="1"/>
  <c r="Y65" i="2" s="1"/>
  <c r="Y66" i="2" a="1"/>
  <c r="Y66" i="2" s="1"/>
  <c r="Y61" i="2" a="1"/>
  <c r="Y61" i="2" s="1"/>
  <c r="Y64" i="2" a="1"/>
  <c r="Y64" i="2" s="1"/>
  <c r="Y60" i="2" a="1"/>
  <c r="Y60" i="2" s="1"/>
  <c r="Y62" i="2" a="1"/>
  <c r="Y62" i="2" s="1"/>
  <c r="Y63" i="2" a="1"/>
  <c r="Y63" i="2" s="1"/>
  <c r="Y59" i="2" a="1"/>
  <c r="Y59" i="2" s="1"/>
  <c r="Y58" i="2" a="1"/>
  <c r="Y58" i="2" s="1"/>
  <c r="Y57" i="2" a="1"/>
  <c r="Y57" i="2" s="1"/>
  <c r="Y50" i="2" a="1"/>
  <c r="Y50" i="2" s="1"/>
  <c r="Y56" i="2" a="1"/>
  <c r="Y56" i="2" s="1"/>
  <c r="Y55" i="2" a="1"/>
  <c r="Y55" i="2" s="1"/>
  <c r="Y49" i="2" a="1"/>
  <c r="Y49" i="2" s="1"/>
  <c r="Y54" i="2" a="1"/>
  <c r="Y54" i="2" s="1"/>
  <c r="Y52" i="2" a="1"/>
  <c r="Y52" i="2" s="1"/>
  <c r="Y53" i="2" a="1"/>
  <c r="Y53" i="2" s="1"/>
  <c r="Y51" i="2" a="1"/>
  <c r="Y51" i="2" s="1"/>
  <c r="Y48" i="2" a="1"/>
  <c r="Y48" i="2" s="1"/>
  <c r="Y44" i="2" a="1"/>
  <c r="Y44" i="2" s="1"/>
  <c r="Y42" i="2" a="1"/>
  <c r="Y42" i="2" s="1"/>
  <c r="Y46" i="2" a="1"/>
  <c r="Y46" i="2" s="1"/>
  <c r="Y43" i="2" a="1"/>
  <c r="Y43" i="2" s="1"/>
  <c r="Y45" i="2" a="1"/>
  <c r="Y45" i="2" s="1"/>
  <c r="Y41" i="2" a="1"/>
  <c r="Y41" i="2" s="1"/>
  <c r="Y47" i="2" a="1"/>
  <c r="Y47" i="2" s="1"/>
  <c r="Y39" i="2" a="1"/>
  <c r="Y39" i="2" s="1"/>
  <c r="Y35" i="2" a="1"/>
  <c r="Y35" i="2" s="1"/>
  <c r="Y38" i="2" a="1"/>
  <c r="Y38" i="2" s="1"/>
  <c r="Y34" i="2" a="1"/>
  <c r="Y34" i="2" s="1"/>
  <c r="Y40" i="2" a="1"/>
  <c r="Y40" i="2" s="1"/>
  <c r="Y37" i="2" a="1"/>
  <c r="Y37" i="2" s="1"/>
  <c r="Y36" i="2" a="1"/>
  <c r="Y36" i="2" s="1"/>
  <c r="Y30" i="2" a="1"/>
  <c r="Y30" i="2" s="1"/>
  <c r="Y26" i="2" a="1"/>
  <c r="Y26" i="2" s="1"/>
  <c r="Y31" i="2" a="1"/>
  <c r="Y31" i="2" s="1"/>
  <c r="Y32" i="2" a="1"/>
  <c r="Y32" i="2" s="1"/>
  <c r="Y29" i="2" a="1"/>
  <c r="Y29" i="2" s="1"/>
  <c r="Y28" i="2" a="1"/>
  <c r="Y28" i="2" s="1"/>
  <c r="Y33" i="2" a="1"/>
  <c r="Y33" i="2" s="1"/>
  <c r="Y27" i="2" a="1"/>
  <c r="Y27" i="2" s="1"/>
  <c r="Y18" i="2" a="1"/>
  <c r="Y18" i="2" s="1"/>
  <c r="Y24" i="2" a="1"/>
  <c r="Y24" i="2" s="1"/>
  <c r="Y23" i="2" a="1"/>
  <c r="Y23" i="2" s="1"/>
  <c r="Y22" i="2" a="1"/>
  <c r="Y22" i="2" s="1"/>
  <c r="Y21" i="2" a="1"/>
  <c r="Y21" i="2" s="1"/>
  <c r="Y20" i="2" a="1"/>
  <c r="Y20" i="2" s="1"/>
  <c r="Y19" i="2" a="1"/>
  <c r="Y19" i="2" s="1"/>
  <c r="Y16" i="2" a="1"/>
  <c r="Y16" i="2" s="1"/>
  <c r="Y25" i="2" a="1"/>
  <c r="Y25" i="2" s="1"/>
  <c r="Y17" i="2" a="1"/>
  <c r="Y17" i="2" s="1"/>
  <c r="Y8" i="2" a="1"/>
  <c r="Y8" i="2" s="1"/>
  <c r="Y11" i="2" a="1"/>
  <c r="Y11" i="2" s="1"/>
  <c r="Y10" i="2" a="1"/>
  <c r="Y10" i="2" s="1"/>
  <c r="Y15" i="2" a="1"/>
  <c r="Y15" i="2" s="1"/>
  <c r="Y14" i="2" a="1"/>
  <c r="Y14" i="2" s="1"/>
  <c r="Y9" i="2" a="1"/>
  <c r="Y9" i="2" s="1"/>
  <c r="Y13" i="2" a="1"/>
  <c r="Y13" i="2" s="1"/>
  <c r="Y12" i="2" a="1"/>
  <c r="Y12" i="2" s="1"/>
  <c r="Y6" i="2" a="1"/>
  <c r="Y6" i="2" s="1"/>
  <c r="Y5" i="2" a="1"/>
  <c r="Y5" i="2" s="1"/>
  <c r="Y7" i="2" a="1"/>
  <c r="Y7" i="2" s="1"/>
  <c r="Y4" i="2" a="1"/>
  <c r="Y4" i="2" s="1"/>
  <c r="CI100" i="2" a="1"/>
  <c r="CI100" i="2" s="1"/>
  <c r="CI99" i="2" a="1"/>
  <c r="CI99" i="2" s="1"/>
  <c r="CI103" i="2" a="1"/>
  <c r="CI103" i="2" s="1"/>
  <c r="CI102" i="2" a="1"/>
  <c r="CI102" i="2" s="1"/>
  <c r="CI101" i="2" a="1"/>
  <c r="CI101" i="2" s="1"/>
  <c r="CI97" i="2" a="1"/>
  <c r="CI97" i="2" s="1"/>
  <c r="CI98" i="2" a="1"/>
  <c r="CI98" i="2" s="1"/>
  <c r="CI96" i="2" a="1"/>
  <c r="CI96" i="2" s="1"/>
  <c r="CI93" i="2" a="1"/>
  <c r="CI93" i="2" s="1"/>
  <c r="CI95" i="2" a="1"/>
  <c r="CI95" i="2" s="1"/>
  <c r="CI92" i="2" a="1"/>
  <c r="CI92" i="2" s="1"/>
  <c r="CI94" i="2" a="1"/>
  <c r="CI94" i="2" s="1"/>
  <c r="CI90" i="2" a="1"/>
  <c r="CI90" i="2" s="1"/>
  <c r="CI89" i="2" a="1"/>
  <c r="CI89" i="2" s="1"/>
  <c r="CI91" i="2" a="1"/>
  <c r="CI91" i="2" s="1"/>
  <c r="CI88" i="2" a="1"/>
  <c r="CI88" i="2" s="1"/>
  <c r="CI87" i="2" a="1"/>
  <c r="CI87" i="2" s="1"/>
  <c r="CI86" i="2" a="1"/>
  <c r="CI86" i="2" s="1"/>
  <c r="CI85" i="2" a="1"/>
  <c r="CI85" i="2" s="1"/>
  <c r="CI84" i="2" a="1"/>
  <c r="CI84" i="2" s="1"/>
  <c r="CI83" i="2" a="1"/>
  <c r="CI83" i="2" s="1"/>
  <c r="CI81" i="2" a="1"/>
  <c r="CI81" i="2" s="1"/>
  <c r="CI80" i="2" a="1"/>
  <c r="CI80" i="2" s="1"/>
  <c r="CI82" i="2" a="1"/>
  <c r="CI82" i="2" s="1"/>
  <c r="CI77" i="2" a="1"/>
  <c r="CI77" i="2" s="1"/>
  <c r="CI76" i="2" a="1"/>
  <c r="CI76" i="2" s="1"/>
  <c r="CI79" i="2" a="1"/>
  <c r="CI79" i="2" s="1"/>
  <c r="CI78" i="2" a="1"/>
  <c r="CI78" i="2" s="1"/>
  <c r="CI73" i="2" a="1"/>
  <c r="CI73" i="2" s="1"/>
  <c r="CI72" i="2" a="1"/>
  <c r="CI72" i="2" s="1"/>
  <c r="CI74" i="2" a="1"/>
  <c r="CI74" i="2" s="1"/>
  <c r="CI75" i="2" a="1"/>
  <c r="CI75" i="2" s="1"/>
  <c r="CI68" i="2" a="1"/>
  <c r="CI68" i="2" s="1"/>
  <c r="CI71" i="2" a="1"/>
  <c r="CI71" i="2" s="1"/>
  <c r="CI70" i="2" a="1"/>
  <c r="CI70" i="2" s="1"/>
  <c r="CI69" i="2" a="1"/>
  <c r="CI69" i="2" s="1"/>
  <c r="CI65" i="2" a="1"/>
  <c r="CI65" i="2" s="1"/>
  <c r="CI64" i="2" a="1"/>
  <c r="CI64" i="2" s="1"/>
  <c r="CI66" i="2" a="1"/>
  <c r="CI66" i="2" s="1"/>
  <c r="CI67" i="2" a="1"/>
  <c r="CI67" i="2" s="1"/>
  <c r="CI62" i="2" a="1"/>
  <c r="CI62" i="2" s="1"/>
  <c r="CI61" i="2" a="1"/>
  <c r="CI61" i="2" s="1"/>
  <c r="CI63" i="2" a="1"/>
  <c r="CI63" i="2" s="1"/>
  <c r="CI60" i="2" a="1"/>
  <c r="CI60" i="2" s="1"/>
  <c r="CI59" i="2" a="1"/>
  <c r="CI59" i="2" s="1"/>
  <c r="CI57" i="2" a="1"/>
  <c r="CI57" i="2" s="1"/>
  <c r="CI56" i="2" a="1"/>
  <c r="CI56" i="2" s="1"/>
  <c r="CI58" i="2" a="1"/>
  <c r="CI58" i="2" s="1"/>
  <c r="CI55" i="2" a="1"/>
  <c r="CI55" i="2" s="1"/>
  <c r="CI51" i="2" a="1"/>
  <c r="CI51" i="2" s="1"/>
  <c r="CI50" i="2" a="1"/>
  <c r="CI50" i="2" s="1"/>
  <c r="CI49" i="2" a="1"/>
  <c r="CI49" i="2" s="1"/>
  <c r="CI52" i="2" a="1"/>
  <c r="CI52" i="2" s="1"/>
  <c r="CI48" i="2" a="1"/>
  <c r="CI48" i="2" s="1"/>
  <c r="CI54" i="2" a="1"/>
  <c r="CI54" i="2" s="1"/>
  <c r="CI53" i="2" a="1"/>
  <c r="CI53" i="2" s="1"/>
  <c r="CI47" i="2" a="1"/>
  <c r="CI47" i="2" s="1"/>
  <c r="CI41" i="2" a="1"/>
  <c r="CI41" i="2" s="1"/>
  <c r="CI40" i="2" a="1"/>
  <c r="CI40" i="2" s="1"/>
  <c r="CI44" i="2" a="1"/>
  <c r="CI44" i="2" s="1"/>
  <c r="CI43" i="2" a="1"/>
  <c r="CI43" i="2" s="1"/>
  <c r="CI46" i="2" a="1"/>
  <c r="CI46" i="2" s="1"/>
  <c r="CI42" i="2" a="1"/>
  <c r="CI42" i="2" s="1"/>
  <c r="CI45" i="2" a="1"/>
  <c r="CI45" i="2" s="1"/>
  <c r="CI34" i="2" a="1"/>
  <c r="CI34" i="2" s="1"/>
  <c r="CI36" i="2" a="1"/>
  <c r="CI36" i="2" s="1"/>
  <c r="CI39" i="2" a="1"/>
  <c r="CI39" i="2" s="1"/>
  <c r="CI35" i="2" a="1"/>
  <c r="CI35" i="2" s="1"/>
  <c r="CI38" i="2" a="1"/>
  <c r="CI38" i="2" s="1"/>
  <c r="CI37" i="2" a="1"/>
  <c r="CI37" i="2" s="1"/>
  <c r="CI26" i="2" a="1"/>
  <c r="CI26" i="2" s="1"/>
  <c r="CI25" i="2" a="1"/>
  <c r="CI25" i="2" s="1"/>
  <c r="CI30" i="2" a="1"/>
  <c r="CI30" i="2" s="1"/>
  <c r="CI33" i="2" a="1"/>
  <c r="CI33" i="2" s="1"/>
  <c r="CI31" i="2" a="1"/>
  <c r="CI31" i="2" s="1"/>
  <c r="CI29" i="2" a="1"/>
  <c r="CI29" i="2" s="1"/>
  <c r="CI28" i="2" a="1"/>
  <c r="CI28" i="2" s="1"/>
  <c r="CI32" i="2" a="1"/>
  <c r="CI32" i="2" s="1"/>
  <c r="CI27" i="2" a="1"/>
  <c r="CI27" i="2" s="1"/>
  <c r="CI24" i="2" a="1"/>
  <c r="CI24" i="2" s="1"/>
  <c r="CI23" i="2" a="1"/>
  <c r="CI23" i="2" s="1"/>
  <c r="CI22" i="2" a="1"/>
  <c r="CI22" i="2" s="1"/>
  <c r="CI21" i="2" a="1"/>
  <c r="CI21" i="2" s="1"/>
  <c r="CI20" i="2" a="1"/>
  <c r="CI20" i="2" s="1"/>
  <c r="CI19" i="2" a="1"/>
  <c r="CI19" i="2" s="1"/>
  <c r="CI18" i="2" a="1"/>
  <c r="CI18" i="2" s="1"/>
  <c r="CI16" i="2" a="1"/>
  <c r="CI16" i="2" s="1"/>
  <c r="CI15" i="2" a="1"/>
  <c r="CI15" i="2" s="1"/>
  <c r="CI17" i="2" a="1"/>
  <c r="CI17" i="2" s="1"/>
  <c r="CI9" i="2" a="1"/>
  <c r="CI9" i="2" s="1"/>
  <c r="CI14" i="2" a="1"/>
  <c r="CI14" i="2" s="1"/>
  <c r="CI13" i="2" a="1"/>
  <c r="CI13" i="2" s="1"/>
  <c r="CI8" i="2" a="1"/>
  <c r="CI8" i="2" s="1"/>
  <c r="CI12" i="2" a="1"/>
  <c r="CI12" i="2" s="1"/>
  <c r="CI10" i="2" a="1"/>
  <c r="CI10" i="2" s="1"/>
  <c r="CI11" i="2" a="1"/>
  <c r="CI11" i="2" s="1"/>
  <c r="CI5" i="2" a="1"/>
  <c r="CI5" i="2" s="1"/>
  <c r="CI6" i="2" a="1"/>
  <c r="CI6" i="2" s="1"/>
  <c r="CI7" i="2" a="1"/>
  <c r="CI7" i="2" s="1"/>
  <c r="CI4" i="2" a="1"/>
  <c r="CI4" i="2" s="1"/>
  <c r="C103" i="2" a="1"/>
  <c r="C103" i="2" s="1"/>
  <c r="C102" i="2" a="1"/>
  <c r="C102" i="2" s="1"/>
  <c r="C101" i="2" a="1"/>
  <c r="C101" i="2" s="1"/>
  <c r="C100" i="2" a="1"/>
  <c r="C100" i="2" s="1"/>
  <c r="C96" i="2" a="1"/>
  <c r="C96" i="2" s="1"/>
  <c r="C99" i="2" a="1"/>
  <c r="C99" i="2" s="1"/>
  <c r="C97" i="2" a="1"/>
  <c r="C97" i="2" s="1"/>
  <c r="C98" i="2" a="1"/>
  <c r="C98" i="2" s="1"/>
  <c r="C93" i="2" a="1"/>
  <c r="C93" i="2" s="1"/>
  <c r="C92" i="2" a="1"/>
  <c r="C92" i="2" s="1"/>
  <c r="C95" i="2" a="1"/>
  <c r="C95" i="2" s="1"/>
  <c r="C94" i="2" a="1"/>
  <c r="C94" i="2" s="1"/>
  <c r="C89" i="2" a="1"/>
  <c r="C89" i="2" s="1"/>
  <c r="C88" i="2" a="1"/>
  <c r="C88" i="2" s="1"/>
  <c r="C91" i="2" a="1"/>
  <c r="C91" i="2" s="1"/>
  <c r="C90" i="2" a="1"/>
  <c r="C90" i="2" s="1"/>
  <c r="C87" i="2" a="1"/>
  <c r="C87" i="2" s="1"/>
  <c r="C86" i="2" a="1"/>
  <c r="C86" i="2" s="1"/>
  <c r="C85" i="2" a="1"/>
  <c r="C85" i="2" s="1"/>
  <c r="C84" i="2" a="1"/>
  <c r="C84" i="2" s="1"/>
  <c r="C83" i="2" a="1"/>
  <c r="C83" i="2" s="1"/>
  <c r="C82" i="2" a="1"/>
  <c r="C82" i="2" s="1"/>
  <c r="C81" i="2" a="1"/>
  <c r="C81" i="2" s="1"/>
  <c r="C77" i="2" a="1"/>
  <c r="C77" i="2" s="1"/>
  <c r="C80" i="2" a="1"/>
  <c r="C80" i="2" s="1"/>
  <c r="C78" i="2" a="1"/>
  <c r="C78" i="2" s="1"/>
  <c r="C79" i="2" a="1"/>
  <c r="C79" i="2" s="1"/>
  <c r="C73" i="2" a="1"/>
  <c r="C73" i="2" s="1"/>
  <c r="C75" i="2" a="1"/>
  <c r="C75" i="2" s="1"/>
  <c r="C74" i="2" a="1"/>
  <c r="C74" i="2" s="1"/>
  <c r="C76" i="2" a="1"/>
  <c r="C76" i="2" s="1"/>
  <c r="C72" i="2" a="1"/>
  <c r="C72" i="2" s="1"/>
  <c r="C70" i="2" a="1"/>
  <c r="C70" i="2" s="1"/>
  <c r="C69" i="2" a="1"/>
  <c r="C69" i="2" s="1"/>
  <c r="C71" i="2" a="1"/>
  <c r="C71" i="2" s="1"/>
  <c r="C66" i="2" a="1"/>
  <c r="C66" i="2" s="1"/>
  <c r="C67" i="2" a="1"/>
  <c r="C67" i="2" s="1"/>
  <c r="C68" i="2" a="1"/>
  <c r="C68" i="2" s="1"/>
  <c r="C65" i="2" a="1"/>
  <c r="C65" i="2" s="1"/>
  <c r="C60" i="2" a="1"/>
  <c r="C60" i="2" s="1"/>
  <c r="C62" i="2" a="1"/>
  <c r="C62" i="2" s="1"/>
  <c r="C61" i="2" a="1"/>
  <c r="C61" i="2" s="1"/>
  <c r="C64" i="2" a="1"/>
  <c r="C64" i="2" s="1"/>
  <c r="C63" i="2" a="1"/>
  <c r="C63" i="2" s="1"/>
  <c r="C57" i="2" a="1"/>
  <c r="C57" i="2" s="1"/>
  <c r="C59" i="2" a="1"/>
  <c r="C59" i="2" s="1"/>
  <c r="C58" i="2" a="1"/>
  <c r="C58" i="2" s="1"/>
  <c r="C54" i="2" a="1"/>
  <c r="C54" i="2" s="1"/>
  <c r="C52" i="2" a="1"/>
  <c r="C52" i="2" s="1"/>
  <c r="C51" i="2" a="1"/>
  <c r="C51" i="2" s="1"/>
  <c r="C50" i="2" a="1"/>
  <c r="C50" i="2" s="1"/>
  <c r="C53" i="2" a="1"/>
  <c r="C53" i="2" s="1"/>
  <c r="C56" i="2" a="1"/>
  <c r="C56" i="2" s="1"/>
  <c r="C55" i="2" a="1"/>
  <c r="C55" i="2" s="1"/>
  <c r="C45" i="2" a="1"/>
  <c r="C45" i="2" s="1"/>
  <c r="C43" i="2" a="1"/>
  <c r="C43" i="2" s="1"/>
  <c r="C46" i="2" a="1"/>
  <c r="C46" i="2" s="1"/>
  <c r="C41" i="2" a="1"/>
  <c r="C41" i="2" s="1"/>
  <c r="C49" i="2" a="1"/>
  <c r="C49" i="2" s="1"/>
  <c r="C48" i="2" a="1"/>
  <c r="C48" i="2" s="1"/>
  <c r="C47" i="2" a="1"/>
  <c r="C47" i="2" s="1"/>
  <c r="C42" i="2" a="1"/>
  <c r="C42" i="2" s="1"/>
  <c r="C44" i="2" a="1"/>
  <c r="C44" i="2" s="1"/>
  <c r="C38" i="2" a="1"/>
  <c r="C38" i="2" s="1"/>
  <c r="C37" i="2" a="1"/>
  <c r="C37" i="2" s="1"/>
  <c r="C36" i="2" a="1"/>
  <c r="C36" i="2" s="1"/>
  <c r="C39" i="2" a="1"/>
  <c r="C39" i="2" s="1"/>
  <c r="C40" i="2" a="1"/>
  <c r="C40" i="2" s="1"/>
  <c r="C35" i="2" a="1"/>
  <c r="C35" i="2" s="1"/>
  <c r="C26" i="2" a="1"/>
  <c r="C26" i="2" s="1"/>
  <c r="C34" i="2" a="1"/>
  <c r="C34" i="2" s="1"/>
  <c r="C28" i="2" a="1"/>
  <c r="C28" i="2" s="1"/>
  <c r="C27" i="2" a="1"/>
  <c r="C27" i="2" s="1"/>
  <c r="C31" i="2" a="1"/>
  <c r="C31" i="2" s="1"/>
  <c r="C32" i="2" a="1"/>
  <c r="C32" i="2" s="1"/>
  <c r="C30" i="2" a="1"/>
  <c r="C30" i="2" s="1"/>
  <c r="C29" i="2" a="1"/>
  <c r="C29" i="2" s="1"/>
  <c r="C33" i="2" a="1"/>
  <c r="C33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18" i="2" a="1"/>
  <c r="C18" i="2" s="1"/>
  <c r="C25" i="2" a="1"/>
  <c r="C25" i="2" s="1"/>
  <c r="C17" i="2" a="1"/>
  <c r="C17" i="2" s="1"/>
  <c r="C16" i="2" a="1"/>
  <c r="C16" i="2" s="1"/>
  <c r="C14" i="2" a="1"/>
  <c r="C14" i="2" s="1"/>
  <c r="C9" i="2" a="1"/>
  <c r="C9" i="2" s="1"/>
  <c r="C13" i="2" a="1"/>
  <c r="C13" i="2" s="1"/>
  <c r="C8" i="2" a="1"/>
  <c r="C8" i="2" s="1"/>
  <c r="C12" i="2" a="1"/>
  <c r="C12" i="2" s="1"/>
  <c r="C10" i="2" a="1"/>
  <c r="C10" i="2" s="1"/>
  <c r="C15" i="2" a="1"/>
  <c r="C15" i="2" s="1"/>
  <c r="C11" i="2" a="1"/>
  <c r="C11" i="2" s="1"/>
  <c r="C4" i="2" a="1"/>
  <c r="C4" i="2" s="1"/>
  <c r="C7" i="2" a="1"/>
  <c r="C7" i="2" s="1"/>
  <c r="C6" i="2" a="1"/>
  <c r="C6" i="2" s="1"/>
  <c r="C5" i="2" a="1"/>
  <c r="C5" i="2" s="1"/>
  <c r="O100" i="2" a="1"/>
  <c r="O100" i="2" s="1"/>
  <c r="O103" i="2" a="1"/>
  <c r="O103" i="2" s="1"/>
  <c r="O102" i="2" a="1"/>
  <c r="O102" i="2" s="1"/>
  <c r="O101" i="2" a="1"/>
  <c r="O101" i="2" s="1"/>
  <c r="O99" i="2" a="1"/>
  <c r="O99" i="2" s="1"/>
  <c r="O97" i="2" a="1"/>
  <c r="O97" i="2" s="1"/>
  <c r="O98" i="2" a="1"/>
  <c r="O98" i="2" s="1"/>
  <c r="O96" i="2" a="1"/>
  <c r="O96" i="2" s="1"/>
  <c r="O95" i="2" a="1"/>
  <c r="O95" i="2" s="1"/>
  <c r="O94" i="2" a="1"/>
  <c r="O94" i="2" s="1"/>
  <c r="O93" i="2" a="1"/>
  <c r="O93" i="2" s="1"/>
  <c r="O92" i="2" a="1"/>
  <c r="O92" i="2" s="1"/>
  <c r="O91" i="2" a="1"/>
  <c r="O91" i="2" s="1"/>
  <c r="O90" i="2" a="1"/>
  <c r="O90" i="2" s="1"/>
  <c r="O89" i="2" a="1"/>
  <c r="O89" i="2" s="1"/>
  <c r="O88" i="2" a="1"/>
  <c r="O88" i="2" s="1"/>
  <c r="O86" i="2" a="1"/>
  <c r="O86" i="2" s="1"/>
  <c r="O84" i="2" a="1"/>
  <c r="O84" i="2" s="1"/>
  <c r="O85" i="2" a="1"/>
  <c r="O85" i="2" s="1"/>
  <c r="O87" i="2" a="1"/>
  <c r="O87" i="2" s="1"/>
  <c r="O83" i="2" a="1"/>
  <c r="O83" i="2" s="1"/>
  <c r="O82" i="2" a="1"/>
  <c r="O82" i="2" s="1"/>
  <c r="O81" i="2" a="1"/>
  <c r="O81" i="2" s="1"/>
  <c r="O78" i="2" a="1"/>
  <c r="O78" i="2" s="1"/>
  <c r="O80" i="2" a="1"/>
  <c r="O80" i="2" s="1"/>
  <c r="O79" i="2" a="1"/>
  <c r="O79" i="2" s="1"/>
  <c r="O77" i="2" a="1"/>
  <c r="O77" i="2" s="1"/>
  <c r="O76" i="2" a="1"/>
  <c r="O76" i="2" s="1"/>
  <c r="O72" i="2" a="1"/>
  <c r="O72" i="2" s="1"/>
  <c r="O74" i="2" a="1"/>
  <c r="O74" i="2" s="1"/>
  <c r="O75" i="2" a="1"/>
  <c r="O75" i="2" s="1"/>
  <c r="O73" i="2" a="1"/>
  <c r="O73" i="2" s="1"/>
  <c r="O70" i="2" a="1"/>
  <c r="O70" i="2" s="1"/>
  <c r="O69" i="2" a="1"/>
  <c r="O69" i="2" s="1"/>
  <c r="O71" i="2" a="1"/>
  <c r="O71" i="2" s="1"/>
  <c r="O68" i="2" a="1"/>
  <c r="O68" i="2" s="1"/>
  <c r="O66" i="2" a="1"/>
  <c r="O66" i="2" s="1"/>
  <c r="O64" i="2" a="1"/>
  <c r="O64" i="2" s="1"/>
  <c r="O67" i="2" a="1"/>
  <c r="O67" i="2" s="1"/>
  <c r="O65" i="2" a="1"/>
  <c r="O65" i="2" s="1"/>
  <c r="O61" i="2" a="1"/>
  <c r="O61" i="2" s="1"/>
  <c r="O63" i="2" a="1"/>
  <c r="O63" i="2" s="1"/>
  <c r="O60" i="2" a="1"/>
  <c r="O60" i="2" s="1"/>
  <c r="O62" i="2" a="1"/>
  <c r="O62" i="2" s="1"/>
  <c r="O59" i="2" a="1"/>
  <c r="O59" i="2" s="1"/>
  <c r="O58" i="2" a="1"/>
  <c r="O58" i="2" s="1"/>
  <c r="O57" i="2" a="1"/>
  <c r="O57" i="2" s="1"/>
  <c r="O53" i="2" a="1"/>
  <c r="O53" i="2" s="1"/>
  <c r="O50" i="2" a="1"/>
  <c r="O50" i="2" s="1"/>
  <c r="O55" i="2" a="1"/>
  <c r="O55" i="2" s="1"/>
  <c r="O49" i="2" a="1"/>
  <c r="O49" i="2" s="1"/>
  <c r="O56" i="2" a="1"/>
  <c r="O56" i="2" s="1"/>
  <c r="O54" i="2" a="1"/>
  <c r="O54" i="2" s="1"/>
  <c r="O52" i="2" a="1"/>
  <c r="O52" i="2" s="1"/>
  <c r="O51" i="2" a="1"/>
  <c r="O51" i="2" s="1"/>
  <c r="O48" i="2" a="1"/>
  <c r="O48" i="2" s="1"/>
  <c r="O42" i="2" a="1"/>
  <c r="O42" i="2" s="1"/>
  <c r="O44" i="2" a="1"/>
  <c r="O44" i="2" s="1"/>
  <c r="O45" i="2" a="1"/>
  <c r="O45" i="2" s="1"/>
  <c r="O43" i="2" a="1"/>
  <c r="O43" i="2" s="1"/>
  <c r="O46" i="2" a="1"/>
  <c r="O46" i="2" s="1"/>
  <c r="O41" i="2" a="1"/>
  <c r="O41" i="2" s="1"/>
  <c r="O47" i="2" a="1"/>
  <c r="O47" i="2" s="1"/>
  <c r="O36" i="2" a="1"/>
  <c r="O36" i="2" s="1"/>
  <c r="O39" i="2" a="1"/>
  <c r="O39" i="2" s="1"/>
  <c r="O35" i="2" a="1"/>
  <c r="O35" i="2" s="1"/>
  <c r="O40" i="2" a="1"/>
  <c r="O40" i="2" s="1"/>
  <c r="O38" i="2" a="1"/>
  <c r="O38" i="2" s="1"/>
  <c r="O34" i="2" a="1"/>
  <c r="O34" i="2" s="1"/>
  <c r="O37" i="2" a="1"/>
  <c r="O37" i="2" s="1"/>
  <c r="O26" i="2" a="1"/>
  <c r="O26" i="2" s="1"/>
  <c r="O31" i="2" a="1"/>
  <c r="O31" i="2" s="1"/>
  <c r="O30" i="2" a="1"/>
  <c r="O30" i="2" s="1"/>
  <c r="O32" i="2" a="1"/>
  <c r="O32" i="2" s="1"/>
  <c r="O29" i="2" a="1"/>
  <c r="O29" i="2" s="1"/>
  <c r="O28" i="2" a="1"/>
  <c r="O28" i="2" s="1"/>
  <c r="O33" i="2" a="1"/>
  <c r="O33" i="2" s="1"/>
  <c r="O27" i="2" a="1"/>
  <c r="O27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25" i="2" a="1"/>
  <c r="O25" i="2" s="1"/>
  <c r="O16" i="2" a="1"/>
  <c r="O16" i="2" s="1"/>
  <c r="O17" i="2" a="1"/>
  <c r="O17" i="2" s="1"/>
  <c r="O12" i="2" a="1"/>
  <c r="O12" i="2" s="1"/>
  <c r="O8" i="2" a="1"/>
  <c r="O8" i="2" s="1"/>
  <c r="O10" i="2" a="1"/>
  <c r="O10" i="2" s="1"/>
  <c r="O11" i="2" a="1"/>
  <c r="O11" i="2" s="1"/>
  <c r="O15" i="2" a="1"/>
  <c r="O15" i="2" s="1"/>
  <c r="O14" i="2" a="1"/>
  <c r="O14" i="2" s="1"/>
  <c r="O9" i="2" a="1"/>
  <c r="O9" i="2" s="1"/>
  <c r="O13" i="2" a="1"/>
  <c r="O13" i="2" s="1"/>
  <c r="O6" i="2" a="1"/>
  <c r="O6" i="2" s="1"/>
  <c r="O5" i="2" a="1"/>
  <c r="O5" i="2" s="1"/>
  <c r="O7" i="2" a="1"/>
  <c r="O7" i="2" s="1"/>
  <c r="O4" i="2" a="1"/>
  <c r="O4" i="2" s="1"/>
  <c r="AA99" i="2" a="1"/>
  <c r="AA99" i="2" s="1"/>
  <c r="AA103" i="2" a="1"/>
  <c r="AA103" i="2" s="1"/>
  <c r="AA102" i="2" a="1"/>
  <c r="AA102" i="2" s="1"/>
  <c r="AA101" i="2" a="1"/>
  <c r="AA101" i="2" s="1"/>
  <c r="AA100" i="2" a="1"/>
  <c r="AA100" i="2" s="1"/>
  <c r="AA96" i="2" a="1"/>
  <c r="AA96" i="2" s="1"/>
  <c r="AA97" i="2" a="1"/>
  <c r="AA97" i="2" s="1"/>
  <c r="AA98" i="2" a="1"/>
  <c r="AA98" i="2" s="1"/>
  <c r="AA93" i="2" a="1"/>
  <c r="AA93" i="2" s="1"/>
  <c r="AA92" i="2" a="1"/>
  <c r="AA92" i="2" s="1"/>
  <c r="AA95" i="2" a="1"/>
  <c r="AA95" i="2" s="1"/>
  <c r="AA94" i="2" a="1"/>
  <c r="AA94" i="2" s="1"/>
  <c r="AA90" i="2" a="1"/>
  <c r="AA90" i="2" s="1"/>
  <c r="AA89" i="2" a="1"/>
  <c r="AA89" i="2" s="1"/>
  <c r="AA88" i="2" a="1"/>
  <c r="AA88" i="2" s="1"/>
  <c r="AA91" i="2" a="1"/>
  <c r="AA91" i="2" s="1"/>
  <c r="AA84" i="2" a="1"/>
  <c r="AA84" i="2" s="1"/>
  <c r="AA85" i="2" a="1"/>
  <c r="AA85" i="2" s="1"/>
  <c r="AA87" i="2" a="1"/>
  <c r="AA87" i="2" s="1"/>
  <c r="AA86" i="2" a="1"/>
  <c r="AA86" i="2" s="1"/>
  <c r="AA81" i="2" a="1"/>
  <c r="AA81" i="2" s="1"/>
  <c r="AA83" i="2" a="1"/>
  <c r="AA83" i="2" s="1"/>
  <c r="AA82" i="2" a="1"/>
  <c r="AA82" i="2" s="1"/>
  <c r="AA79" i="2" a="1"/>
  <c r="AA79" i="2" s="1"/>
  <c r="AA77" i="2" a="1"/>
  <c r="AA77" i="2" s="1"/>
  <c r="AA76" i="2" a="1"/>
  <c r="AA76" i="2" s="1"/>
  <c r="AA80" i="2" a="1"/>
  <c r="AA80" i="2" s="1"/>
  <c r="AA78" i="2" a="1"/>
  <c r="AA78" i="2" s="1"/>
  <c r="AA74" i="2" a="1"/>
  <c r="AA74" i="2" s="1"/>
  <c r="AA75" i="2" a="1"/>
  <c r="AA75" i="2" s="1"/>
  <c r="AA73" i="2" a="1"/>
  <c r="AA73" i="2" s="1"/>
  <c r="AA72" i="2" a="1"/>
  <c r="AA72" i="2" s="1"/>
  <c r="AA71" i="2" a="1"/>
  <c r="AA71" i="2" s="1"/>
  <c r="AA70" i="2" a="1"/>
  <c r="AA70" i="2" s="1"/>
  <c r="AA69" i="2" a="1"/>
  <c r="AA69" i="2" s="1"/>
  <c r="AA68" i="2" a="1"/>
  <c r="AA68" i="2" s="1"/>
  <c r="AA65" i="2" a="1"/>
  <c r="AA65" i="2" s="1"/>
  <c r="AA66" i="2" a="1"/>
  <c r="AA66" i="2" s="1"/>
  <c r="AA67" i="2" a="1"/>
  <c r="AA67" i="2" s="1"/>
  <c r="AA64" i="2" a="1"/>
  <c r="AA64" i="2" s="1"/>
  <c r="AA60" i="2" a="1"/>
  <c r="AA60" i="2" s="1"/>
  <c r="AA63" i="2" a="1"/>
  <c r="AA63" i="2" s="1"/>
  <c r="AA62" i="2" a="1"/>
  <c r="AA62" i="2" s="1"/>
  <c r="AA61" i="2" a="1"/>
  <c r="AA61" i="2" s="1"/>
  <c r="AA57" i="2" a="1"/>
  <c r="AA57" i="2" s="1"/>
  <c r="AA59" i="2" a="1"/>
  <c r="AA59" i="2" s="1"/>
  <c r="AA58" i="2" a="1"/>
  <c r="AA58" i="2" s="1"/>
  <c r="AA49" i="2" a="1"/>
  <c r="AA49" i="2" s="1"/>
  <c r="AA54" i="2" a="1"/>
  <c r="AA54" i="2" s="1"/>
  <c r="AA52" i="2" a="1"/>
  <c r="AA52" i="2" s="1"/>
  <c r="AA53" i="2" a="1"/>
  <c r="AA53" i="2" s="1"/>
  <c r="AA51" i="2" a="1"/>
  <c r="AA51" i="2" s="1"/>
  <c r="AA50" i="2" a="1"/>
  <c r="AA50" i="2" s="1"/>
  <c r="AA56" i="2" a="1"/>
  <c r="AA56" i="2" s="1"/>
  <c r="AA55" i="2" a="1"/>
  <c r="AA55" i="2" s="1"/>
  <c r="AA48" i="2" a="1"/>
  <c r="AA48" i="2" s="1"/>
  <c r="AA44" i="2" a="1"/>
  <c r="AA44" i="2" s="1"/>
  <c r="AA42" i="2" a="1"/>
  <c r="AA42" i="2" s="1"/>
  <c r="AA46" i="2" a="1"/>
  <c r="AA46" i="2" s="1"/>
  <c r="AA43" i="2" a="1"/>
  <c r="AA43" i="2" s="1"/>
  <c r="AA45" i="2" a="1"/>
  <c r="AA45" i="2" s="1"/>
  <c r="AA41" i="2" a="1"/>
  <c r="AA41" i="2" s="1"/>
  <c r="AA47" i="2" a="1"/>
  <c r="AA47" i="2" s="1"/>
  <c r="AA38" i="2" a="1"/>
  <c r="AA38" i="2" s="1"/>
  <c r="AA37" i="2" a="1"/>
  <c r="AA37" i="2" s="1"/>
  <c r="AA34" i="2" a="1"/>
  <c r="AA34" i="2" s="1"/>
  <c r="AA40" i="2" a="1"/>
  <c r="AA40" i="2" s="1"/>
  <c r="AA39" i="2" a="1"/>
  <c r="AA39" i="2" s="1"/>
  <c r="AA36" i="2" a="1"/>
  <c r="AA36" i="2" s="1"/>
  <c r="AA35" i="2" a="1"/>
  <c r="AA35" i="2" s="1"/>
  <c r="AA31" i="2" a="1"/>
  <c r="AA31" i="2" s="1"/>
  <c r="AA26" i="2" a="1"/>
  <c r="AA26" i="2" s="1"/>
  <c r="AA32" i="2" a="1"/>
  <c r="AA32" i="2" s="1"/>
  <c r="AA29" i="2" a="1"/>
  <c r="AA29" i="2" s="1"/>
  <c r="AA28" i="2" a="1"/>
  <c r="AA28" i="2" s="1"/>
  <c r="AA33" i="2" a="1"/>
  <c r="AA33" i="2" s="1"/>
  <c r="AA27" i="2" a="1"/>
  <c r="AA27" i="2" s="1"/>
  <c r="AA30" i="2" a="1"/>
  <c r="AA30" i="2" s="1"/>
  <c r="AA24" i="2" a="1"/>
  <c r="AA24" i="2" s="1"/>
  <c r="AA23" i="2" a="1"/>
  <c r="AA23" i="2" s="1"/>
  <c r="AA22" i="2" a="1"/>
  <c r="AA22" i="2" s="1"/>
  <c r="AA21" i="2" a="1"/>
  <c r="AA21" i="2" s="1"/>
  <c r="AA20" i="2" a="1"/>
  <c r="AA20" i="2" s="1"/>
  <c r="AA19" i="2" a="1"/>
  <c r="AA19" i="2" s="1"/>
  <c r="AA16" i="2" a="1"/>
  <c r="AA16" i="2" s="1"/>
  <c r="AA25" i="2" a="1"/>
  <c r="AA25" i="2" s="1"/>
  <c r="AA17" i="2" a="1"/>
  <c r="AA17" i="2" s="1"/>
  <c r="AA18" i="2" a="1"/>
  <c r="AA18" i="2" s="1"/>
  <c r="AA11" i="2" a="1"/>
  <c r="AA11" i="2" s="1"/>
  <c r="AA10" i="2" a="1"/>
  <c r="AA10" i="2" s="1"/>
  <c r="AA15" i="2" a="1"/>
  <c r="AA15" i="2" s="1"/>
  <c r="AA14" i="2" a="1"/>
  <c r="AA14" i="2" s="1"/>
  <c r="AA9" i="2" a="1"/>
  <c r="AA9" i="2" s="1"/>
  <c r="AA13" i="2" a="1"/>
  <c r="AA13" i="2" s="1"/>
  <c r="AA12" i="2" a="1"/>
  <c r="AA12" i="2" s="1"/>
  <c r="AA8" i="2" a="1"/>
  <c r="AA8" i="2" s="1"/>
  <c r="AA6" i="2" a="1"/>
  <c r="AA6" i="2" s="1"/>
  <c r="AA5" i="2" a="1"/>
  <c r="AA5" i="2" s="1"/>
  <c r="AA7" i="2" a="1"/>
  <c r="AA7" i="2" s="1"/>
  <c r="AA4" i="2" a="1"/>
  <c r="AA4" i="2" s="1"/>
  <c r="AM103" i="2" a="1"/>
  <c r="AM103" i="2" s="1"/>
  <c r="AM102" i="2" a="1"/>
  <c r="AM102" i="2" s="1"/>
  <c r="AM101" i="2" a="1"/>
  <c r="AM101" i="2" s="1"/>
  <c r="AM100" i="2" a="1"/>
  <c r="AM100" i="2" s="1"/>
  <c r="AM96" i="2" a="1"/>
  <c r="AM96" i="2" s="1"/>
  <c r="AM99" i="2" a="1"/>
  <c r="AM99" i="2" s="1"/>
  <c r="AM97" i="2" a="1"/>
  <c r="AM97" i="2" s="1"/>
  <c r="AM98" i="2" a="1"/>
  <c r="AM98" i="2" s="1"/>
  <c r="AM92" i="2" a="1"/>
  <c r="AM92" i="2" s="1"/>
  <c r="AM94" i="2" a="1"/>
  <c r="AM94" i="2" s="1"/>
  <c r="AM95" i="2" a="1"/>
  <c r="AM95" i="2" s="1"/>
  <c r="AM93" i="2" a="1"/>
  <c r="AM93" i="2" s="1"/>
  <c r="AM89" i="2" a="1"/>
  <c r="AM89" i="2" s="1"/>
  <c r="AM88" i="2" a="1"/>
  <c r="AM88" i="2" s="1"/>
  <c r="AM91" i="2" a="1"/>
  <c r="AM91" i="2" s="1"/>
  <c r="AM90" i="2" a="1"/>
  <c r="AM90" i="2" s="1"/>
  <c r="AM84" i="2" a="1"/>
  <c r="AM84" i="2" s="1"/>
  <c r="AM87" i="2" a="1"/>
  <c r="AM87" i="2" s="1"/>
  <c r="AM86" i="2" a="1"/>
  <c r="AM86" i="2" s="1"/>
  <c r="AM85" i="2" a="1"/>
  <c r="AM85" i="2" s="1"/>
  <c r="AM81" i="2" a="1"/>
  <c r="AM81" i="2" s="1"/>
  <c r="AM83" i="2" a="1"/>
  <c r="AM83" i="2" s="1"/>
  <c r="AM82" i="2" a="1"/>
  <c r="AM82" i="2" s="1"/>
  <c r="AM77" i="2" a="1"/>
  <c r="AM77" i="2" s="1"/>
  <c r="AM78" i="2" a="1"/>
  <c r="AM78" i="2" s="1"/>
  <c r="AM80" i="2" a="1"/>
  <c r="AM80" i="2" s="1"/>
  <c r="AM79" i="2" a="1"/>
  <c r="AM79" i="2" s="1"/>
  <c r="AM75" i="2" a="1"/>
  <c r="AM75" i="2" s="1"/>
  <c r="AM74" i="2" a="1"/>
  <c r="AM74" i="2" s="1"/>
  <c r="AM73" i="2" a="1"/>
  <c r="AM73" i="2" s="1"/>
  <c r="AM76" i="2" a="1"/>
  <c r="AM76" i="2" s="1"/>
  <c r="AM72" i="2" a="1"/>
  <c r="AM72" i="2" s="1"/>
  <c r="AM70" i="2" a="1"/>
  <c r="AM70" i="2" s="1"/>
  <c r="AM69" i="2" a="1"/>
  <c r="AM69" i="2" s="1"/>
  <c r="AM68" i="2" a="1"/>
  <c r="AM68" i="2" s="1"/>
  <c r="AM71" i="2" a="1"/>
  <c r="AM71" i="2" s="1"/>
  <c r="AM65" i="2" a="1"/>
  <c r="AM65" i="2" s="1"/>
  <c r="AM66" i="2" a="1"/>
  <c r="AM66" i="2" s="1"/>
  <c r="AM67" i="2" a="1"/>
  <c r="AM67" i="2" s="1"/>
  <c r="AM64" i="2" a="1"/>
  <c r="AM64" i="2" s="1"/>
  <c r="AM60" i="2" a="1"/>
  <c r="AM60" i="2" s="1"/>
  <c r="AM62" i="2" a="1"/>
  <c r="AM62" i="2" s="1"/>
  <c r="AM63" i="2" a="1"/>
  <c r="AM63" i="2" s="1"/>
  <c r="AM61" i="2" a="1"/>
  <c r="AM61" i="2" s="1"/>
  <c r="AM57" i="2" a="1"/>
  <c r="AM57" i="2" s="1"/>
  <c r="AM58" i="2" a="1"/>
  <c r="AM58" i="2" s="1"/>
  <c r="AM59" i="2" a="1"/>
  <c r="AM59" i="2" s="1"/>
  <c r="AM54" i="2" a="1"/>
  <c r="AM54" i="2" s="1"/>
  <c r="AM52" i="2" a="1"/>
  <c r="AM52" i="2" s="1"/>
  <c r="AM53" i="2" a="1"/>
  <c r="AM53" i="2" s="1"/>
  <c r="AM51" i="2" a="1"/>
  <c r="AM51" i="2" s="1"/>
  <c r="AM50" i="2" a="1"/>
  <c r="AM50" i="2" s="1"/>
  <c r="AM56" i="2" a="1"/>
  <c r="AM56" i="2" s="1"/>
  <c r="AM55" i="2" a="1"/>
  <c r="AM55" i="2" s="1"/>
  <c r="AM49" i="2" a="1"/>
  <c r="AM49" i="2" s="1"/>
  <c r="AM43" i="2" a="1"/>
  <c r="AM43" i="2" s="1"/>
  <c r="AM46" i="2" a="1"/>
  <c r="AM46" i="2" s="1"/>
  <c r="AM45" i="2" a="1"/>
  <c r="AM45" i="2" s="1"/>
  <c r="AM41" i="2" a="1"/>
  <c r="AM41" i="2" s="1"/>
  <c r="AM48" i="2" a="1"/>
  <c r="AM48" i="2" s="1"/>
  <c r="AM47" i="2" a="1"/>
  <c r="AM47" i="2" s="1"/>
  <c r="AM44" i="2" a="1"/>
  <c r="AM44" i="2" s="1"/>
  <c r="AM42" i="2" a="1"/>
  <c r="AM42" i="2" s="1"/>
  <c r="AM36" i="2" a="1"/>
  <c r="AM36" i="2" s="1"/>
  <c r="AM39" i="2" a="1"/>
  <c r="AM39" i="2" s="1"/>
  <c r="AM40" i="2" a="1"/>
  <c r="AM40" i="2" s="1"/>
  <c r="AM35" i="2" a="1"/>
  <c r="AM35" i="2" s="1"/>
  <c r="AM38" i="2" a="1"/>
  <c r="AM38" i="2" s="1"/>
  <c r="AM34" i="2" a="1"/>
  <c r="AM34" i="2" s="1"/>
  <c r="AM37" i="2" a="1"/>
  <c r="AM37" i="2" s="1"/>
  <c r="AM28" i="2" a="1"/>
  <c r="AM28" i="2" s="1"/>
  <c r="AM26" i="2" a="1"/>
  <c r="AM26" i="2" s="1"/>
  <c r="AM27" i="2" a="1"/>
  <c r="AM27" i="2" s="1"/>
  <c r="AM33" i="2" a="1"/>
  <c r="AM33" i="2" s="1"/>
  <c r="AM30" i="2" a="1"/>
  <c r="AM30" i="2" s="1"/>
  <c r="AM31" i="2" a="1"/>
  <c r="AM31" i="2" s="1"/>
  <c r="AM32" i="2" a="1"/>
  <c r="AM32" i="2" s="1"/>
  <c r="AM29" i="2" a="1"/>
  <c r="AM29" i="2" s="1"/>
  <c r="AM24" i="2" a="1"/>
  <c r="AM24" i="2" s="1"/>
  <c r="AM23" i="2" a="1"/>
  <c r="AM23" i="2" s="1"/>
  <c r="AM22" i="2" a="1"/>
  <c r="AM22" i="2" s="1"/>
  <c r="AM21" i="2" a="1"/>
  <c r="AM21" i="2" s="1"/>
  <c r="AM20" i="2" a="1"/>
  <c r="AM20" i="2" s="1"/>
  <c r="AM19" i="2" a="1"/>
  <c r="AM19" i="2" s="1"/>
  <c r="AM18" i="2" a="1"/>
  <c r="AM18" i="2" s="1"/>
  <c r="AM25" i="2" a="1"/>
  <c r="AM25" i="2" s="1"/>
  <c r="AM17" i="2" a="1"/>
  <c r="AM17" i="2" s="1"/>
  <c r="AM16" i="2" a="1"/>
  <c r="AM16" i="2" s="1"/>
  <c r="AM13" i="2" a="1"/>
  <c r="AM13" i="2" s="1"/>
  <c r="AM12" i="2" a="1"/>
  <c r="AM12" i="2" s="1"/>
  <c r="AM8" i="2" a="1"/>
  <c r="AM8" i="2" s="1"/>
  <c r="AM11" i="2" a="1"/>
  <c r="AM11" i="2" s="1"/>
  <c r="AM10" i="2" a="1"/>
  <c r="AM10" i="2" s="1"/>
  <c r="AM9" i="2" a="1"/>
  <c r="AM9" i="2" s="1"/>
  <c r="AM14" i="2" a="1"/>
  <c r="AM14" i="2" s="1"/>
  <c r="AM15" i="2" a="1"/>
  <c r="AM15" i="2" s="1"/>
  <c r="AM4" i="2" a="1"/>
  <c r="AM4" i="2" s="1"/>
  <c r="AM6" i="2" a="1"/>
  <c r="AM6" i="2" s="1"/>
  <c r="AM7" i="2" a="1"/>
  <c r="AM7" i="2" s="1"/>
  <c r="AM5" i="2" a="1"/>
  <c r="AM5" i="2" s="1"/>
  <c r="AY100" i="2" a="1"/>
  <c r="AY100" i="2" s="1"/>
  <c r="AY103" i="2" a="1"/>
  <c r="AY103" i="2" s="1"/>
  <c r="AY102" i="2" a="1"/>
  <c r="AY102" i="2" s="1"/>
  <c r="AY99" i="2" a="1"/>
  <c r="AY99" i="2" s="1"/>
  <c r="AY101" i="2" a="1"/>
  <c r="AY101" i="2" s="1"/>
  <c r="AY97" i="2" a="1"/>
  <c r="AY97" i="2" s="1"/>
  <c r="AY98" i="2" a="1"/>
  <c r="AY98" i="2" s="1"/>
  <c r="AY96" i="2" a="1"/>
  <c r="AY96" i="2" s="1"/>
  <c r="AY94" i="2" a="1"/>
  <c r="AY94" i="2" s="1"/>
  <c r="AY93" i="2" a="1"/>
  <c r="AY93" i="2" s="1"/>
  <c r="AY95" i="2" a="1"/>
  <c r="AY95" i="2" s="1"/>
  <c r="AY92" i="2" a="1"/>
  <c r="AY92" i="2" s="1"/>
  <c r="AY90" i="2" a="1"/>
  <c r="AY90" i="2" s="1"/>
  <c r="AY89" i="2" a="1"/>
  <c r="AY89" i="2" s="1"/>
  <c r="AY88" i="2" a="1"/>
  <c r="AY88" i="2" s="1"/>
  <c r="AY91" i="2" a="1"/>
  <c r="AY91" i="2" s="1"/>
  <c r="AY86" i="2" a="1"/>
  <c r="AY86" i="2" s="1"/>
  <c r="AY87" i="2" a="1"/>
  <c r="AY87" i="2" s="1"/>
  <c r="AY85" i="2" a="1"/>
  <c r="AY85" i="2" s="1"/>
  <c r="AY84" i="2" a="1"/>
  <c r="AY84" i="2" s="1"/>
  <c r="AY81" i="2" a="1"/>
  <c r="AY81" i="2" s="1"/>
  <c r="AY80" i="2" a="1"/>
  <c r="AY80" i="2" s="1"/>
  <c r="AY83" i="2" a="1"/>
  <c r="AY83" i="2" s="1"/>
  <c r="AY82" i="2" a="1"/>
  <c r="AY82" i="2" s="1"/>
  <c r="AY78" i="2" a="1"/>
  <c r="AY78" i="2" s="1"/>
  <c r="AY79" i="2" a="1"/>
  <c r="AY79" i="2" s="1"/>
  <c r="AY76" i="2" a="1"/>
  <c r="AY76" i="2" s="1"/>
  <c r="AY77" i="2" a="1"/>
  <c r="AY77" i="2" s="1"/>
  <c r="AY74" i="2" a="1"/>
  <c r="AY74" i="2" s="1"/>
  <c r="AY73" i="2" a="1"/>
  <c r="AY73" i="2" s="1"/>
  <c r="AY72" i="2" a="1"/>
  <c r="AY72" i="2" s="1"/>
  <c r="AY75" i="2" a="1"/>
  <c r="AY75" i="2" s="1"/>
  <c r="AY69" i="2" a="1"/>
  <c r="AY69" i="2" s="1"/>
  <c r="AY71" i="2" a="1"/>
  <c r="AY71" i="2" s="1"/>
  <c r="AY70" i="2" a="1"/>
  <c r="AY70" i="2" s="1"/>
  <c r="AY64" i="2" a="1"/>
  <c r="AY64" i="2" s="1"/>
  <c r="AY68" i="2" a="1"/>
  <c r="AY68" i="2" s="1"/>
  <c r="AY67" i="2" a="1"/>
  <c r="AY67" i="2" s="1"/>
  <c r="AY66" i="2" a="1"/>
  <c r="AY66" i="2" s="1"/>
  <c r="AY65" i="2" a="1"/>
  <c r="AY65" i="2" s="1"/>
  <c r="AY62" i="2" a="1"/>
  <c r="AY62" i="2" s="1"/>
  <c r="AY59" i="2" a="1"/>
  <c r="AY59" i="2" s="1"/>
  <c r="AY61" i="2" a="1"/>
  <c r="AY61" i="2" s="1"/>
  <c r="AY63" i="2" a="1"/>
  <c r="AY63" i="2" s="1"/>
  <c r="AY60" i="2" a="1"/>
  <c r="AY60" i="2" s="1"/>
  <c r="AY57" i="2" a="1"/>
  <c r="AY57" i="2" s="1"/>
  <c r="AY58" i="2" a="1"/>
  <c r="AY58" i="2" s="1"/>
  <c r="AY51" i="2" a="1"/>
  <c r="AY51" i="2" s="1"/>
  <c r="AY50" i="2" a="1"/>
  <c r="AY50" i="2" s="1"/>
  <c r="AY55" i="2" a="1"/>
  <c r="AY55" i="2" s="1"/>
  <c r="AY49" i="2" a="1"/>
  <c r="AY49" i="2" s="1"/>
  <c r="AY48" i="2" a="1"/>
  <c r="AY48" i="2" s="1"/>
  <c r="AY54" i="2" a="1"/>
  <c r="AY54" i="2" s="1"/>
  <c r="AY56" i="2" a="1"/>
  <c r="AY56" i="2" s="1"/>
  <c r="AY53" i="2" a="1"/>
  <c r="AY53" i="2" s="1"/>
  <c r="AY52" i="2" a="1"/>
  <c r="AY52" i="2" s="1"/>
  <c r="AY41" i="2" a="1"/>
  <c r="AY41" i="2" s="1"/>
  <c r="AY47" i="2" a="1"/>
  <c r="AY47" i="2" s="1"/>
  <c r="AY44" i="2" a="1"/>
  <c r="AY44" i="2" s="1"/>
  <c r="AY42" i="2" a="1"/>
  <c r="AY42" i="2" s="1"/>
  <c r="AY46" i="2" a="1"/>
  <c r="AY46" i="2" s="1"/>
  <c r="AY43" i="2" a="1"/>
  <c r="AY43" i="2" s="1"/>
  <c r="AY45" i="2" a="1"/>
  <c r="AY45" i="2" s="1"/>
  <c r="AY35" i="2" a="1"/>
  <c r="AY35" i="2" s="1"/>
  <c r="AY38" i="2" a="1"/>
  <c r="AY38" i="2" s="1"/>
  <c r="AY37" i="2" a="1"/>
  <c r="AY37" i="2" s="1"/>
  <c r="AY34" i="2" a="1"/>
  <c r="AY34" i="2" s="1"/>
  <c r="AY40" i="2" a="1"/>
  <c r="AY40" i="2" s="1"/>
  <c r="AY36" i="2" a="1"/>
  <c r="AY36" i="2" s="1"/>
  <c r="AY33" i="2" a="1"/>
  <c r="AY33" i="2" s="1"/>
  <c r="AY39" i="2" a="1"/>
  <c r="AY39" i="2" s="1"/>
  <c r="AY26" i="2" a="1"/>
  <c r="AY26" i="2" s="1"/>
  <c r="AY25" i="2" a="1"/>
  <c r="AY25" i="2" s="1"/>
  <c r="AY30" i="2" a="1"/>
  <c r="AY30" i="2" s="1"/>
  <c r="AY31" i="2" a="1"/>
  <c r="AY31" i="2" s="1"/>
  <c r="AY29" i="2" a="1"/>
  <c r="AY29" i="2" s="1"/>
  <c r="AY32" i="2" a="1"/>
  <c r="AY32" i="2" s="1"/>
  <c r="AY28" i="2" a="1"/>
  <c r="AY28" i="2" s="1"/>
  <c r="AY27" i="2" a="1"/>
  <c r="AY27" i="2" s="1"/>
  <c r="AY24" i="2" a="1"/>
  <c r="AY24" i="2" s="1"/>
  <c r="AY23" i="2" a="1"/>
  <c r="AY23" i="2" s="1"/>
  <c r="AY22" i="2" a="1"/>
  <c r="AY22" i="2" s="1"/>
  <c r="AY21" i="2" a="1"/>
  <c r="AY21" i="2" s="1"/>
  <c r="AY20" i="2" a="1"/>
  <c r="AY20" i="2" s="1"/>
  <c r="AY19" i="2" a="1"/>
  <c r="AY19" i="2" s="1"/>
  <c r="AY18" i="2" a="1"/>
  <c r="AY18" i="2" s="1"/>
  <c r="AY16" i="2" a="1"/>
  <c r="AY16" i="2" s="1"/>
  <c r="AY17" i="2" a="1"/>
  <c r="AY17" i="2" s="1"/>
  <c r="AY10" i="2" a="1"/>
  <c r="AY10" i="2" s="1"/>
  <c r="AY11" i="2" a="1"/>
  <c r="AY11" i="2" s="1"/>
  <c r="AY9" i="2" a="1"/>
  <c r="AY9" i="2" s="1"/>
  <c r="AY14" i="2" a="1"/>
  <c r="AY14" i="2" s="1"/>
  <c r="AY13" i="2" a="1"/>
  <c r="AY13" i="2" s="1"/>
  <c r="AY15" i="2" a="1"/>
  <c r="AY15" i="2" s="1"/>
  <c r="AY8" i="2" a="1"/>
  <c r="AY8" i="2" s="1"/>
  <c r="AY12" i="2" a="1"/>
  <c r="AY12" i="2" s="1"/>
  <c r="AY6" i="2" a="1"/>
  <c r="AY6" i="2" s="1"/>
  <c r="AY7" i="2" a="1"/>
  <c r="AY7" i="2" s="1"/>
  <c r="AY5" i="2" a="1"/>
  <c r="AY5" i="2" s="1"/>
  <c r="AY4" i="2" a="1"/>
  <c r="AY4" i="2" s="1"/>
  <c r="BK99" i="2" a="1"/>
  <c r="BK99" i="2" s="1"/>
  <c r="BK103" i="2" a="1"/>
  <c r="BK103" i="2" s="1"/>
  <c r="BK102" i="2" a="1"/>
  <c r="BK102" i="2" s="1"/>
  <c r="BK101" i="2" a="1"/>
  <c r="BK101" i="2" s="1"/>
  <c r="BK100" i="2" a="1"/>
  <c r="BK100" i="2" s="1"/>
  <c r="BK96" i="2" a="1"/>
  <c r="BK96" i="2" s="1"/>
  <c r="BK98" i="2" a="1"/>
  <c r="BK98" i="2" s="1"/>
  <c r="BK97" i="2" a="1"/>
  <c r="BK97" i="2" s="1"/>
  <c r="BK92" i="2" a="1"/>
  <c r="BK92" i="2" s="1"/>
  <c r="BK95" i="2" a="1"/>
  <c r="BK95" i="2" s="1"/>
  <c r="BK94" i="2" a="1"/>
  <c r="BK94" i="2" s="1"/>
  <c r="BK93" i="2" a="1"/>
  <c r="BK93" i="2" s="1"/>
  <c r="BK90" i="2" a="1"/>
  <c r="BK90" i="2" s="1"/>
  <c r="BK89" i="2" a="1"/>
  <c r="BK89" i="2" s="1"/>
  <c r="BK91" i="2" a="1"/>
  <c r="BK91" i="2" s="1"/>
  <c r="BK88" i="2" a="1"/>
  <c r="BK88" i="2" s="1"/>
  <c r="BK85" i="2" a="1"/>
  <c r="BK85" i="2" s="1"/>
  <c r="BK84" i="2" a="1"/>
  <c r="BK84" i="2" s="1"/>
  <c r="BK87" i="2" a="1"/>
  <c r="BK87" i="2" s="1"/>
  <c r="BK86" i="2" a="1"/>
  <c r="BK86" i="2" s="1"/>
  <c r="BK80" i="2" a="1"/>
  <c r="BK80" i="2" s="1"/>
  <c r="BK82" i="2" a="1"/>
  <c r="BK82" i="2" s="1"/>
  <c r="BK83" i="2" a="1"/>
  <c r="BK83" i="2" s="1"/>
  <c r="BK81" i="2" a="1"/>
  <c r="BK81" i="2" s="1"/>
  <c r="BK78" i="2" a="1"/>
  <c r="BK78" i="2" s="1"/>
  <c r="BK79" i="2" a="1"/>
  <c r="BK79" i="2" s="1"/>
  <c r="BK77" i="2" a="1"/>
  <c r="BK77" i="2" s="1"/>
  <c r="BK76" i="2" a="1"/>
  <c r="BK76" i="2" s="1"/>
  <c r="BK75" i="2" a="1"/>
  <c r="BK75" i="2" s="1"/>
  <c r="BK74" i="2" a="1"/>
  <c r="BK74" i="2" s="1"/>
  <c r="BK73" i="2" a="1"/>
  <c r="BK73" i="2" s="1"/>
  <c r="BK72" i="2" a="1"/>
  <c r="BK72" i="2" s="1"/>
  <c r="BK71" i="2" a="1"/>
  <c r="BK71" i="2" s="1"/>
  <c r="BK70" i="2" a="1"/>
  <c r="BK70" i="2" s="1"/>
  <c r="BK69" i="2" a="1"/>
  <c r="BK69" i="2" s="1"/>
  <c r="BK68" i="2" a="1"/>
  <c r="BK68" i="2" s="1"/>
  <c r="BK67" i="2" a="1"/>
  <c r="BK67" i="2" s="1"/>
  <c r="BK66" i="2" a="1"/>
  <c r="BK66" i="2" s="1"/>
  <c r="BK65" i="2" a="1"/>
  <c r="BK65" i="2" s="1"/>
  <c r="BK64" i="2" a="1"/>
  <c r="BK64" i="2" s="1"/>
  <c r="BK60" i="2" a="1"/>
  <c r="BK60" i="2" s="1"/>
  <c r="BK63" i="2" a="1"/>
  <c r="BK63" i="2" s="1"/>
  <c r="BK59" i="2" a="1"/>
  <c r="BK59" i="2" s="1"/>
  <c r="BK62" i="2" a="1"/>
  <c r="BK62" i="2" s="1"/>
  <c r="BK61" i="2" a="1"/>
  <c r="BK61" i="2" s="1"/>
  <c r="BK57" i="2" a="1"/>
  <c r="BK57" i="2" s="1"/>
  <c r="BK58" i="2" a="1"/>
  <c r="BK58" i="2" s="1"/>
  <c r="BK56" i="2" a="1"/>
  <c r="BK56" i="2" s="1"/>
  <c r="BK55" i="2" a="1"/>
  <c r="BK55" i="2" s="1"/>
  <c r="BK50" i="2" a="1"/>
  <c r="BK50" i="2" s="1"/>
  <c r="BK49" i="2" a="1"/>
  <c r="BK49" i="2" s="1"/>
  <c r="BK54" i="2" a="1"/>
  <c r="BK54" i="2" s="1"/>
  <c r="BK48" i="2" a="1"/>
  <c r="BK48" i="2" s="1"/>
  <c r="BK53" i="2" a="1"/>
  <c r="BK53" i="2" s="1"/>
  <c r="BK52" i="2" a="1"/>
  <c r="BK52" i="2" s="1"/>
  <c r="BK51" i="2" a="1"/>
  <c r="BK51" i="2" s="1"/>
  <c r="BK44" i="2" a="1"/>
  <c r="BK44" i="2" s="1"/>
  <c r="BK42" i="2" a="1"/>
  <c r="BK42" i="2" s="1"/>
  <c r="BK43" i="2" a="1"/>
  <c r="BK43" i="2" s="1"/>
  <c r="BK46" i="2" a="1"/>
  <c r="BK46" i="2" s="1"/>
  <c r="BK45" i="2" a="1"/>
  <c r="BK45" i="2" s="1"/>
  <c r="BK47" i="2" a="1"/>
  <c r="BK47" i="2" s="1"/>
  <c r="BK41" i="2" a="1"/>
  <c r="BK41" i="2" s="1"/>
  <c r="BK36" i="2" a="1"/>
  <c r="BK36" i="2" s="1"/>
  <c r="BK39" i="2" a="1"/>
  <c r="BK39" i="2" s="1"/>
  <c r="BK38" i="2" a="1"/>
  <c r="BK38" i="2" s="1"/>
  <c r="BK35" i="2" a="1"/>
  <c r="BK35" i="2" s="1"/>
  <c r="BK40" i="2" a="1"/>
  <c r="BK40" i="2" s="1"/>
  <c r="BK37" i="2" a="1"/>
  <c r="BK37" i="2" s="1"/>
  <c r="BK34" i="2" a="1"/>
  <c r="BK34" i="2" s="1"/>
  <c r="BK29" i="2" a="1"/>
  <c r="BK29" i="2" s="1"/>
  <c r="BK26" i="2" a="1"/>
  <c r="BK26" i="2" s="1"/>
  <c r="BK25" i="2" a="1"/>
  <c r="BK25" i="2" s="1"/>
  <c r="BK32" i="2" a="1"/>
  <c r="BK32" i="2" s="1"/>
  <c r="BK28" i="2" a="1"/>
  <c r="BK28" i="2" s="1"/>
  <c r="BK27" i="2" a="1"/>
  <c r="BK27" i="2" s="1"/>
  <c r="BK33" i="2" a="1"/>
  <c r="BK33" i="2" s="1"/>
  <c r="BK30" i="2" a="1"/>
  <c r="BK30" i="2" s="1"/>
  <c r="BK31" i="2" a="1"/>
  <c r="BK31" i="2" s="1"/>
  <c r="BK24" i="2" a="1"/>
  <c r="BK24" i="2" s="1"/>
  <c r="BK23" i="2" a="1"/>
  <c r="BK23" i="2" s="1"/>
  <c r="BK22" i="2" a="1"/>
  <c r="BK22" i="2" s="1"/>
  <c r="BK21" i="2" a="1"/>
  <c r="BK21" i="2" s="1"/>
  <c r="BK20" i="2" a="1"/>
  <c r="BK20" i="2" s="1"/>
  <c r="BK19" i="2" a="1"/>
  <c r="BK19" i="2" s="1"/>
  <c r="BK15" i="2" a="1"/>
  <c r="BK15" i="2" s="1"/>
  <c r="BK18" i="2" a="1"/>
  <c r="BK18" i="2" s="1"/>
  <c r="BK17" i="2" a="1"/>
  <c r="BK17" i="2" s="1"/>
  <c r="BK16" i="2" a="1"/>
  <c r="BK16" i="2" s="1"/>
  <c r="BK14" i="2" a="1"/>
  <c r="BK14" i="2" s="1"/>
  <c r="BK8" i="2" a="1"/>
  <c r="BK8" i="2" s="1"/>
  <c r="BK13" i="2" a="1"/>
  <c r="BK13" i="2" s="1"/>
  <c r="BK12" i="2" a="1"/>
  <c r="BK12" i="2" s="1"/>
  <c r="BK10" i="2" a="1"/>
  <c r="BK10" i="2" s="1"/>
  <c r="BK11" i="2" a="1"/>
  <c r="BK11" i="2" s="1"/>
  <c r="BK9" i="2" a="1"/>
  <c r="BK9" i="2" s="1"/>
  <c r="BK7" i="2" a="1"/>
  <c r="BK7" i="2" s="1"/>
  <c r="BK4" i="2" a="1"/>
  <c r="BK4" i="2" s="1"/>
  <c r="BK5" i="2" a="1"/>
  <c r="BK5" i="2" s="1"/>
  <c r="BK6" i="2" a="1"/>
  <c r="BK6" i="2" s="1"/>
  <c r="BW103" i="2" a="1"/>
  <c r="BW103" i="2" s="1"/>
  <c r="BW102" i="2" a="1"/>
  <c r="BW102" i="2" s="1"/>
  <c r="BW101" i="2" a="1"/>
  <c r="BW101" i="2" s="1"/>
  <c r="BW100" i="2" a="1"/>
  <c r="BW100" i="2" s="1"/>
  <c r="BW99" i="2" a="1"/>
  <c r="BW99" i="2" s="1"/>
  <c r="BW98" i="2" a="1"/>
  <c r="BW98" i="2" s="1"/>
  <c r="BW97" i="2" a="1"/>
  <c r="BW97" i="2" s="1"/>
  <c r="BW96" i="2" a="1"/>
  <c r="BW96" i="2" s="1"/>
  <c r="BW94" i="2" a="1"/>
  <c r="BW94" i="2" s="1"/>
  <c r="BW93" i="2" a="1"/>
  <c r="BW93" i="2" s="1"/>
  <c r="BW95" i="2" a="1"/>
  <c r="BW95" i="2" s="1"/>
  <c r="BW92" i="2" a="1"/>
  <c r="BW92" i="2" s="1"/>
  <c r="BW91" i="2" a="1"/>
  <c r="BW91" i="2" s="1"/>
  <c r="BW88" i="2" a="1"/>
  <c r="BW88" i="2" s="1"/>
  <c r="BW90" i="2" a="1"/>
  <c r="BW90" i="2" s="1"/>
  <c r="BW89" i="2" a="1"/>
  <c r="BW89" i="2" s="1"/>
  <c r="BW85" i="2" a="1"/>
  <c r="BW85" i="2" s="1"/>
  <c r="BW84" i="2" a="1"/>
  <c r="BW84" i="2" s="1"/>
  <c r="BW87" i="2" a="1"/>
  <c r="BW87" i="2" s="1"/>
  <c r="BW86" i="2" a="1"/>
  <c r="BW86" i="2" s="1"/>
  <c r="BW82" i="2" a="1"/>
  <c r="BW82" i="2" s="1"/>
  <c r="BW83" i="2" a="1"/>
  <c r="BW83" i="2" s="1"/>
  <c r="BW81" i="2" a="1"/>
  <c r="BW81" i="2" s="1"/>
  <c r="BW80" i="2" a="1"/>
  <c r="BW80" i="2" s="1"/>
  <c r="BW79" i="2" a="1"/>
  <c r="BW79" i="2" s="1"/>
  <c r="BW78" i="2" a="1"/>
  <c r="BW78" i="2" s="1"/>
  <c r="BW76" i="2" a="1"/>
  <c r="BW76" i="2" s="1"/>
  <c r="BW77" i="2" a="1"/>
  <c r="BW77" i="2" s="1"/>
  <c r="BW75" i="2" a="1"/>
  <c r="BW75" i="2" s="1"/>
  <c r="BW72" i="2" a="1"/>
  <c r="BW72" i="2" s="1"/>
  <c r="BW73" i="2" a="1"/>
  <c r="BW73" i="2" s="1"/>
  <c r="BW74" i="2" a="1"/>
  <c r="BW74" i="2" s="1"/>
  <c r="BW70" i="2" a="1"/>
  <c r="BW70" i="2" s="1"/>
  <c r="BW69" i="2" a="1"/>
  <c r="BW69" i="2" s="1"/>
  <c r="BW68" i="2" a="1"/>
  <c r="BW68" i="2" s="1"/>
  <c r="BW71" i="2" a="1"/>
  <c r="BW71" i="2" s="1"/>
  <c r="BW67" i="2" a="1"/>
  <c r="BW67" i="2" s="1"/>
  <c r="BW66" i="2" a="1"/>
  <c r="BW66" i="2" s="1"/>
  <c r="BW65" i="2" a="1"/>
  <c r="BW65" i="2" s="1"/>
  <c r="BW64" i="2" a="1"/>
  <c r="BW64" i="2" s="1"/>
  <c r="BW63" i="2" a="1"/>
  <c r="BW63" i="2" s="1"/>
  <c r="BW62" i="2" a="1"/>
  <c r="BW62" i="2" s="1"/>
  <c r="BW61" i="2" a="1"/>
  <c r="BW61" i="2" s="1"/>
  <c r="BW60" i="2" a="1"/>
  <c r="BW60" i="2" s="1"/>
  <c r="BW56" i="2" a="1"/>
  <c r="BW56" i="2" s="1"/>
  <c r="BW59" i="2" a="1"/>
  <c r="BW59" i="2" s="1"/>
  <c r="BW58" i="2" a="1"/>
  <c r="BW58" i="2" s="1"/>
  <c r="BW57" i="2" a="1"/>
  <c r="BW57" i="2" s="1"/>
  <c r="BW54" i="2" a="1"/>
  <c r="BW54" i="2" s="1"/>
  <c r="BW48" i="2" a="1"/>
  <c r="BW48" i="2" s="1"/>
  <c r="BW53" i="2" a="1"/>
  <c r="BW53" i="2" s="1"/>
  <c r="BW52" i="2" a="1"/>
  <c r="BW52" i="2" s="1"/>
  <c r="BW51" i="2" a="1"/>
  <c r="BW51" i="2" s="1"/>
  <c r="BW55" i="2" a="1"/>
  <c r="BW55" i="2" s="1"/>
  <c r="BW50" i="2" a="1"/>
  <c r="BW50" i="2" s="1"/>
  <c r="BW49" i="2" a="1"/>
  <c r="BW49" i="2" s="1"/>
  <c r="BW46" i="2" a="1"/>
  <c r="BW46" i="2" s="1"/>
  <c r="BW45" i="2" a="1"/>
  <c r="BW45" i="2" s="1"/>
  <c r="BW41" i="2" a="1"/>
  <c r="BW41" i="2" s="1"/>
  <c r="BW47" i="2" a="1"/>
  <c r="BW47" i="2" s="1"/>
  <c r="BW44" i="2" a="1"/>
  <c r="BW44" i="2" s="1"/>
  <c r="BW43" i="2" a="1"/>
  <c r="BW43" i="2" s="1"/>
  <c r="BW42" i="2" a="1"/>
  <c r="BW42" i="2" s="1"/>
  <c r="BW40" i="2" a="1"/>
  <c r="BW40" i="2" s="1"/>
  <c r="BW38" i="2" a="1"/>
  <c r="BW38" i="2" s="1"/>
  <c r="BW37" i="2" a="1"/>
  <c r="BW37" i="2" s="1"/>
  <c r="BW34" i="2" a="1"/>
  <c r="BW34" i="2" s="1"/>
  <c r="BW36" i="2" a="1"/>
  <c r="BW36" i="2" s="1"/>
  <c r="BW39" i="2" a="1"/>
  <c r="BW39" i="2" s="1"/>
  <c r="BW35" i="2" a="1"/>
  <c r="BW35" i="2" s="1"/>
  <c r="BW32" i="2" a="1"/>
  <c r="BW32" i="2" s="1"/>
  <c r="BW28" i="2" a="1"/>
  <c r="BW28" i="2" s="1"/>
  <c r="BW25" i="2" a="1"/>
  <c r="BW25" i="2" s="1"/>
  <c r="BW27" i="2" a="1"/>
  <c r="BW27" i="2" s="1"/>
  <c r="BW31" i="2" a="1"/>
  <c r="BW31" i="2" s="1"/>
  <c r="BW30" i="2" a="1"/>
  <c r="BW30" i="2" s="1"/>
  <c r="BW26" i="2" a="1"/>
  <c r="BW26" i="2" s="1"/>
  <c r="BW29" i="2" a="1"/>
  <c r="BW29" i="2" s="1"/>
  <c r="BW33" i="2" a="1"/>
  <c r="BW33" i="2" s="1"/>
  <c r="BW24" i="2" a="1"/>
  <c r="BW24" i="2" s="1"/>
  <c r="BW23" i="2" a="1"/>
  <c r="BW23" i="2" s="1"/>
  <c r="BW22" i="2" a="1"/>
  <c r="BW22" i="2" s="1"/>
  <c r="BW21" i="2" a="1"/>
  <c r="BW21" i="2" s="1"/>
  <c r="BW20" i="2" a="1"/>
  <c r="BW20" i="2" s="1"/>
  <c r="BW19" i="2" a="1"/>
  <c r="BW19" i="2" s="1"/>
  <c r="BW18" i="2" a="1"/>
  <c r="BW18" i="2" s="1"/>
  <c r="BW16" i="2" a="1"/>
  <c r="BW16" i="2" s="1"/>
  <c r="BW17" i="2" a="1"/>
  <c r="BW17" i="2" s="1"/>
  <c r="BW15" i="2" a="1"/>
  <c r="BW15" i="2" s="1"/>
  <c r="BW10" i="2" a="1"/>
  <c r="BW10" i="2" s="1"/>
  <c r="BW12" i="2" a="1"/>
  <c r="BW12" i="2" s="1"/>
  <c r="BW11" i="2" a="1"/>
  <c r="BW11" i="2" s="1"/>
  <c r="BW9" i="2" a="1"/>
  <c r="BW9" i="2" s="1"/>
  <c r="BW14" i="2" a="1"/>
  <c r="BW14" i="2" s="1"/>
  <c r="BW7" i="2" a="1"/>
  <c r="BW7" i="2" s="1"/>
  <c r="BW8" i="2" a="1"/>
  <c r="BW8" i="2" s="1"/>
  <c r="BW13" i="2" a="1"/>
  <c r="BW13" i="2" s="1"/>
  <c r="BW6" i="2" a="1"/>
  <c r="BW6" i="2" s="1"/>
  <c r="BW4" i="2" a="1"/>
  <c r="BW4" i="2" s="1"/>
  <c r="BW5" i="2" a="1"/>
  <c r="BW5" i="2" s="1"/>
  <c r="T101" i="2" a="1"/>
  <c r="T101" i="2" s="1"/>
  <c r="T100" i="2" a="1"/>
  <c r="T100" i="2" s="1"/>
  <c r="T103" i="2" a="1"/>
  <c r="T103" i="2" s="1"/>
  <c r="T102" i="2" a="1"/>
  <c r="T102" i="2" s="1"/>
  <c r="T96" i="2" a="1"/>
  <c r="T96" i="2" s="1"/>
  <c r="T99" i="2" a="1"/>
  <c r="T99" i="2" s="1"/>
  <c r="T97" i="2" a="1"/>
  <c r="T97" i="2" s="1"/>
  <c r="T98" i="2" a="1"/>
  <c r="T98" i="2" s="1"/>
  <c r="T93" i="2" a="1"/>
  <c r="T93" i="2" s="1"/>
  <c r="T92" i="2" a="1"/>
  <c r="T92" i="2" s="1"/>
  <c r="T95" i="2" a="1"/>
  <c r="T95" i="2" s="1"/>
  <c r="T94" i="2" a="1"/>
  <c r="T94" i="2" s="1"/>
  <c r="T90" i="2" a="1"/>
  <c r="T90" i="2" s="1"/>
  <c r="T89" i="2" a="1"/>
  <c r="T89" i="2" s="1"/>
  <c r="T88" i="2" a="1"/>
  <c r="T88" i="2" s="1"/>
  <c r="T91" i="2" a="1"/>
  <c r="T91" i="2" s="1"/>
  <c r="T87" i="2" a="1"/>
  <c r="T87" i="2" s="1"/>
  <c r="T86" i="2" a="1"/>
  <c r="T86" i="2" s="1"/>
  <c r="T85" i="2" a="1"/>
  <c r="T85" i="2" s="1"/>
  <c r="T84" i="2" a="1"/>
  <c r="T84" i="2" s="1"/>
  <c r="T83" i="2" a="1"/>
  <c r="T83" i="2" s="1"/>
  <c r="T82" i="2" a="1"/>
  <c r="T82" i="2" s="1"/>
  <c r="T81" i="2" a="1"/>
  <c r="T81" i="2" s="1"/>
  <c r="T80" i="2" a="1"/>
  <c r="T80" i="2" s="1"/>
  <c r="T79" i="2" a="1"/>
  <c r="T79" i="2" s="1"/>
  <c r="T77" i="2" a="1"/>
  <c r="T77" i="2" s="1"/>
  <c r="T78" i="2" a="1"/>
  <c r="T78" i="2" s="1"/>
  <c r="T75" i="2" a="1"/>
  <c r="T75" i="2" s="1"/>
  <c r="T73" i="2" a="1"/>
  <c r="T73" i="2" s="1"/>
  <c r="T72" i="2" a="1"/>
  <c r="T72" i="2" s="1"/>
  <c r="T76" i="2" a="1"/>
  <c r="T76" i="2" s="1"/>
  <c r="T74" i="2" a="1"/>
  <c r="T74" i="2" s="1"/>
  <c r="T70" i="2" a="1"/>
  <c r="T70" i="2" s="1"/>
  <c r="T69" i="2" a="1"/>
  <c r="T69" i="2" s="1"/>
  <c r="T68" i="2" a="1"/>
  <c r="T68" i="2" s="1"/>
  <c r="T71" i="2" a="1"/>
  <c r="T71" i="2" s="1"/>
  <c r="T65" i="2" a="1"/>
  <c r="T65" i="2" s="1"/>
  <c r="T66" i="2" a="1"/>
  <c r="T66" i="2" s="1"/>
  <c r="T67" i="2" a="1"/>
  <c r="T67" i="2" s="1"/>
  <c r="T64" i="2" a="1"/>
  <c r="T64" i="2" s="1"/>
  <c r="T60" i="2" a="1"/>
  <c r="T60" i="2" s="1"/>
  <c r="T63" i="2" a="1"/>
  <c r="T63" i="2" s="1"/>
  <c r="T62" i="2" a="1"/>
  <c r="T62" i="2" s="1"/>
  <c r="T61" i="2" a="1"/>
  <c r="T61" i="2" s="1"/>
  <c r="T57" i="2" a="1"/>
  <c r="T57" i="2" s="1"/>
  <c r="T59" i="2" a="1"/>
  <c r="T59" i="2" s="1"/>
  <c r="T58" i="2" a="1"/>
  <c r="T58" i="2" s="1"/>
  <c r="T54" i="2" a="1"/>
  <c r="T54" i="2" s="1"/>
  <c r="T52" i="2" a="1"/>
  <c r="T52" i="2" s="1"/>
  <c r="T51" i="2" a="1"/>
  <c r="T51" i="2" s="1"/>
  <c r="T53" i="2" a="1"/>
  <c r="T53" i="2" s="1"/>
  <c r="T50" i="2" a="1"/>
  <c r="T50" i="2" s="1"/>
  <c r="T56" i="2" a="1"/>
  <c r="T56" i="2" s="1"/>
  <c r="T49" i="2" a="1"/>
  <c r="T49" i="2" s="1"/>
  <c r="T55" i="2" a="1"/>
  <c r="T55" i="2" s="1"/>
  <c r="T46" i="2" a="1"/>
  <c r="T46" i="2" s="1"/>
  <c r="T43" i="2" a="1"/>
  <c r="T43" i="2" s="1"/>
  <c r="T45" i="2" a="1"/>
  <c r="T45" i="2" s="1"/>
  <c r="T41" i="2" a="1"/>
  <c r="T41" i="2" s="1"/>
  <c r="T47" i="2" a="1"/>
  <c r="T47" i="2" s="1"/>
  <c r="T48" i="2" a="1"/>
  <c r="T48" i="2" s="1"/>
  <c r="T42" i="2" a="1"/>
  <c r="T42" i="2" s="1"/>
  <c r="T44" i="2" a="1"/>
  <c r="T44" i="2" s="1"/>
  <c r="T40" i="2" a="1"/>
  <c r="T40" i="2" s="1"/>
  <c r="T34" i="2" a="1"/>
  <c r="T34" i="2" s="1"/>
  <c r="T37" i="2" a="1"/>
  <c r="T37" i="2" s="1"/>
  <c r="T36" i="2" a="1"/>
  <c r="T36" i="2" s="1"/>
  <c r="T39" i="2" a="1"/>
  <c r="T39" i="2" s="1"/>
  <c r="T35" i="2" a="1"/>
  <c r="T35" i="2" s="1"/>
  <c r="T38" i="2" a="1"/>
  <c r="T38" i="2" s="1"/>
  <c r="T28" i="2" a="1"/>
  <c r="T28" i="2" s="1"/>
  <c r="T33" i="2" a="1"/>
  <c r="T33" i="2" s="1"/>
  <c r="T27" i="2" a="1"/>
  <c r="T27" i="2" s="1"/>
  <c r="T26" i="2" a="1"/>
  <c r="T26" i="2" s="1"/>
  <c r="T31" i="2" a="1"/>
  <c r="T31" i="2" s="1"/>
  <c r="T30" i="2" a="1"/>
  <c r="T30" i="2" s="1"/>
  <c r="T32" i="2" a="1"/>
  <c r="T32" i="2" s="1"/>
  <c r="T29" i="2" a="1"/>
  <c r="T29" i="2" s="1"/>
  <c r="T25" i="2" a="1"/>
  <c r="T25" i="2" s="1"/>
  <c r="T17" i="2" a="1"/>
  <c r="T17" i="2" s="1"/>
  <c r="T18" i="2" a="1"/>
  <c r="T18" i="2" s="1"/>
  <c r="T24" i="2" a="1"/>
  <c r="T24" i="2" s="1"/>
  <c r="T23" i="2" a="1"/>
  <c r="T23" i="2" s="1"/>
  <c r="T22" i="2" a="1"/>
  <c r="T22" i="2" s="1"/>
  <c r="T21" i="2" a="1"/>
  <c r="T21" i="2" s="1"/>
  <c r="T20" i="2" a="1"/>
  <c r="T20" i="2" s="1"/>
  <c r="T19" i="2" a="1"/>
  <c r="T19" i="2" s="1"/>
  <c r="T16" i="2" a="1"/>
  <c r="T16" i="2" s="1"/>
  <c r="T9" i="2" a="1"/>
  <c r="T9" i="2" s="1"/>
  <c r="T13" i="2" a="1"/>
  <c r="T13" i="2" s="1"/>
  <c r="T12" i="2" a="1"/>
  <c r="T12" i="2" s="1"/>
  <c r="T8" i="2" a="1"/>
  <c r="T8" i="2" s="1"/>
  <c r="T11" i="2" a="1"/>
  <c r="T11" i="2" s="1"/>
  <c r="T10" i="2" a="1"/>
  <c r="T10" i="2" s="1"/>
  <c r="T15" i="2" a="1"/>
  <c r="T15" i="2" s="1"/>
  <c r="T14" i="2" a="1"/>
  <c r="T14" i="2" s="1"/>
  <c r="T7" i="2" a="1"/>
  <c r="T7" i="2" s="1"/>
  <c r="T6" i="2" a="1"/>
  <c r="T6" i="2" s="1"/>
  <c r="T5" i="2" a="1"/>
  <c r="T5" i="2" s="1"/>
  <c r="T4" i="2" a="1"/>
  <c r="T4" i="2" s="1"/>
  <c r="J101" i="2" a="1"/>
  <c r="J101" i="2" s="1"/>
  <c r="J103" i="2" a="1"/>
  <c r="J103" i="2" s="1"/>
  <c r="J102" i="2" a="1"/>
  <c r="J102" i="2" s="1"/>
  <c r="J100" i="2" a="1"/>
  <c r="J100" i="2" s="1"/>
  <c r="J96" i="2" a="1"/>
  <c r="J96" i="2" s="1"/>
  <c r="J99" i="2" a="1"/>
  <c r="J99" i="2" s="1"/>
  <c r="J97" i="2" a="1"/>
  <c r="J97" i="2" s="1"/>
  <c r="J98" i="2" a="1"/>
  <c r="J98" i="2" s="1"/>
  <c r="J93" i="2" a="1"/>
  <c r="J93" i="2" s="1"/>
  <c r="J92" i="2" a="1"/>
  <c r="J92" i="2" s="1"/>
  <c r="J95" i="2" a="1"/>
  <c r="J95" i="2" s="1"/>
  <c r="J94" i="2" a="1"/>
  <c r="J94" i="2" s="1"/>
  <c r="J90" i="2" a="1"/>
  <c r="J90" i="2" s="1"/>
  <c r="J89" i="2" a="1"/>
  <c r="J89" i="2" s="1"/>
  <c r="J88" i="2" a="1"/>
  <c r="J88" i="2" s="1"/>
  <c r="J91" i="2" a="1"/>
  <c r="J91" i="2" s="1"/>
  <c r="J85" i="2" a="1"/>
  <c r="J85" i="2" s="1"/>
  <c r="J87" i="2" a="1"/>
  <c r="J87" i="2" s="1"/>
  <c r="J86" i="2" a="1"/>
  <c r="J86" i="2" s="1"/>
  <c r="J84" i="2" a="1"/>
  <c r="J84" i="2" s="1"/>
  <c r="J83" i="2" a="1"/>
  <c r="J83" i="2" s="1"/>
  <c r="J82" i="2" a="1"/>
  <c r="J82" i="2" s="1"/>
  <c r="J81" i="2" a="1"/>
  <c r="J81" i="2" s="1"/>
  <c r="J79" i="2" a="1"/>
  <c r="J79" i="2" s="1"/>
  <c r="J77" i="2" a="1"/>
  <c r="J77" i="2" s="1"/>
  <c r="J76" i="2" a="1"/>
  <c r="J76" i="2" s="1"/>
  <c r="J80" i="2" a="1"/>
  <c r="J80" i="2" s="1"/>
  <c r="J78" i="2" a="1"/>
  <c r="J78" i="2" s="1"/>
  <c r="J73" i="2" a="1"/>
  <c r="J73" i="2" s="1"/>
  <c r="J75" i="2" a="1"/>
  <c r="J75" i="2" s="1"/>
  <c r="J74" i="2" a="1"/>
  <c r="J74" i="2" s="1"/>
  <c r="J71" i="2" a="1"/>
  <c r="J71" i="2" s="1"/>
  <c r="J70" i="2" a="1"/>
  <c r="J70" i="2" s="1"/>
  <c r="J69" i="2" a="1"/>
  <c r="J69" i="2" s="1"/>
  <c r="J72" i="2" a="1"/>
  <c r="J72" i="2" s="1"/>
  <c r="J68" i="2" a="1"/>
  <c r="J68" i="2" s="1"/>
  <c r="J65" i="2" a="1"/>
  <c r="J65" i="2" s="1"/>
  <c r="J66" i="2" a="1"/>
  <c r="J66" i="2" s="1"/>
  <c r="J64" i="2" a="1"/>
  <c r="J64" i="2" s="1"/>
  <c r="J67" i="2" a="1"/>
  <c r="J67" i="2" s="1"/>
  <c r="J63" i="2" a="1"/>
  <c r="J63" i="2" s="1"/>
  <c r="J60" i="2" a="1"/>
  <c r="J60" i="2" s="1"/>
  <c r="J62" i="2" a="1"/>
  <c r="J62" i="2" s="1"/>
  <c r="J61" i="2" a="1"/>
  <c r="J61" i="2" s="1"/>
  <c r="J57" i="2" a="1"/>
  <c r="J57" i="2" s="1"/>
  <c r="J59" i="2" a="1"/>
  <c r="J59" i="2" s="1"/>
  <c r="J58" i="2" a="1"/>
  <c r="J58" i="2" s="1"/>
  <c r="J54" i="2" a="1"/>
  <c r="J54" i="2" s="1"/>
  <c r="J52" i="2" a="1"/>
  <c r="J52" i="2" s="1"/>
  <c r="J51" i="2" a="1"/>
  <c r="J51" i="2" s="1"/>
  <c r="J50" i="2" a="1"/>
  <c r="J50" i="2" s="1"/>
  <c r="J56" i="2" a="1"/>
  <c r="J56" i="2" s="1"/>
  <c r="J53" i="2" a="1"/>
  <c r="J53" i="2" s="1"/>
  <c r="J55" i="2" a="1"/>
  <c r="J55" i="2" s="1"/>
  <c r="J49" i="2" a="1"/>
  <c r="J49" i="2" s="1"/>
  <c r="J42" i="2" a="1"/>
  <c r="J42" i="2" s="1"/>
  <c r="J44" i="2" a="1"/>
  <c r="J44" i="2" s="1"/>
  <c r="J45" i="2" a="1"/>
  <c r="J45" i="2" s="1"/>
  <c r="J43" i="2" a="1"/>
  <c r="J43" i="2" s="1"/>
  <c r="J46" i="2" a="1"/>
  <c r="J46" i="2" s="1"/>
  <c r="J41" i="2" a="1"/>
  <c r="J41" i="2" s="1"/>
  <c r="J47" i="2" a="1"/>
  <c r="J47" i="2" s="1"/>
  <c r="J48" i="2" a="1"/>
  <c r="J48" i="2" s="1"/>
  <c r="J40" i="2" a="1"/>
  <c r="J40" i="2" s="1"/>
  <c r="J35" i="2" a="1"/>
  <c r="J35" i="2" s="1"/>
  <c r="J33" i="2" a="1"/>
  <c r="J33" i="2" s="1"/>
  <c r="J38" i="2" a="1"/>
  <c r="J38" i="2" s="1"/>
  <c r="J34" i="2" a="1"/>
  <c r="J34" i="2" s="1"/>
  <c r="J37" i="2" a="1"/>
  <c r="J37" i="2" s="1"/>
  <c r="J36" i="2" a="1"/>
  <c r="J36" i="2" s="1"/>
  <c r="J39" i="2" a="1"/>
  <c r="J39" i="2" s="1"/>
  <c r="J29" i="2" a="1"/>
  <c r="J29" i="2" s="1"/>
  <c r="J28" i="2" a="1"/>
  <c r="J28" i="2" s="1"/>
  <c r="J26" i="2" a="1"/>
  <c r="J26" i="2" s="1"/>
  <c r="J27" i="2" a="1"/>
  <c r="J27" i="2" s="1"/>
  <c r="J32" i="2" a="1"/>
  <c r="J32" i="2" s="1"/>
  <c r="J31" i="2" a="1"/>
  <c r="J31" i="2" s="1"/>
  <c r="J30" i="2" a="1"/>
  <c r="J30" i="2" s="1"/>
  <c r="J17" i="2" a="1"/>
  <c r="J17" i="2" s="1"/>
  <c r="J24" i="2" a="1"/>
  <c r="J24" i="2" s="1"/>
  <c r="J23" i="2" a="1"/>
  <c r="J23" i="2" s="1"/>
  <c r="J22" i="2" a="1"/>
  <c r="J22" i="2" s="1"/>
  <c r="J21" i="2" a="1"/>
  <c r="J21" i="2" s="1"/>
  <c r="J20" i="2" a="1"/>
  <c r="J20" i="2" s="1"/>
  <c r="J19" i="2" a="1"/>
  <c r="J19" i="2" s="1"/>
  <c r="J18" i="2" a="1"/>
  <c r="J18" i="2" s="1"/>
  <c r="J25" i="2" a="1"/>
  <c r="J25" i="2" s="1"/>
  <c r="J16" i="2" a="1"/>
  <c r="J16" i="2" s="1"/>
  <c r="J14" i="2" a="1"/>
  <c r="J14" i="2" s="1"/>
  <c r="J9" i="2" a="1"/>
  <c r="J9" i="2" s="1"/>
  <c r="J13" i="2" a="1"/>
  <c r="J13" i="2" s="1"/>
  <c r="J12" i="2" a="1"/>
  <c r="J12" i="2" s="1"/>
  <c r="J11" i="2" a="1"/>
  <c r="J11" i="2" s="1"/>
  <c r="J10" i="2" a="1"/>
  <c r="J10" i="2" s="1"/>
  <c r="J15" i="2" a="1"/>
  <c r="J15" i="2" s="1"/>
  <c r="J4" i="2" a="1"/>
  <c r="J4" i="2" s="1"/>
  <c r="J7" i="2" a="1"/>
  <c r="J7" i="2" s="1"/>
  <c r="J8" i="2" a="1"/>
  <c r="J8" i="2" s="1"/>
  <c r="J6" i="2" a="1"/>
  <c r="J6" i="2" s="1"/>
  <c r="J5" i="2" a="1"/>
  <c r="J5" i="2" s="1"/>
  <c r="BG100" i="2" a="1"/>
  <c r="BG100" i="2" s="1"/>
  <c r="BG103" i="2" a="1"/>
  <c r="BG103" i="2" s="1"/>
  <c r="BG102" i="2" a="1"/>
  <c r="BG102" i="2" s="1"/>
  <c r="BG101" i="2" a="1"/>
  <c r="BG101" i="2" s="1"/>
  <c r="BG98" i="2" a="1"/>
  <c r="BG98" i="2" s="1"/>
  <c r="BG97" i="2" a="1"/>
  <c r="BG97" i="2" s="1"/>
  <c r="BG99" i="2" a="1"/>
  <c r="BG99" i="2" s="1"/>
  <c r="BG96" i="2" a="1"/>
  <c r="BG96" i="2" s="1"/>
  <c r="BG95" i="2" a="1"/>
  <c r="BG95" i="2" s="1"/>
  <c r="BG94" i="2" a="1"/>
  <c r="BG94" i="2" s="1"/>
  <c r="BG93" i="2" a="1"/>
  <c r="BG93" i="2" s="1"/>
  <c r="BG92" i="2" a="1"/>
  <c r="BG92" i="2" s="1"/>
  <c r="BG91" i="2" a="1"/>
  <c r="BG91" i="2" s="1"/>
  <c r="BG88" i="2" a="1"/>
  <c r="BG88" i="2" s="1"/>
  <c r="BG90" i="2" a="1"/>
  <c r="BG90" i="2" s="1"/>
  <c r="BG89" i="2" a="1"/>
  <c r="BG89" i="2" s="1"/>
  <c r="BG84" i="2" a="1"/>
  <c r="BG84" i="2" s="1"/>
  <c r="BG86" i="2" a="1"/>
  <c r="BG86" i="2" s="1"/>
  <c r="BG87" i="2" a="1"/>
  <c r="BG87" i="2" s="1"/>
  <c r="BG85" i="2" a="1"/>
  <c r="BG85" i="2" s="1"/>
  <c r="BG81" i="2" a="1"/>
  <c r="BG81" i="2" s="1"/>
  <c r="BG80" i="2" a="1"/>
  <c r="BG80" i="2" s="1"/>
  <c r="BG82" i="2" a="1"/>
  <c r="BG82" i="2" s="1"/>
  <c r="BG83" i="2" a="1"/>
  <c r="BG83" i="2" s="1"/>
  <c r="BG79" i="2" a="1"/>
  <c r="BG79" i="2" s="1"/>
  <c r="BG78" i="2" a="1"/>
  <c r="BG78" i="2" s="1"/>
  <c r="BG77" i="2" a="1"/>
  <c r="BG77" i="2" s="1"/>
  <c r="BG76" i="2" a="1"/>
  <c r="BG76" i="2" s="1"/>
  <c r="BG74" i="2" a="1"/>
  <c r="BG74" i="2" s="1"/>
  <c r="BG73" i="2" a="1"/>
  <c r="BG73" i="2" s="1"/>
  <c r="BG72" i="2" a="1"/>
  <c r="BG72" i="2" s="1"/>
  <c r="BG75" i="2" a="1"/>
  <c r="BG75" i="2" s="1"/>
  <c r="BG69" i="2" a="1"/>
  <c r="BG69" i="2" s="1"/>
  <c r="BG68" i="2" a="1"/>
  <c r="BG68" i="2" s="1"/>
  <c r="BG71" i="2" a="1"/>
  <c r="BG71" i="2" s="1"/>
  <c r="BG70" i="2" a="1"/>
  <c r="BG70" i="2" s="1"/>
  <c r="BG65" i="2" a="1"/>
  <c r="BG65" i="2" s="1"/>
  <c r="BG64" i="2" a="1"/>
  <c r="BG64" i="2" s="1"/>
  <c r="BG67" i="2" a="1"/>
  <c r="BG67" i="2" s="1"/>
  <c r="BG66" i="2" a="1"/>
  <c r="BG66" i="2" s="1"/>
  <c r="BG59" i="2" a="1"/>
  <c r="BG59" i="2" s="1"/>
  <c r="BG62" i="2" a="1"/>
  <c r="BG62" i="2" s="1"/>
  <c r="BG61" i="2" a="1"/>
  <c r="BG61" i="2" s="1"/>
  <c r="BG63" i="2" a="1"/>
  <c r="BG63" i="2" s="1"/>
  <c r="BG60" i="2" a="1"/>
  <c r="BG60" i="2" s="1"/>
  <c r="BG58" i="2" a="1"/>
  <c r="BG58" i="2" s="1"/>
  <c r="BG57" i="2" a="1"/>
  <c r="BG57" i="2" s="1"/>
  <c r="BG56" i="2" a="1"/>
  <c r="BG56" i="2" s="1"/>
  <c r="BG52" i="2" a="1"/>
  <c r="BG52" i="2" s="1"/>
  <c r="BG51" i="2" a="1"/>
  <c r="BG51" i="2" s="1"/>
  <c r="BG55" i="2" a="1"/>
  <c r="BG55" i="2" s="1"/>
  <c r="BG50" i="2" a="1"/>
  <c r="BG50" i="2" s="1"/>
  <c r="BG49" i="2" a="1"/>
  <c r="BG49" i="2" s="1"/>
  <c r="BG54" i="2" a="1"/>
  <c r="BG54" i="2" s="1"/>
  <c r="BG53" i="2" a="1"/>
  <c r="BG53" i="2" s="1"/>
  <c r="BG41" i="2" a="1"/>
  <c r="BG41" i="2" s="1"/>
  <c r="BG47" i="2" a="1"/>
  <c r="BG47" i="2" s="1"/>
  <c r="BG48" i="2" a="1"/>
  <c r="BG48" i="2" s="1"/>
  <c r="BG44" i="2" a="1"/>
  <c r="BG44" i="2" s="1"/>
  <c r="BG42" i="2" a="1"/>
  <c r="BG42" i="2" s="1"/>
  <c r="BG43" i="2" a="1"/>
  <c r="BG43" i="2" s="1"/>
  <c r="BG46" i="2" a="1"/>
  <c r="BG46" i="2" s="1"/>
  <c r="BG45" i="2" a="1"/>
  <c r="BG45" i="2" s="1"/>
  <c r="BG40" i="2" a="1"/>
  <c r="BG40" i="2" s="1"/>
  <c r="BG35" i="2" a="1"/>
  <c r="BG35" i="2" s="1"/>
  <c r="BG38" i="2" a="1"/>
  <c r="BG38" i="2" s="1"/>
  <c r="BG37" i="2" a="1"/>
  <c r="BG37" i="2" s="1"/>
  <c r="BG34" i="2" a="1"/>
  <c r="BG34" i="2" s="1"/>
  <c r="BG36" i="2" a="1"/>
  <c r="BG36" i="2" s="1"/>
  <c r="BG39" i="2" a="1"/>
  <c r="BG39" i="2" s="1"/>
  <c r="BG27" i="2" a="1"/>
  <c r="BG27" i="2" s="1"/>
  <c r="BG30" i="2" a="1"/>
  <c r="BG30" i="2" s="1"/>
  <c r="BG26" i="2" a="1"/>
  <c r="BG26" i="2" s="1"/>
  <c r="BG31" i="2" a="1"/>
  <c r="BG31" i="2" s="1"/>
  <c r="BG29" i="2" a="1"/>
  <c r="BG29" i="2" s="1"/>
  <c r="BG32" i="2" a="1"/>
  <c r="BG32" i="2" s="1"/>
  <c r="BG28" i="2" a="1"/>
  <c r="BG28" i="2" s="1"/>
  <c r="BG33" i="2" a="1"/>
  <c r="BG33" i="2" s="1"/>
  <c r="BG17" i="2" a="1"/>
  <c r="BG17" i="2" s="1"/>
  <c r="BG16" i="2" a="1"/>
  <c r="BG16" i="2" s="1"/>
  <c r="BG24" i="2" a="1"/>
  <c r="BG24" i="2" s="1"/>
  <c r="BG23" i="2" a="1"/>
  <c r="BG23" i="2" s="1"/>
  <c r="BG22" i="2" a="1"/>
  <c r="BG22" i="2" s="1"/>
  <c r="BG21" i="2" a="1"/>
  <c r="BG21" i="2" s="1"/>
  <c r="BG20" i="2" a="1"/>
  <c r="BG20" i="2" s="1"/>
  <c r="BG19" i="2" a="1"/>
  <c r="BG19" i="2" s="1"/>
  <c r="BG25" i="2" a="1"/>
  <c r="BG25" i="2" s="1"/>
  <c r="BG18" i="2" a="1"/>
  <c r="BG18" i="2" s="1"/>
  <c r="BG10" i="2" a="1"/>
  <c r="BG10" i="2" s="1"/>
  <c r="BG11" i="2" a="1"/>
  <c r="BG11" i="2" s="1"/>
  <c r="BG15" i="2" a="1"/>
  <c r="BG15" i="2" s="1"/>
  <c r="BG9" i="2" a="1"/>
  <c r="BG9" i="2" s="1"/>
  <c r="BG14" i="2" a="1"/>
  <c r="BG14" i="2" s="1"/>
  <c r="BG13" i="2" a="1"/>
  <c r="BG13" i="2" s="1"/>
  <c r="BG8" i="2" a="1"/>
  <c r="BG8" i="2" s="1"/>
  <c r="BG12" i="2" a="1"/>
  <c r="BG12" i="2" s="1"/>
  <c r="BG6" i="2" a="1"/>
  <c r="BG6" i="2" s="1"/>
  <c r="BG7" i="2" a="1"/>
  <c r="BG7" i="2" s="1"/>
  <c r="BG4" i="2" a="1"/>
  <c r="BG4" i="2" s="1"/>
  <c r="BG5" i="2" a="1"/>
  <c r="BG5" i="2" s="1"/>
  <c r="CR100" i="2" a="1"/>
  <c r="CR100" i="2" s="1"/>
  <c r="CR99" i="2" a="1"/>
  <c r="CR99" i="2" s="1"/>
  <c r="CR103" i="2" a="1"/>
  <c r="CR103" i="2" s="1"/>
  <c r="CR102" i="2" a="1"/>
  <c r="CR102" i="2" s="1"/>
  <c r="CR101" i="2" a="1"/>
  <c r="CR101" i="2" s="1"/>
  <c r="CR98" i="2" a="1"/>
  <c r="CR98" i="2" s="1"/>
  <c r="CR97" i="2" a="1"/>
  <c r="CR97" i="2" s="1"/>
  <c r="CR96" i="2" a="1"/>
  <c r="CR96" i="2" s="1"/>
  <c r="CR95" i="2" a="1"/>
  <c r="CR95" i="2" s="1"/>
  <c r="CR93" i="2" a="1"/>
  <c r="CR93" i="2" s="1"/>
  <c r="CR92" i="2" a="1"/>
  <c r="CR92" i="2" s="1"/>
  <c r="CR94" i="2" a="1"/>
  <c r="CR94" i="2" s="1"/>
  <c r="CR90" i="2" a="1"/>
  <c r="CR90" i="2" s="1"/>
  <c r="CR91" i="2" a="1"/>
  <c r="CR91" i="2" s="1"/>
  <c r="CR89" i="2" a="1"/>
  <c r="CR89" i="2" s="1"/>
  <c r="CR88" i="2" a="1"/>
  <c r="CR88" i="2" s="1"/>
  <c r="CR85" i="2" a="1"/>
  <c r="CR85" i="2" s="1"/>
  <c r="CR84" i="2" a="1"/>
  <c r="CR84" i="2" s="1"/>
  <c r="CR86" i="2" a="1"/>
  <c r="CR86" i="2" s="1"/>
  <c r="CR87" i="2" a="1"/>
  <c r="CR87" i="2" s="1"/>
  <c r="CR81" i="2" a="1"/>
  <c r="CR81" i="2" s="1"/>
  <c r="CR80" i="2" a="1"/>
  <c r="CR80" i="2" s="1"/>
  <c r="CR83" i="2" a="1"/>
  <c r="CR83" i="2" s="1"/>
  <c r="CR82" i="2" a="1"/>
  <c r="CR82" i="2" s="1"/>
  <c r="CR76" i="2" a="1"/>
  <c r="CR76" i="2" s="1"/>
  <c r="CR79" i="2" a="1"/>
  <c r="CR79" i="2" s="1"/>
  <c r="CR77" i="2" a="1"/>
  <c r="CR77" i="2" s="1"/>
  <c r="CR78" i="2" a="1"/>
  <c r="CR78" i="2" s="1"/>
  <c r="CR75" i="2" a="1"/>
  <c r="CR75" i="2" s="1"/>
  <c r="CR74" i="2" a="1"/>
  <c r="CR74" i="2" s="1"/>
  <c r="CR72" i="2" a="1"/>
  <c r="CR72" i="2" s="1"/>
  <c r="CR73" i="2" a="1"/>
  <c r="CR73" i="2" s="1"/>
  <c r="CR69" i="2" a="1"/>
  <c r="CR69" i="2" s="1"/>
  <c r="CR68" i="2" a="1"/>
  <c r="CR68" i="2" s="1"/>
  <c r="CR71" i="2" a="1"/>
  <c r="CR71" i="2" s="1"/>
  <c r="CR70" i="2" a="1"/>
  <c r="CR70" i="2" s="1"/>
  <c r="CR65" i="2" a="1"/>
  <c r="CR65" i="2" s="1"/>
  <c r="CR64" i="2" a="1"/>
  <c r="CR64" i="2" s="1"/>
  <c r="CR66" i="2" a="1"/>
  <c r="CR66" i="2" s="1"/>
  <c r="CR67" i="2" a="1"/>
  <c r="CR67" i="2" s="1"/>
  <c r="CR63" i="2" a="1"/>
  <c r="CR63" i="2" s="1"/>
  <c r="CR62" i="2" a="1"/>
  <c r="CR62" i="2" s="1"/>
  <c r="CR61" i="2" a="1"/>
  <c r="CR61" i="2" s="1"/>
  <c r="CR60" i="2" a="1"/>
  <c r="CR60" i="2" s="1"/>
  <c r="CR57" i="2" a="1"/>
  <c r="CR57" i="2" s="1"/>
  <c r="CR59" i="2" a="1"/>
  <c r="CR59" i="2" s="1"/>
  <c r="CR56" i="2" a="1"/>
  <c r="CR56" i="2" s="1"/>
  <c r="CR58" i="2" a="1"/>
  <c r="CR58" i="2" s="1"/>
  <c r="CR55" i="2" a="1"/>
  <c r="CR55" i="2" s="1"/>
  <c r="CR51" i="2" a="1"/>
  <c r="CR51" i="2" s="1"/>
  <c r="CR50" i="2" a="1"/>
  <c r="CR50" i="2" s="1"/>
  <c r="CR49" i="2" a="1"/>
  <c r="CR49" i="2" s="1"/>
  <c r="CR52" i="2" a="1"/>
  <c r="CR52" i="2" s="1"/>
  <c r="CR54" i="2" a="1"/>
  <c r="CR54" i="2" s="1"/>
  <c r="CR53" i="2" a="1"/>
  <c r="CR53" i="2" s="1"/>
  <c r="CR48" i="2" a="1"/>
  <c r="CR48" i="2" s="1"/>
  <c r="CR47" i="2" a="1"/>
  <c r="CR47" i="2" s="1"/>
  <c r="CR41" i="2" a="1"/>
  <c r="CR41" i="2" s="1"/>
  <c r="CR44" i="2" a="1"/>
  <c r="CR44" i="2" s="1"/>
  <c r="CR43" i="2" a="1"/>
  <c r="CR43" i="2" s="1"/>
  <c r="CR46" i="2" a="1"/>
  <c r="CR46" i="2" s="1"/>
  <c r="CR42" i="2" a="1"/>
  <c r="CR42" i="2" s="1"/>
  <c r="CR45" i="2" a="1"/>
  <c r="CR45" i="2" s="1"/>
  <c r="CR40" i="2" a="1"/>
  <c r="CR40" i="2" s="1"/>
  <c r="CR36" i="2" a="1"/>
  <c r="CR36" i="2" s="1"/>
  <c r="CR34" i="2" a="1"/>
  <c r="CR34" i="2" s="1"/>
  <c r="CR39" i="2" a="1"/>
  <c r="CR39" i="2" s="1"/>
  <c r="CR35" i="2" a="1"/>
  <c r="CR35" i="2" s="1"/>
  <c r="CR38" i="2" a="1"/>
  <c r="CR38" i="2" s="1"/>
  <c r="CR33" i="2" a="1"/>
  <c r="CR33" i="2" s="1"/>
  <c r="CR37" i="2" a="1"/>
  <c r="CR37" i="2" s="1"/>
  <c r="CR26" i="2" a="1"/>
  <c r="CR26" i="2" s="1"/>
  <c r="CR30" i="2" a="1"/>
  <c r="CR30" i="2" s="1"/>
  <c r="CR31" i="2" a="1"/>
  <c r="CR31" i="2" s="1"/>
  <c r="CR25" i="2" a="1"/>
  <c r="CR25" i="2" s="1"/>
  <c r="CR29" i="2" a="1"/>
  <c r="CR29" i="2" s="1"/>
  <c r="CR28" i="2" a="1"/>
  <c r="CR28" i="2" s="1"/>
  <c r="CR32" i="2" a="1"/>
  <c r="CR32" i="2" s="1"/>
  <c r="CR27" i="2" a="1"/>
  <c r="CR27" i="2" s="1"/>
  <c r="CR15" i="2" a="1"/>
  <c r="CR15" i="2" s="1"/>
  <c r="CR24" i="2" a="1"/>
  <c r="CR24" i="2" s="1"/>
  <c r="CR23" i="2" a="1"/>
  <c r="CR23" i="2" s="1"/>
  <c r="CR22" i="2" a="1"/>
  <c r="CR22" i="2" s="1"/>
  <c r="CR21" i="2" a="1"/>
  <c r="CR21" i="2" s="1"/>
  <c r="CR20" i="2" a="1"/>
  <c r="CR20" i="2" s="1"/>
  <c r="CR19" i="2" a="1"/>
  <c r="CR19" i="2" s="1"/>
  <c r="CR18" i="2" a="1"/>
  <c r="CR18" i="2" s="1"/>
  <c r="CR16" i="2" a="1"/>
  <c r="CR16" i="2" s="1"/>
  <c r="CR17" i="2" a="1"/>
  <c r="CR17" i="2" s="1"/>
  <c r="CR14" i="2" a="1"/>
  <c r="CR14" i="2" s="1"/>
  <c r="CR13" i="2" a="1"/>
  <c r="CR13" i="2" s="1"/>
  <c r="CR8" i="2" a="1"/>
  <c r="CR8" i="2" s="1"/>
  <c r="CR12" i="2" a="1"/>
  <c r="CR12" i="2" s="1"/>
  <c r="CR11" i="2" a="1"/>
  <c r="CR11" i="2" s="1"/>
  <c r="CR10" i="2" a="1"/>
  <c r="CR10" i="2" s="1"/>
  <c r="CR9" i="2" a="1"/>
  <c r="CR9" i="2" s="1"/>
  <c r="CR5" i="2" a="1"/>
  <c r="CR5" i="2" s="1"/>
  <c r="CR6" i="2" a="1"/>
  <c r="CR6" i="2" s="1"/>
  <c r="CR4" i="2" a="1"/>
  <c r="CR4" i="2" s="1"/>
  <c r="CR7" i="2" a="1"/>
  <c r="CR7" i="2" s="1"/>
  <c r="M101" i="2" a="1"/>
  <c r="M101" i="2" s="1"/>
  <c r="M103" i="2" a="1"/>
  <c r="M103" i="2" s="1"/>
  <c r="M102" i="2" a="1"/>
  <c r="M102" i="2" s="1"/>
  <c r="M100" i="2" a="1"/>
  <c r="M100" i="2" s="1"/>
  <c r="M96" i="2" a="1"/>
  <c r="M96" i="2" s="1"/>
  <c r="M99" i="2" a="1"/>
  <c r="M99" i="2" s="1"/>
  <c r="M97" i="2" a="1"/>
  <c r="M97" i="2" s="1"/>
  <c r="M98" i="2" a="1"/>
  <c r="M98" i="2" s="1"/>
  <c r="M92" i="2" a="1"/>
  <c r="M92" i="2" s="1"/>
  <c r="M95" i="2" a="1"/>
  <c r="M95" i="2" s="1"/>
  <c r="M94" i="2" a="1"/>
  <c r="M94" i="2" s="1"/>
  <c r="M93" i="2" a="1"/>
  <c r="M93" i="2" s="1"/>
  <c r="M89" i="2" a="1"/>
  <c r="M89" i="2" s="1"/>
  <c r="M91" i="2" a="1"/>
  <c r="M91" i="2" s="1"/>
  <c r="M90" i="2" a="1"/>
  <c r="M90" i="2" s="1"/>
  <c r="M87" i="2" a="1"/>
  <c r="M87" i="2" s="1"/>
  <c r="M88" i="2" a="1"/>
  <c r="M88" i="2" s="1"/>
  <c r="M86" i="2" a="1"/>
  <c r="M86" i="2" s="1"/>
  <c r="M85" i="2" a="1"/>
  <c r="M85" i="2" s="1"/>
  <c r="M82" i="2" a="1"/>
  <c r="M82" i="2" s="1"/>
  <c r="M83" i="2" a="1"/>
  <c r="M83" i="2" s="1"/>
  <c r="M81" i="2" a="1"/>
  <c r="M81" i="2" s="1"/>
  <c r="M84" i="2" a="1"/>
  <c r="M84" i="2" s="1"/>
  <c r="M80" i="2" a="1"/>
  <c r="M80" i="2" s="1"/>
  <c r="M78" i="2" a="1"/>
  <c r="M78" i="2" s="1"/>
  <c r="M79" i="2" a="1"/>
  <c r="M79" i="2" s="1"/>
  <c r="M77" i="2" a="1"/>
  <c r="M77" i="2" s="1"/>
  <c r="M76" i="2" a="1"/>
  <c r="M76" i="2" s="1"/>
  <c r="M75" i="2" a="1"/>
  <c r="M75" i="2" s="1"/>
  <c r="M74" i="2" a="1"/>
  <c r="M74" i="2" s="1"/>
  <c r="M73" i="2" a="1"/>
  <c r="M73" i="2" s="1"/>
  <c r="M70" i="2" a="1"/>
  <c r="M70" i="2" s="1"/>
  <c r="M69" i="2" a="1"/>
  <c r="M69" i="2" s="1"/>
  <c r="M71" i="2" a="1"/>
  <c r="M71" i="2" s="1"/>
  <c r="M68" i="2" a="1"/>
  <c r="M68" i="2" s="1"/>
  <c r="M72" i="2" a="1"/>
  <c r="M72" i="2" s="1"/>
  <c r="M66" i="2" a="1"/>
  <c r="M66" i="2" s="1"/>
  <c r="M64" i="2" a="1"/>
  <c r="M64" i="2" s="1"/>
  <c r="M67" i="2" a="1"/>
  <c r="M67" i="2" s="1"/>
  <c r="M65" i="2" a="1"/>
  <c r="M65" i="2" s="1"/>
  <c r="M63" i="2" a="1"/>
  <c r="M63" i="2" s="1"/>
  <c r="M62" i="2" a="1"/>
  <c r="M62" i="2" s="1"/>
  <c r="M61" i="2" a="1"/>
  <c r="M61" i="2" s="1"/>
  <c r="M57" i="2" a="1"/>
  <c r="M57" i="2" s="1"/>
  <c r="M59" i="2" a="1"/>
  <c r="M59" i="2" s="1"/>
  <c r="M58" i="2" a="1"/>
  <c r="M58" i="2" s="1"/>
  <c r="M60" i="2" a="1"/>
  <c r="M60" i="2" s="1"/>
  <c r="M52" i="2" a="1"/>
  <c r="M52" i="2" s="1"/>
  <c r="M51" i="2" a="1"/>
  <c r="M51" i="2" s="1"/>
  <c r="M50" i="2" a="1"/>
  <c r="M50" i="2" s="1"/>
  <c r="M56" i="2" a="1"/>
  <c r="M56" i="2" s="1"/>
  <c r="M55" i="2" a="1"/>
  <c r="M55" i="2" s="1"/>
  <c r="M53" i="2" a="1"/>
  <c r="M53" i="2" s="1"/>
  <c r="M49" i="2" a="1"/>
  <c r="M49" i="2" s="1"/>
  <c r="M54" i="2" a="1"/>
  <c r="M54" i="2" s="1"/>
  <c r="M46" i="2" a="1"/>
  <c r="M46" i="2" s="1"/>
  <c r="M47" i="2" a="1"/>
  <c r="M47" i="2" s="1"/>
  <c r="M48" i="2" a="1"/>
  <c r="M48" i="2" s="1"/>
  <c r="M42" i="2" a="1"/>
  <c r="M42" i="2" s="1"/>
  <c r="M44" i="2" a="1"/>
  <c r="M44" i="2" s="1"/>
  <c r="M45" i="2" a="1"/>
  <c r="M45" i="2" s="1"/>
  <c r="M43" i="2" a="1"/>
  <c r="M43" i="2" s="1"/>
  <c r="M37" i="2" a="1"/>
  <c r="M37" i="2" s="1"/>
  <c r="M36" i="2" a="1"/>
  <c r="M36" i="2" s="1"/>
  <c r="M39" i="2" a="1"/>
  <c r="M39" i="2" s="1"/>
  <c r="M35" i="2" a="1"/>
  <c r="M35" i="2" s="1"/>
  <c r="M41" i="2" a="1"/>
  <c r="M41" i="2" s="1"/>
  <c r="M40" i="2" a="1"/>
  <c r="M40" i="2" s="1"/>
  <c r="M38" i="2" a="1"/>
  <c r="M38" i="2" s="1"/>
  <c r="M34" i="2" a="1"/>
  <c r="M34" i="2" s="1"/>
  <c r="M33" i="2" a="1"/>
  <c r="M33" i="2" s="1"/>
  <c r="M26" i="2" a="1"/>
  <c r="M26" i="2" s="1"/>
  <c r="M27" i="2" a="1"/>
  <c r="M27" i="2" s="1"/>
  <c r="M30" i="2" a="1"/>
  <c r="M30" i="2" s="1"/>
  <c r="M32" i="2" a="1"/>
  <c r="M32" i="2" s="1"/>
  <c r="M31" i="2" a="1"/>
  <c r="M31" i="2" s="1"/>
  <c r="M29" i="2" a="1"/>
  <c r="M29" i="2" s="1"/>
  <c r="M28" i="2" a="1"/>
  <c r="M28" i="2" s="1"/>
  <c r="M24" i="2" a="1"/>
  <c r="M24" i="2" s="1"/>
  <c r="M23" i="2" a="1"/>
  <c r="M23" i="2" s="1"/>
  <c r="M22" i="2" a="1"/>
  <c r="M22" i="2" s="1"/>
  <c r="M21" i="2" a="1"/>
  <c r="M21" i="2" s="1"/>
  <c r="M20" i="2" a="1"/>
  <c r="M20" i="2" s="1"/>
  <c r="M19" i="2" a="1"/>
  <c r="M19" i="2" s="1"/>
  <c r="M18" i="2" a="1"/>
  <c r="M18" i="2" s="1"/>
  <c r="M25" i="2" a="1"/>
  <c r="M25" i="2" s="1"/>
  <c r="M16" i="2" a="1"/>
  <c r="M16" i="2" s="1"/>
  <c r="M17" i="2" a="1"/>
  <c r="M17" i="2" s="1"/>
  <c r="M13" i="2" a="1"/>
  <c r="M13" i="2" s="1"/>
  <c r="M12" i="2" a="1"/>
  <c r="M12" i="2" s="1"/>
  <c r="M8" i="2" a="1"/>
  <c r="M8" i="2" s="1"/>
  <c r="M11" i="2" a="1"/>
  <c r="M11" i="2" s="1"/>
  <c r="M10" i="2" a="1"/>
  <c r="M10" i="2" s="1"/>
  <c r="M15" i="2" a="1"/>
  <c r="M15" i="2" s="1"/>
  <c r="M14" i="2" a="1"/>
  <c r="M14" i="2" s="1"/>
  <c r="M9" i="2" a="1"/>
  <c r="M9" i="2" s="1"/>
  <c r="M6" i="2" a="1"/>
  <c r="M6" i="2" s="1"/>
  <c r="M5" i="2" a="1"/>
  <c r="M5" i="2" s="1"/>
  <c r="M4" i="2" a="1"/>
  <c r="M4" i="2" s="1"/>
  <c r="M7" i="2" a="1"/>
  <c r="M7" i="2" s="1"/>
  <c r="BI100" i="2" a="1"/>
  <c r="BI100" i="2" s="1"/>
  <c r="BI99" i="2" a="1"/>
  <c r="BI99" i="2" s="1"/>
  <c r="BI103" i="2" a="1"/>
  <c r="BI103" i="2" s="1"/>
  <c r="BI102" i="2" a="1"/>
  <c r="BI102" i="2" s="1"/>
  <c r="BI101" i="2" a="1"/>
  <c r="BI101" i="2" s="1"/>
  <c r="BI98" i="2" a="1"/>
  <c r="BI98" i="2" s="1"/>
  <c r="BI97" i="2" a="1"/>
  <c r="BI97" i="2" s="1"/>
  <c r="BI96" i="2" a="1"/>
  <c r="BI96" i="2" s="1"/>
  <c r="BI93" i="2" a="1"/>
  <c r="BI93" i="2" s="1"/>
  <c r="BI92" i="2" a="1"/>
  <c r="BI92" i="2" s="1"/>
  <c r="BI95" i="2" a="1"/>
  <c r="BI95" i="2" s="1"/>
  <c r="BI94" i="2" a="1"/>
  <c r="BI94" i="2" s="1"/>
  <c r="BI90" i="2" a="1"/>
  <c r="BI90" i="2" s="1"/>
  <c r="BI89" i="2" a="1"/>
  <c r="BI89" i="2" s="1"/>
  <c r="BI91" i="2" a="1"/>
  <c r="BI91" i="2" s="1"/>
  <c r="BI88" i="2" a="1"/>
  <c r="BI88" i="2" s="1"/>
  <c r="BI87" i="2" a="1"/>
  <c r="BI87" i="2" s="1"/>
  <c r="BI86" i="2" a="1"/>
  <c r="BI86" i="2" s="1"/>
  <c r="BI85" i="2" a="1"/>
  <c r="BI85" i="2" s="1"/>
  <c r="BI84" i="2" a="1"/>
  <c r="BI84" i="2" s="1"/>
  <c r="BI81" i="2" a="1"/>
  <c r="BI81" i="2" s="1"/>
  <c r="BI80" i="2" a="1"/>
  <c r="BI80" i="2" s="1"/>
  <c r="BI82" i="2" a="1"/>
  <c r="BI82" i="2" s="1"/>
  <c r="BI83" i="2" a="1"/>
  <c r="BI83" i="2" s="1"/>
  <c r="BI79" i="2" a="1"/>
  <c r="BI79" i="2" s="1"/>
  <c r="BI78" i="2" a="1"/>
  <c r="BI78" i="2" s="1"/>
  <c r="BI77" i="2" a="1"/>
  <c r="BI77" i="2" s="1"/>
  <c r="BI76" i="2" a="1"/>
  <c r="BI76" i="2" s="1"/>
  <c r="BI74" i="2" a="1"/>
  <c r="BI74" i="2" s="1"/>
  <c r="BI73" i="2" a="1"/>
  <c r="BI73" i="2" s="1"/>
  <c r="BI72" i="2" a="1"/>
  <c r="BI72" i="2" s="1"/>
  <c r="BI75" i="2" a="1"/>
  <c r="BI75" i="2" s="1"/>
  <c r="BI71" i="2" a="1"/>
  <c r="BI71" i="2" s="1"/>
  <c r="BI70" i="2" a="1"/>
  <c r="BI70" i="2" s="1"/>
  <c r="BI69" i="2" a="1"/>
  <c r="BI69" i="2" s="1"/>
  <c r="BI64" i="2" a="1"/>
  <c r="BI64" i="2" s="1"/>
  <c r="BI68" i="2" a="1"/>
  <c r="BI68" i="2" s="1"/>
  <c r="BI67" i="2" a="1"/>
  <c r="BI67" i="2" s="1"/>
  <c r="BI66" i="2" a="1"/>
  <c r="BI66" i="2" s="1"/>
  <c r="BI65" i="2" a="1"/>
  <c r="BI65" i="2" s="1"/>
  <c r="BI62" i="2" a="1"/>
  <c r="BI62" i="2" s="1"/>
  <c r="BI61" i="2" a="1"/>
  <c r="BI61" i="2" s="1"/>
  <c r="BI63" i="2" a="1"/>
  <c r="BI63" i="2" s="1"/>
  <c r="BI60" i="2" a="1"/>
  <c r="BI60" i="2" s="1"/>
  <c r="BI59" i="2" a="1"/>
  <c r="BI59" i="2" s="1"/>
  <c r="BI57" i="2" a="1"/>
  <c r="BI57" i="2" s="1"/>
  <c r="BI58" i="2" a="1"/>
  <c r="BI58" i="2" s="1"/>
  <c r="BI51" i="2" a="1"/>
  <c r="BI51" i="2" s="1"/>
  <c r="BI56" i="2" a="1"/>
  <c r="BI56" i="2" s="1"/>
  <c r="BI55" i="2" a="1"/>
  <c r="BI55" i="2" s="1"/>
  <c r="BI50" i="2" a="1"/>
  <c r="BI50" i="2" s="1"/>
  <c r="BI49" i="2" a="1"/>
  <c r="BI49" i="2" s="1"/>
  <c r="BI54" i="2" a="1"/>
  <c r="BI54" i="2" s="1"/>
  <c r="BI48" i="2" a="1"/>
  <c r="BI48" i="2" s="1"/>
  <c r="BI53" i="2" a="1"/>
  <c r="BI53" i="2" s="1"/>
  <c r="BI52" i="2" a="1"/>
  <c r="BI52" i="2" s="1"/>
  <c r="BI47" i="2" a="1"/>
  <c r="BI47" i="2" s="1"/>
  <c r="BI44" i="2" a="1"/>
  <c r="BI44" i="2" s="1"/>
  <c r="BI42" i="2" a="1"/>
  <c r="BI42" i="2" s="1"/>
  <c r="BI43" i="2" a="1"/>
  <c r="BI43" i="2" s="1"/>
  <c r="BI46" i="2" a="1"/>
  <c r="BI46" i="2" s="1"/>
  <c r="BI45" i="2" a="1"/>
  <c r="BI45" i="2" s="1"/>
  <c r="BI41" i="2" a="1"/>
  <c r="BI41" i="2" s="1"/>
  <c r="BI37" i="2" a="1"/>
  <c r="BI37" i="2" s="1"/>
  <c r="BI34" i="2" a="1"/>
  <c r="BI34" i="2" s="1"/>
  <c r="BI36" i="2" a="1"/>
  <c r="BI36" i="2" s="1"/>
  <c r="BI33" i="2" a="1"/>
  <c r="BI33" i="2" s="1"/>
  <c r="BI39" i="2" a="1"/>
  <c r="BI39" i="2" s="1"/>
  <c r="BI35" i="2" a="1"/>
  <c r="BI35" i="2" s="1"/>
  <c r="BI38" i="2" a="1"/>
  <c r="BI38" i="2" s="1"/>
  <c r="BI40" i="2" a="1"/>
  <c r="BI40" i="2" s="1"/>
  <c r="BI30" i="2" a="1"/>
  <c r="BI30" i="2" s="1"/>
  <c r="BI26" i="2" a="1"/>
  <c r="BI26" i="2" s="1"/>
  <c r="BI31" i="2" a="1"/>
  <c r="BI31" i="2" s="1"/>
  <c r="BI29" i="2" a="1"/>
  <c r="BI29" i="2" s="1"/>
  <c r="BI32" i="2" a="1"/>
  <c r="BI32" i="2" s="1"/>
  <c r="BI28" i="2" a="1"/>
  <c r="BI28" i="2" s="1"/>
  <c r="BI27" i="2" a="1"/>
  <c r="BI27" i="2" s="1"/>
  <c r="BI16" i="2" a="1"/>
  <c r="BI16" i="2" s="1"/>
  <c r="BI24" i="2" a="1"/>
  <c r="BI24" i="2" s="1"/>
  <c r="BI23" i="2" a="1"/>
  <c r="BI23" i="2" s="1"/>
  <c r="BI22" i="2" a="1"/>
  <c r="BI22" i="2" s="1"/>
  <c r="BI21" i="2" a="1"/>
  <c r="BI21" i="2" s="1"/>
  <c r="BI20" i="2" a="1"/>
  <c r="BI20" i="2" s="1"/>
  <c r="BI19" i="2" a="1"/>
  <c r="BI19" i="2" s="1"/>
  <c r="BI15" i="2" a="1"/>
  <c r="BI15" i="2" s="1"/>
  <c r="BI25" i="2" a="1"/>
  <c r="BI25" i="2" s="1"/>
  <c r="BI18" i="2" a="1"/>
  <c r="BI18" i="2" s="1"/>
  <c r="BI17" i="2" a="1"/>
  <c r="BI17" i="2" s="1"/>
  <c r="BI9" i="2" a="1"/>
  <c r="BI9" i="2" s="1"/>
  <c r="BI14" i="2" a="1"/>
  <c r="BI14" i="2" s="1"/>
  <c r="BI8" i="2" a="1"/>
  <c r="BI8" i="2" s="1"/>
  <c r="BI13" i="2" a="1"/>
  <c r="BI13" i="2" s="1"/>
  <c r="BI12" i="2" a="1"/>
  <c r="BI12" i="2" s="1"/>
  <c r="BI10" i="2" a="1"/>
  <c r="BI10" i="2" s="1"/>
  <c r="BI11" i="2" a="1"/>
  <c r="BI11" i="2" s="1"/>
  <c r="BI7" i="2" a="1"/>
  <c r="BI7" i="2" s="1"/>
  <c r="BI4" i="2" a="1"/>
  <c r="BI4" i="2" s="1"/>
  <c r="BI5" i="2" a="1"/>
  <c r="BI5" i="2" s="1"/>
  <c r="BI6" i="2" a="1"/>
  <c r="BI6" i="2" s="1"/>
  <c r="CJ100" i="2" a="1"/>
  <c r="CJ100" i="2" s="1"/>
  <c r="CJ99" i="2" a="1"/>
  <c r="CJ99" i="2" s="1"/>
  <c r="CJ103" i="2" a="1"/>
  <c r="CJ103" i="2" s="1"/>
  <c r="CJ102" i="2" a="1"/>
  <c r="CJ102" i="2" s="1"/>
  <c r="CJ101" i="2" a="1"/>
  <c r="CJ101" i="2" s="1"/>
  <c r="CJ97" i="2" a="1"/>
  <c r="CJ97" i="2" s="1"/>
  <c r="CJ98" i="2" a="1"/>
  <c r="CJ98" i="2" s="1"/>
  <c r="CJ96" i="2" a="1"/>
  <c r="CJ96" i="2" s="1"/>
  <c r="CJ93" i="2" a="1"/>
  <c r="CJ93" i="2" s="1"/>
  <c r="CJ95" i="2" a="1"/>
  <c r="CJ95" i="2" s="1"/>
  <c r="CJ92" i="2" a="1"/>
  <c r="CJ92" i="2" s="1"/>
  <c r="CJ94" i="2" a="1"/>
  <c r="CJ94" i="2" s="1"/>
  <c r="CJ90" i="2" a="1"/>
  <c r="CJ90" i="2" s="1"/>
  <c r="CJ89" i="2" a="1"/>
  <c r="CJ89" i="2" s="1"/>
  <c r="CJ91" i="2" a="1"/>
  <c r="CJ91" i="2" s="1"/>
  <c r="CJ88" i="2" a="1"/>
  <c r="CJ88" i="2" s="1"/>
  <c r="CJ87" i="2" a="1"/>
  <c r="CJ87" i="2" s="1"/>
  <c r="CJ86" i="2" a="1"/>
  <c r="CJ86" i="2" s="1"/>
  <c r="CJ85" i="2" a="1"/>
  <c r="CJ85" i="2" s="1"/>
  <c r="CJ84" i="2" a="1"/>
  <c r="CJ84" i="2" s="1"/>
  <c r="CJ83" i="2" a="1"/>
  <c r="CJ83" i="2" s="1"/>
  <c r="CJ81" i="2" a="1"/>
  <c r="CJ81" i="2" s="1"/>
  <c r="CJ80" i="2" a="1"/>
  <c r="CJ80" i="2" s="1"/>
  <c r="CJ82" i="2" a="1"/>
  <c r="CJ82" i="2" s="1"/>
  <c r="CJ79" i="2" a="1"/>
  <c r="CJ79" i="2" s="1"/>
  <c r="CJ77" i="2" a="1"/>
  <c r="CJ77" i="2" s="1"/>
  <c r="CJ76" i="2" a="1"/>
  <c r="CJ76" i="2" s="1"/>
  <c r="CJ78" i="2" a="1"/>
  <c r="CJ78" i="2" s="1"/>
  <c r="CJ72" i="2" a="1"/>
  <c r="CJ72" i="2" s="1"/>
  <c r="CJ73" i="2" a="1"/>
  <c r="CJ73" i="2" s="1"/>
  <c r="CJ74" i="2" a="1"/>
  <c r="CJ74" i="2" s="1"/>
  <c r="CJ75" i="2" a="1"/>
  <c r="CJ75" i="2" s="1"/>
  <c r="CJ71" i="2" a="1"/>
  <c r="CJ71" i="2" s="1"/>
  <c r="CJ70" i="2" a="1"/>
  <c r="CJ70" i="2" s="1"/>
  <c r="CJ69" i="2" a="1"/>
  <c r="CJ69" i="2" s="1"/>
  <c r="CJ68" i="2" a="1"/>
  <c r="CJ68" i="2" s="1"/>
  <c r="CJ63" i="2" a="1"/>
  <c r="CJ63" i="2" s="1"/>
  <c r="CJ64" i="2" a="1"/>
  <c r="CJ64" i="2" s="1"/>
  <c r="CJ66" i="2" a="1"/>
  <c r="CJ66" i="2" s="1"/>
  <c r="CJ67" i="2" a="1"/>
  <c r="CJ67" i="2" s="1"/>
  <c r="CJ65" i="2" a="1"/>
  <c r="CJ65" i="2" s="1"/>
  <c r="CJ62" i="2" a="1"/>
  <c r="CJ62" i="2" s="1"/>
  <c r="CJ61" i="2" a="1"/>
  <c r="CJ61" i="2" s="1"/>
  <c r="CJ60" i="2" a="1"/>
  <c r="CJ60" i="2" s="1"/>
  <c r="CJ59" i="2" a="1"/>
  <c r="CJ59" i="2" s="1"/>
  <c r="CJ57" i="2" a="1"/>
  <c r="CJ57" i="2" s="1"/>
  <c r="CJ56" i="2" a="1"/>
  <c r="CJ56" i="2" s="1"/>
  <c r="CJ58" i="2" a="1"/>
  <c r="CJ58" i="2" s="1"/>
  <c r="CJ55" i="2" a="1"/>
  <c r="CJ55" i="2" s="1"/>
  <c r="CJ51" i="2" a="1"/>
  <c r="CJ51" i="2" s="1"/>
  <c r="CJ50" i="2" a="1"/>
  <c r="CJ50" i="2" s="1"/>
  <c r="CJ49" i="2" a="1"/>
  <c r="CJ49" i="2" s="1"/>
  <c r="CJ52" i="2" a="1"/>
  <c r="CJ52" i="2" s="1"/>
  <c r="CJ48" i="2" a="1"/>
  <c r="CJ48" i="2" s="1"/>
  <c r="CJ54" i="2" a="1"/>
  <c r="CJ54" i="2" s="1"/>
  <c r="CJ53" i="2" a="1"/>
  <c r="CJ53" i="2" s="1"/>
  <c r="CJ47" i="2" a="1"/>
  <c r="CJ47" i="2" s="1"/>
  <c r="CJ44" i="2" a="1"/>
  <c r="CJ44" i="2" s="1"/>
  <c r="CJ43" i="2" a="1"/>
  <c r="CJ43" i="2" s="1"/>
  <c r="CJ46" i="2" a="1"/>
  <c r="CJ46" i="2" s="1"/>
  <c r="CJ42" i="2" a="1"/>
  <c r="CJ42" i="2" s="1"/>
  <c r="CJ45" i="2" a="1"/>
  <c r="CJ45" i="2" s="1"/>
  <c r="CJ41" i="2" a="1"/>
  <c r="CJ41" i="2" s="1"/>
  <c r="CJ34" i="2" a="1"/>
  <c r="CJ34" i="2" s="1"/>
  <c r="CJ36" i="2" a="1"/>
  <c r="CJ36" i="2" s="1"/>
  <c r="CJ39" i="2" a="1"/>
  <c r="CJ39" i="2" s="1"/>
  <c r="CJ35" i="2" a="1"/>
  <c r="CJ35" i="2" s="1"/>
  <c r="CJ40" i="2" a="1"/>
  <c r="CJ40" i="2" s="1"/>
  <c r="CJ38" i="2" a="1"/>
  <c r="CJ38" i="2" s="1"/>
  <c r="CJ37" i="2" a="1"/>
  <c r="CJ37" i="2" s="1"/>
  <c r="CJ31" i="2" a="1"/>
  <c r="CJ31" i="2" s="1"/>
  <c r="CJ30" i="2" a="1"/>
  <c r="CJ30" i="2" s="1"/>
  <c r="CJ33" i="2" a="1"/>
  <c r="CJ33" i="2" s="1"/>
  <c r="CJ29" i="2" a="1"/>
  <c r="CJ29" i="2" s="1"/>
  <c r="CJ28" i="2" a="1"/>
  <c r="CJ28" i="2" s="1"/>
  <c r="CJ32" i="2" a="1"/>
  <c r="CJ32" i="2" s="1"/>
  <c r="CJ27" i="2" a="1"/>
  <c r="CJ27" i="2" s="1"/>
  <c r="CJ26" i="2" a="1"/>
  <c r="CJ26" i="2" s="1"/>
  <c r="CJ15" i="2" a="1"/>
  <c r="CJ15" i="2" s="1"/>
  <c r="CJ25" i="2" a="1"/>
  <c r="CJ25" i="2" s="1"/>
  <c r="CJ17" i="2" a="1"/>
  <c r="CJ17" i="2" s="1"/>
  <c r="CJ16" i="2" a="1"/>
  <c r="CJ16" i="2" s="1"/>
  <c r="CJ24" i="2" a="1"/>
  <c r="CJ24" i="2" s="1"/>
  <c r="CJ23" i="2" a="1"/>
  <c r="CJ23" i="2" s="1"/>
  <c r="CJ22" i="2" a="1"/>
  <c r="CJ22" i="2" s="1"/>
  <c r="CJ21" i="2" a="1"/>
  <c r="CJ21" i="2" s="1"/>
  <c r="CJ20" i="2" a="1"/>
  <c r="CJ20" i="2" s="1"/>
  <c r="CJ19" i="2" a="1"/>
  <c r="CJ19" i="2" s="1"/>
  <c r="CJ18" i="2" a="1"/>
  <c r="CJ18" i="2" s="1"/>
  <c r="CJ14" i="2" a="1"/>
  <c r="CJ14" i="2" s="1"/>
  <c r="CJ13" i="2" a="1"/>
  <c r="CJ13" i="2" s="1"/>
  <c r="CJ8" i="2" a="1"/>
  <c r="CJ8" i="2" s="1"/>
  <c r="CJ12" i="2" a="1"/>
  <c r="CJ12" i="2" s="1"/>
  <c r="CJ10" i="2" a="1"/>
  <c r="CJ10" i="2" s="1"/>
  <c r="CJ11" i="2" a="1"/>
  <c r="CJ11" i="2" s="1"/>
  <c r="CJ9" i="2" a="1"/>
  <c r="CJ9" i="2" s="1"/>
  <c r="CJ5" i="2" a="1"/>
  <c r="CJ5" i="2" s="1"/>
  <c r="CJ7" i="2" a="1"/>
  <c r="CJ7" i="2" s="1"/>
  <c r="CJ6" i="2" a="1"/>
  <c r="CJ6" i="2" s="1"/>
  <c r="CJ4" i="2" a="1"/>
  <c r="CJ4" i="2" s="1"/>
  <c r="D101" i="2" a="1"/>
  <c r="D101" i="2" s="1"/>
  <c r="D103" i="2" a="1"/>
  <c r="D103" i="2" s="1"/>
  <c r="D102" i="2" a="1"/>
  <c r="D102" i="2" s="1"/>
  <c r="D100" i="2" a="1"/>
  <c r="D100" i="2" s="1"/>
  <c r="D96" i="2" a="1"/>
  <c r="D96" i="2" s="1"/>
  <c r="D99" i="2" a="1"/>
  <c r="D99" i="2" s="1"/>
  <c r="D97" i="2" a="1"/>
  <c r="D97" i="2" s="1"/>
  <c r="D98" i="2" a="1"/>
  <c r="D98" i="2" s="1"/>
  <c r="D92" i="2" a="1"/>
  <c r="D92" i="2" s="1"/>
  <c r="D95" i="2" a="1"/>
  <c r="D95" i="2" s="1"/>
  <c r="D94" i="2" a="1"/>
  <c r="D94" i="2" s="1"/>
  <c r="D93" i="2" a="1"/>
  <c r="D93" i="2" s="1"/>
  <c r="D91" i="2" a="1"/>
  <c r="D91" i="2" s="1"/>
  <c r="D90" i="2" a="1"/>
  <c r="D90" i="2" s="1"/>
  <c r="D89" i="2" a="1"/>
  <c r="D89" i="2" s="1"/>
  <c r="D87" i="2" a="1"/>
  <c r="D87" i="2" s="1"/>
  <c r="D86" i="2" a="1"/>
  <c r="D86" i="2" s="1"/>
  <c r="D84" i="2" a="1"/>
  <c r="D84" i="2" s="1"/>
  <c r="D88" i="2" a="1"/>
  <c r="D88" i="2" s="1"/>
  <c r="D85" i="2" a="1"/>
  <c r="D85" i="2" s="1"/>
  <c r="D80" i="2" a="1"/>
  <c r="D80" i="2" s="1"/>
  <c r="D83" i="2" a="1"/>
  <c r="D83" i="2" s="1"/>
  <c r="D82" i="2" a="1"/>
  <c r="D82" i="2" s="1"/>
  <c r="D81" i="2" a="1"/>
  <c r="D81" i="2" s="1"/>
  <c r="D77" i="2" a="1"/>
  <c r="D77" i="2" s="1"/>
  <c r="D78" i="2" a="1"/>
  <c r="D78" i="2" s="1"/>
  <c r="D79" i="2" a="1"/>
  <c r="D79" i="2" s="1"/>
  <c r="D75" i="2" a="1"/>
  <c r="D75" i="2" s="1"/>
  <c r="D72" i="2" a="1"/>
  <c r="D72" i="2" s="1"/>
  <c r="D74" i="2" a="1"/>
  <c r="D74" i="2" s="1"/>
  <c r="D76" i="2" a="1"/>
  <c r="D76" i="2" s="1"/>
  <c r="D73" i="2" a="1"/>
  <c r="D73" i="2" s="1"/>
  <c r="D70" i="2" a="1"/>
  <c r="D70" i="2" s="1"/>
  <c r="D69" i="2" a="1"/>
  <c r="D69" i="2" s="1"/>
  <c r="D71" i="2" a="1"/>
  <c r="D71" i="2" s="1"/>
  <c r="D66" i="2" a="1"/>
  <c r="D66" i="2" s="1"/>
  <c r="D64" i="2" a="1"/>
  <c r="D64" i="2" s="1"/>
  <c r="D67" i="2" a="1"/>
  <c r="D67" i="2" s="1"/>
  <c r="D68" i="2" a="1"/>
  <c r="D68" i="2" s="1"/>
  <c r="D65" i="2" a="1"/>
  <c r="D65" i="2" s="1"/>
  <c r="D62" i="2" a="1"/>
  <c r="D62" i="2" s="1"/>
  <c r="D61" i="2" a="1"/>
  <c r="D61" i="2" s="1"/>
  <c r="D63" i="2" a="1"/>
  <c r="D63" i="2" s="1"/>
  <c r="D57" i="2" a="1"/>
  <c r="D57" i="2" s="1"/>
  <c r="D59" i="2" a="1"/>
  <c r="D59" i="2" s="1"/>
  <c r="D58" i="2" a="1"/>
  <c r="D58" i="2" s="1"/>
  <c r="D60" i="2" a="1"/>
  <c r="D60" i="2" s="1"/>
  <c r="D51" i="2" a="1"/>
  <c r="D51" i="2" s="1"/>
  <c r="D50" i="2" a="1"/>
  <c r="D50" i="2" s="1"/>
  <c r="D53" i="2" a="1"/>
  <c r="D53" i="2" s="1"/>
  <c r="D49" i="2" a="1"/>
  <c r="D49" i="2" s="1"/>
  <c r="D56" i="2" a="1"/>
  <c r="D56" i="2" s="1"/>
  <c r="D55" i="2" a="1"/>
  <c r="D55" i="2" s="1"/>
  <c r="D48" i="2" a="1"/>
  <c r="D48" i="2" s="1"/>
  <c r="D54" i="2" a="1"/>
  <c r="D54" i="2" s="1"/>
  <c r="D52" i="2" a="1"/>
  <c r="D52" i="2" s="1"/>
  <c r="D46" i="2" a="1"/>
  <c r="D46" i="2" s="1"/>
  <c r="D47" i="2" a="1"/>
  <c r="D47" i="2" s="1"/>
  <c r="D42" i="2" a="1"/>
  <c r="D42" i="2" s="1"/>
  <c r="D44" i="2" a="1"/>
  <c r="D44" i="2" s="1"/>
  <c r="D45" i="2" a="1"/>
  <c r="D45" i="2" s="1"/>
  <c r="D43" i="2" a="1"/>
  <c r="D43" i="2" s="1"/>
  <c r="D37" i="2" a="1"/>
  <c r="D37" i="2" s="1"/>
  <c r="D36" i="2" a="1"/>
  <c r="D36" i="2" s="1"/>
  <c r="D40" i="2" a="1"/>
  <c r="D40" i="2" s="1"/>
  <c r="D39" i="2" a="1"/>
  <c r="D39" i="2" s="1"/>
  <c r="D35" i="2" a="1"/>
  <c r="D35" i="2" s="1"/>
  <c r="D41" i="2" a="1"/>
  <c r="D41" i="2" s="1"/>
  <c r="D38" i="2" a="1"/>
  <c r="D38" i="2" s="1"/>
  <c r="D34" i="2" a="1"/>
  <c r="D34" i="2" s="1"/>
  <c r="D27" i="2" a="1"/>
  <c r="D27" i="2" s="1"/>
  <c r="D31" i="2" a="1"/>
  <c r="D31" i="2" s="1"/>
  <c r="D30" i="2" a="1"/>
  <c r="D30" i="2" s="1"/>
  <c r="D32" i="2" a="1"/>
  <c r="D32" i="2" s="1"/>
  <c r="D29" i="2" a="1"/>
  <c r="D29" i="2" s="1"/>
  <c r="D33" i="2" a="1"/>
  <c r="D33" i="2" s="1"/>
  <c r="D28" i="2" a="1"/>
  <c r="D28" i="2" s="1"/>
  <c r="D26" i="2" a="1"/>
  <c r="D26" i="2" s="1"/>
  <c r="D18" i="2" a="1"/>
  <c r="D18" i="2" s="1"/>
  <c r="D25" i="2" a="1"/>
  <c r="D25" i="2" s="1"/>
  <c r="D17" i="2" a="1"/>
  <c r="D17" i="2" s="1"/>
  <c r="D16" i="2" a="1"/>
  <c r="D16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9" i="2" a="1"/>
  <c r="D19" i="2" s="1"/>
  <c r="D9" i="2" a="1"/>
  <c r="D9" i="2" s="1"/>
  <c r="D13" i="2" a="1"/>
  <c r="D13" i="2" s="1"/>
  <c r="D12" i="2" a="1"/>
  <c r="D12" i="2" s="1"/>
  <c r="D10" i="2" a="1"/>
  <c r="D10" i="2" s="1"/>
  <c r="D15" i="2" a="1"/>
  <c r="D15" i="2" s="1"/>
  <c r="D11" i="2" a="1"/>
  <c r="D11" i="2" s="1"/>
  <c r="D14" i="2" a="1"/>
  <c r="D14" i="2" s="1"/>
  <c r="D7" i="2" a="1"/>
  <c r="D7" i="2" s="1"/>
  <c r="D6" i="2" a="1"/>
  <c r="D6" i="2" s="1"/>
  <c r="D5" i="2" a="1"/>
  <c r="D5" i="2" s="1"/>
  <c r="D8" i="2" a="1"/>
  <c r="D8" i="2" s="1"/>
  <c r="D4" i="2" a="1"/>
  <c r="D4" i="2" s="1"/>
  <c r="P100" i="2" a="1"/>
  <c r="P100" i="2" s="1"/>
  <c r="P103" i="2" a="1"/>
  <c r="P103" i="2" s="1"/>
  <c r="P102" i="2" a="1"/>
  <c r="P102" i="2" s="1"/>
  <c r="P101" i="2" a="1"/>
  <c r="P101" i="2" s="1"/>
  <c r="P97" i="2" a="1"/>
  <c r="P97" i="2" s="1"/>
  <c r="P98" i="2" a="1"/>
  <c r="P98" i="2" s="1"/>
  <c r="P96" i="2" a="1"/>
  <c r="P96" i="2" s="1"/>
  <c r="P99" i="2" a="1"/>
  <c r="P99" i="2" s="1"/>
  <c r="P95" i="2" a="1"/>
  <c r="P95" i="2" s="1"/>
  <c r="P94" i="2" a="1"/>
  <c r="P94" i="2" s="1"/>
  <c r="P93" i="2" a="1"/>
  <c r="P93" i="2" s="1"/>
  <c r="P92" i="2" a="1"/>
  <c r="P92" i="2" s="1"/>
  <c r="P91" i="2" a="1"/>
  <c r="P91" i="2" s="1"/>
  <c r="P90" i="2" a="1"/>
  <c r="P90" i="2" s="1"/>
  <c r="P89" i="2" a="1"/>
  <c r="P89" i="2" s="1"/>
  <c r="P88" i="2" a="1"/>
  <c r="P88" i="2" s="1"/>
  <c r="P86" i="2" a="1"/>
  <c r="P86" i="2" s="1"/>
  <c r="P84" i="2" a="1"/>
  <c r="P84" i="2" s="1"/>
  <c r="P85" i="2" a="1"/>
  <c r="P85" i="2" s="1"/>
  <c r="P87" i="2" a="1"/>
  <c r="P87" i="2" s="1"/>
  <c r="P83" i="2" a="1"/>
  <c r="P83" i="2" s="1"/>
  <c r="P82" i="2" a="1"/>
  <c r="P82" i="2" s="1"/>
  <c r="P81" i="2" a="1"/>
  <c r="P81" i="2" s="1"/>
  <c r="P80" i="2" a="1"/>
  <c r="P80" i="2" s="1"/>
  <c r="P78" i="2" a="1"/>
  <c r="P78" i="2" s="1"/>
  <c r="P79" i="2" a="1"/>
  <c r="P79" i="2" s="1"/>
  <c r="P77" i="2" a="1"/>
  <c r="P77" i="2" s="1"/>
  <c r="P74" i="2" a="1"/>
  <c r="P74" i="2" s="1"/>
  <c r="P75" i="2" a="1"/>
  <c r="P75" i="2" s="1"/>
  <c r="P73" i="2" a="1"/>
  <c r="P73" i="2" s="1"/>
  <c r="P76" i="2" a="1"/>
  <c r="P76" i="2" s="1"/>
  <c r="P68" i="2" a="1"/>
  <c r="P68" i="2" s="1"/>
  <c r="P71" i="2" a="1"/>
  <c r="P71" i="2" s="1"/>
  <c r="P72" i="2" a="1"/>
  <c r="P72" i="2" s="1"/>
  <c r="P70" i="2" a="1"/>
  <c r="P70" i="2" s="1"/>
  <c r="P69" i="2" a="1"/>
  <c r="P69" i="2" s="1"/>
  <c r="P67" i="2" a="1"/>
  <c r="P67" i="2" s="1"/>
  <c r="P64" i="2" a="1"/>
  <c r="P64" i="2" s="1"/>
  <c r="P65" i="2" a="1"/>
  <c r="P65" i="2" s="1"/>
  <c r="P66" i="2" a="1"/>
  <c r="P66" i="2" s="1"/>
  <c r="P60" i="2" a="1"/>
  <c r="P60" i="2" s="1"/>
  <c r="P63" i="2" a="1"/>
  <c r="P63" i="2" s="1"/>
  <c r="P62" i="2" a="1"/>
  <c r="P62" i="2" s="1"/>
  <c r="P61" i="2" a="1"/>
  <c r="P61" i="2" s="1"/>
  <c r="P59" i="2" a="1"/>
  <c r="P59" i="2" s="1"/>
  <c r="P58" i="2" a="1"/>
  <c r="P58" i="2" s="1"/>
  <c r="P57" i="2" a="1"/>
  <c r="P57" i="2" s="1"/>
  <c r="P53" i="2" a="1"/>
  <c r="P53" i="2" s="1"/>
  <c r="P50" i="2" a="1"/>
  <c r="P50" i="2" s="1"/>
  <c r="P55" i="2" a="1"/>
  <c r="P55" i="2" s="1"/>
  <c r="P49" i="2" a="1"/>
  <c r="P49" i="2" s="1"/>
  <c r="P56" i="2" a="1"/>
  <c r="P56" i="2" s="1"/>
  <c r="P54" i="2" a="1"/>
  <c r="P54" i="2" s="1"/>
  <c r="P52" i="2" a="1"/>
  <c r="P52" i="2" s="1"/>
  <c r="P51" i="2" a="1"/>
  <c r="P51" i="2" s="1"/>
  <c r="P48" i="2" a="1"/>
  <c r="P48" i="2" s="1"/>
  <c r="P42" i="2" a="1"/>
  <c r="P42" i="2" s="1"/>
  <c r="P44" i="2" a="1"/>
  <c r="P44" i="2" s="1"/>
  <c r="P45" i="2" a="1"/>
  <c r="P45" i="2" s="1"/>
  <c r="P43" i="2" a="1"/>
  <c r="P43" i="2" s="1"/>
  <c r="P46" i="2" a="1"/>
  <c r="P46" i="2" s="1"/>
  <c r="P41" i="2" a="1"/>
  <c r="P41" i="2" s="1"/>
  <c r="P47" i="2" a="1"/>
  <c r="P47" i="2" s="1"/>
  <c r="P36" i="2" a="1"/>
  <c r="P36" i="2" s="1"/>
  <c r="P39" i="2" a="1"/>
  <c r="P39" i="2" s="1"/>
  <c r="P35" i="2" a="1"/>
  <c r="P35" i="2" s="1"/>
  <c r="P40" i="2" a="1"/>
  <c r="P40" i="2" s="1"/>
  <c r="P38" i="2" a="1"/>
  <c r="P38" i="2" s="1"/>
  <c r="P34" i="2" a="1"/>
  <c r="P34" i="2" s="1"/>
  <c r="P37" i="2" a="1"/>
  <c r="P37" i="2" s="1"/>
  <c r="P31" i="2" a="1"/>
  <c r="P31" i="2" s="1"/>
  <c r="P30" i="2" a="1"/>
  <c r="P30" i="2" s="1"/>
  <c r="P32" i="2" a="1"/>
  <c r="P32" i="2" s="1"/>
  <c r="P29" i="2" a="1"/>
  <c r="P29" i="2" s="1"/>
  <c r="P33" i="2" a="1"/>
  <c r="P33" i="2" s="1"/>
  <c r="P28" i="2" a="1"/>
  <c r="P28" i="2" s="1"/>
  <c r="P27" i="2" a="1"/>
  <c r="P27" i="2" s="1"/>
  <c r="P26" i="2" a="1"/>
  <c r="P26" i="2" s="1"/>
  <c r="P25" i="2" a="1"/>
  <c r="P25" i="2" s="1"/>
  <c r="P16" i="2" a="1"/>
  <c r="P16" i="2" s="1"/>
  <c r="P17" i="2" a="1"/>
  <c r="P17" i="2" s="1"/>
  <c r="P24" i="2" a="1"/>
  <c r="P24" i="2" s="1"/>
  <c r="P23" i="2" a="1"/>
  <c r="P23" i="2" s="1"/>
  <c r="P22" i="2" a="1"/>
  <c r="P22" i="2" s="1"/>
  <c r="P21" i="2" a="1"/>
  <c r="P21" i="2" s="1"/>
  <c r="P20" i="2" a="1"/>
  <c r="P20" i="2" s="1"/>
  <c r="P19" i="2" a="1"/>
  <c r="P19" i="2" s="1"/>
  <c r="P18" i="2" a="1"/>
  <c r="P18" i="2" s="1"/>
  <c r="P12" i="2" a="1"/>
  <c r="P12" i="2" s="1"/>
  <c r="P10" i="2" a="1"/>
  <c r="P10" i="2" s="1"/>
  <c r="P11" i="2" a="1"/>
  <c r="P11" i="2" s="1"/>
  <c r="P15" i="2" a="1"/>
  <c r="P15" i="2" s="1"/>
  <c r="P14" i="2" a="1"/>
  <c r="P14" i="2" s="1"/>
  <c r="P9" i="2" a="1"/>
  <c r="P9" i="2" s="1"/>
  <c r="P13" i="2" a="1"/>
  <c r="P13" i="2" s="1"/>
  <c r="P6" i="2" a="1"/>
  <c r="P6" i="2" s="1"/>
  <c r="P8" i="2" a="1"/>
  <c r="P8" i="2" s="1"/>
  <c r="P5" i="2" a="1"/>
  <c r="P5" i="2" s="1"/>
  <c r="P4" i="2" a="1"/>
  <c r="P4" i="2" s="1"/>
  <c r="P7" i="2" a="1"/>
  <c r="P7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6" i="2" a="1"/>
  <c r="AB96" i="2" s="1"/>
  <c r="AB97" i="2" a="1"/>
  <c r="AB97" i="2" s="1"/>
  <c r="AB98" i="2" a="1"/>
  <c r="AB98" i="2" s="1"/>
  <c r="AB93" i="2" a="1"/>
  <c r="AB93" i="2" s="1"/>
  <c r="AB92" i="2" a="1"/>
  <c r="AB92" i="2" s="1"/>
  <c r="AB95" i="2" a="1"/>
  <c r="AB95" i="2" s="1"/>
  <c r="AB94" i="2" a="1"/>
  <c r="AB94" i="2" s="1"/>
  <c r="AB90" i="2" a="1"/>
  <c r="AB90" i="2" s="1"/>
  <c r="AB89" i="2" a="1"/>
  <c r="AB89" i="2" s="1"/>
  <c r="AB88" i="2" a="1"/>
  <c r="AB88" i="2" s="1"/>
  <c r="AB91" i="2" a="1"/>
  <c r="AB91" i="2" s="1"/>
  <c r="AB85" i="2" a="1"/>
  <c r="AB85" i="2" s="1"/>
  <c r="AB87" i="2" a="1"/>
  <c r="AB87" i="2" s="1"/>
  <c r="AB86" i="2" a="1"/>
  <c r="AB86" i="2" s="1"/>
  <c r="AB83" i="2" a="1"/>
  <c r="AB83" i="2" s="1"/>
  <c r="AB81" i="2" a="1"/>
  <c r="AB81" i="2" s="1"/>
  <c r="AB82" i="2" a="1"/>
  <c r="AB82" i="2" s="1"/>
  <c r="AB84" i="2" a="1"/>
  <c r="AB84" i="2" s="1"/>
  <c r="AB79" i="2" a="1"/>
  <c r="AB79" i="2" s="1"/>
  <c r="AB77" i="2" a="1"/>
  <c r="AB77" i="2" s="1"/>
  <c r="AB80" i="2" a="1"/>
  <c r="AB80" i="2" s="1"/>
  <c r="AB78" i="2" a="1"/>
  <c r="AB78" i="2" s="1"/>
  <c r="AB76" i="2" a="1"/>
  <c r="AB76" i="2" s="1"/>
  <c r="AB74" i="2" a="1"/>
  <c r="AB74" i="2" s="1"/>
  <c r="AB75" i="2" a="1"/>
  <c r="AB75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5" i="2" a="1"/>
  <c r="AB65" i="2" s="1"/>
  <c r="AB66" i="2" a="1"/>
  <c r="AB66" i="2" s="1"/>
  <c r="AB67" i="2" a="1"/>
  <c r="AB67" i="2" s="1"/>
  <c r="AB64" i="2" a="1"/>
  <c r="AB64" i="2" s="1"/>
  <c r="AB60" i="2" a="1"/>
  <c r="AB60" i="2" s="1"/>
  <c r="AB63" i="2" a="1"/>
  <c r="AB63" i="2" s="1"/>
  <c r="AB62" i="2" a="1"/>
  <c r="AB62" i="2" s="1"/>
  <c r="AB61" i="2" a="1"/>
  <c r="AB61" i="2" s="1"/>
  <c r="AB57" i="2" a="1"/>
  <c r="AB57" i="2" s="1"/>
  <c r="AB59" i="2" a="1"/>
  <c r="AB59" i="2" s="1"/>
  <c r="AB58" i="2" a="1"/>
  <c r="AB58" i="2" s="1"/>
  <c r="AB54" i="2" a="1"/>
  <c r="AB54" i="2" s="1"/>
  <c r="AB52" i="2" a="1"/>
  <c r="AB52" i="2" s="1"/>
  <c r="AB53" i="2" a="1"/>
  <c r="AB53" i="2" s="1"/>
  <c r="AB51" i="2" a="1"/>
  <c r="AB51" i="2" s="1"/>
  <c r="AB50" i="2" a="1"/>
  <c r="AB50" i="2" s="1"/>
  <c r="AB56" i="2" a="1"/>
  <c r="AB56" i="2" s="1"/>
  <c r="AB55" i="2" a="1"/>
  <c r="AB55" i="2" s="1"/>
  <c r="AB49" i="2" a="1"/>
  <c r="AB49" i="2" s="1"/>
  <c r="AB48" i="2" a="1"/>
  <c r="AB48" i="2" s="1"/>
  <c r="AB44" i="2" a="1"/>
  <c r="AB44" i="2" s="1"/>
  <c r="AB42" i="2" a="1"/>
  <c r="AB42" i="2" s="1"/>
  <c r="AB46" i="2" a="1"/>
  <c r="AB46" i="2" s="1"/>
  <c r="AB43" i="2" a="1"/>
  <c r="AB43" i="2" s="1"/>
  <c r="AB45" i="2" a="1"/>
  <c r="AB45" i="2" s="1"/>
  <c r="AB41" i="2" a="1"/>
  <c r="AB41" i="2" s="1"/>
  <c r="AB47" i="2" a="1"/>
  <c r="AB47" i="2" s="1"/>
  <c r="AB34" i="2" a="1"/>
  <c r="AB34" i="2" s="1"/>
  <c r="AB33" i="2" a="1"/>
  <c r="AB33" i="2" s="1"/>
  <c r="AB37" i="2" a="1"/>
  <c r="AB37" i="2" s="1"/>
  <c r="AB40" i="2" a="1"/>
  <c r="AB40" i="2" s="1"/>
  <c r="AB36" i="2" a="1"/>
  <c r="AB36" i="2" s="1"/>
  <c r="AB39" i="2" a="1"/>
  <c r="AB39" i="2" s="1"/>
  <c r="AB35" i="2" a="1"/>
  <c r="AB35" i="2" s="1"/>
  <c r="AB38" i="2" a="1"/>
  <c r="AB38" i="2" s="1"/>
  <c r="AB32" i="2" a="1"/>
  <c r="AB32" i="2" s="1"/>
  <c r="AB29" i="2" a="1"/>
  <c r="AB29" i="2" s="1"/>
  <c r="AB28" i="2" a="1"/>
  <c r="AB28" i="2" s="1"/>
  <c r="AB27" i="2" a="1"/>
  <c r="AB27" i="2" s="1"/>
  <c r="AB30" i="2" a="1"/>
  <c r="AB30" i="2" s="1"/>
  <c r="AB31" i="2" a="1"/>
  <c r="AB31" i="2" s="1"/>
  <c r="AB26" i="2" a="1"/>
  <c r="AB26" i="2" s="1"/>
  <c r="AB25" i="2" a="1"/>
  <c r="AB25" i="2" s="1"/>
  <c r="AB17" i="2" a="1"/>
  <c r="AB17" i="2" s="1"/>
  <c r="AB18" i="2" a="1"/>
  <c r="AB18" i="2" s="1"/>
  <c r="AB24" i="2" a="1"/>
  <c r="AB24" i="2" s="1"/>
  <c r="AB23" i="2" a="1"/>
  <c r="AB23" i="2" s="1"/>
  <c r="AB22" i="2" a="1"/>
  <c r="AB22" i="2" s="1"/>
  <c r="AB21" i="2" a="1"/>
  <c r="AB21" i="2" s="1"/>
  <c r="AB20" i="2" a="1"/>
  <c r="AB20" i="2" s="1"/>
  <c r="AB19" i="2" a="1"/>
  <c r="AB19" i="2" s="1"/>
  <c r="AB16" i="2" a="1"/>
  <c r="AB16" i="2" s="1"/>
  <c r="AB15" i="2" a="1"/>
  <c r="AB15" i="2" s="1"/>
  <c r="AB14" i="2" a="1"/>
  <c r="AB14" i="2" s="1"/>
  <c r="AB9" i="2" a="1"/>
  <c r="AB9" i="2" s="1"/>
  <c r="AB13" i="2" a="1"/>
  <c r="AB13" i="2" s="1"/>
  <c r="AB12" i="2" a="1"/>
  <c r="AB12" i="2" s="1"/>
  <c r="AB11" i="2" a="1"/>
  <c r="AB11" i="2" s="1"/>
  <c r="AB8" i="2" a="1"/>
  <c r="AB8" i="2" s="1"/>
  <c r="AB10" i="2" a="1"/>
  <c r="AB10" i="2" s="1"/>
  <c r="AB5" i="2" a="1"/>
  <c r="AB5" i="2" s="1"/>
  <c r="AB7" i="2" a="1"/>
  <c r="AB7" i="2" s="1"/>
  <c r="AB4" i="2" a="1"/>
  <c r="AB4" i="2" s="1"/>
  <c r="AB6" i="2" a="1"/>
  <c r="AB6" i="2" s="1"/>
  <c r="AN103" i="2" a="1"/>
  <c r="AN103" i="2" s="1"/>
  <c r="AN102" i="2" a="1"/>
  <c r="AN102" i="2" s="1"/>
  <c r="AN100" i="2" a="1"/>
  <c r="AN100" i="2" s="1"/>
  <c r="AN101" i="2" a="1"/>
  <c r="AN101" i="2" s="1"/>
  <c r="AN99" i="2" a="1"/>
  <c r="AN99" i="2" s="1"/>
  <c r="AN97" i="2" a="1"/>
  <c r="AN97" i="2" s="1"/>
  <c r="AN98" i="2" a="1"/>
  <c r="AN98" i="2" s="1"/>
  <c r="AN96" i="2" a="1"/>
  <c r="AN96" i="2" s="1"/>
  <c r="AN94" i="2" a="1"/>
  <c r="AN94" i="2" s="1"/>
  <c r="AN95" i="2" a="1"/>
  <c r="AN95" i="2" s="1"/>
  <c r="AN93" i="2" a="1"/>
  <c r="AN93" i="2" s="1"/>
  <c r="AN92" i="2" a="1"/>
  <c r="AN92" i="2" s="1"/>
  <c r="AN88" i="2" a="1"/>
  <c r="AN88" i="2" s="1"/>
  <c r="AN91" i="2" a="1"/>
  <c r="AN91" i="2" s="1"/>
  <c r="AN90" i="2" a="1"/>
  <c r="AN90" i="2" s="1"/>
  <c r="AN89" i="2" a="1"/>
  <c r="AN89" i="2" s="1"/>
  <c r="AN87" i="2" a="1"/>
  <c r="AN87" i="2" s="1"/>
  <c r="AN86" i="2" a="1"/>
  <c r="AN86" i="2" s="1"/>
  <c r="AN85" i="2" a="1"/>
  <c r="AN85" i="2" s="1"/>
  <c r="AN84" i="2" a="1"/>
  <c r="AN84" i="2" s="1"/>
  <c r="AN81" i="2" a="1"/>
  <c r="AN81" i="2" s="1"/>
  <c r="AN83" i="2" a="1"/>
  <c r="AN83" i="2" s="1"/>
  <c r="AN82" i="2" a="1"/>
  <c r="AN82" i="2" s="1"/>
  <c r="AN78" i="2" a="1"/>
  <c r="AN78" i="2" s="1"/>
  <c r="AN80" i="2" a="1"/>
  <c r="AN80" i="2" s="1"/>
  <c r="AN79" i="2" a="1"/>
  <c r="AN79" i="2" s="1"/>
  <c r="AN77" i="2" a="1"/>
  <c r="AN77" i="2" s="1"/>
  <c r="AN76" i="2" a="1"/>
  <c r="AN76" i="2" s="1"/>
  <c r="AN74" i="2" a="1"/>
  <c r="AN74" i="2" s="1"/>
  <c r="AN73" i="2" a="1"/>
  <c r="AN73" i="2" s="1"/>
  <c r="AN72" i="2" a="1"/>
  <c r="AN72" i="2" s="1"/>
  <c r="AN75" i="2" a="1"/>
  <c r="AN75" i="2" s="1"/>
  <c r="AN70" i="2" a="1"/>
  <c r="AN70" i="2" s="1"/>
  <c r="AN69" i="2" a="1"/>
  <c r="AN69" i="2" s="1"/>
  <c r="AN71" i="2" a="1"/>
  <c r="AN71" i="2" s="1"/>
  <c r="AN65" i="2" a="1"/>
  <c r="AN65" i="2" s="1"/>
  <c r="AN66" i="2" a="1"/>
  <c r="AN66" i="2" s="1"/>
  <c r="AN67" i="2" a="1"/>
  <c r="AN67" i="2" s="1"/>
  <c r="AN68" i="2" a="1"/>
  <c r="AN68" i="2" s="1"/>
  <c r="AN64" i="2" a="1"/>
  <c r="AN64" i="2" s="1"/>
  <c r="AN62" i="2" a="1"/>
  <c r="AN62" i="2" s="1"/>
  <c r="AN63" i="2" a="1"/>
  <c r="AN63" i="2" s="1"/>
  <c r="AN61" i="2" a="1"/>
  <c r="AN61" i="2" s="1"/>
  <c r="AN58" i="2" a="1"/>
  <c r="AN58" i="2" s="1"/>
  <c r="AN60" i="2" a="1"/>
  <c r="AN60" i="2" s="1"/>
  <c r="AN59" i="2" a="1"/>
  <c r="AN59" i="2" s="1"/>
  <c r="AN57" i="2" a="1"/>
  <c r="AN57" i="2" s="1"/>
  <c r="AN54" i="2" a="1"/>
  <c r="AN54" i="2" s="1"/>
  <c r="AN52" i="2" a="1"/>
  <c r="AN52" i="2" s="1"/>
  <c r="AN53" i="2" a="1"/>
  <c r="AN53" i="2" s="1"/>
  <c r="AN51" i="2" a="1"/>
  <c r="AN51" i="2" s="1"/>
  <c r="AN50" i="2" a="1"/>
  <c r="AN50" i="2" s="1"/>
  <c r="AN55" i="2" a="1"/>
  <c r="AN55" i="2" s="1"/>
  <c r="AN49" i="2" a="1"/>
  <c r="AN49" i="2" s="1"/>
  <c r="AN56" i="2" a="1"/>
  <c r="AN56" i="2" s="1"/>
  <c r="AN48" i="2" a="1"/>
  <c r="AN48" i="2" s="1"/>
  <c r="AN46" i="2" a="1"/>
  <c r="AN46" i="2" s="1"/>
  <c r="AN45" i="2" a="1"/>
  <c r="AN45" i="2" s="1"/>
  <c r="AN41" i="2" a="1"/>
  <c r="AN41" i="2" s="1"/>
  <c r="AN40" i="2" a="1"/>
  <c r="AN40" i="2" s="1"/>
  <c r="AN47" i="2" a="1"/>
  <c r="AN47" i="2" s="1"/>
  <c r="AN44" i="2" a="1"/>
  <c r="AN44" i="2" s="1"/>
  <c r="AN42" i="2" a="1"/>
  <c r="AN42" i="2" s="1"/>
  <c r="AN43" i="2" a="1"/>
  <c r="AN43" i="2" s="1"/>
  <c r="AN36" i="2" a="1"/>
  <c r="AN36" i="2" s="1"/>
  <c r="AN39" i="2" a="1"/>
  <c r="AN39" i="2" s="1"/>
  <c r="AN35" i="2" a="1"/>
  <c r="AN35" i="2" s="1"/>
  <c r="AN38" i="2" a="1"/>
  <c r="AN38" i="2" s="1"/>
  <c r="AN37" i="2" a="1"/>
  <c r="AN37" i="2" s="1"/>
  <c r="AN34" i="2" a="1"/>
  <c r="AN34" i="2" s="1"/>
  <c r="AN27" i="2" a="1"/>
  <c r="AN27" i="2" s="1"/>
  <c r="AN30" i="2" a="1"/>
  <c r="AN30" i="2" s="1"/>
  <c r="AN33" i="2" a="1"/>
  <c r="AN33" i="2" s="1"/>
  <c r="AN31" i="2" a="1"/>
  <c r="AN31" i="2" s="1"/>
  <c r="AN32" i="2" a="1"/>
  <c r="AN32" i="2" s="1"/>
  <c r="AN29" i="2" a="1"/>
  <c r="AN29" i="2" s="1"/>
  <c r="AN28" i="2" a="1"/>
  <c r="AN28" i="2" s="1"/>
  <c r="AN26" i="2" a="1"/>
  <c r="AN26" i="2" s="1"/>
  <c r="AN18" i="2" a="1"/>
  <c r="AN18" i="2" s="1"/>
  <c r="AN16" i="2" a="1"/>
  <c r="AN16" i="2" s="1"/>
  <c r="AN25" i="2" a="1"/>
  <c r="AN25" i="2" s="1"/>
  <c r="AN17" i="2" a="1"/>
  <c r="AN17" i="2" s="1"/>
  <c r="AN24" i="2" a="1"/>
  <c r="AN24" i="2" s="1"/>
  <c r="AN23" i="2" a="1"/>
  <c r="AN23" i="2" s="1"/>
  <c r="AN22" i="2" a="1"/>
  <c r="AN22" i="2" s="1"/>
  <c r="AN21" i="2" a="1"/>
  <c r="AN21" i="2" s="1"/>
  <c r="AN20" i="2" a="1"/>
  <c r="AN20" i="2" s="1"/>
  <c r="AN19" i="2" a="1"/>
  <c r="AN19" i="2" s="1"/>
  <c r="AN12" i="2" a="1"/>
  <c r="AN12" i="2" s="1"/>
  <c r="AN8" i="2" a="1"/>
  <c r="AN8" i="2" s="1"/>
  <c r="AN11" i="2" a="1"/>
  <c r="AN11" i="2" s="1"/>
  <c r="AN10" i="2" a="1"/>
  <c r="AN10" i="2" s="1"/>
  <c r="AN9" i="2" a="1"/>
  <c r="AN9" i="2" s="1"/>
  <c r="AN14" i="2" a="1"/>
  <c r="AN14" i="2" s="1"/>
  <c r="AN15" i="2" a="1"/>
  <c r="AN15" i="2" s="1"/>
  <c r="AN13" i="2" a="1"/>
  <c r="AN13" i="2" s="1"/>
  <c r="AN6" i="2" a="1"/>
  <c r="AN6" i="2" s="1"/>
  <c r="AN7" i="2" a="1"/>
  <c r="AN7" i="2" s="1"/>
  <c r="AN5" i="2" a="1"/>
  <c r="AN5" i="2" s="1"/>
  <c r="AN4" i="2" a="1"/>
  <c r="AN4" i="2" s="1"/>
  <c r="AZ100" i="2" a="1"/>
  <c r="AZ100" i="2" s="1"/>
  <c r="AZ103" i="2" a="1"/>
  <c r="AZ103" i="2" s="1"/>
  <c r="AZ102" i="2" a="1"/>
  <c r="AZ102" i="2" s="1"/>
  <c r="AZ99" i="2" a="1"/>
  <c r="AZ99" i="2" s="1"/>
  <c r="AZ101" i="2" a="1"/>
  <c r="AZ101" i="2" s="1"/>
  <c r="AZ97" i="2" a="1"/>
  <c r="AZ97" i="2" s="1"/>
  <c r="AZ98" i="2" a="1"/>
  <c r="AZ98" i="2" s="1"/>
  <c r="AZ96" i="2" a="1"/>
  <c r="AZ96" i="2" s="1"/>
  <c r="AZ94" i="2" a="1"/>
  <c r="AZ94" i="2" s="1"/>
  <c r="AZ93" i="2" a="1"/>
  <c r="AZ93" i="2" s="1"/>
  <c r="AZ95" i="2" a="1"/>
  <c r="AZ95" i="2" s="1"/>
  <c r="AZ92" i="2" a="1"/>
  <c r="AZ92" i="2" s="1"/>
  <c r="AZ90" i="2" a="1"/>
  <c r="AZ90" i="2" s="1"/>
  <c r="AZ89" i="2" a="1"/>
  <c r="AZ89" i="2" s="1"/>
  <c r="AZ91" i="2" a="1"/>
  <c r="AZ91" i="2" s="1"/>
  <c r="AZ88" i="2" a="1"/>
  <c r="AZ88" i="2" s="1"/>
  <c r="AZ87" i="2" a="1"/>
  <c r="AZ87" i="2" s="1"/>
  <c r="AZ86" i="2" a="1"/>
  <c r="AZ86" i="2" s="1"/>
  <c r="AZ85" i="2" a="1"/>
  <c r="AZ85" i="2" s="1"/>
  <c r="AZ84" i="2" a="1"/>
  <c r="AZ84" i="2" s="1"/>
  <c r="AZ81" i="2" a="1"/>
  <c r="AZ81" i="2" s="1"/>
  <c r="AZ80" i="2" a="1"/>
  <c r="AZ80" i="2" s="1"/>
  <c r="AZ83" i="2" a="1"/>
  <c r="AZ83" i="2" s="1"/>
  <c r="AZ82" i="2" a="1"/>
  <c r="AZ82" i="2" s="1"/>
  <c r="AZ78" i="2" a="1"/>
  <c r="AZ78" i="2" s="1"/>
  <c r="AZ75" i="2" a="1"/>
  <c r="AZ75" i="2" s="1"/>
  <c r="AZ79" i="2" a="1"/>
  <c r="AZ79" i="2" s="1"/>
  <c r="AZ76" i="2" a="1"/>
  <c r="AZ76" i="2" s="1"/>
  <c r="AZ77" i="2" a="1"/>
  <c r="AZ77" i="2" s="1"/>
  <c r="AZ72" i="2" a="1"/>
  <c r="AZ72" i="2" s="1"/>
  <c r="AZ74" i="2" a="1"/>
  <c r="AZ74" i="2" s="1"/>
  <c r="AZ73" i="2" a="1"/>
  <c r="AZ73" i="2" s="1"/>
  <c r="AZ69" i="2" a="1"/>
  <c r="AZ69" i="2" s="1"/>
  <c r="AZ68" i="2" a="1"/>
  <c r="AZ68" i="2" s="1"/>
  <c r="AZ71" i="2" a="1"/>
  <c r="AZ71" i="2" s="1"/>
  <c r="AZ70" i="2" a="1"/>
  <c r="AZ70" i="2" s="1"/>
  <c r="AZ64" i="2" a="1"/>
  <c r="AZ64" i="2" s="1"/>
  <c r="AZ67" i="2" a="1"/>
  <c r="AZ67" i="2" s="1"/>
  <c r="AZ66" i="2" a="1"/>
  <c r="AZ66" i="2" s="1"/>
  <c r="AZ65" i="2" a="1"/>
  <c r="AZ65" i="2" s="1"/>
  <c r="AZ61" i="2" a="1"/>
  <c r="AZ61" i="2" s="1"/>
  <c r="AZ63" i="2" a="1"/>
  <c r="AZ63" i="2" s="1"/>
  <c r="AZ60" i="2" a="1"/>
  <c r="AZ60" i="2" s="1"/>
  <c r="AZ62" i="2" a="1"/>
  <c r="AZ62" i="2" s="1"/>
  <c r="AZ59" i="2" a="1"/>
  <c r="AZ59" i="2" s="1"/>
  <c r="AZ57" i="2" a="1"/>
  <c r="AZ57" i="2" s="1"/>
  <c r="AZ56" i="2" a="1"/>
  <c r="AZ56" i="2" s="1"/>
  <c r="AZ58" i="2" a="1"/>
  <c r="AZ58" i="2" s="1"/>
  <c r="AZ51" i="2" a="1"/>
  <c r="AZ51" i="2" s="1"/>
  <c r="AZ50" i="2" a="1"/>
  <c r="AZ50" i="2" s="1"/>
  <c r="AZ55" i="2" a="1"/>
  <c r="AZ55" i="2" s="1"/>
  <c r="AZ49" i="2" a="1"/>
  <c r="AZ49" i="2" s="1"/>
  <c r="AZ54" i="2" a="1"/>
  <c r="AZ54" i="2" s="1"/>
  <c r="AZ53" i="2" a="1"/>
  <c r="AZ53" i="2" s="1"/>
  <c r="AZ52" i="2" a="1"/>
  <c r="AZ52" i="2" s="1"/>
  <c r="AZ44" i="2" a="1"/>
  <c r="AZ44" i="2" s="1"/>
  <c r="AZ42" i="2" a="1"/>
  <c r="AZ42" i="2" s="1"/>
  <c r="AZ48" i="2" a="1"/>
  <c r="AZ48" i="2" s="1"/>
  <c r="AZ46" i="2" a="1"/>
  <c r="AZ46" i="2" s="1"/>
  <c r="AZ43" i="2" a="1"/>
  <c r="AZ43" i="2" s="1"/>
  <c r="AZ40" i="2" a="1"/>
  <c r="AZ40" i="2" s="1"/>
  <c r="AZ45" i="2" a="1"/>
  <c r="AZ45" i="2" s="1"/>
  <c r="AZ41" i="2" a="1"/>
  <c r="AZ41" i="2" s="1"/>
  <c r="AZ47" i="2" a="1"/>
  <c r="AZ47" i="2" s="1"/>
  <c r="AZ37" i="2" a="1"/>
  <c r="AZ37" i="2" s="1"/>
  <c r="AZ34" i="2" a="1"/>
  <c r="AZ34" i="2" s="1"/>
  <c r="AZ36" i="2" a="1"/>
  <c r="AZ36" i="2" s="1"/>
  <c r="AZ33" i="2" a="1"/>
  <c r="AZ33" i="2" s="1"/>
  <c r="AZ39" i="2" a="1"/>
  <c r="AZ39" i="2" s="1"/>
  <c r="AZ35" i="2" a="1"/>
  <c r="AZ35" i="2" s="1"/>
  <c r="AZ38" i="2" a="1"/>
  <c r="AZ38" i="2" s="1"/>
  <c r="AZ30" i="2" a="1"/>
  <c r="AZ30" i="2" s="1"/>
  <c r="AZ31" i="2" a="1"/>
  <c r="AZ31" i="2" s="1"/>
  <c r="AZ32" i="2" a="1"/>
  <c r="AZ32" i="2" s="1"/>
  <c r="AZ29" i="2" a="1"/>
  <c r="AZ29" i="2" s="1"/>
  <c r="AZ28" i="2" a="1"/>
  <c r="AZ28" i="2" s="1"/>
  <c r="AZ27" i="2" a="1"/>
  <c r="AZ27" i="2" s="1"/>
  <c r="AZ26" i="2" a="1"/>
  <c r="AZ26" i="2" s="1"/>
  <c r="AZ18" i="2" a="1"/>
  <c r="AZ18" i="2" s="1"/>
  <c r="AZ16" i="2" a="1"/>
  <c r="AZ16" i="2" s="1"/>
  <c r="AZ15" i="2" a="1"/>
  <c r="AZ15" i="2" s="1"/>
  <c r="AZ17" i="2" a="1"/>
  <c r="AZ17" i="2" s="1"/>
  <c r="AZ25" i="2" a="1"/>
  <c r="AZ25" i="2" s="1"/>
  <c r="AZ24" i="2" a="1"/>
  <c r="AZ24" i="2" s="1"/>
  <c r="AZ23" i="2" a="1"/>
  <c r="AZ23" i="2" s="1"/>
  <c r="AZ22" i="2" a="1"/>
  <c r="AZ22" i="2" s="1"/>
  <c r="AZ21" i="2" a="1"/>
  <c r="AZ21" i="2" s="1"/>
  <c r="AZ20" i="2" a="1"/>
  <c r="AZ20" i="2" s="1"/>
  <c r="AZ19" i="2" a="1"/>
  <c r="AZ19" i="2" s="1"/>
  <c r="AZ11" i="2" a="1"/>
  <c r="AZ11" i="2" s="1"/>
  <c r="AZ10" i="2" a="1"/>
  <c r="AZ10" i="2" s="1"/>
  <c r="AZ9" i="2" a="1"/>
  <c r="AZ9" i="2" s="1"/>
  <c r="AZ14" i="2" a="1"/>
  <c r="AZ14" i="2" s="1"/>
  <c r="AZ13" i="2" a="1"/>
  <c r="AZ13" i="2" s="1"/>
  <c r="AZ8" i="2" a="1"/>
  <c r="AZ8" i="2" s="1"/>
  <c r="AZ12" i="2" a="1"/>
  <c r="AZ12" i="2" s="1"/>
  <c r="AZ7" i="2" a="1"/>
  <c r="AZ7" i="2" s="1"/>
  <c r="AZ4" i="2" a="1"/>
  <c r="AZ4" i="2" s="1"/>
  <c r="AZ5" i="2" a="1"/>
  <c r="AZ5" i="2" s="1"/>
  <c r="AZ6" i="2" a="1"/>
  <c r="AZ6" i="2" s="1"/>
  <c r="BL103" i="2" a="1"/>
  <c r="BL103" i="2" s="1"/>
  <c r="BL102" i="2" a="1"/>
  <c r="BL102" i="2" s="1"/>
  <c r="BL101" i="2" a="1"/>
  <c r="BL101" i="2" s="1"/>
  <c r="BL100" i="2" a="1"/>
  <c r="BL100" i="2" s="1"/>
  <c r="BL99" i="2" a="1"/>
  <c r="BL99" i="2" s="1"/>
  <c r="BL96" i="2" a="1"/>
  <c r="BL96" i="2" s="1"/>
  <c r="BL95" i="2" a="1"/>
  <c r="BL95" i="2" s="1"/>
  <c r="BL98" i="2" a="1"/>
  <c r="BL98" i="2" s="1"/>
  <c r="BL97" i="2" a="1"/>
  <c r="BL97" i="2" s="1"/>
  <c r="BL92" i="2" a="1"/>
  <c r="BL92" i="2" s="1"/>
  <c r="BL94" i="2" a="1"/>
  <c r="BL94" i="2" s="1"/>
  <c r="BL93" i="2" a="1"/>
  <c r="BL93" i="2" s="1"/>
  <c r="BL89" i="2" a="1"/>
  <c r="BL89" i="2" s="1"/>
  <c r="BL88" i="2" a="1"/>
  <c r="BL88" i="2" s="1"/>
  <c r="BL91" i="2" a="1"/>
  <c r="BL91" i="2" s="1"/>
  <c r="BL90" i="2" a="1"/>
  <c r="BL90" i="2" s="1"/>
  <c r="BL85" i="2" a="1"/>
  <c r="BL85" i="2" s="1"/>
  <c r="BL84" i="2" a="1"/>
  <c r="BL84" i="2" s="1"/>
  <c r="BL86" i="2" a="1"/>
  <c r="BL86" i="2" s="1"/>
  <c r="BL87" i="2" a="1"/>
  <c r="BL87" i="2" s="1"/>
  <c r="BL80" i="2" a="1"/>
  <c r="BL80" i="2" s="1"/>
  <c r="BL83" i="2" a="1"/>
  <c r="BL83" i="2" s="1"/>
  <c r="BL82" i="2" a="1"/>
  <c r="BL82" i="2" s="1"/>
  <c r="BL81" i="2" a="1"/>
  <c r="BL81" i="2" s="1"/>
  <c r="BL78" i="2" a="1"/>
  <c r="BL78" i="2" s="1"/>
  <c r="BL79" i="2" a="1"/>
  <c r="BL79" i="2" s="1"/>
  <c r="BL77" i="2" a="1"/>
  <c r="BL77" i="2" s="1"/>
  <c r="BL76" i="2" a="1"/>
  <c r="BL76" i="2" s="1"/>
  <c r="BL75" i="2" a="1"/>
  <c r="BL75" i="2" s="1"/>
  <c r="BL74" i="2" a="1"/>
  <c r="BL74" i="2" s="1"/>
  <c r="BL73" i="2" a="1"/>
  <c r="BL73" i="2" s="1"/>
  <c r="BL72" i="2" a="1"/>
  <c r="BL72" i="2" s="1"/>
  <c r="BL71" i="2" a="1"/>
  <c r="BL71" i="2" s="1"/>
  <c r="BL70" i="2" a="1"/>
  <c r="BL70" i="2" s="1"/>
  <c r="BL69" i="2" a="1"/>
  <c r="BL69" i="2" s="1"/>
  <c r="BL68" i="2" a="1"/>
  <c r="BL68" i="2" s="1"/>
  <c r="BL67" i="2" a="1"/>
  <c r="BL67" i="2" s="1"/>
  <c r="BL66" i="2" a="1"/>
  <c r="BL66" i="2" s="1"/>
  <c r="BL65" i="2" a="1"/>
  <c r="BL65" i="2" s="1"/>
  <c r="BL64" i="2" a="1"/>
  <c r="BL64" i="2" s="1"/>
  <c r="BL60" i="2" a="1"/>
  <c r="BL60" i="2" s="1"/>
  <c r="BL63" i="2" a="1"/>
  <c r="BL63" i="2" s="1"/>
  <c r="BL59" i="2" a="1"/>
  <c r="BL59" i="2" s="1"/>
  <c r="BL62" i="2" a="1"/>
  <c r="BL62" i="2" s="1"/>
  <c r="BL61" i="2" a="1"/>
  <c r="BL61" i="2" s="1"/>
  <c r="BL57" i="2" a="1"/>
  <c r="BL57" i="2" s="1"/>
  <c r="BL56" i="2" a="1"/>
  <c r="BL56" i="2" s="1"/>
  <c r="BL58" i="2" a="1"/>
  <c r="BL58" i="2" s="1"/>
  <c r="BL49" i="2" a="1"/>
  <c r="BL49" i="2" s="1"/>
  <c r="BL48" i="2" a="1"/>
  <c r="BL48" i="2" s="1"/>
  <c r="BL54" i="2" a="1"/>
  <c r="BL54" i="2" s="1"/>
  <c r="BL53" i="2" a="1"/>
  <c r="BL53" i="2" s="1"/>
  <c r="BL52" i="2" a="1"/>
  <c r="BL52" i="2" s="1"/>
  <c r="BL51" i="2" a="1"/>
  <c r="BL51" i="2" s="1"/>
  <c r="BL50" i="2" a="1"/>
  <c r="BL50" i="2" s="1"/>
  <c r="BL55" i="2" a="1"/>
  <c r="BL55" i="2" s="1"/>
  <c r="BL44" i="2" a="1"/>
  <c r="BL44" i="2" s="1"/>
  <c r="BL42" i="2" a="1"/>
  <c r="BL42" i="2" s="1"/>
  <c r="BL40" i="2" a="1"/>
  <c r="BL40" i="2" s="1"/>
  <c r="BL43" i="2" a="1"/>
  <c r="BL43" i="2" s="1"/>
  <c r="BL46" i="2" a="1"/>
  <c r="BL46" i="2" s="1"/>
  <c r="BL45" i="2" a="1"/>
  <c r="BL45" i="2" s="1"/>
  <c r="BL47" i="2" a="1"/>
  <c r="BL47" i="2" s="1"/>
  <c r="BL41" i="2" a="1"/>
  <c r="BL41" i="2" s="1"/>
  <c r="BL36" i="2" a="1"/>
  <c r="BL36" i="2" s="1"/>
  <c r="BL39" i="2" a="1"/>
  <c r="BL39" i="2" s="1"/>
  <c r="BL35" i="2" a="1"/>
  <c r="BL35" i="2" s="1"/>
  <c r="BL38" i="2" a="1"/>
  <c r="BL38" i="2" s="1"/>
  <c r="BL37" i="2" a="1"/>
  <c r="BL37" i="2" s="1"/>
  <c r="BL34" i="2" a="1"/>
  <c r="BL34" i="2" s="1"/>
  <c r="BL32" i="2" a="1"/>
  <c r="BL32" i="2" s="1"/>
  <c r="BL28" i="2" a="1"/>
  <c r="BL28" i="2" s="1"/>
  <c r="BL27" i="2" a="1"/>
  <c r="BL27" i="2" s="1"/>
  <c r="BL33" i="2" a="1"/>
  <c r="BL33" i="2" s="1"/>
  <c r="BL30" i="2" a="1"/>
  <c r="BL30" i="2" s="1"/>
  <c r="BL31" i="2" a="1"/>
  <c r="BL31" i="2" s="1"/>
  <c r="BL29" i="2" a="1"/>
  <c r="BL29" i="2" s="1"/>
  <c r="BL26" i="2" a="1"/>
  <c r="BL26" i="2" s="1"/>
  <c r="BL18" i="2" a="1"/>
  <c r="BL18" i="2" s="1"/>
  <c r="BL25" i="2" a="1"/>
  <c r="BL25" i="2" s="1"/>
  <c r="BL17" i="2" a="1"/>
  <c r="BL17" i="2" s="1"/>
  <c r="BL16" i="2" a="1"/>
  <c r="BL16" i="2" s="1"/>
  <c r="BL24" i="2" a="1"/>
  <c r="BL24" i="2" s="1"/>
  <c r="BL23" i="2" a="1"/>
  <c r="BL23" i="2" s="1"/>
  <c r="BL22" i="2" a="1"/>
  <c r="BL22" i="2" s="1"/>
  <c r="BL21" i="2" a="1"/>
  <c r="BL21" i="2" s="1"/>
  <c r="BL20" i="2" a="1"/>
  <c r="BL20" i="2" s="1"/>
  <c r="BL19" i="2" a="1"/>
  <c r="BL19" i="2" s="1"/>
  <c r="BL15" i="2" a="1"/>
  <c r="BL15" i="2" s="1"/>
  <c r="BL8" i="2" a="1"/>
  <c r="BL8" i="2" s="1"/>
  <c r="BL13" i="2" a="1"/>
  <c r="BL13" i="2" s="1"/>
  <c r="BL12" i="2" a="1"/>
  <c r="BL12" i="2" s="1"/>
  <c r="BL10" i="2" a="1"/>
  <c r="BL10" i="2" s="1"/>
  <c r="BL11" i="2" a="1"/>
  <c r="BL11" i="2" s="1"/>
  <c r="BL9" i="2" a="1"/>
  <c r="BL9" i="2" s="1"/>
  <c r="BL14" i="2" a="1"/>
  <c r="BL14" i="2" s="1"/>
  <c r="BL7" i="2" a="1"/>
  <c r="BL7" i="2" s="1"/>
  <c r="BL4" i="2" a="1"/>
  <c r="BL4" i="2" s="1"/>
  <c r="BL5" i="2" a="1"/>
  <c r="BL5" i="2" s="1"/>
  <c r="BL6" i="2" a="1"/>
  <c r="BL6" i="2" s="1"/>
  <c r="BX103" i="2" a="1"/>
  <c r="BX103" i="2" s="1"/>
  <c r="BX102" i="2" a="1"/>
  <c r="BX102" i="2" s="1"/>
  <c r="BX100" i="2" a="1"/>
  <c r="BX100" i="2" s="1"/>
  <c r="BX101" i="2" a="1"/>
  <c r="BX101" i="2" s="1"/>
  <c r="BX99" i="2" a="1"/>
  <c r="BX99" i="2" s="1"/>
  <c r="BX98" i="2" a="1"/>
  <c r="BX98" i="2" s="1"/>
  <c r="BX97" i="2" a="1"/>
  <c r="BX97" i="2" s="1"/>
  <c r="BX96" i="2" a="1"/>
  <c r="BX96" i="2" s="1"/>
  <c r="BX95" i="2" a="1"/>
  <c r="BX95" i="2" s="1"/>
  <c r="BX94" i="2" a="1"/>
  <c r="BX94" i="2" s="1"/>
  <c r="BX93" i="2" a="1"/>
  <c r="BX93" i="2" s="1"/>
  <c r="BX92" i="2" a="1"/>
  <c r="BX92" i="2" s="1"/>
  <c r="BX88" i="2" a="1"/>
  <c r="BX88" i="2" s="1"/>
  <c r="BX90" i="2" a="1"/>
  <c r="BX90" i="2" s="1"/>
  <c r="BX89" i="2" a="1"/>
  <c r="BX89" i="2" s="1"/>
  <c r="BX91" i="2" a="1"/>
  <c r="BX91" i="2" s="1"/>
  <c r="BX85" i="2" a="1"/>
  <c r="BX85" i="2" s="1"/>
  <c r="BX84" i="2" a="1"/>
  <c r="BX84" i="2" s="1"/>
  <c r="BX87" i="2" a="1"/>
  <c r="BX87" i="2" s="1"/>
  <c r="BX86" i="2" a="1"/>
  <c r="BX86" i="2" s="1"/>
  <c r="BX83" i="2" a="1"/>
  <c r="BX83" i="2" s="1"/>
  <c r="BX81" i="2" a="1"/>
  <c r="BX81" i="2" s="1"/>
  <c r="BX80" i="2" a="1"/>
  <c r="BX80" i="2" s="1"/>
  <c r="BX82" i="2" a="1"/>
  <c r="BX82" i="2" s="1"/>
  <c r="BX79" i="2" a="1"/>
  <c r="BX79" i="2" s="1"/>
  <c r="BX78" i="2" a="1"/>
  <c r="BX78" i="2" s="1"/>
  <c r="BX76" i="2" a="1"/>
  <c r="BX76" i="2" s="1"/>
  <c r="BX77" i="2" a="1"/>
  <c r="BX77" i="2" s="1"/>
  <c r="BX73" i="2" a="1"/>
  <c r="BX73" i="2" s="1"/>
  <c r="BX72" i="2" a="1"/>
  <c r="BX72" i="2" s="1"/>
  <c r="BX74" i="2" a="1"/>
  <c r="BX74" i="2" s="1"/>
  <c r="BX75" i="2" a="1"/>
  <c r="BX75" i="2" s="1"/>
  <c r="BX70" i="2" a="1"/>
  <c r="BX70" i="2" s="1"/>
  <c r="BX69" i="2" a="1"/>
  <c r="BX69" i="2" s="1"/>
  <c r="BX71" i="2" a="1"/>
  <c r="BX71" i="2" s="1"/>
  <c r="BX67" i="2" a="1"/>
  <c r="BX67" i="2" s="1"/>
  <c r="BX65" i="2" a="1"/>
  <c r="BX65" i="2" s="1"/>
  <c r="BX68" i="2" a="1"/>
  <c r="BX68" i="2" s="1"/>
  <c r="BX64" i="2" a="1"/>
  <c r="BX64" i="2" s="1"/>
  <c r="BX66" i="2" a="1"/>
  <c r="BX66" i="2" s="1"/>
  <c r="BX59" i="2" a="1"/>
  <c r="BX59" i="2" s="1"/>
  <c r="BX63" i="2" a="1"/>
  <c r="BX63" i="2" s="1"/>
  <c r="BX62" i="2" a="1"/>
  <c r="BX62" i="2" s="1"/>
  <c r="BX61" i="2" a="1"/>
  <c r="BX61" i="2" s="1"/>
  <c r="BX60" i="2" a="1"/>
  <c r="BX60" i="2" s="1"/>
  <c r="BX57" i="2" a="1"/>
  <c r="BX57" i="2" s="1"/>
  <c r="BX58" i="2" a="1"/>
  <c r="BX58" i="2" s="1"/>
  <c r="BX53" i="2" a="1"/>
  <c r="BX53" i="2" s="1"/>
  <c r="BX52" i="2" a="1"/>
  <c r="BX52" i="2" s="1"/>
  <c r="BX51" i="2" a="1"/>
  <c r="BX51" i="2" s="1"/>
  <c r="BX56" i="2" a="1"/>
  <c r="BX56" i="2" s="1"/>
  <c r="BX55" i="2" a="1"/>
  <c r="BX55" i="2" s="1"/>
  <c r="BX50" i="2" a="1"/>
  <c r="BX50" i="2" s="1"/>
  <c r="BX49" i="2" a="1"/>
  <c r="BX49" i="2" s="1"/>
  <c r="BX54" i="2" a="1"/>
  <c r="BX54" i="2" s="1"/>
  <c r="BX48" i="2" a="1"/>
  <c r="BX48" i="2" s="1"/>
  <c r="BX45" i="2" a="1"/>
  <c r="BX45" i="2" s="1"/>
  <c r="BX47" i="2" a="1"/>
  <c r="BX47" i="2" s="1"/>
  <c r="BX41" i="2" a="1"/>
  <c r="BX41" i="2" s="1"/>
  <c r="BX44" i="2" a="1"/>
  <c r="BX44" i="2" s="1"/>
  <c r="BX40" i="2" a="1"/>
  <c r="BX40" i="2" s="1"/>
  <c r="BX43" i="2" a="1"/>
  <c r="BX43" i="2" s="1"/>
  <c r="BX42" i="2" a="1"/>
  <c r="BX42" i="2" s="1"/>
  <c r="BX46" i="2" a="1"/>
  <c r="BX46" i="2" s="1"/>
  <c r="BX37" i="2" a="1"/>
  <c r="BX37" i="2" s="1"/>
  <c r="BX34" i="2" a="1"/>
  <c r="BX34" i="2" s="1"/>
  <c r="BX36" i="2" a="1"/>
  <c r="BX36" i="2" s="1"/>
  <c r="BX39" i="2" a="1"/>
  <c r="BX39" i="2" s="1"/>
  <c r="BX35" i="2" a="1"/>
  <c r="BX35" i="2" s="1"/>
  <c r="BX33" i="2" a="1"/>
  <c r="BX33" i="2" s="1"/>
  <c r="BX38" i="2" a="1"/>
  <c r="BX38" i="2" s="1"/>
  <c r="BX27" i="2" a="1"/>
  <c r="BX27" i="2" s="1"/>
  <c r="BX31" i="2" a="1"/>
  <c r="BX31" i="2" s="1"/>
  <c r="BX30" i="2" a="1"/>
  <c r="BX30" i="2" s="1"/>
  <c r="BX26" i="2" a="1"/>
  <c r="BX26" i="2" s="1"/>
  <c r="BX29" i="2" a="1"/>
  <c r="BX29" i="2" s="1"/>
  <c r="BX28" i="2" a="1"/>
  <c r="BX28" i="2" s="1"/>
  <c r="BX32" i="2" a="1"/>
  <c r="BX32" i="2" s="1"/>
  <c r="BX16" i="2" a="1"/>
  <c r="BX16" i="2" s="1"/>
  <c r="BX17" i="2" a="1"/>
  <c r="BX17" i="2" s="1"/>
  <c r="BX25" i="2" a="1"/>
  <c r="BX25" i="2" s="1"/>
  <c r="BX24" i="2" a="1"/>
  <c r="BX24" i="2" s="1"/>
  <c r="BX23" i="2" a="1"/>
  <c r="BX23" i="2" s="1"/>
  <c r="BX22" i="2" a="1"/>
  <c r="BX22" i="2" s="1"/>
  <c r="BX21" i="2" a="1"/>
  <c r="BX21" i="2" s="1"/>
  <c r="BX20" i="2" a="1"/>
  <c r="BX20" i="2" s="1"/>
  <c r="BX19" i="2" a="1"/>
  <c r="BX19" i="2" s="1"/>
  <c r="BX18" i="2" a="1"/>
  <c r="BX18" i="2" s="1"/>
  <c r="BX11" i="2" a="1"/>
  <c r="BX11" i="2" s="1"/>
  <c r="BX15" i="2" a="1"/>
  <c r="BX15" i="2" s="1"/>
  <c r="BX9" i="2" a="1"/>
  <c r="BX9" i="2" s="1"/>
  <c r="BX14" i="2" a="1"/>
  <c r="BX14" i="2" s="1"/>
  <c r="BX8" i="2" a="1"/>
  <c r="BX8" i="2" s="1"/>
  <c r="BX13" i="2" a="1"/>
  <c r="BX13" i="2" s="1"/>
  <c r="BX10" i="2" a="1"/>
  <c r="BX10" i="2" s="1"/>
  <c r="BX12" i="2" a="1"/>
  <c r="BX12" i="2" s="1"/>
  <c r="BX7" i="2" a="1"/>
  <c r="BX7" i="2" s="1"/>
  <c r="BX5" i="2" a="1"/>
  <c r="BX5" i="2" s="1"/>
  <c r="BX6" i="2" a="1"/>
  <c r="BX6" i="2" s="1"/>
  <c r="BX4" i="2" a="1"/>
  <c r="BX4" i="2" s="1"/>
  <c r="I101" i="2" a="1"/>
  <c r="I101" i="2" s="1"/>
  <c r="I103" i="2" a="1"/>
  <c r="I103" i="2" s="1"/>
  <c r="I102" i="2" a="1"/>
  <c r="I102" i="2" s="1"/>
  <c r="I100" i="2" a="1"/>
  <c r="I100" i="2" s="1"/>
  <c r="I99" i="2" a="1"/>
  <c r="I99" i="2" s="1"/>
  <c r="I97" i="2" a="1"/>
  <c r="I97" i="2" s="1"/>
  <c r="I98" i="2" a="1"/>
  <c r="I98" i="2" s="1"/>
  <c r="I94" i="2" a="1"/>
  <c r="I94" i="2" s="1"/>
  <c r="I96" i="2" a="1"/>
  <c r="I96" i="2" s="1"/>
  <c r="I93" i="2" a="1"/>
  <c r="I93" i="2" s="1"/>
  <c r="I95" i="2" a="1"/>
  <c r="I95" i="2" s="1"/>
  <c r="I91" i="2" a="1"/>
  <c r="I91" i="2" s="1"/>
  <c r="I90" i="2" a="1"/>
  <c r="I90" i="2" s="1"/>
  <c r="I89" i="2" a="1"/>
  <c r="I89" i="2" s="1"/>
  <c r="I88" i="2" a="1"/>
  <c r="I88" i="2" s="1"/>
  <c r="I92" i="2" a="1"/>
  <c r="I92" i="2" s="1"/>
  <c r="I85" i="2" a="1"/>
  <c r="I85" i="2" s="1"/>
  <c r="I87" i="2" a="1"/>
  <c r="I87" i="2" s="1"/>
  <c r="I86" i="2" a="1"/>
  <c r="I86" i="2" s="1"/>
  <c r="I84" i="2" a="1"/>
  <c r="I84" i="2" s="1"/>
  <c r="I83" i="2" a="1"/>
  <c r="I83" i="2" s="1"/>
  <c r="I82" i="2" a="1"/>
  <c r="I82" i="2" s="1"/>
  <c r="I81" i="2" a="1"/>
  <c r="I81" i="2" s="1"/>
  <c r="I80" i="2" a="1"/>
  <c r="I80" i="2" s="1"/>
  <c r="I78" i="2" a="1"/>
  <c r="I78" i="2" s="1"/>
  <c r="I79" i="2" a="1"/>
  <c r="I79" i="2" s="1"/>
  <c r="I77" i="2" a="1"/>
  <c r="I77" i="2" s="1"/>
  <c r="I76" i="2" a="1"/>
  <c r="I76" i="2" s="1"/>
  <c r="I74" i="2" a="1"/>
  <c r="I74" i="2" s="1"/>
  <c r="I73" i="2" a="1"/>
  <c r="I73" i="2" s="1"/>
  <c r="I75" i="2" a="1"/>
  <c r="I75" i="2" s="1"/>
  <c r="I72" i="2" a="1"/>
  <c r="I72" i="2" s="1"/>
  <c r="I71" i="2" a="1"/>
  <c r="I71" i="2" s="1"/>
  <c r="I70" i="2" a="1"/>
  <c r="I70" i="2" s="1"/>
  <c r="I69" i="2" a="1"/>
  <c r="I69" i="2" s="1"/>
  <c r="I68" i="2" a="1"/>
  <c r="I68" i="2" s="1"/>
  <c r="I65" i="2" a="1"/>
  <c r="I65" i="2" s="1"/>
  <c r="I66" i="2" a="1"/>
  <c r="I66" i="2" s="1"/>
  <c r="I64" i="2" a="1"/>
  <c r="I64" i="2" s="1"/>
  <c r="I67" i="2" a="1"/>
  <c r="I67" i="2" s="1"/>
  <c r="I63" i="2" a="1"/>
  <c r="I63" i="2" s="1"/>
  <c r="I60" i="2" a="1"/>
  <c r="I60" i="2" s="1"/>
  <c r="I62" i="2" a="1"/>
  <c r="I62" i="2" s="1"/>
  <c r="I61" i="2" a="1"/>
  <c r="I61" i="2" s="1"/>
  <c r="I58" i="2" a="1"/>
  <c r="I58" i="2" s="1"/>
  <c r="I57" i="2" a="1"/>
  <c r="I57" i="2" s="1"/>
  <c r="I59" i="2" a="1"/>
  <c r="I59" i="2" s="1"/>
  <c r="I54" i="2" a="1"/>
  <c r="I54" i="2" s="1"/>
  <c r="I52" i="2" a="1"/>
  <c r="I52" i="2" s="1"/>
  <c r="I51" i="2" a="1"/>
  <c r="I51" i="2" s="1"/>
  <c r="I50" i="2" a="1"/>
  <c r="I50" i="2" s="1"/>
  <c r="I56" i="2" a="1"/>
  <c r="I56" i="2" s="1"/>
  <c r="I53" i="2" a="1"/>
  <c r="I53" i="2" s="1"/>
  <c r="I55" i="2" a="1"/>
  <c r="I55" i="2" s="1"/>
  <c r="I49" i="2" a="1"/>
  <c r="I49" i="2" s="1"/>
  <c r="I42" i="2" a="1"/>
  <c r="I42" i="2" s="1"/>
  <c r="I44" i="2" a="1"/>
  <c r="I44" i="2" s="1"/>
  <c r="I46" i="2" a="1"/>
  <c r="I46" i="2" s="1"/>
  <c r="I45" i="2" a="1"/>
  <c r="I45" i="2" s="1"/>
  <c r="I43" i="2" a="1"/>
  <c r="I43" i="2" s="1"/>
  <c r="I41" i="2" a="1"/>
  <c r="I41" i="2" s="1"/>
  <c r="I48" i="2" a="1"/>
  <c r="I48" i="2" s="1"/>
  <c r="I47" i="2" a="1"/>
  <c r="I47" i="2" s="1"/>
  <c r="I39" i="2" a="1"/>
  <c r="I39" i="2" s="1"/>
  <c r="I40" i="2" a="1"/>
  <c r="I40" i="2" s="1"/>
  <c r="I35" i="2" a="1"/>
  <c r="I35" i="2" s="1"/>
  <c r="I38" i="2" a="1"/>
  <c r="I38" i="2" s="1"/>
  <c r="I34" i="2" a="1"/>
  <c r="I34" i="2" s="1"/>
  <c r="I37" i="2" a="1"/>
  <c r="I37" i="2" s="1"/>
  <c r="I36" i="2" a="1"/>
  <c r="I36" i="2" s="1"/>
  <c r="I31" i="2" a="1"/>
  <c r="I31" i="2" s="1"/>
  <c r="I29" i="2" a="1"/>
  <c r="I29" i="2" s="1"/>
  <c r="I33" i="2" a="1"/>
  <c r="I33" i="2" s="1"/>
  <c r="I28" i="2" a="1"/>
  <c r="I28" i="2" s="1"/>
  <c r="I26" i="2" a="1"/>
  <c r="I26" i="2" s="1"/>
  <c r="I27" i="2" a="1"/>
  <c r="I27" i="2" s="1"/>
  <c r="I32" i="2" a="1"/>
  <c r="I32" i="2" s="1"/>
  <c r="I30" i="2" a="1"/>
  <c r="I30" i="2" s="1"/>
  <c r="I16" i="2" a="1"/>
  <c r="I16" i="2" s="1"/>
  <c r="I17" i="2" a="1"/>
  <c r="I17" i="2" s="1"/>
  <c r="I24" i="2" a="1"/>
  <c r="I24" i="2" s="1"/>
  <c r="I23" i="2" a="1"/>
  <c r="I23" i="2" s="1"/>
  <c r="I22" i="2" a="1"/>
  <c r="I22" i="2" s="1"/>
  <c r="I21" i="2" a="1"/>
  <c r="I21" i="2" s="1"/>
  <c r="I20" i="2" a="1"/>
  <c r="I20" i="2" s="1"/>
  <c r="I19" i="2" a="1"/>
  <c r="I19" i="2" s="1"/>
  <c r="I18" i="2" a="1"/>
  <c r="I18" i="2" s="1"/>
  <c r="I25" i="2" a="1"/>
  <c r="I25" i="2" s="1"/>
  <c r="I15" i="2" a="1"/>
  <c r="I15" i="2" s="1"/>
  <c r="I14" i="2" a="1"/>
  <c r="I14" i="2" s="1"/>
  <c r="I9" i="2" a="1"/>
  <c r="I9" i="2" s="1"/>
  <c r="I13" i="2" a="1"/>
  <c r="I13" i="2" s="1"/>
  <c r="I12" i="2" a="1"/>
  <c r="I12" i="2" s="1"/>
  <c r="I8" i="2" a="1"/>
  <c r="I8" i="2" s="1"/>
  <c r="I11" i="2" a="1"/>
  <c r="I11" i="2" s="1"/>
  <c r="I10" i="2" a="1"/>
  <c r="I10" i="2" s="1"/>
  <c r="I5" i="2" a="1"/>
  <c r="I5" i="2" s="1"/>
  <c r="I4" i="2" a="1"/>
  <c r="I4" i="2" s="1"/>
  <c r="I7" i="2" a="1"/>
  <c r="I7" i="2" s="1"/>
  <c r="I6" i="2" a="1"/>
  <c r="I6" i="2" s="1"/>
  <c r="AT100" i="2" a="1"/>
  <c r="AT100" i="2" s="1"/>
  <c r="AT103" i="2" a="1"/>
  <c r="AT103" i="2" s="1"/>
  <c r="AT102" i="2" a="1"/>
  <c r="AT102" i="2" s="1"/>
  <c r="AT101" i="2" a="1"/>
  <c r="AT101" i="2" s="1"/>
  <c r="AT99" i="2" a="1"/>
  <c r="AT99" i="2" s="1"/>
  <c r="AT96" i="2" a="1"/>
  <c r="AT96" i="2" s="1"/>
  <c r="AT98" i="2" a="1"/>
  <c r="AT98" i="2" s="1"/>
  <c r="AT97" i="2" a="1"/>
  <c r="AT97" i="2" s="1"/>
  <c r="AT92" i="2" a="1"/>
  <c r="AT92" i="2" s="1"/>
  <c r="AT94" i="2" a="1"/>
  <c r="AT94" i="2" s="1"/>
  <c r="AT95" i="2" a="1"/>
  <c r="AT95" i="2" s="1"/>
  <c r="AT93" i="2" a="1"/>
  <c r="AT93" i="2" s="1"/>
  <c r="AT90" i="2" a="1"/>
  <c r="AT90" i="2" s="1"/>
  <c r="AT89" i="2" a="1"/>
  <c r="AT89" i="2" s="1"/>
  <c r="AT91" i="2" a="1"/>
  <c r="AT91" i="2" s="1"/>
  <c r="AT88" i="2" a="1"/>
  <c r="AT88" i="2" s="1"/>
  <c r="AT85" i="2" a="1"/>
  <c r="AT85" i="2" s="1"/>
  <c r="AT84" i="2" a="1"/>
  <c r="AT84" i="2" s="1"/>
  <c r="AT87" i="2" a="1"/>
  <c r="AT87" i="2" s="1"/>
  <c r="AT86" i="2" a="1"/>
  <c r="AT86" i="2" s="1"/>
  <c r="AT82" i="2" a="1"/>
  <c r="AT82" i="2" s="1"/>
  <c r="AT80" i="2" a="1"/>
  <c r="AT80" i="2" s="1"/>
  <c r="AT83" i="2" a="1"/>
  <c r="AT83" i="2" s="1"/>
  <c r="AT81" i="2" a="1"/>
  <c r="AT81" i="2" s="1"/>
  <c r="AT79" i="2" a="1"/>
  <c r="AT79" i="2" s="1"/>
  <c r="AT77" i="2" a="1"/>
  <c r="AT77" i="2" s="1"/>
  <c r="AT78" i="2" a="1"/>
  <c r="AT78" i="2" s="1"/>
  <c r="AT75" i="2" a="1"/>
  <c r="AT75" i="2" s="1"/>
  <c r="AT76" i="2" a="1"/>
  <c r="AT76" i="2" s="1"/>
  <c r="AT74" i="2" a="1"/>
  <c r="AT74" i="2" s="1"/>
  <c r="AT73" i="2" a="1"/>
  <c r="AT73" i="2" s="1"/>
  <c r="AT71" i="2" a="1"/>
  <c r="AT71" i="2" s="1"/>
  <c r="AT72" i="2" a="1"/>
  <c r="AT72" i="2" s="1"/>
  <c r="AT70" i="2" a="1"/>
  <c r="AT70" i="2" s="1"/>
  <c r="AT69" i="2" a="1"/>
  <c r="AT69" i="2" s="1"/>
  <c r="AT68" i="2" a="1"/>
  <c r="AT68" i="2" s="1"/>
  <c r="AT67" i="2" a="1"/>
  <c r="AT67" i="2" s="1"/>
  <c r="AT66" i="2" a="1"/>
  <c r="AT66" i="2" s="1"/>
  <c r="AT65" i="2" a="1"/>
  <c r="AT65" i="2" s="1"/>
  <c r="AT64" i="2" a="1"/>
  <c r="AT64" i="2" s="1"/>
  <c r="AT60" i="2" a="1"/>
  <c r="AT60" i="2" s="1"/>
  <c r="AT62" i="2" a="1"/>
  <c r="AT62" i="2" s="1"/>
  <c r="AT63" i="2" a="1"/>
  <c r="AT63" i="2" s="1"/>
  <c r="AT61" i="2" a="1"/>
  <c r="AT61" i="2" s="1"/>
  <c r="AT57" i="2" a="1"/>
  <c r="AT57" i="2" s="1"/>
  <c r="AT56" i="2" a="1"/>
  <c r="AT56" i="2" s="1"/>
  <c r="AT58" i="2" a="1"/>
  <c r="AT58" i="2" s="1"/>
  <c r="AT59" i="2" a="1"/>
  <c r="AT59" i="2" s="1"/>
  <c r="AT49" i="2" a="1"/>
  <c r="AT49" i="2" s="1"/>
  <c r="AT48" i="2" a="1"/>
  <c r="AT48" i="2" s="1"/>
  <c r="AT54" i="2" a="1"/>
  <c r="AT54" i="2" s="1"/>
  <c r="AT53" i="2" a="1"/>
  <c r="AT53" i="2" s="1"/>
  <c r="AT52" i="2" a="1"/>
  <c r="AT52" i="2" s="1"/>
  <c r="AT51" i="2" a="1"/>
  <c r="AT51" i="2" s="1"/>
  <c r="AT50" i="2" a="1"/>
  <c r="AT50" i="2" s="1"/>
  <c r="AT55" i="2" a="1"/>
  <c r="AT55" i="2" s="1"/>
  <c r="AT44" i="2" a="1"/>
  <c r="AT44" i="2" s="1"/>
  <c r="AT42" i="2" a="1"/>
  <c r="AT42" i="2" s="1"/>
  <c r="AT43" i="2" a="1"/>
  <c r="AT43" i="2" s="1"/>
  <c r="AT46" i="2" a="1"/>
  <c r="AT46" i="2" s="1"/>
  <c r="AT45" i="2" a="1"/>
  <c r="AT45" i="2" s="1"/>
  <c r="AT41" i="2" a="1"/>
  <c r="AT41" i="2" s="1"/>
  <c r="AT47" i="2" a="1"/>
  <c r="AT47" i="2" s="1"/>
  <c r="AT37" i="2" a="1"/>
  <c r="AT37" i="2" s="1"/>
  <c r="AT34" i="2" a="1"/>
  <c r="AT34" i="2" s="1"/>
  <c r="AT36" i="2" a="1"/>
  <c r="AT36" i="2" s="1"/>
  <c r="AT39" i="2" a="1"/>
  <c r="AT39" i="2" s="1"/>
  <c r="AT35" i="2" a="1"/>
  <c r="AT35" i="2" s="1"/>
  <c r="AT38" i="2" a="1"/>
  <c r="AT38" i="2" s="1"/>
  <c r="AT40" i="2" a="1"/>
  <c r="AT40" i="2" s="1"/>
  <c r="AT32" i="2" a="1"/>
  <c r="AT32" i="2" s="1"/>
  <c r="AT29" i="2" a="1"/>
  <c r="AT29" i="2" s="1"/>
  <c r="AT28" i="2" a="1"/>
  <c r="AT28" i="2" s="1"/>
  <c r="AT26" i="2" a="1"/>
  <c r="AT26" i="2" s="1"/>
  <c r="AT27" i="2" a="1"/>
  <c r="AT27" i="2" s="1"/>
  <c r="AT30" i="2" a="1"/>
  <c r="AT30" i="2" s="1"/>
  <c r="AT31" i="2" a="1"/>
  <c r="AT31" i="2" s="1"/>
  <c r="AT33" i="2" a="1"/>
  <c r="AT33" i="2" s="1"/>
  <c r="AT17" i="2" a="1"/>
  <c r="AT17" i="2" s="1"/>
  <c r="AT25" i="2" a="1"/>
  <c r="AT25" i="2" s="1"/>
  <c r="AT24" i="2" a="1"/>
  <c r="AT24" i="2" s="1"/>
  <c r="AT23" i="2" a="1"/>
  <c r="AT23" i="2" s="1"/>
  <c r="AT22" i="2" a="1"/>
  <c r="AT22" i="2" s="1"/>
  <c r="AT21" i="2" a="1"/>
  <c r="AT21" i="2" s="1"/>
  <c r="AT20" i="2" a="1"/>
  <c r="AT20" i="2" s="1"/>
  <c r="AT19" i="2" a="1"/>
  <c r="AT19" i="2" s="1"/>
  <c r="AT16" i="2" a="1"/>
  <c r="AT16" i="2" s="1"/>
  <c r="AT18" i="2" a="1"/>
  <c r="AT18" i="2" s="1"/>
  <c r="AT15" i="2" a="1"/>
  <c r="AT15" i="2" s="1"/>
  <c r="AT13" i="2" a="1"/>
  <c r="AT13" i="2" s="1"/>
  <c r="AT12" i="2" a="1"/>
  <c r="AT12" i="2" s="1"/>
  <c r="AT8" i="2" a="1"/>
  <c r="AT8" i="2" s="1"/>
  <c r="AT11" i="2" a="1"/>
  <c r="AT11" i="2" s="1"/>
  <c r="AT10" i="2" a="1"/>
  <c r="AT10" i="2" s="1"/>
  <c r="AT14" i="2" a="1"/>
  <c r="AT14" i="2" s="1"/>
  <c r="AT9" i="2" a="1"/>
  <c r="AT9" i="2" s="1"/>
  <c r="AT7" i="2" a="1"/>
  <c r="AT7" i="2" s="1"/>
  <c r="AT4" i="2" a="1"/>
  <c r="AT4" i="2" s="1"/>
  <c r="AT5" i="2" a="1"/>
  <c r="AT5" i="2" s="1"/>
  <c r="AT6" i="2" a="1"/>
  <c r="AT6" i="2" s="1"/>
  <c r="CQ100" i="2" a="1"/>
  <c r="CQ100" i="2" s="1"/>
  <c r="CQ99" i="2" a="1"/>
  <c r="CQ99" i="2" s="1"/>
  <c r="CQ103" i="2" a="1"/>
  <c r="CQ103" i="2" s="1"/>
  <c r="CQ102" i="2" a="1"/>
  <c r="CQ102" i="2" s="1"/>
  <c r="CQ101" i="2" a="1"/>
  <c r="CQ101" i="2" s="1"/>
  <c r="CQ98" i="2" a="1"/>
  <c r="CQ98" i="2" s="1"/>
  <c r="CQ97" i="2" a="1"/>
  <c r="CQ97" i="2" s="1"/>
  <c r="CQ96" i="2" a="1"/>
  <c r="CQ96" i="2" s="1"/>
  <c r="CQ93" i="2" a="1"/>
  <c r="CQ93" i="2" s="1"/>
  <c r="CQ92" i="2" a="1"/>
  <c r="CQ92" i="2" s="1"/>
  <c r="CQ91" i="2" a="1"/>
  <c r="CQ91" i="2" s="1"/>
  <c r="CQ95" i="2" a="1"/>
  <c r="CQ95" i="2" s="1"/>
  <c r="CQ94" i="2" a="1"/>
  <c r="CQ94" i="2" s="1"/>
  <c r="CQ88" i="2" a="1"/>
  <c r="CQ88" i="2" s="1"/>
  <c r="CQ90" i="2" a="1"/>
  <c r="CQ90" i="2" s="1"/>
  <c r="CQ89" i="2" a="1"/>
  <c r="CQ89" i="2" s="1"/>
  <c r="CQ85" i="2" a="1"/>
  <c r="CQ85" i="2" s="1"/>
  <c r="CQ84" i="2" a="1"/>
  <c r="CQ84" i="2" s="1"/>
  <c r="CQ86" i="2" a="1"/>
  <c r="CQ86" i="2" s="1"/>
  <c r="CQ87" i="2" a="1"/>
  <c r="CQ87" i="2" s="1"/>
  <c r="CQ81" i="2" a="1"/>
  <c r="CQ81" i="2" s="1"/>
  <c r="CQ80" i="2" a="1"/>
  <c r="CQ80" i="2" s="1"/>
  <c r="CQ83" i="2" a="1"/>
  <c r="CQ83" i="2" s="1"/>
  <c r="CQ82" i="2" a="1"/>
  <c r="CQ82" i="2" s="1"/>
  <c r="CQ75" i="2" a="1"/>
  <c r="CQ75" i="2" s="1"/>
  <c r="CQ79" i="2" a="1"/>
  <c r="CQ79" i="2" s="1"/>
  <c r="CQ76" i="2" a="1"/>
  <c r="CQ76" i="2" s="1"/>
  <c r="CQ77" i="2" a="1"/>
  <c r="CQ77" i="2" s="1"/>
  <c r="CQ78" i="2" a="1"/>
  <c r="CQ78" i="2" s="1"/>
  <c r="CQ72" i="2" a="1"/>
  <c r="CQ72" i="2" s="1"/>
  <c r="CQ74" i="2" a="1"/>
  <c r="CQ74" i="2" s="1"/>
  <c r="CQ73" i="2" a="1"/>
  <c r="CQ73" i="2" s="1"/>
  <c r="CQ69" i="2" a="1"/>
  <c r="CQ69" i="2" s="1"/>
  <c r="CQ68" i="2" a="1"/>
  <c r="CQ68" i="2" s="1"/>
  <c r="CQ71" i="2" a="1"/>
  <c r="CQ71" i="2" s="1"/>
  <c r="CQ70" i="2" a="1"/>
  <c r="CQ70" i="2" s="1"/>
  <c r="CQ65" i="2" a="1"/>
  <c r="CQ65" i="2" s="1"/>
  <c r="CQ64" i="2" a="1"/>
  <c r="CQ64" i="2" s="1"/>
  <c r="CQ63" i="2" a="1"/>
  <c r="CQ63" i="2" s="1"/>
  <c r="CQ66" i="2" a="1"/>
  <c r="CQ66" i="2" s="1"/>
  <c r="CQ67" i="2" a="1"/>
  <c r="CQ67" i="2" s="1"/>
  <c r="CQ62" i="2" a="1"/>
  <c r="CQ62" i="2" s="1"/>
  <c r="CQ61" i="2" a="1"/>
  <c r="CQ61" i="2" s="1"/>
  <c r="CQ60" i="2" a="1"/>
  <c r="CQ60" i="2" s="1"/>
  <c r="CQ57" i="2" a="1"/>
  <c r="CQ57" i="2" s="1"/>
  <c r="CQ59" i="2" a="1"/>
  <c r="CQ59" i="2" s="1"/>
  <c r="CQ56" i="2" a="1"/>
  <c r="CQ56" i="2" s="1"/>
  <c r="CQ58" i="2" a="1"/>
  <c r="CQ58" i="2" s="1"/>
  <c r="CQ53" i="2" a="1"/>
  <c r="CQ53" i="2" s="1"/>
  <c r="CQ55" i="2" a="1"/>
  <c r="CQ55" i="2" s="1"/>
  <c r="CQ51" i="2" a="1"/>
  <c r="CQ51" i="2" s="1"/>
  <c r="CQ50" i="2" a="1"/>
  <c r="CQ50" i="2" s="1"/>
  <c r="CQ49" i="2" a="1"/>
  <c r="CQ49" i="2" s="1"/>
  <c r="CQ54" i="2" a="1"/>
  <c r="CQ54" i="2" s="1"/>
  <c r="CQ52" i="2" a="1"/>
  <c r="CQ52" i="2" s="1"/>
  <c r="CQ48" i="2" a="1"/>
  <c r="CQ48" i="2" s="1"/>
  <c r="CQ47" i="2" a="1"/>
  <c r="CQ47" i="2" s="1"/>
  <c r="CQ41" i="2" a="1"/>
  <c r="CQ41" i="2" s="1"/>
  <c r="CQ40" i="2" a="1"/>
  <c r="CQ40" i="2" s="1"/>
  <c r="CQ44" i="2" a="1"/>
  <c r="CQ44" i="2" s="1"/>
  <c r="CQ43" i="2" a="1"/>
  <c r="CQ43" i="2" s="1"/>
  <c r="CQ46" i="2" a="1"/>
  <c r="CQ46" i="2" s="1"/>
  <c r="CQ42" i="2" a="1"/>
  <c r="CQ42" i="2" s="1"/>
  <c r="CQ45" i="2" a="1"/>
  <c r="CQ45" i="2" s="1"/>
  <c r="CQ34" i="2" a="1"/>
  <c r="CQ34" i="2" s="1"/>
  <c r="CQ36" i="2" a="1"/>
  <c r="CQ36" i="2" s="1"/>
  <c r="CQ39" i="2" a="1"/>
  <c r="CQ39" i="2" s="1"/>
  <c r="CQ35" i="2" a="1"/>
  <c r="CQ35" i="2" s="1"/>
  <c r="CQ38" i="2" a="1"/>
  <c r="CQ38" i="2" s="1"/>
  <c r="CQ33" i="2" a="1"/>
  <c r="CQ33" i="2" s="1"/>
  <c r="CQ37" i="2" a="1"/>
  <c r="CQ37" i="2" s="1"/>
  <c r="CQ27" i="2" a="1"/>
  <c r="CQ27" i="2" s="1"/>
  <c r="CQ26" i="2" a="1"/>
  <c r="CQ26" i="2" s="1"/>
  <c r="CQ30" i="2" a="1"/>
  <c r="CQ30" i="2" s="1"/>
  <c r="CQ25" i="2" a="1"/>
  <c r="CQ25" i="2" s="1"/>
  <c r="CQ31" i="2" a="1"/>
  <c r="CQ31" i="2" s="1"/>
  <c r="CQ29" i="2" a="1"/>
  <c r="CQ29" i="2" s="1"/>
  <c r="CQ32" i="2" a="1"/>
  <c r="CQ32" i="2" s="1"/>
  <c r="CQ28" i="2" a="1"/>
  <c r="CQ28" i="2" s="1"/>
  <c r="CQ17" i="2" a="1"/>
  <c r="CQ17" i="2" s="1"/>
  <c r="CQ15" i="2" a="1"/>
  <c r="CQ15" i="2" s="1"/>
  <c r="CQ24" i="2" a="1"/>
  <c r="CQ24" i="2" s="1"/>
  <c r="CQ23" i="2" a="1"/>
  <c r="CQ23" i="2" s="1"/>
  <c r="CQ22" i="2" a="1"/>
  <c r="CQ22" i="2" s="1"/>
  <c r="CQ21" i="2" a="1"/>
  <c r="CQ21" i="2" s="1"/>
  <c r="CQ20" i="2" a="1"/>
  <c r="CQ20" i="2" s="1"/>
  <c r="CQ19" i="2" a="1"/>
  <c r="CQ19" i="2" s="1"/>
  <c r="CQ18" i="2" a="1"/>
  <c r="CQ18" i="2" s="1"/>
  <c r="CQ16" i="2" a="1"/>
  <c r="CQ16" i="2" s="1"/>
  <c r="CQ9" i="2" a="1"/>
  <c r="CQ9" i="2" s="1"/>
  <c r="CQ14" i="2" a="1"/>
  <c r="CQ14" i="2" s="1"/>
  <c r="CQ13" i="2" a="1"/>
  <c r="CQ13" i="2" s="1"/>
  <c r="CQ8" i="2" a="1"/>
  <c r="CQ8" i="2" s="1"/>
  <c r="CQ12" i="2" a="1"/>
  <c r="CQ12" i="2" s="1"/>
  <c r="CQ11" i="2" a="1"/>
  <c r="CQ11" i="2" s="1"/>
  <c r="CQ10" i="2" a="1"/>
  <c r="CQ10" i="2" s="1"/>
  <c r="CQ5" i="2" a="1"/>
  <c r="CQ5" i="2" s="1"/>
  <c r="CQ6" i="2" a="1"/>
  <c r="CQ6" i="2" s="1"/>
  <c r="CQ4" i="2" a="1"/>
  <c r="CQ4" i="2" s="1"/>
  <c r="CQ7" i="2" a="1"/>
  <c r="CQ7" i="2" s="1"/>
  <c r="X101" i="2" a="1"/>
  <c r="X101" i="2" s="1"/>
  <c r="X100" i="2" a="1"/>
  <c r="X100" i="2" s="1"/>
  <c r="X103" i="2" a="1"/>
  <c r="X103" i="2" s="1"/>
  <c r="X102" i="2" a="1"/>
  <c r="X102" i="2" s="1"/>
  <c r="X99" i="2" a="1"/>
  <c r="X99" i="2" s="1"/>
  <c r="X97" i="2" a="1"/>
  <c r="X97" i="2" s="1"/>
  <c r="X98" i="2" a="1"/>
  <c r="X98" i="2" s="1"/>
  <c r="X96" i="2" a="1"/>
  <c r="X96" i="2" s="1"/>
  <c r="X95" i="2" a="1"/>
  <c r="X95" i="2" s="1"/>
  <c r="X94" i="2" a="1"/>
  <c r="X94" i="2" s="1"/>
  <c r="X93" i="2" a="1"/>
  <c r="X93" i="2" s="1"/>
  <c r="X92" i="2" a="1"/>
  <c r="X92" i="2" s="1"/>
  <c r="X91" i="2" a="1"/>
  <c r="X91" i="2" s="1"/>
  <c r="X90" i="2" a="1"/>
  <c r="X90" i="2" s="1"/>
  <c r="X89" i="2" a="1"/>
  <c r="X89" i="2" s="1"/>
  <c r="X88" i="2" a="1"/>
  <c r="X88" i="2" s="1"/>
  <c r="X87" i="2" a="1"/>
  <c r="X87" i="2" s="1"/>
  <c r="X86" i="2" a="1"/>
  <c r="X86" i="2" s="1"/>
  <c r="X84" i="2" a="1"/>
  <c r="X84" i="2" s="1"/>
  <c r="X85" i="2" a="1"/>
  <c r="X85" i="2" s="1"/>
  <c r="X82" i="2" a="1"/>
  <c r="X82" i="2" s="1"/>
  <c r="X81" i="2" a="1"/>
  <c r="X81" i="2" s="1"/>
  <c r="X83" i="2" a="1"/>
  <c r="X83" i="2" s="1"/>
  <c r="X80" i="2" a="1"/>
  <c r="X80" i="2" s="1"/>
  <c r="X78" i="2" a="1"/>
  <c r="X78" i="2" s="1"/>
  <c r="X79" i="2" a="1"/>
  <c r="X79" i="2" s="1"/>
  <c r="X77" i="2" a="1"/>
  <c r="X77" i="2" s="1"/>
  <c r="X72" i="2" a="1"/>
  <c r="X72" i="2" s="1"/>
  <c r="X76" i="2" a="1"/>
  <c r="X76" i="2" s="1"/>
  <c r="X74" i="2" a="1"/>
  <c r="X74" i="2" s="1"/>
  <c r="X75" i="2" a="1"/>
  <c r="X75" i="2" s="1"/>
  <c r="X73" i="2" a="1"/>
  <c r="X73" i="2" s="1"/>
  <c r="X69" i="2" a="1"/>
  <c r="X69" i="2" s="1"/>
  <c r="X71" i="2" a="1"/>
  <c r="X71" i="2" s="1"/>
  <c r="X70" i="2" a="1"/>
  <c r="X70" i="2" s="1"/>
  <c r="X67" i="2" a="1"/>
  <c r="X67" i="2" s="1"/>
  <c r="X66" i="2" a="1"/>
  <c r="X66" i="2" s="1"/>
  <c r="X64" i="2" a="1"/>
  <c r="X64" i="2" s="1"/>
  <c r="X68" i="2" a="1"/>
  <c r="X68" i="2" s="1"/>
  <c r="X65" i="2" a="1"/>
  <c r="X65" i="2" s="1"/>
  <c r="X63" i="2" a="1"/>
  <c r="X63" i="2" s="1"/>
  <c r="X61" i="2" a="1"/>
  <c r="X61" i="2" s="1"/>
  <c r="X60" i="2" a="1"/>
  <c r="X60" i="2" s="1"/>
  <c r="X62" i="2" a="1"/>
  <c r="X62" i="2" s="1"/>
  <c r="X59" i="2" a="1"/>
  <c r="X59" i="2" s="1"/>
  <c r="X58" i="2" a="1"/>
  <c r="X58" i="2" s="1"/>
  <c r="X57" i="2" a="1"/>
  <c r="X57" i="2" s="1"/>
  <c r="X51" i="2" a="1"/>
  <c r="X51" i="2" s="1"/>
  <c r="X53" i="2" a="1"/>
  <c r="X53" i="2" s="1"/>
  <c r="X50" i="2" a="1"/>
  <c r="X50" i="2" s="1"/>
  <c r="X56" i="2" a="1"/>
  <c r="X56" i="2" s="1"/>
  <c r="X55" i="2" a="1"/>
  <c r="X55" i="2" s="1"/>
  <c r="X49" i="2" a="1"/>
  <c r="X49" i="2" s="1"/>
  <c r="X54" i="2" a="1"/>
  <c r="X54" i="2" s="1"/>
  <c r="X52" i="2" a="1"/>
  <c r="X52" i="2" s="1"/>
  <c r="X47" i="2" a="1"/>
  <c r="X47" i="2" s="1"/>
  <c r="X40" i="2" a="1"/>
  <c r="X40" i="2" s="1"/>
  <c r="X48" i="2" a="1"/>
  <c r="X48" i="2" s="1"/>
  <c r="X44" i="2" a="1"/>
  <c r="X44" i="2" s="1"/>
  <c r="X42" i="2" a="1"/>
  <c r="X42" i="2" s="1"/>
  <c r="X46" i="2" a="1"/>
  <c r="X46" i="2" s="1"/>
  <c r="X43" i="2" a="1"/>
  <c r="X43" i="2" s="1"/>
  <c r="X45" i="2" a="1"/>
  <c r="X45" i="2" s="1"/>
  <c r="X41" i="2" a="1"/>
  <c r="X41" i="2" s="1"/>
  <c r="X36" i="2" a="1"/>
  <c r="X36" i="2" s="1"/>
  <c r="X39" i="2" a="1"/>
  <c r="X39" i="2" s="1"/>
  <c r="X35" i="2" a="1"/>
  <c r="X35" i="2" s="1"/>
  <c r="X38" i="2" a="1"/>
  <c r="X38" i="2" s="1"/>
  <c r="X37" i="2" a="1"/>
  <c r="X37" i="2" s="1"/>
  <c r="X30" i="2" a="1"/>
  <c r="X30" i="2" s="1"/>
  <c r="X26" i="2" a="1"/>
  <c r="X26" i="2" s="1"/>
  <c r="X25" i="2" a="1"/>
  <c r="X25" i="2" s="1"/>
  <c r="X34" i="2" a="1"/>
  <c r="X34" i="2" s="1"/>
  <c r="X31" i="2" a="1"/>
  <c r="X31" i="2" s="1"/>
  <c r="X32" i="2" a="1"/>
  <c r="X32" i="2" s="1"/>
  <c r="X29" i="2" a="1"/>
  <c r="X29" i="2" s="1"/>
  <c r="X28" i="2" a="1"/>
  <c r="X28" i="2" s="1"/>
  <c r="X33" i="2" a="1"/>
  <c r="X33" i="2" s="1"/>
  <c r="X27" i="2" a="1"/>
  <c r="X27" i="2" s="1"/>
  <c r="X18" i="2" a="1"/>
  <c r="X18" i="2" s="1"/>
  <c r="X24" i="2" a="1"/>
  <c r="X24" i="2" s="1"/>
  <c r="X23" i="2" a="1"/>
  <c r="X23" i="2" s="1"/>
  <c r="X22" i="2" a="1"/>
  <c r="X22" i="2" s="1"/>
  <c r="X21" i="2" a="1"/>
  <c r="X21" i="2" s="1"/>
  <c r="X20" i="2" a="1"/>
  <c r="X20" i="2" s="1"/>
  <c r="X19" i="2" a="1"/>
  <c r="X19" i="2" s="1"/>
  <c r="X16" i="2" a="1"/>
  <c r="X16" i="2" s="1"/>
  <c r="X17" i="2" a="1"/>
  <c r="X17" i="2" s="1"/>
  <c r="X12" i="2" a="1"/>
  <c r="X12" i="2" s="1"/>
  <c r="X8" i="2" a="1"/>
  <c r="X8" i="2" s="1"/>
  <c r="X11" i="2" a="1"/>
  <c r="X11" i="2" s="1"/>
  <c r="X10" i="2" a="1"/>
  <c r="X10" i="2" s="1"/>
  <c r="X15" i="2" a="1"/>
  <c r="X15" i="2" s="1"/>
  <c r="X14" i="2" a="1"/>
  <c r="X14" i="2" s="1"/>
  <c r="X9" i="2" a="1"/>
  <c r="X9" i="2" s="1"/>
  <c r="X13" i="2" a="1"/>
  <c r="X13" i="2" s="1"/>
  <c r="X6" i="2" a="1"/>
  <c r="X6" i="2" s="1"/>
  <c r="X5" i="2" a="1"/>
  <c r="X5" i="2" s="1"/>
  <c r="X7" i="2" a="1"/>
  <c r="X7" i="2" s="1"/>
  <c r="X4" i="2" a="1"/>
  <c r="X4" i="2" s="1"/>
  <c r="AK103" i="2" a="1"/>
  <c r="AK103" i="2" s="1"/>
  <c r="AK102" i="2" a="1"/>
  <c r="AK102" i="2" s="1"/>
  <c r="AK101" i="2" a="1"/>
  <c r="AK101" i="2" s="1"/>
  <c r="AK100" i="2" a="1"/>
  <c r="AK100" i="2" s="1"/>
  <c r="AK99" i="2" a="1"/>
  <c r="AK99" i="2" s="1"/>
  <c r="AK96" i="2" a="1"/>
  <c r="AK96" i="2" s="1"/>
  <c r="AK98" i="2" a="1"/>
  <c r="AK98" i="2" s="1"/>
  <c r="AK97" i="2" a="1"/>
  <c r="AK97" i="2" s="1"/>
  <c r="AK93" i="2" a="1"/>
  <c r="AK93" i="2" s="1"/>
  <c r="AK92" i="2" a="1"/>
  <c r="AK92" i="2" s="1"/>
  <c r="AK94" i="2" a="1"/>
  <c r="AK94" i="2" s="1"/>
  <c r="AK95" i="2" a="1"/>
  <c r="AK95" i="2" s="1"/>
  <c r="AK90" i="2" a="1"/>
  <c r="AK90" i="2" s="1"/>
  <c r="AK89" i="2" a="1"/>
  <c r="AK89" i="2" s="1"/>
  <c r="AK88" i="2" a="1"/>
  <c r="AK88" i="2" s="1"/>
  <c r="AK91" i="2" a="1"/>
  <c r="AK91" i="2" s="1"/>
  <c r="AK85" i="2" a="1"/>
  <c r="AK85" i="2" s="1"/>
  <c r="AK84" i="2" a="1"/>
  <c r="AK84" i="2" s="1"/>
  <c r="AK87" i="2" a="1"/>
  <c r="AK87" i="2" s="1"/>
  <c r="AK86" i="2" a="1"/>
  <c r="AK86" i="2" s="1"/>
  <c r="AK83" i="2" a="1"/>
  <c r="AK83" i="2" s="1"/>
  <c r="AK82" i="2" a="1"/>
  <c r="AK82" i="2" s="1"/>
  <c r="AK81" i="2" a="1"/>
  <c r="AK81" i="2" s="1"/>
  <c r="AK79" i="2" a="1"/>
  <c r="AK79" i="2" s="1"/>
  <c r="AK77" i="2" a="1"/>
  <c r="AK77" i="2" s="1"/>
  <c r="AK80" i="2" a="1"/>
  <c r="AK80" i="2" s="1"/>
  <c r="AK78" i="2" a="1"/>
  <c r="AK78" i="2" s="1"/>
  <c r="AK75" i="2" a="1"/>
  <c r="AK75" i="2" s="1"/>
  <c r="AK74" i="2" a="1"/>
  <c r="AK74" i="2" s="1"/>
  <c r="AK73" i="2" a="1"/>
  <c r="AK73" i="2" s="1"/>
  <c r="AK76" i="2" a="1"/>
  <c r="AK76" i="2" s="1"/>
  <c r="AK71" i="2" a="1"/>
  <c r="AK71" i="2" s="1"/>
  <c r="AK72" i="2" a="1"/>
  <c r="AK72" i="2" s="1"/>
  <c r="AK70" i="2" a="1"/>
  <c r="AK70" i="2" s="1"/>
  <c r="AK69" i="2" a="1"/>
  <c r="AK69" i="2" s="1"/>
  <c r="AK65" i="2" a="1"/>
  <c r="AK65" i="2" s="1"/>
  <c r="AK68" i="2" a="1"/>
  <c r="AK68" i="2" s="1"/>
  <c r="AK67" i="2" a="1"/>
  <c r="AK67" i="2" s="1"/>
  <c r="AK66" i="2" a="1"/>
  <c r="AK66" i="2" s="1"/>
  <c r="AK64" i="2" a="1"/>
  <c r="AK64" i="2" s="1"/>
  <c r="AK60" i="2" a="1"/>
  <c r="AK60" i="2" s="1"/>
  <c r="AK62" i="2" a="1"/>
  <c r="AK62" i="2" s="1"/>
  <c r="AK63" i="2" a="1"/>
  <c r="AK63" i="2" s="1"/>
  <c r="AK61" i="2" a="1"/>
  <c r="AK61" i="2" s="1"/>
  <c r="AK57" i="2" a="1"/>
  <c r="AK57" i="2" s="1"/>
  <c r="AK56" i="2" a="1"/>
  <c r="AK56" i="2" s="1"/>
  <c r="AK58" i="2" a="1"/>
  <c r="AK58" i="2" s="1"/>
  <c r="AK59" i="2" a="1"/>
  <c r="AK59" i="2" s="1"/>
  <c r="AK54" i="2" a="1"/>
  <c r="AK54" i="2" s="1"/>
  <c r="AK52" i="2" a="1"/>
  <c r="AK52" i="2" s="1"/>
  <c r="AK53" i="2" a="1"/>
  <c r="AK53" i="2" s="1"/>
  <c r="AK51" i="2" a="1"/>
  <c r="AK51" i="2" s="1"/>
  <c r="AK50" i="2" a="1"/>
  <c r="AK50" i="2" s="1"/>
  <c r="AK55" i="2" a="1"/>
  <c r="AK55" i="2" s="1"/>
  <c r="AK49" i="2" a="1"/>
  <c r="AK49" i="2" s="1"/>
  <c r="AK44" i="2" a="1"/>
  <c r="AK44" i="2" s="1"/>
  <c r="AK42" i="2" a="1"/>
  <c r="AK42" i="2" s="1"/>
  <c r="AK43" i="2" a="1"/>
  <c r="AK43" i="2" s="1"/>
  <c r="AK46" i="2" a="1"/>
  <c r="AK46" i="2" s="1"/>
  <c r="AK45" i="2" a="1"/>
  <c r="AK45" i="2" s="1"/>
  <c r="AK41" i="2" a="1"/>
  <c r="AK41" i="2" s="1"/>
  <c r="AK48" i="2" a="1"/>
  <c r="AK48" i="2" s="1"/>
  <c r="AK47" i="2" a="1"/>
  <c r="AK47" i="2" s="1"/>
  <c r="AK34" i="2" a="1"/>
  <c r="AK34" i="2" s="1"/>
  <c r="AK37" i="2" a="1"/>
  <c r="AK37" i="2" s="1"/>
  <c r="AK36" i="2" a="1"/>
  <c r="AK36" i="2" s="1"/>
  <c r="AK40" i="2" a="1"/>
  <c r="AK40" i="2" s="1"/>
  <c r="AK39" i="2" a="1"/>
  <c r="AK39" i="2" s="1"/>
  <c r="AK38" i="2" a="1"/>
  <c r="AK38" i="2" s="1"/>
  <c r="AK35" i="2" a="1"/>
  <c r="AK35" i="2" s="1"/>
  <c r="AK29" i="2" a="1"/>
  <c r="AK29" i="2" s="1"/>
  <c r="AK32" i="2" a="1"/>
  <c r="AK32" i="2" s="1"/>
  <c r="AK26" i="2" a="1"/>
  <c r="AK26" i="2" s="1"/>
  <c r="AK28" i="2" a="1"/>
  <c r="AK28" i="2" s="1"/>
  <c r="AK27" i="2" a="1"/>
  <c r="AK27" i="2" s="1"/>
  <c r="AK33" i="2" a="1"/>
  <c r="AK33" i="2" s="1"/>
  <c r="AK30" i="2" a="1"/>
  <c r="AK30" i="2" s="1"/>
  <c r="AK31" i="2" a="1"/>
  <c r="AK31" i="2" s="1"/>
  <c r="AK24" i="2" a="1"/>
  <c r="AK24" i="2" s="1"/>
  <c r="AK23" i="2" a="1"/>
  <c r="AK23" i="2" s="1"/>
  <c r="AK22" i="2" a="1"/>
  <c r="AK22" i="2" s="1"/>
  <c r="AK21" i="2" a="1"/>
  <c r="AK21" i="2" s="1"/>
  <c r="AK20" i="2" a="1"/>
  <c r="AK20" i="2" s="1"/>
  <c r="AK19" i="2" a="1"/>
  <c r="AK19" i="2" s="1"/>
  <c r="AK25" i="2" a="1"/>
  <c r="AK25" i="2" s="1"/>
  <c r="AK18" i="2" a="1"/>
  <c r="AK18" i="2" s="1"/>
  <c r="AK17" i="2" a="1"/>
  <c r="AK17" i="2" s="1"/>
  <c r="AK16" i="2" a="1"/>
  <c r="AK16" i="2" s="1"/>
  <c r="AK14" i="2" a="1"/>
  <c r="AK14" i="2" s="1"/>
  <c r="AK15" i="2" a="1"/>
  <c r="AK15" i="2" s="1"/>
  <c r="AK13" i="2" a="1"/>
  <c r="AK13" i="2" s="1"/>
  <c r="AK12" i="2" a="1"/>
  <c r="AK12" i="2" s="1"/>
  <c r="AK11" i="2" a="1"/>
  <c r="AK11" i="2" s="1"/>
  <c r="AK10" i="2" a="1"/>
  <c r="AK10" i="2" s="1"/>
  <c r="AK9" i="2" a="1"/>
  <c r="AK9" i="2" s="1"/>
  <c r="AK5" i="2" a="1"/>
  <c r="AK5" i="2" s="1"/>
  <c r="AK7" i="2" a="1"/>
  <c r="AK7" i="2" s="1"/>
  <c r="AK4" i="2" a="1"/>
  <c r="AK4" i="2" s="1"/>
  <c r="AK8" i="2" a="1"/>
  <c r="AK8" i="2" s="1"/>
  <c r="AK6" i="2" a="1"/>
  <c r="AK6" i="2" s="1"/>
  <c r="CK99" i="2" a="1"/>
  <c r="CK99" i="2" s="1"/>
  <c r="CK103" i="2" a="1"/>
  <c r="CK103" i="2" s="1"/>
  <c r="CK102" i="2" a="1"/>
  <c r="CK102" i="2" s="1"/>
  <c r="CK101" i="2" a="1"/>
  <c r="CK101" i="2" s="1"/>
  <c r="CK100" i="2" a="1"/>
  <c r="CK100" i="2" s="1"/>
  <c r="CK96" i="2" a="1"/>
  <c r="CK96" i="2" s="1"/>
  <c r="CK95" i="2" a="1"/>
  <c r="CK95" i="2" s="1"/>
  <c r="CK97" i="2" a="1"/>
  <c r="CK97" i="2" s="1"/>
  <c r="CK98" i="2" a="1"/>
  <c r="CK98" i="2" s="1"/>
  <c r="CK92" i="2" a="1"/>
  <c r="CK92" i="2" s="1"/>
  <c r="CK94" i="2" a="1"/>
  <c r="CK94" i="2" s="1"/>
  <c r="CK93" i="2" a="1"/>
  <c r="CK93" i="2" s="1"/>
  <c r="CK90" i="2" a="1"/>
  <c r="CK90" i="2" s="1"/>
  <c r="CK89" i="2" a="1"/>
  <c r="CK89" i="2" s="1"/>
  <c r="CK91" i="2" a="1"/>
  <c r="CK91" i="2" s="1"/>
  <c r="CK88" i="2" a="1"/>
  <c r="CK88" i="2" s="1"/>
  <c r="CK85" i="2" a="1"/>
  <c r="CK85" i="2" s="1"/>
  <c r="CK84" i="2" a="1"/>
  <c r="CK84" i="2" s="1"/>
  <c r="CK87" i="2" a="1"/>
  <c r="CK87" i="2" s="1"/>
  <c r="CK86" i="2" a="1"/>
  <c r="CK86" i="2" s="1"/>
  <c r="CK80" i="2" a="1"/>
  <c r="CK80" i="2" s="1"/>
  <c r="CK82" i="2" a="1"/>
  <c r="CK82" i="2" s="1"/>
  <c r="CK83" i="2" a="1"/>
  <c r="CK83" i="2" s="1"/>
  <c r="CK81" i="2" a="1"/>
  <c r="CK81" i="2" s="1"/>
  <c r="CK79" i="2" a="1"/>
  <c r="CK79" i="2" s="1"/>
  <c r="CK77" i="2" a="1"/>
  <c r="CK77" i="2" s="1"/>
  <c r="CK76" i="2" a="1"/>
  <c r="CK76" i="2" s="1"/>
  <c r="CK78" i="2" a="1"/>
  <c r="CK78" i="2" s="1"/>
  <c r="CK75" i="2" a="1"/>
  <c r="CK75" i="2" s="1"/>
  <c r="CK73" i="2" a="1"/>
  <c r="CK73" i="2" s="1"/>
  <c r="CK72" i="2" a="1"/>
  <c r="CK72" i="2" s="1"/>
  <c r="CK71" i="2" a="1"/>
  <c r="CK71" i="2" s="1"/>
  <c r="CK74" i="2" a="1"/>
  <c r="CK74" i="2" s="1"/>
  <c r="CK68" i="2" a="1"/>
  <c r="CK68" i="2" s="1"/>
  <c r="CK70" i="2" a="1"/>
  <c r="CK70" i="2" s="1"/>
  <c r="CK69" i="2" a="1"/>
  <c r="CK69" i="2" s="1"/>
  <c r="CK64" i="2" a="1"/>
  <c r="CK64" i="2" s="1"/>
  <c r="CK66" i="2" a="1"/>
  <c r="CK66" i="2" s="1"/>
  <c r="CK67" i="2" a="1"/>
  <c r="CK67" i="2" s="1"/>
  <c r="CK65" i="2" a="1"/>
  <c r="CK65" i="2" s="1"/>
  <c r="CK62" i="2" a="1"/>
  <c r="CK62" i="2" s="1"/>
  <c r="CK61" i="2" a="1"/>
  <c r="CK61" i="2" s="1"/>
  <c r="CK63" i="2" a="1"/>
  <c r="CK63" i="2" s="1"/>
  <c r="CK60" i="2" a="1"/>
  <c r="CK60" i="2" s="1"/>
  <c r="CK59" i="2" a="1"/>
  <c r="CK59" i="2" s="1"/>
  <c r="CK58" i="2" a="1"/>
  <c r="CK58" i="2" s="1"/>
  <c r="CK57" i="2" a="1"/>
  <c r="CK57" i="2" s="1"/>
  <c r="CK55" i="2" a="1"/>
  <c r="CK55" i="2" s="1"/>
  <c r="CK56" i="2" a="1"/>
  <c r="CK56" i="2" s="1"/>
  <c r="CK51" i="2" a="1"/>
  <c r="CK51" i="2" s="1"/>
  <c r="CK50" i="2" a="1"/>
  <c r="CK50" i="2" s="1"/>
  <c r="CK49" i="2" a="1"/>
  <c r="CK49" i="2" s="1"/>
  <c r="CK54" i="2" a="1"/>
  <c r="CK54" i="2" s="1"/>
  <c r="CK52" i="2" a="1"/>
  <c r="CK52" i="2" s="1"/>
  <c r="CK48" i="2" a="1"/>
  <c r="CK48" i="2" s="1"/>
  <c r="CK53" i="2" a="1"/>
  <c r="CK53" i="2" s="1"/>
  <c r="CK40" i="2" a="1"/>
  <c r="CK40" i="2" s="1"/>
  <c r="CK44" i="2" a="1"/>
  <c r="CK44" i="2" s="1"/>
  <c r="CK43" i="2" a="1"/>
  <c r="CK43" i="2" s="1"/>
  <c r="CK46" i="2" a="1"/>
  <c r="CK46" i="2" s="1"/>
  <c r="CK42" i="2" a="1"/>
  <c r="CK42" i="2" s="1"/>
  <c r="CK45" i="2" a="1"/>
  <c r="CK45" i="2" s="1"/>
  <c r="CK41" i="2" a="1"/>
  <c r="CK41" i="2" s="1"/>
  <c r="CK47" i="2" a="1"/>
  <c r="CK47" i="2" s="1"/>
  <c r="CK36" i="2" a="1"/>
  <c r="CK36" i="2" s="1"/>
  <c r="CK39" i="2" a="1"/>
  <c r="CK39" i="2" s="1"/>
  <c r="CK35" i="2" a="1"/>
  <c r="CK35" i="2" s="1"/>
  <c r="CK33" i="2" a="1"/>
  <c r="CK33" i="2" s="1"/>
  <c r="CK38" i="2" a="1"/>
  <c r="CK38" i="2" s="1"/>
  <c r="CK37" i="2" a="1"/>
  <c r="CK37" i="2" s="1"/>
  <c r="CK34" i="2" a="1"/>
  <c r="CK34" i="2" s="1"/>
  <c r="CK30" i="2" a="1"/>
  <c r="CK30" i="2" s="1"/>
  <c r="CK29" i="2" a="1"/>
  <c r="CK29" i="2" s="1"/>
  <c r="CK28" i="2" a="1"/>
  <c r="CK28" i="2" s="1"/>
  <c r="CK32" i="2" a="1"/>
  <c r="CK32" i="2" s="1"/>
  <c r="CK27" i="2" a="1"/>
  <c r="CK27" i="2" s="1"/>
  <c r="CK26" i="2" a="1"/>
  <c r="CK26" i="2" s="1"/>
  <c r="CK31" i="2" a="1"/>
  <c r="CK31" i="2" s="1"/>
  <c r="CK25" i="2" a="1"/>
  <c r="CK25" i="2" s="1"/>
  <c r="CK17" i="2" a="1"/>
  <c r="CK17" i="2" s="1"/>
  <c r="CK16" i="2" a="1"/>
  <c r="CK16" i="2" s="1"/>
  <c r="CK24" i="2" a="1"/>
  <c r="CK24" i="2" s="1"/>
  <c r="CK23" i="2" a="1"/>
  <c r="CK23" i="2" s="1"/>
  <c r="CK22" i="2" a="1"/>
  <c r="CK22" i="2" s="1"/>
  <c r="CK21" i="2" a="1"/>
  <c r="CK21" i="2" s="1"/>
  <c r="CK20" i="2" a="1"/>
  <c r="CK20" i="2" s="1"/>
  <c r="CK19" i="2" a="1"/>
  <c r="CK19" i="2" s="1"/>
  <c r="CK18" i="2" a="1"/>
  <c r="CK18" i="2" s="1"/>
  <c r="CK13" i="2" a="1"/>
  <c r="CK13" i="2" s="1"/>
  <c r="CK8" i="2" a="1"/>
  <c r="CK8" i="2" s="1"/>
  <c r="CK12" i="2" a="1"/>
  <c r="CK12" i="2" s="1"/>
  <c r="CK10" i="2" a="1"/>
  <c r="CK10" i="2" s="1"/>
  <c r="CK11" i="2" a="1"/>
  <c r="CK11" i="2" s="1"/>
  <c r="CK9" i="2" a="1"/>
  <c r="CK9" i="2" s="1"/>
  <c r="CK15" i="2" a="1"/>
  <c r="CK15" i="2" s="1"/>
  <c r="CK14" i="2" a="1"/>
  <c r="CK14" i="2" s="1"/>
  <c r="CK5" i="2" a="1"/>
  <c r="CK5" i="2" s="1"/>
  <c r="CK6" i="2" a="1"/>
  <c r="CK6" i="2" s="1"/>
  <c r="CK7" i="2" a="1"/>
  <c r="CK7" i="2" s="1"/>
  <c r="CK4" i="2" a="1"/>
  <c r="CK4" i="2" s="1"/>
  <c r="E101" i="2" a="1"/>
  <c r="E101" i="2" s="1"/>
  <c r="E103" i="2" a="1"/>
  <c r="E103" i="2" s="1"/>
  <c r="E102" i="2" a="1"/>
  <c r="E102" i="2" s="1"/>
  <c r="E100" i="2" a="1"/>
  <c r="E100" i="2" s="1"/>
  <c r="E99" i="2" a="1"/>
  <c r="E99" i="2" s="1"/>
  <c r="E96" i="2" a="1"/>
  <c r="E96" i="2" s="1"/>
  <c r="E97" i="2" a="1"/>
  <c r="E97" i="2" s="1"/>
  <c r="E98" i="2" a="1"/>
  <c r="E98" i="2" s="1"/>
  <c r="E95" i="2" a="1"/>
  <c r="E95" i="2" s="1"/>
  <c r="E94" i="2" a="1"/>
  <c r="E94" i="2" s="1"/>
  <c r="E93" i="2" a="1"/>
  <c r="E93" i="2" s="1"/>
  <c r="E92" i="2" a="1"/>
  <c r="E92" i="2" s="1"/>
  <c r="E88" i="2" a="1"/>
  <c r="E88" i="2" s="1"/>
  <c r="E91" i="2" a="1"/>
  <c r="E91" i="2" s="1"/>
  <c r="E90" i="2" a="1"/>
  <c r="E90" i="2" s="1"/>
  <c r="E89" i="2" a="1"/>
  <c r="E89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E82" i="2" a="1"/>
  <c r="E82" i="2" s="1"/>
  <c r="E81" i="2" a="1"/>
  <c r="E81" i="2" s="1"/>
  <c r="E80" i="2" a="1"/>
  <c r="E80" i="2" s="1"/>
  <c r="E78" i="2" a="1"/>
  <c r="E78" i="2" s="1"/>
  <c r="E79" i="2" a="1"/>
  <c r="E79" i="2" s="1"/>
  <c r="E77" i="2" a="1"/>
  <c r="E77" i="2" s="1"/>
  <c r="E76" i="2" a="1"/>
  <c r="E76" i="2" s="1"/>
  <c r="E75" i="2" a="1"/>
  <c r="E75" i="2" s="1"/>
  <c r="E74" i="2" a="1"/>
  <c r="E74" i="2" s="1"/>
  <c r="E72" i="2" a="1"/>
  <c r="E72" i="2" s="1"/>
  <c r="E73" i="2" a="1"/>
  <c r="E73" i="2" s="1"/>
  <c r="E70" i="2" a="1"/>
  <c r="E70" i="2" s="1"/>
  <c r="E69" i="2" a="1"/>
  <c r="E69" i="2" s="1"/>
  <c r="E71" i="2" a="1"/>
  <c r="E71" i="2" s="1"/>
  <c r="E66" i="2" a="1"/>
  <c r="E66" i="2" s="1"/>
  <c r="E64" i="2" a="1"/>
  <c r="E64" i="2" s="1"/>
  <c r="E67" i="2" a="1"/>
  <c r="E67" i="2" s="1"/>
  <c r="E68" i="2" a="1"/>
  <c r="E68" i="2" s="1"/>
  <c r="E65" i="2" a="1"/>
  <c r="E65" i="2" s="1"/>
  <c r="E62" i="2" a="1"/>
  <c r="E62" i="2" s="1"/>
  <c r="E61" i="2" a="1"/>
  <c r="E61" i="2" s="1"/>
  <c r="E63" i="2" a="1"/>
  <c r="E63" i="2" s="1"/>
  <c r="E60" i="2" a="1"/>
  <c r="E60" i="2" s="1"/>
  <c r="E57" i="2" a="1"/>
  <c r="E57" i="2" s="1"/>
  <c r="E59" i="2" a="1"/>
  <c r="E59" i="2" s="1"/>
  <c r="E58" i="2" a="1"/>
  <c r="E58" i="2" s="1"/>
  <c r="E50" i="2" a="1"/>
  <c r="E50" i="2" s="1"/>
  <c r="E53" i="2" a="1"/>
  <c r="E53" i="2" s="1"/>
  <c r="E49" i="2" a="1"/>
  <c r="E49" i="2" s="1"/>
  <c r="E56" i="2" a="1"/>
  <c r="E56" i="2" s="1"/>
  <c r="E55" i="2" a="1"/>
  <c r="E55" i="2" s="1"/>
  <c r="E54" i="2" a="1"/>
  <c r="E54" i="2" s="1"/>
  <c r="E52" i="2" a="1"/>
  <c r="E52" i="2" s="1"/>
  <c r="E51" i="2" a="1"/>
  <c r="E51" i="2" s="1"/>
  <c r="E48" i="2" a="1"/>
  <c r="E48" i="2" s="1"/>
  <c r="E47" i="2" a="1"/>
  <c r="E47" i="2" s="1"/>
  <c r="E42" i="2" a="1"/>
  <c r="E42" i="2" s="1"/>
  <c r="E44" i="2" a="1"/>
  <c r="E44" i="2" s="1"/>
  <c r="E45" i="2" a="1"/>
  <c r="E45" i="2" s="1"/>
  <c r="E43" i="2" a="1"/>
  <c r="E43" i="2" s="1"/>
  <c r="E46" i="2" a="1"/>
  <c r="E46" i="2" s="1"/>
  <c r="E37" i="2" a="1"/>
  <c r="E37" i="2" s="1"/>
  <c r="E36" i="2" a="1"/>
  <c r="E36" i="2" s="1"/>
  <c r="E40" i="2" a="1"/>
  <c r="E40" i="2" s="1"/>
  <c r="E39" i="2" a="1"/>
  <c r="E39" i="2" s="1"/>
  <c r="E35" i="2" a="1"/>
  <c r="E35" i="2" s="1"/>
  <c r="E41" i="2" a="1"/>
  <c r="E41" i="2" s="1"/>
  <c r="E38" i="2" a="1"/>
  <c r="E38" i="2" s="1"/>
  <c r="E34" i="2" a="1"/>
  <c r="E34" i="2" s="1"/>
  <c r="E27" i="2" a="1"/>
  <c r="E27" i="2" s="1"/>
  <c r="E32" i="2" a="1"/>
  <c r="E32" i="2" s="1"/>
  <c r="E31" i="2" a="1"/>
  <c r="E31" i="2" s="1"/>
  <c r="E30" i="2" a="1"/>
  <c r="E30" i="2" s="1"/>
  <c r="E29" i="2" a="1"/>
  <c r="E29" i="2" s="1"/>
  <c r="E33" i="2" a="1"/>
  <c r="E33" i="2" s="1"/>
  <c r="E28" i="2" a="1"/>
  <c r="E28" i="2" s="1"/>
  <c r="E26" i="2" a="1"/>
  <c r="E26" i="2" s="1"/>
  <c r="E18" i="2" a="1"/>
  <c r="E18" i="2" s="1"/>
  <c r="E25" i="2" a="1"/>
  <c r="E25" i="2" s="1"/>
  <c r="E17" i="2" a="1"/>
  <c r="E17" i="2" s="1"/>
  <c r="E16" i="2" a="1"/>
  <c r="E16" i="2" s="1"/>
  <c r="E24" i="2" a="1"/>
  <c r="E24" i="2" s="1"/>
  <c r="E23" i="2" a="1"/>
  <c r="E23" i="2" s="1"/>
  <c r="E22" i="2" a="1"/>
  <c r="E22" i="2" s="1"/>
  <c r="E21" i="2" a="1"/>
  <c r="E21" i="2" s="1"/>
  <c r="E20" i="2" a="1"/>
  <c r="E20" i="2" s="1"/>
  <c r="E19" i="2" a="1"/>
  <c r="E19" i="2" s="1"/>
  <c r="E13" i="2" a="1"/>
  <c r="E13" i="2" s="1"/>
  <c r="E8" i="2" a="1"/>
  <c r="E8" i="2" s="1"/>
  <c r="E12" i="2" a="1"/>
  <c r="E12" i="2" s="1"/>
  <c r="E10" i="2" a="1"/>
  <c r="E10" i="2" s="1"/>
  <c r="E15" i="2" a="1"/>
  <c r="E15" i="2" s="1"/>
  <c r="E11" i="2" a="1"/>
  <c r="E11" i="2" s="1"/>
  <c r="E14" i="2" a="1"/>
  <c r="E14" i="2" s="1"/>
  <c r="E9" i="2" a="1"/>
  <c r="E9" i="2" s="1"/>
  <c r="E6" i="2" a="1"/>
  <c r="E6" i="2" s="1"/>
  <c r="E5" i="2" a="1"/>
  <c r="E5" i="2" s="1"/>
  <c r="E4" i="2" a="1"/>
  <c r="E4" i="2" s="1"/>
  <c r="E7" i="2" a="1"/>
  <c r="E7" i="2" s="1"/>
  <c r="Q103" i="2" a="1"/>
  <c r="Q103" i="2" s="1"/>
  <c r="Q102" i="2" a="1"/>
  <c r="Q102" i="2" s="1"/>
  <c r="Q101" i="2" a="1"/>
  <c r="Q101" i="2" s="1"/>
  <c r="Q100" i="2" a="1"/>
  <c r="Q100" i="2" s="1"/>
  <c r="Q98" i="2" a="1"/>
  <c r="Q98" i="2" s="1"/>
  <c r="Q96" i="2" a="1"/>
  <c r="Q96" i="2" s="1"/>
  <c r="Q99" i="2" a="1"/>
  <c r="Q99" i="2" s="1"/>
  <c r="Q97" i="2" a="1"/>
  <c r="Q97" i="2" s="1"/>
  <c r="Q95" i="2" a="1"/>
  <c r="Q95" i="2" s="1"/>
  <c r="Q94" i="2" a="1"/>
  <c r="Q94" i="2" s="1"/>
  <c r="Q93" i="2" a="1"/>
  <c r="Q93" i="2" s="1"/>
  <c r="Q91" i="2" a="1"/>
  <c r="Q91" i="2" s="1"/>
  <c r="Q90" i="2" a="1"/>
  <c r="Q90" i="2" s="1"/>
  <c r="Q92" i="2" a="1"/>
  <c r="Q92" i="2" s="1"/>
  <c r="Q89" i="2" a="1"/>
  <c r="Q89" i="2" s="1"/>
  <c r="Q88" i="2" a="1"/>
  <c r="Q88" i="2" s="1"/>
  <c r="Q86" i="2" a="1"/>
  <c r="Q86" i="2" s="1"/>
  <c r="Q84" i="2" a="1"/>
  <c r="Q84" i="2" s="1"/>
  <c r="Q85" i="2" a="1"/>
  <c r="Q85" i="2" s="1"/>
  <c r="Q87" i="2" a="1"/>
  <c r="Q87" i="2" s="1"/>
  <c r="Q83" i="2" a="1"/>
  <c r="Q83" i="2" s="1"/>
  <c r="Q82" i="2" a="1"/>
  <c r="Q82" i="2" s="1"/>
  <c r="Q81" i="2" a="1"/>
  <c r="Q81" i="2" s="1"/>
  <c r="Q80" i="2" a="1"/>
  <c r="Q80" i="2" s="1"/>
  <c r="Q78" i="2" a="1"/>
  <c r="Q78" i="2" s="1"/>
  <c r="Q79" i="2" a="1"/>
  <c r="Q79" i="2" s="1"/>
  <c r="Q77" i="2" a="1"/>
  <c r="Q77" i="2" s="1"/>
  <c r="Q72" i="2" a="1"/>
  <c r="Q72" i="2" s="1"/>
  <c r="Q74" i="2" a="1"/>
  <c r="Q74" i="2" s="1"/>
  <c r="Q73" i="2" a="1"/>
  <c r="Q73" i="2" s="1"/>
  <c r="Q75" i="2" a="1"/>
  <c r="Q75" i="2" s="1"/>
  <c r="Q76" i="2" a="1"/>
  <c r="Q76" i="2" s="1"/>
  <c r="Q71" i="2" a="1"/>
  <c r="Q71" i="2" s="1"/>
  <c r="Q70" i="2" a="1"/>
  <c r="Q70" i="2" s="1"/>
  <c r="Q69" i="2" a="1"/>
  <c r="Q69" i="2" s="1"/>
  <c r="Q65" i="2" a="1"/>
  <c r="Q65" i="2" s="1"/>
  <c r="Q68" i="2" a="1"/>
  <c r="Q68" i="2" s="1"/>
  <c r="Q66" i="2" a="1"/>
  <c r="Q66" i="2" s="1"/>
  <c r="Q67" i="2" a="1"/>
  <c r="Q67" i="2" s="1"/>
  <c r="Q64" i="2" a="1"/>
  <c r="Q64" i="2" s="1"/>
  <c r="Q60" i="2" a="1"/>
  <c r="Q60" i="2" s="1"/>
  <c r="Q63" i="2" a="1"/>
  <c r="Q63" i="2" s="1"/>
  <c r="Q62" i="2" a="1"/>
  <c r="Q62" i="2" s="1"/>
  <c r="Q61" i="2" a="1"/>
  <c r="Q61" i="2" s="1"/>
  <c r="Q58" i="2" a="1"/>
  <c r="Q58" i="2" s="1"/>
  <c r="Q57" i="2" a="1"/>
  <c r="Q57" i="2" s="1"/>
  <c r="Q59" i="2" a="1"/>
  <c r="Q59" i="2" s="1"/>
  <c r="Q56" i="2" a="1"/>
  <c r="Q56" i="2" s="1"/>
  <c r="Q55" i="2" a="1"/>
  <c r="Q55" i="2" s="1"/>
  <c r="Q49" i="2" a="1"/>
  <c r="Q49" i="2" s="1"/>
  <c r="Q48" i="2" a="1"/>
  <c r="Q48" i="2" s="1"/>
  <c r="Q54" i="2" a="1"/>
  <c r="Q54" i="2" s="1"/>
  <c r="Q52" i="2" a="1"/>
  <c r="Q52" i="2" s="1"/>
  <c r="Q51" i="2" a="1"/>
  <c r="Q51" i="2" s="1"/>
  <c r="Q53" i="2" a="1"/>
  <c r="Q53" i="2" s="1"/>
  <c r="Q50" i="2" a="1"/>
  <c r="Q50" i="2" s="1"/>
  <c r="Q42" i="2" a="1"/>
  <c r="Q42" i="2" s="1"/>
  <c r="Q44" i="2" a="1"/>
  <c r="Q44" i="2" s="1"/>
  <c r="Q45" i="2" a="1"/>
  <c r="Q45" i="2" s="1"/>
  <c r="Q43" i="2" a="1"/>
  <c r="Q43" i="2" s="1"/>
  <c r="Q46" i="2" a="1"/>
  <c r="Q46" i="2" s="1"/>
  <c r="Q41" i="2" a="1"/>
  <c r="Q41" i="2" s="1"/>
  <c r="Q47" i="2" a="1"/>
  <c r="Q47" i="2" s="1"/>
  <c r="Q39" i="2" a="1"/>
  <c r="Q39" i="2" s="1"/>
  <c r="Q35" i="2" a="1"/>
  <c r="Q35" i="2" s="1"/>
  <c r="Q40" i="2" a="1"/>
  <c r="Q40" i="2" s="1"/>
  <c r="Q38" i="2" a="1"/>
  <c r="Q38" i="2" s="1"/>
  <c r="Q37" i="2" a="1"/>
  <c r="Q37" i="2" s="1"/>
  <c r="Q36" i="2" a="1"/>
  <c r="Q36" i="2" s="1"/>
  <c r="Q30" i="2" a="1"/>
  <c r="Q30" i="2" s="1"/>
  <c r="Q32" i="2" a="1"/>
  <c r="Q32" i="2" s="1"/>
  <c r="Q29" i="2" a="1"/>
  <c r="Q29" i="2" s="1"/>
  <c r="Q34" i="2" a="1"/>
  <c r="Q34" i="2" s="1"/>
  <c r="Q33" i="2" a="1"/>
  <c r="Q33" i="2" s="1"/>
  <c r="Q28" i="2" a="1"/>
  <c r="Q28" i="2" s="1"/>
  <c r="Q27" i="2" a="1"/>
  <c r="Q27" i="2" s="1"/>
  <c r="Q26" i="2" a="1"/>
  <c r="Q26" i="2" s="1"/>
  <c r="Q31" i="2" a="1"/>
  <c r="Q31" i="2" s="1"/>
  <c r="Q16" i="2" a="1"/>
  <c r="Q16" i="2" s="1"/>
  <c r="Q25" i="2" a="1"/>
  <c r="Q25" i="2" s="1"/>
  <c r="Q17" i="2" a="1"/>
  <c r="Q17" i="2" s="1"/>
  <c r="Q24" i="2" a="1"/>
  <c r="Q24" i="2" s="1"/>
  <c r="Q23" i="2" a="1"/>
  <c r="Q23" i="2" s="1"/>
  <c r="Q22" i="2" a="1"/>
  <c r="Q22" i="2" s="1"/>
  <c r="Q21" i="2" a="1"/>
  <c r="Q21" i="2" s="1"/>
  <c r="Q20" i="2" a="1"/>
  <c r="Q20" i="2" s="1"/>
  <c r="Q19" i="2" a="1"/>
  <c r="Q19" i="2" s="1"/>
  <c r="Q18" i="2" a="1"/>
  <c r="Q18" i="2" s="1"/>
  <c r="Q10" i="2" a="1"/>
  <c r="Q10" i="2" s="1"/>
  <c r="Q11" i="2" a="1"/>
  <c r="Q11" i="2" s="1"/>
  <c r="Q15" i="2" a="1"/>
  <c r="Q15" i="2" s="1"/>
  <c r="Q14" i="2" a="1"/>
  <c r="Q14" i="2" s="1"/>
  <c r="Q9" i="2" a="1"/>
  <c r="Q9" i="2" s="1"/>
  <c r="Q13" i="2" a="1"/>
  <c r="Q13" i="2" s="1"/>
  <c r="Q12" i="2" a="1"/>
  <c r="Q12" i="2" s="1"/>
  <c r="Q8" i="2" a="1"/>
  <c r="Q8" i="2" s="1"/>
  <c r="Q6" i="2" a="1"/>
  <c r="Q6" i="2" s="1"/>
  <c r="Q5" i="2" a="1"/>
  <c r="Q5" i="2" s="1"/>
  <c r="Q7" i="2" a="1"/>
  <c r="Q7" i="2" s="1"/>
  <c r="Q4" i="2" a="1"/>
  <c r="Q4" i="2" s="1"/>
  <c r="AC103" i="2" a="1"/>
  <c r="AC103" i="2" s="1"/>
  <c r="AC102" i="2" a="1"/>
  <c r="AC102" i="2" s="1"/>
  <c r="AC101" i="2" a="1"/>
  <c r="AC101" i="2" s="1"/>
  <c r="AC100" i="2" a="1"/>
  <c r="AC100" i="2" s="1"/>
  <c r="AC96" i="2" a="1"/>
  <c r="AC96" i="2" s="1"/>
  <c r="AC97" i="2" a="1"/>
  <c r="AC97" i="2" s="1"/>
  <c r="AC98" i="2" a="1"/>
  <c r="AC98" i="2" s="1"/>
  <c r="AC99" i="2" a="1"/>
  <c r="AC99" i="2" s="1"/>
  <c r="AC92" i="2" a="1"/>
  <c r="AC92" i="2" s="1"/>
  <c r="AC95" i="2" a="1"/>
  <c r="AC95" i="2" s="1"/>
  <c r="AC94" i="2" a="1"/>
  <c r="AC94" i="2" s="1"/>
  <c r="AC93" i="2" a="1"/>
  <c r="AC93" i="2" s="1"/>
  <c r="AC90" i="2" a="1"/>
  <c r="AC90" i="2" s="1"/>
  <c r="AC89" i="2" a="1"/>
  <c r="AC89" i="2" s="1"/>
  <c r="AC88" i="2" a="1"/>
  <c r="AC88" i="2" s="1"/>
  <c r="AC91" i="2" a="1"/>
  <c r="AC91" i="2" s="1"/>
  <c r="AC85" i="2" a="1"/>
  <c r="AC85" i="2" s="1"/>
  <c r="AC87" i="2" a="1"/>
  <c r="AC87" i="2" s="1"/>
  <c r="AC86" i="2" a="1"/>
  <c r="AC86" i="2" s="1"/>
  <c r="AC84" i="2" a="1"/>
  <c r="AC84" i="2" s="1"/>
  <c r="AC82" i="2" a="1"/>
  <c r="AC82" i="2" s="1"/>
  <c r="AC81" i="2" a="1"/>
  <c r="AC81" i="2" s="1"/>
  <c r="AC83" i="2" a="1"/>
  <c r="AC83" i="2" s="1"/>
  <c r="AC79" i="2" a="1"/>
  <c r="AC79" i="2" s="1"/>
  <c r="AC77" i="2" a="1"/>
  <c r="AC77" i="2" s="1"/>
  <c r="AC80" i="2" a="1"/>
  <c r="AC80" i="2" s="1"/>
  <c r="AC78" i="2" a="1"/>
  <c r="AC78" i="2" s="1"/>
  <c r="AC76" i="2" a="1"/>
  <c r="AC76" i="2" s="1"/>
  <c r="AC75" i="2" a="1"/>
  <c r="AC75" i="2" s="1"/>
  <c r="AC73" i="2" a="1"/>
  <c r="AC73" i="2" s="1"/>
  <c r="AC72" i="2" a="1"/>
  <c r="AC72" i="2" s="1"/>
  <c r="AC74" i="2" a="1"/>
  <c r="AC74" i="2" s="1"/>
  <c r="AC70" i="2" a="1"/>
  <c r="AC70" i="2" s="1"/>
  <c r="AC69" i="2" a="1"/>
  <c r="AC69" i="2" s="1"/>
  <c r="AC68" i="2" a="1"/>
  <c r="AC68" i="2" s="1"/>
  <c r="AC71" i="2" a="1"/>
  <c r="AC71" i="2" s="1"/>
  <c r="AC65" i="2" a="1"/>
  <c r="AC65" i="2" s="1"/>
  <c r="AC63" i="2" a="1"/>
  <c r="AC63" i="2" s="1"/>
  <c r="AC67" i="2" a="1"/>
  <c r="AC67" i="2" s="1"/>
  <c r="AC66" i="2" a="1"/>
  <c r="AC66" i="2" s="1"/>
  <c r="AC64" i="2" a="1"/>
  <c r="AC64" i="2" s="1"/>
  <c r="AC60" i="2" a="1"/>
  <c r="AC60" i="2" s="1"/>
  <c r="AC62" i="2" a="1"/>
  <c r="AC62" i="2" s="1"/>
  <c r="AC61" i="2" a="1"/>
  <c r="AC61" i="2" s="1"/>
  <c r="AC57" i="2" a="1"/>
  <c r="AC57" i="2" s="1"/>
  <c r="AC59" i="2" a="1"/>
  <c r="AC59" i="2" s="1"/>
  <c r="AC58" i="2" a="1"/>
  <c r="AC58" i="2" s="1"/>
  <c r="AC54" i="2" a="1"/>
  <c r="AC54" i="2" s="1"/>
  <c r="AC52" i="2" a="1"/>
  <c r="AC52" i="2" s="1"/>
  <c r="AC53" i="2" a="1"/>
  <c r="AC53" i="2" s="1"/>
  <c r="AC51" i="2" a="1"/>
  <c r="AC51" i="2" s="1"/>
  <c r="AC50" i="2" a="1"/>
  <c r="AC50" i="2" s="1"/>
  <c r="AC56" i="2" a="1"/>
  <c r="AC56" i="2" s="1"/>
  <c r="AC55" i="2" a="1"/>
  <c r="AC55" i="2" s="1"/>
  <c r="AC49" i="2" a="1"/>
  <c r="AC49" i="2" s="1"/>
  <c r="AC48" i="2" a="1"/>
  <c r="AC48" i="2" s="1"/>
  <c r="AC44" i="2" a="1"/>
  <c r="AC44" i="2" s="1"/>
  <c r="AC42" i="2" a="1"/>
  <c r="AC42" i="2" s="1"/>
  <c r="AC46" i="2" a="1"/>
  <c r="AC46" i="2" s="1"/>
  <c r="AC43" i="2" a="1"/>
  <c r="AC43" i="2" s="1"/>
  <c r="AC45" i="2" a="1"/>
  <c r="AC45" i="2" s="1"/>
  <c r="AC41" i="2" a="1"/>
  <c r="AC41" i="2" s="1"/>
  <c r="AC47" i="2" a="1"/>
  <c r="AC47" i="2" s="1"/>
  <c r="AC34" i="2" a="1"/>
  <c r="AC34" i="2" s="1"/>
  <c r="AC37" i="2" a="1"/>
  <c r="AC37" i="2" s="1"/>
  <c r="AC40" i="2" a="1"/>
  <c r="AC40" i="2" s="1"/>
  <c r="AC36" i="2" a="1"/>
  <c r="AC36" i="2" s="1"/>
  <c r="AC39" i="2" a="1"/>
  <c r="AC39" i="2" s="1"/>
  <c r="AC35" i="2" a="1"/>
  <c r="AC35" i="2" s="1"/>
  <c r="AC38" i="2" a="1"/>
  <c r="AC38" i="2" s="1"/>
  <c r="AC28" i="2" a="1"/>
  <c r="AC28" i="2" s="1"/>
  <c r="AC33" i="2" a="1"/>
  <c r="AC33" i="2" s="1"/>
  <c r="AC27" i="2" a="1"/>
  <c r="AC27" i="2" s="1"/>
  <c r="AC31" i="2" a="1"/>
  <c r="AC31" i="2" s="1"/>
  <c r="AC30" i="2" a="1"/>
  <c r="AC30" i="2" s="1"/>
  <c r="AC32" i="2" a="1"/>
  <c r="AC32" i="2" s="1"/>
  <c r="AC26" i="2" a="1"/>
  <c r="AC26" i="2" s="1"/>
  <c r="AC29" i="2" a="1"/>
  <c r="AC29" i="2" s="1"/>
  <c r="AC25" i="2" a="1"/>
  <c r="AC25" i="2" s="1"/>
  <c r="AC17" i="2" a="1"/>
  <c r="AC17" i="2" s="1"/>
  <c r="AC18" i="2" a="1"/>
  <c r="AC18" i="2" s="1"/>
  <c r="AC16" i="2" a="1"/>
  <c r="AC16" i="2" s="1"/>
  <c r="AC24" i="2" a="1"/>
  <c r="AC24" i="2" s="1"/>
  <c r="AC23" i="2" a="1"/>
  <c r="AC23" i="2" s="1"/>
  <c r="AC22" i="2" a="1"/>
  <c r="AC22" i="2" s="1"/>
  <c r="AC21" i="2" a="1"/>
  <c r="AC21" i="2" s="1"/>
  <c r="AC20" i="2" a="1"/>
  <c r="AC20" i="2" s="1"/>
  <c r="AC19" i="2" a="1"/>
  <c r="AC19" i="2" s="1"/>
  <c r="AC13" i="2" a="1"/>
  <c r="AC13" i="2" s="1"/>
  <c r="AC12" i="2" a="1"/>
  <c r="AC12" i="2" s="1"/>
  <c r="AC11" i="2" a="1"/>
  <c r="AC11" i="2" s="1"/>
  <c r="AC10" i="2" a="1"/>
  <c r="AC10" i="2" s="1"/>
  <c r="AC15" i="2" a="1"/>
  <c r="AC15" i="2" s="1"/>
  <c r="AC14" i="2" a="1"/>
  <c r="AC14" i="2" s="1"/>
  <c r="AC9" i="2" a="1"/>
  <c r="AC9" i="2" s="1"/>
  <c r="AC8" i="2" a="1"/>
  <c r="AC8" i="2" s="1"/>
  <c r="AC7" i="2" a="1"/>
  <c r="AC7" i="2" s="1"/>
  <c r="AC5" i="2" a="1"/>
  <c r="AC5" i="2" s="1"/>
  <c r="AC6" i="2" a="1"/>
  <c r="AC6" i="2" s="1"/>
  <c r="AC4" i="2" a="1"/>
  <c r="AC4" i="2" s="1"/>
  <c r="AO103" i="2" a="1"/>
  <c r="AO103" i="2" s="1"/>
  <c r="AO102" i="2" a="1"/>
  <c r="AO102" i="2" s="1"/>
  <c r="AO100" i="2" a="1"/>
  <c r="AO100" i="2" s="1"/>
  <c r="AO101" i="2" a="1"/>
  <c r="AO101" i="2" s="1"/>
  <c r="AO99" i="2" a="1"/>
  <c r="AO99" i="2" s="1"/>
  <c r="AO97" i="2" a="1"/>
  <c r="AO97" i="2" s="1"/>
  <c r="AO98" i="2" a="1"/>
  <c r="AO98" i="2" s="1"/>
  <c r="AO96" i="2" a="1"/>
  <c r="AO96" i="2" s="1"/>
  <c r="AO94" i="2" a="1"/>
  <c r="AO94" i="2" s="1"/>
  <c r="AO95" i="2" a="1"/>
  <c r="AO95" i="2" s="1"/>
  <c r="AO93" i="2" a="1"/>
  <c r="AO93" i="2" s="1"/>
  <c r="AO92" i="2" a="1"/>
  <c r="AO92" i="2" s="1"/>
  <c r="AO88" i="2" a="1"/>
  <c r="AO88" i="2" s="1"/>
  <c r="AO91" i="2" a="1"/>
  <c r="AO91" i="2" s="1"/>
  <c r="AO90" i="2" a="1"/>
  <c r="AO90" i="2" s="1"/>
  <c r="AO89" i="2" a="1"/>
  <c r="AO89" i="2" s="1"/>
  <c r="AO87" i="2" a="1"/>
  <c r="AO87" i="2" s="1"/>
  <c r="AO86" i="2" a="1"/>
  <c r="AO86" i="2" s="1"/>
  <c r="AO85" i="2" a="1"/>
  <c r="AO85" i="2" s="1"/>
  <c r="AO84" i="2" a="1"/>
  <c r="AO84" i="2" s="1"/>
  <c r="AO81" i="2" a="1"/>
  <c r="AO81" i="2" s="1"/>
  <c r="AO83" i="2" a="1"/>
  <c r="AO83" i="2" s="1"/>
  <c r="AO80" i="2" a="1"/>
  <c r="AO80" i="2" s="1"/>
  <c r="AO82" i="2" a="1"/>
  <c r="AO82" i="2" s="1"/>
  <c r="AO78" i="2" a="1"/>
  <c r="AO78" i="2" s="1"/>
  <c r="AO79" i="2" a="1"/>
  <c r="AO79" i="2" s="1"/>
  <c r="AO76" i="2" a="1"/>
  <c r="AO76" i="2" s="1"/>
  <c r="AO77" i="2" a="1"/>
  <c r="AO77" i="2" s="1"/>
  <c r="AO73" i="2" a="1"/>
  <c r="AO73" i="2" s="1"/>
  <c r="AO72" i="2" a="1"/>
  <c r="AO72" i="2" s="1"/>
  <c r="AO75" i="2" a="1"/>
  <c r="AO75" i="2" s="1"/>
  <c r="AO74" i="2" a="1"/>
  <c r="AO74" i="2" s="1"/>
  <c r="AO69" i="2" a="1"/>
  <c r="AO69" i="2" s="1"/>
  <c r="AO68" i="2" a="1"/>
  <c r="AO68" i="2" s="1"/>
  <c r="AO71" i="2" a="1"/>
  <c r="AO71" i="2" s="1"/>
  <c r="AO70" i="2" a="1"/>
  <c r="AO70" i="2" s="1"/>
  <c r="AO67" i="2" a="1"/>
  <c r="AO67" i="2" s="1"/>
  <c r="AO66" i="2" a="1"/>
  <c r="AO66" i="2" s="1"/>
  <c r="AO64" i="2" a="1"/>
  <c r="AO64" i="2" s="1"/>
  <c r="AO65" i="2" a="1"/>
  <c r="AO65" i="2" s="1"/>
  <c r="AO62" i="2" a="1"/>
  <c r="AO62" i="2" s="1"/>
  <c r="AO63" i="2" a="1"/>
  <c r="AO63" i="2" s="1"/>
  <c r="AO61" i="2" a="1"/>
  <c r="AO61" i="2" s="1"/>
  <c r="AO60" i="2" a="1"/>
  <c r="AO60" i="2" s="1"/>
  <c r="AO58" i="2" a="1"/>
  <c r="AO58" i="2" s="1"/>
  <c r="AO59" i="2" a="1"/>
  <c r="AO59" i="2" s="1"/>
  <c r="AO57" i="2" a="1"/>
  <c r="AO57" i="2" s="1"/>
  <c r="AO53" i="2" a="1"/>
  <c r="AO53" i="2" s="1"/>
  <c r="AO51" i="2" a="1"/>
  <c r="AO51" i="2" s="1"/>
  <c r="AO50" i="2" a="1"/>
  <c r="AO50" i="2" s="1"/>
  <c r="AO55" i="2" a="1"/>
  <c r="AO55" i="2" s="1"/>
  <c r="AO49" i="2" a="1"/>
  <c r="AO49" i="2" s="1"/>
  <c r="AO56" i="2" a="1"/>
  <c r="AO56" i="2" s="1"/>
  <c r="AO48" i="2" a="1"/>
  <c r="AO48" i="2" s="1"/>
  <c r="AO54" i="2" a="1"/>
  <c r="AO54" i="2" s="1"/>
  <c r="AO52" i="2" a="1"/>
  <c r="AO52" i="2" s="1"/>
  <c r="AO45" i="2" a="1"/>
  <c r="AO45" i="2" s="1"/>
  <c r="AO41" i="2" a="1"/>
  <c r="AO41" i="2" s="1"/>
  <c r="AO47" i="2" a="1"/>
  <c r="AO47" i="2" s="1"/>
  <c r="AO44" i="2" a="1"/>
  <c r="AO44" i="2" s="1"/>
  <c r="AO42" i="2" a="1"/>
  <c r="AO42" i="2" s="1"/>
  <c r="AO43" i="2" a="1"/>
  <c r="AO43" i="2" s="1"/>
  <c r="AO46" i="2" a="1"/>
  <c r="AO46" i="2" s="1"/>
  <c r="AO39" i="2" a="1"/>
  <c r="AO39" i="2" s="1"/>
  <c r="AO35" i="2" a="1"/>
  <c r="AO35" i="2" s="1"/>
  <c r="AO40" i="2" a="1"/>
  <c r="AO40" i="2" s="1"/>
  <c r="AO38" i="2" a="1"/>
  <c r="AO38" i="2" s="1"/>
  <c r="AO37" i="2" a="1"/>
  <c r="AO37" i="2" s="1"/>
  <c r="AO34" i="2" a="1"/>
  <c r="AO34" i="2" s="1"/>
  <c r="AO36" i="2" a="1"/>
  <c r="AO36" i="2" s="1"/>
  <c r="AO27" i="2" a="1"/>
  <c r="AO27" i="2" s="1"/>
  <c r="AO33" i="2" a="1"/>
  <c r="AO33" i="2" s="1"/>
  <c r="AO30" i="2" a="1"/>
  <c r="AO30" i="2" s="1"/>
  <c r="AO31" i="2" a="1"/>
  <c r="AO31" i="2" s="1"/>
  <c r="AO32" i="2" a="1"/>
  <c r="AO32" i="2" s="1"/>
  <c r="AO29" i="2" a="1"/>
  <c r="AO29" i="2" s="1"/>
  <c r="AO28" i="2" a="1"/>
  <c r="AO28" i="2" s="1"/>
  <c r="AO26" i="2" a="1"/>
  <c r="AO26" i="2" s="1"/>
  <c r="AO16" i="2" a="1"/>
  <c r="AO16" i="2" s="1"/>
  <c r="AO18" i="2" a="1"/>
  <c r="AO18" i="2" s="1"/>
  <c r="AO25" i="2" a="1"/>
  <c r="AO25" i="2" s="1"/>
  <c r="AO17" i="2" a="1"/>
  <c r="AO17" i="2" s="1"/>
  <c r="AO24" i="2" a="1"/>
  <c r="AO24" i="2" s="1"/>
  <c r="AO23" i="2" a="1"/>
  <c r="AO23" i="2" s="1"/>
  <c r="AO22" i="2" a="1"/>
  <c r="AO22" i="2" s="1"/>
  <c r="AO21" i="2" a="1"/>
  <c r="AO21" i="2" s="1"/>
  <c r="AO20" i="2" a="1"/>
  <c r="AO20" i="2" s="1"/>
  <c r="AO19" i="2" a="1"/>
  <c r="AO19" i="2" s="1"/>
  <c r="AO12" i="2" a="1"/>
  <c r="AO12" i="2" s="1"/>
  <c r="AO8" i="2" a="1"/>
  <c r="AO8" i="2" s="1"/>
  <c r="AO11" i="2" a="1"/>
  <c r="AO11" i="2" s="1"/>
  <c r="AO10" i="2" a="1"/>
  <c r="AO10" i="2" s="1"/>
  <c r="AO9" i="2" a="1"/>
  <c r="AO9" i="2" s="1"/>
  <c r="AO14" i="2" a="1"/>
  <c r="AO14" i="2" s="1"/>
  <c r="AO15" i="2" a="1"/>
  <c r="AO15" i="2" s="1"/>
  <c r="AO13" i="2" a="1"/>
  <c r="AO13" i="2" s="1"/>
  <c r="AO6" i="2" a="1"/>
  <c r="AO6" i="2" s="1"/>
  <c r="AO7" i="2" a="1"/>
  <c r="AO7" i="2" s="1"/>
  <c r="AO5" i="2" a="1"/>
  <c r="AO5" i="2" s="1"/>
  <c r="AO4" i="2" a="1"/>
  <c r="AO4" i="2" s="1"/>
  <c r="BA99" i="2" a="1"/>
  <c r="BA99" i="2" s="1"/>
  <c r="BA103" i="2" a="1"/>
  <c r="BA103" i="2" s="1"/>
  <c r="BA102" i="2" a="1"/>
  <c r="BA102" i="2" s="1"/>
  <c r="BA101" i="2" a="1"/>
  <c r="BA101" i="2" s="1"/>
  <c r="BA100" i="2" a="1"/>
  <c r="BA100" i="2" s="1"/>
  <c r="BA96" i="2" a="1"/>
  <c r="BA96" i="2" s="1"/>
  <c r="BA97" i="2" a="1"/>
  <c r="BA97" i="2" s="1"/>
  <c r="BA98" i="2" a="1"/>
  <c r="BA98" i="2" s="1"/>
  <c r="BA93" i="2" a="1"/>
  <c r="BA93" i="2" s="1"/>
  <c r="BA95" i="2" a="1"/>
  <c r="BA95" i="2" s="1"/>
  <c r="BA92" i="2" a="1"/>
  <c r="BA92" i="2" s="1"/>
  <c r="BA94" i="2" a="1"/>
  <c r="BA94" i="2" s="1"/>
  <c r="BA90" i="2" a="1"/>
  <c r="BA90" i="2" s="1"/>
  <c r="BA89" i="2" a="1"/>
  <c r="BA89" i="2" s="1"/>
  <c r="BA91" i="2" a="1"/>
  <c r="BA91" i="2" s="1"/>
  <c r="BA88" i="2" a="1"/>
  <c r="BA88" i="2" s="1"/>
  <c r="BA85" i="2" a="1"/>
  <c r="BA85" i="2" s="1"/>
  <c r="BA84" i="2" a="1"/>
  <c r="BA84" i="2" s="1"/>
  <c r="BA87" i="2" a="1"/>
  <c r="BA87" i="2" s="1"/>
  <c r="BA86" i="2" a="1"/>
  <c r="BA86" i="2" s="1"/>
  <c r="BA81" i="2" a="1"/>
  <c r="BA81" i="2" s="1"/>
  <c r="BA83" i="2" a="1"/>
  <c r="BA83" i="2" s="1"/>
  <c r="BA82" i="2" a="1"/>
  <c r="BA82" i="2" s="1"/>
  <c r="BA78" i="2" a="1"/>
  <c r="BA78" i="2" s="1"/>
  <c r="BA80" i="2" a="1"/>
  <c r="BA80" i="2" s="1"/>
  <c r="BA79" i="2" a="1"/>
  <c r="BA79" i="2" s="1"/>
  <c r="BA76" i="2" a="1"/>
  <c r="BA76" i="2" s="1"/>
  <c r="BA77" i="2" a="1"/>
  <c r="BA77" i="2" s="1"/>
  <c r="BA75" i="2" a="1"/>
  <c r="BA75" i="2" s="1"/>
  <c r="BA74" i="2" a="1"/>
  <c r="BA74" i="2" s="1"/>
  <c r="BA73" i="2" a="1"/>
  <c r="BA73" i="2" s="1"/>
  <c r="BA72" i="2" a="1"/>
  <c r="BA72" i="2" s="1"/>
  <c r="BA71" i="2" a="1"/>
  <c r="BA71" i="2" s="1"/>
  <c r="BA70" i="2" a="1"/>
  <c r="BA70" i="2" s="1"/>
  <c r="BA69" i="2" a="1"/>
  <c r="BA69" i="2" s="1"/>
  <c r="BA67" i="2" a="1"/>
  <c r="BA67" i="2" s="1"/>
  <c r="BA66" i="2" a="1"/>
  <c r="BA66" i="2" s="1"/>
  <c r="BA65" i="2" a="1"/>
  <c r="BA65" i="2" s="1"/>
  <c r="BA68" i="2" a="1"/>
  <c r="BA68" i="2" s="1"/>
  <c r="BA63" i="2" a="1"/>
  <c r="BA63" i="2" s="1"/>
  <c r="BA64" i="2" a="1"/>
  <c r="BA64" i="2" s="1"/>
  <c r="BA61" i="2" a="1"/>
  <c r="BA61" i="2" s="1"/>
  <c r="BA60" i="2" a="1"/>
  <c r="BA60" i="2" s="1"/>
  <c r="BA62" i="2" a="1"/>
  <c r="BA62" i="2" s="1"/>
  <c r="BA59" i="2" a="1"/>
  <c r="BA59" i="2" s="1"/>
  <c r="BA57" i="2" a="1"/>
  <c r="BA57" i="2" s="1"/>
  <c r="BA56" i="2" a="1"/>
  <c r="BA56" i="2" s="1"/>
  <c r="BA58" i="2" a="1"/>
  <c r="BA58" i="2" s="1"/>
  <c r="BA50" i="2" a="1"/>
  <c r="BA50" i="2" s="1"/>
  <c r="BA55" i="2" a="1"/>
  <c r="BA55" i="2" s="1"/>
  <c r="BA49" i="2" a="1"/>
  <c r="BA49" i="2" s="1"/>
  <c r="BA54" i="2" a="1"/>
  <c r="BA54" i="2" s="1"/>
  <c r="BA53" i="2" a="1"/>
  <c r="BA53" i="2" s="1"/>
  <c r="BA52" i="2" a="1"/>
  <c r="BA52" i="2" s="1"/>
  <c r="BA51" i="2" a="1"/>
  <c r="BA51" i="2" s="1"/>
  <c r="BA44" i="2" a="1"/>
  <c r="BA44" i="2" s="1"/>
  <c r="BA42" i="2" a="1"/>
  <c r="BA42" i="2" s="1"/>
  <c r="BA48" i="2" a="1"/>
  <c r="BA48" i="2" s="1"/>
  <c r="BA46" i="2" a="1"/>
  <c r="BA46" i="2" s="1"/>
  <c r="BA43" i="2" a="1"/>
  <c r="BA43" i="2" s="1"/>
  <c r="BA45" i="2" a="1"/>
  <c r="BA45" i="2" s="1"/>
  <c r="BA41" i="2" a="1"/>
  <c r="BA41" i="2" s="1"/>
  <c r="BA47" i="2" a="1"/>
  <c r="BA47" i="2" s="1"/>
  <c r="BA37" i="2" a="1"/>
  <c r="BA37" i="2" s="1"/>
  <c r="BA34" i="2" a="1"/>
  <c r="BA34" i="2" s="1"/>
  <c r="BA40" i="2" a="1"/>
  <c r="BA40" i="2" s="1"/>
  <c r="BA36" i="2" a="1"/>
  <c r="BA36" i="2" s="1"/>
  <c r="BA39" i="2" a="1"/>
  <c r="BA39" i="2" s="1"/>
  <c r="BA35" i="2" a="1"/>
  <c r="BA35" i="2" s="1"/>
  <c r="BA38" i="2" a="1"/>
  <c r="BA38" i="2" s="1"/>
  <c r="BA30" i="2" a="1"/>
  <c r="BA30" i="2" s="1"/>
  <c r="BA31" i="2" a="1"/>
  <c r="BA31" i="2" s="1"/>
  <c r="BA32" i="2" a="1"/>
  <c r="BA32" i="2" s="1"/>
  <c r="BA29" i="2" a="1"/>
  <c r="BA29" i="2" s="1"/>
  <c r="BA33" i="2" a="1"/>
  <c r="BA33" i="2" s="1"/>
  <c r="BA28" i="2" a="1"/>
  <c r="BA28" i="2" s="1"/>
  <c r="BA27" i="2" a="1"/>
  <c r="BA27" i="2" s="1"/>
  <c r="BA26" i="2" a="1"/>
  <c r="BA26" i="2" s="1"/>
  <c r="BA18" i="2" a="1"/>
  <c r="BA18" i="2" s="1"/>
  <c r="BA17" i="2" a="1"/>
  <c r="BA17" i="2" s="1"/>
  <c r="BA25" i="2" a="1"/>
  <c r="BA25" i="2" s="1"/>
  <c r="BA24" i="2" a="1"/>
  <c r="BA24" i="2" s="1"/>
  <c r="BA23" i="2" a="1"/>
  <c r="BA23" i="2" s="1"/>
  <c r="BA22" i="2" a="1"/>
  <c r="BA22" i="2" s="1"/>
  <c r="BA21" i="2" a="1"/>
  <c r="BA21" i="2" s="1"/>
  <c r="BA20" i="2" a="1"/>
  <c r="BA20" i="2" s="1"/>
  <c r="BA19" i="2" a="1"/>
  <c r="BA19" i="2" s="1"/>
  <c r="BA16" i="2" a="1"/>
  <c r="BA16" i="2" s="1"/>
  <c r="BA9" i="2" a="1"/>
  <c r="BA9" i="2" s="1"/>
  <c r="BA14" i="2" a="1"/>
  <c r="BA14" i="2" s="1"/>
  <c r="BA13" i="2" a="1"/>
  <c r="BA13" i="2" s="1"/>
  <c r="BA8" i="2" a="1"/>
  <c r="BA8" i="2" s="1"/>
  <c r="BA12" i="2" a="1"/>
  <c r="BA12" i="2" s="1"/>
  <c r="BA15" i="2" a="1"/>
  <c r="BA15" i="2" s="1"/>
  <c r="BA11" i="2" a="1"/>
  <c r="BA11" i="2" s="1"/>
  <c r="BA10" i="2" a="1"/>
  <c r="BA10" i="2" s="1"/>
  <c r="BA4" i="2" a="1"/>
  <c r="BA4" i="2" s="1"/>
  <c r="BA7" i="2" a="1"/>
  <c r="BA7" i="2" s="1"/>
  <c r="BA5" i="2" a="1"/>
  <c r="BA5" i="2" s="1"/>
  <c r="BA6" i="2" a="1"/>
  <c r="BA6" i="2" s="1"/>
  <c r="BM103" i="2" a="1"/>
  <c r="BM103" i="2" s="1"/>
  <c r="BM102" i="2" a="1"/>
  <c r="BM102" i="2" s="1"/>
  <c r="BM101" i="2" a="1"/>
  <c r="BM101" i="2" s="1"/>
  <c r="BM100" i="2" a="1"/>
  <c r="BM100" i="2" s="1"/>
  <c r="BM99" i="2" a="1"/>
  <c r="BM99" i="2" s="1"/>
  <c r="BM98" i="2" a="1"/>
  <c r="BM98" i="2" s="1"/>
  <c r="BM97" i="2" a="1"/>
  <c r="BM97" i="2" s="1"/>
  <c r="BM96" i="2" a="1"/>
  <c r="BM96" i="2" s="1"/>
  <c r="BM94" i="2" a="1"/>
  <c r="BM94" i="2" s="1"/>
  <c r="BM95" i="2" a="1"/>
  <c r="BM95" i="2" s="1"/>
  <c r="BM93" i="2" a="1"/>
  <c r="BM93" i="2" s="1"/>
  <c r="BM92" i="2" a="1"/>
  <c r="BM92" i="2" s="1"/>
  <c r="BM89" i="2" a="1"/>
  <c r="BM89" i="2" s="1"/>
  <c r="BM88" i="2" a="1"/>
  <c r="BM88" i="2" s="1"/>
  <c r="BM91" i="2" a="1"/>
  <c r="BM91" i="2" s="1"/>
  <c r="BM90" i="2" a="1"/>
  <c r="BM90" i="2" s="1"/>
  <c r="BM85" i="2" a="1"/>
  <c r="BM85" i="2" s="1"/>
  <c r="BM84" i="2" a="1"/>
  <c r="BM84" i="2" s="1"/>
  <c r="BM86" i="2" a="1"/>
  <c r="BM86" i="2" s="1"/>
  <c r="BM87" i="2" a="1"/>
  <c r="BM87" i="2" s="1"/>
  <c r="BM83" i="2" a="1"/>
  <c r="BM83" i="2" s="1"/>
  <c r="BM82" i="2" a="1"/>
  <c r="BM82" i="2" s="1"/>
  <c r="BM81" i="2" a="1"/>
  <c r="BM81" i="2" s="1"/>
  <c r="BM80" i="2" a="1"/>
  <c r="BM80" i="2" s="1"/>
  <c r="BM76" i="2" a="1"/>
  <c r="BM76" i="2" s="1"/>
  <c r="BM79" i="2" a="1"/>
  <c r="BM79" i="2" s="1"/>
  <c r="BM77" i="2" a="1"/>
  <c r="BM77" i="2" s="1"/>
  <c r="BM78" i="2" a="1"/>
  <c r="BM78" i="2" s="1"/>
  <c r="BM75" i="2" a="1"/>
  <c r="BM75" i="2" s="1"/>
  <c r="BM74" i="2" a="1"/>
  <c r="BM74" i="2" s="1"/>
  <c r="BM73" i="2" a="1"/>
  <c r="BM73" i="2" s="1"/>
  <c r="BM72" i="2" a="1"/>
  <c r="BM72" i="2" s="1"/>
  <c r="BM70" i="2" a="1"/>
  <c r="BM70" i="2" s="1"/>
  <c r="BM69" i="2" a="1"/>
  <c r="BM69" i="2" s="1"/>
  <c r="BM68" i="2" a="1"/>
  <c r="BM68" i="2" s="1"/>
  <c r="BM71" i="2" a="1"/>
  <c r="BM71" i="2" s="1"/>
  <c r="BM66" i="2" a="1"/>
  <c r="BM66" i="2" s="1"/>
  <c r="BM67" i="2" a="1"/>
  <c r="BM67" i="2" s="1"/>
  <c r="BM65" i="2" a="1"/>
  <c r="BM65" i="2" s="1"/>
  <c r="BM64" i="2" a="1"/>
  <c r="BM64" i="2" s="1"/>
  <c r="BM60" i="2" a="1"/>
  <c r="BM60" i="2" s="1"/>
  <c r="BM63" i="2" a="1"/>
  <c r="BM63" i="2" s="1"/>
  <c r="BM62" i="2" a="1"/>
  <c r="BM62" i="2" s="1"/>
  <c r="BM61" i="2" a="1"/>
  <c r="BM61" i="2" s="1"/>
  <c r="BM58" i="2" a="1"/>
  <c r="BM58" i="2" s="1"/>
  <c r="BM59" i="2" a="1"/>
  <c r="BM59" i="2" s="1"/>
  <c r="BM57" i="2" a="1"/>
  <c r="BM57" i="2" s="1"/>
  <c r="BM54" i="2" a="1"/>
  <c r="BM54" i="2" s="1"/>
  <c r="BM48" i="2" a="1"/>
  <c r="BM48" i="2" s="1"/>
  <c r="BM53" i="2" a="1"/>
  <c r="BM53" i="2" s="1"/>
  <c r="BM52" i="2" a="1"/>
  <c r="BM52" i="2" s="1"/>
  <c r="BM51" i="2" a="1"/>
  <c r="BM51" i="2" s="1"/>
  <c r="BM50" i="2" a="1"/>
  <c r="BM50" i="2" s="1"/>
  <c r="BM55" i="2" a="1"/>
  <c r="BM55" i="2" s="1"/>
  <c r="BM56" i="2" a="1"/>
  <c r="BM56" i="2" s="1"/>
  <c r="BM49" i="2" a="1"/>
  <c r="BM49" i="2" s="1"/>
  <c r="BM44" i="2" a="1"/>
  <c r="BM44" i="2" s="1"/>
  <c r="BM42" i="2" a="1"/>
  <c r="BM42" i="2" s="1"/>
  <c r="BM40" i="2" a="1"/>
  <c r="BM40" i="2" s="1"/>
  <c r="BM43" i="2" a="1"/>
  <c r="BM43" i="2" s="1"/>
  <c r="BM46" i="2" a="1"/>
  <c r="BM46" i="2" s="1"/>
  <c r="BM45" i="2" a="1"/>
  <c r="BM45" i="2" s="1"/>
  <c r="BM47" i="2" a="1"/>
  <c r="BM47" i="2" s="1"/>
  <c r="BM41" i="2" a="1"/>
  <c r="BM41" i="2" s="1"/>
  <c r="BM39" i="2" a="1"/>
  <c r="BM39" i="2" s="1"/>
  <c r="BM35" i="2" a="1"/>
  <c r="BM35" i="2" s="1"/>
  <c r="BM38" i="2" a="1"/>
  <c r="BM38" i="2" s="1"/>
  <c r="BM37" i="2" a="1"/>
  <c r="BM37" i="2" s="1"/>
  <c r="BM34" i="2" a="1"/>
  <c r="BM34" i="2" s="1"/>
  <c r="BM36" i="2" a="1"/>
  <c r="BM36" i="2" s="1"/>
  <c r="BM28" i="2" a="1"/>
  <c r="BM28" i="2" s="1"/>
  <c r="BM27" i="2" a="1"/>
  <c r="BM27" i="2" s="1"/>
  <c r="BM33" i="2" a="1"/>
  <c r="BM33" i="2" s="1"/>
  <c r="BM31" i="2" a="1"/>
  <c r="BM31" i="2" s="1"/>
  <c r="BM30" i="2" a="1"/>
  <c r="BM30" i="2" s="1"/>
  <c r="BM29" i="2" a="1"/>
  <c r="BM29" i="2" s="1"/>
  <c r="BM26" i="2" a="1"/>
  <c r="BM26" i="2" s="1"/>
  <c r="BM32" i="2" a="1"/>
  <c r="BM32" i="2" s="1"/>
  <c r="BM18" i="2" a="1"/>
  <c r="BM18" i="2" s="1"/>
  <c r="BM25" i="2" a="1"/>
  <c r="BM25" i="2" s="1"/>
  <c r="BM17" i="2" a="1"/>
  <c r="BM17" i="2" s="1"/>
  <c r="BM16" i="2" a="1"/>
  <c r="BM16" i="2" s="1"/>
  <c r="BM24" i="2" a="1"/>
  <c r="BM24" i="2" s="1"/>
  <c r="BM23" i="2" a="1"/>
  <c r="BM23" i="2" s="1"/>
  <c r="BM22" i="2" a="1"/>
  <c r="BM22" i="2" s="1"/>
  <c r="BM21" i="2" a="1"/>
  <c r="BM21" i="2" s="1"/>
  <c r="BM20" i="2" a="1"/>
  <c r="BM20" i="2" s="1"/>
  <c r="BM19" i="2" a="1"/>
  <c r="BM19" i="2" s="1"/>
  <c r="BM12" i="2" a="1"/>
  <c r="BM12" i="2" s="1"/>
  <c r="BM10" i="2" a="1"/>
  <c r="BM10" i="2" s="1"/>
  <c r="BM11" i="2" a="1"/>
  <c r="BM11" i="2" s="1"/>
  <c r="BM14" i="2" a="1"/>
  <c r="BM14" i="2" s="1"/>
  <c r="BM9" i="2" a="1"/>
  <c r="BM9" i="2" s="1"/>
  <c r="BM15" i="2" a="1"/>
  <c r="BM15" i="2" s="1"/>
  <c r="BM13" i="2" a="1"/>
  <c r="BM13" i="2" s="1"/>
  <c r="BM8" i="2" a="1"/>
  <c r="BM8" i="2" s="1"/>
  <c r="BM4" i="2" a="1"/>
  <c r="BM4" i="2" s="1"/>
  <c r="BM7" i="2" a="1"/>
  <c r="BM7" i="2" s="1"/>
  <c r="BM6" i="2" a="1"/>
  <c r="BM6" i="2" s="1"/>
  <c r="BM5" i="2" a="1"/>
  <c r="BM5" i="2" s="1"/>
  <c r="BY100" i="2" a="1"/>
  <c r="BY100" i="2" s="1"/>
  <c r="BY103" i="2" a="1"/>
  <c r="BY103" i="2" s="1"/>
  <c r="BY102" i="2" a="1"/>
  <c r="BY102" i="2" s="1"/>
  <c r="BY101" i="2" a="1"/>
  <c r="BY101" i="2" s="1"/>
  <c r="BY99" i="2" a="1"/>
  <c r="BY99" i="2" s="1"/>
  <c r="BY98" i="2" a="1"/>
  <c r="BY98" i="2" s="1"/>
  <c r="BY97" i="2" a="1"/>
  <c r="BY97" i="2" s="1"/>
  <c r="BY96" i="2" a="1"/>
  <c r="BY96" i="2" s="1"/>
  <c r="BY95" i="2" a="1"/>
  <c r="BY95" i="2" s="1"/>
  <c r="BY94" i="2" a="1"/>
  <c r="BY94" i="2" s="1"/>
  <c r="BY93" i="2" a="1"/>
  <c r="BY93" i="2" s="1"/>
  <c r="BY92" i="2" a="1"/>
  <c r="BY92" i="2" s="1"/>
  <c r="BY88" i="2" a="1"/>
  <c r="BY88" i="2" s="1"/>
  <c r="BY90" i="2" a="1"/>
  <c r="BY90" i="2" s="1"/>
  <c r="BY89" i="2" a="1"/>
  <c r="BY89" i="2" s="1"/>
  <c r="BY91" i="2" a="1"/>
  <c r="BY91" i="2" s="1"/>
  <c r="BY84" i="2" a="1"/>
  <c r="BY84" i="2" s="1"/>
  <c r="BY86" i="2" a="1"/>
  <c r="BY86" i="2" s="1"/>
  <c r="BY87" i="2" a="1"/>
  <c r="BY87" i="2" s="1"/>
  <c r="BY85" i="2" a="1"/>
  <c r="BY85" i="2" s="1"/>
  <c r="BY83" i="2" a="1"/>
  <c r="BY83" i="2" s="1"/>
  <c r="BY81" i="2" a="1"/>
  <c r="BY81" i="2" s="1"/>
  <c r="BY80" i="2" a="1"/>
  <c r="BY80" i="2" s="1"/>
  <c r="BY82" i="2" a="1"/>
  <c r="BY82" i="2" s="1"/>
  <c r="BY75" i="2" a="1"/>
  <c r="BY75" i="2" s="1"/>
  <c r="BY79" i="2" a="1"/>
  <c r="BY79" i="2" s="1"/>
  <c r="BY78" i="2" a="1"/>
  <c r="BY78" i="2" s="1"/>
  <c r="BY77" i="2" a="1"/>
  <c r="BY77" i="2" s="1"/>
  <c r="BY76" i="2" a="1"/>
  <c r="BY76" i="2" s="1"/>
  <c r="BY73" i="2" a="1"/>
  <c r="BY73" i="2" s="1"/>
  <c r="BY72" i="2" a="1"/>
  <c r="BY72" i="2" s="1"/>
  <c r="BY74" i="2" a="1"/>
  <c r="BY74" i="2" s="1"/>
  <c r="BY69" i="2" a="1"/>
  <c r="BY69" i="2" s="1"/>
  <c r="BY68" i="2" a="1"/>
  <c r="BY68" i="2" s="1"/>
  <c r="BY71" i="2" a="1"/>
  <c r="BY71" i="2" s="1"/>
  <c r="BY70" i="2" a="1"/>
  <c r="BY70" i="2" s="1"/>
  <c r="BY65" i="2" a="1"/>
  <c r="BY65" i="2" s="1"/>
  <c r="BY64" i="2" a="1"/>
  <c r="BY64" i="2" s="1"/>
  <c r="BY66" i="2" a="1"/>
  <c r="BY66" i="2" s="1"/>
  <c r="BY67" i="2" a="1"/>
  <c r="BY67" i="2" s="1"/>
  <c r="BY63" i="2" a="1"/>
  <c r="BY63" i="2" s="1"/>
  <c r="BY62" i="2" a="1"/>
  <c r="BY62" i="2" s="1"/>
  <c r="BY61" i="2" a="1"/>
  <c r="BY61" i="2" s="1"/>
  <c r="BY60" i="2" a="1"/>
  <c r="BY60" i="2" s="1"/>
  <c r="BY57" i="2" a="1"/>
  <c r="BY57" i="2" s="1"/>
  <c r="BY56" i="2" a="1"/>
  <c r="BY56" i="2" s="1"/>
  <c r="BY58" i="2" a="1"/>
  <c r="BY58" i="2" s="1"/>
  <c r="BY59" i="2" a="1"/>
  <c r="BY59" i="2" s="1"/>
  <c r="BY51" i="2" a="1"/>
  <c r="BY51" i="2" s="1"/>
  <c r="BY55" i="2" a="1"/>
  <c r="BY55" i="2" s="1"/>
  <c r="BY50" i="2" a="1"/>
  <c r="BY50" i="2" s="1"/>
  <c r="BY49" i="2" a="1"/>
  <c r="BY49" i="2" s="1"/>
  <c r="BY54" i="2" a="1"/>
  <c r="BY54" i="2" s="1"/>
  <c r="BY53" i="2" a="1"/>
  <c r="BY53" i="2" s="1"/>
  <c r="BY52" i="2" a="1"/>
  <c r="BY52" i="2" s="1"/>
  <c r="BY47" i="2" a="1"/>
  <c r="BY47" i="2" s="1"/>
  <c r="BY41" i="2" a="1"/>
  <c r="BY41" i="2" s="1"/>
  <c r="BY48" i="2" a="1"/>
  <c r="BY48" i="2" s="1"/>
  <c r="BY44" i="2" a="1"/>
  <c r="BY44" i="2" s="1"/>
  <c r="BY40" i="2" a="1"/>
  <c r="BY40" i="2" s="1"/>
  <c r="BY43" i="2" a="1"/>
  <c r="BY43" i="2" s="1"/>
  <c r="BY42" i="2" a="1"/>
  <c r="BY42" i="2" s="1"/>
  <c r="BY46" i="2" a="1"/>
  <c r="BY46" i="2" s="1"/>
  <c r="BY45" i="2" a="1"/>
  <c r="BY45" i="2" s="1"/>
  <c r="BY37" i="2" a="1"/>
  <c r="BY37" i="2" s="1"/>
  <c r="BY34" i="2" a="1"/>
  <c r="BY34" i="2" s="1"/>
  <c r="BY36" i="2" a="1"/>
  <c r="BY36" i="2" s="1"/>
  <c r="BY39" i="2" a="1"/>
  <c r="BY39" i="2" s="1"/>
  <c r="BY35" i="2" a="1"/>
  <c r="BY35" i="2" s="1"/>
  <c r="BY38" i="2" a="1"/>
  <c r="BY38" i="2" s="1"/>
  <c r="BY31" i="2" a="1"/>
  <c r="BY31" i="2" s="1"/>
  <c r="BY30" i="2" a="1"/>
  <c r="BY30" i="2" s="1"/>
  <c r="BY26" i="2" a="1"/>
  <c r="BY26" i="2" s="1"/>
  <c r="BY29" i="2" a="1"/>
  <c r="BY29" i="2" s="1"/>
  <c r="BY32" i="2" a="1"/>
  <c r="BY32" i="2" s="1"/>
  <c r="BY28" i="2" a="1"/>
  <c r="BY28" i="2" s="1"/>
  <c r="BY33" i="2" a="1"/>
  <c r="BY33" i="2" s="1"/>
  <c r="BY27" i="2" a="1"/>
  <c r="BY27" i="2" s="1"/>
  <c r="BY16" i="2" a="1"/>
  <c r="BY16" i="2" s="1"/>
  <c r="BY15" i="2" a="1"/>
  <c r="BY15" i="2" s="1"/>
  <c r="BY17" i="2" a="1"/>
  <c r="BY17" i="2" s="1"/>
  <c r="BY25" i="2" a="1"/>
  <c r="BY25" i="2" s="1"/>
  <c r="BY24" i="2" a="1"/>
  <c r="BY24" i="2" s="1"/>
  <c r="BY23" i="2" a="1"/>
  <c r="BY23" i="2" s="1"/>
  <c r="BY22" i="2" a="1"/>
  <c r="BY22" i="2" s="1"/>
  <c r="BY21" i="2" a="1"/>
  <c r="BY21" i="2" s="1"/>
  <c r="BY20" i="2" a="1"/>
  <c r="BY20" i="2" s="1"/>
  <c r="BY19" i="2" a="1"/>
  <c r="BY19" i="2" s="1"/>
  <c r="BY18" i="2" a="1"/>
  <c r="BY18" i="2" s="1"/>
  <c r="BY11" i="2" a="1"/>
  <c r="BY11" i="2" s="1"/>
  <c r="BY9" i="2" a="1"/>
  <c r="BY9" i="2" s="1"/>
  <c r="BY14" i="2" a="1"/>
  <c r="BY14" i="2" s="1"/>
  <c r="BY8" i="2" a="1"/>
  <c r="BY8" i="2" s="1"/>
  <c r="BY13" i="2" a="1"/>
  <c r="BY13" i="2" s="1"/>
  <c r="BY12" i="2" a="1"/>
  <c r="BY12" i="2" s="1"/>
  <c r="BY10" i="2" a="1"/>
  <c r="BY10" i="2" s="1"/>
  <c r="BY7" i="2" a="1"/>
  <c r="BY7" i="2" s="1"/>
  <c r="BY5" i="2" a="1"/>
  <c r="BY5" i="2" s="1"/>
  <c r="BY6" i="2" a="1"/>
  <c r="BY6" i="2" s="1"/>
  <c r="BY4" i="2" a="1"/>
  <c r="BY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6" i="2" a="1"/>
  <c r="S96" i="2" s="1"/>
  <c r="S97" i="2" a="1"/>
  <c r="S97" i="2" s="1"/>
  <c r="S98" i="2" a="1"/>
  <c r="S98" i="2" s="1"/>
  <c r="S93" i="2" a="1"/>
  <c r="S93" i="2" s="1"/>
  <c r="S92" i="2" a="1"/>
  <c r="S92" i="2" s="1"/>
  <c r="S95" i="2" a="1"/>
  <c r="S95" i="2" s="1"/>
  <c r="S94" i="2" a="1"/>
  <c r="S94" i="2" s="1"/>
  <c r="S90" i="2" a="1"/>
  <c r="S90" i="2" s="1"/>
  <c r="S89" i="2" a="1"/>
  <c r="S89" i="2" s="1"/>
  <c r="S88" i="2" a="1"/>
  <c r="S88" i="2" s="1"/>
  <c r="S91" i="2" a="1"/>
  <c r="S91" i="2" s="1"/>
  <c r="S85" i="2" a="1"/>
  <c r="S85" i="2" s="1"/>
  <c r="S87" i="2" a="1"/>
  <c r="S87" i="2" s="1"/>
  <c r="S86" i="2" a="1"/>
  <c r="S86" i="2" s="1"/>
  <c r="S81" i="2" a="1"/>
  <c r="S81" i="2" s="1"/>
  <c r="S82" i="2" a="1"/>
  <c r="S82" i="2" s="1"/>
  <c r="S84" i="2" a="1"/>
  <c r="S84" i="2" s="1"/>
  <c r="S83" i="2" a="1"/>
  <c r="S83" i="2" s="1"/>
  <c r="S80" i="2" a="1"/>
  <c r="S80" i="2" s="1"/>
  <c r="S79" i="2" a="1"/>
  <c r="S79" i="2" s="1"/>
  <c r="S77" i="2" a="1"/>
  <c r="S77" i="2" s="1"/>
  <c r="S76" i="2" a="1"/>
  <c r="S76" i="2" s="1"/>
  <c r="S78" i="2" a="1"/>
  <c r="S78" i="2" s="1"/>
  <c r="S74" i="2" a="1"/>
  <c r="S74" i="2" s="1"/>
  <c r="S75" i="2" a="1"/>
  <c r="S75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5" i="2" a="1"/>
  <c r="S65" i="2" s="1"/>
  <c r="S63" i="2" a="1"/>
  <c r="S63" i="2" s="1"/>
  <c r="S66" i="2" a="1"/>
  <c r="S66" i="2" s="1"/>
  <c r="S67" i="2" a="1"/>
  <c r="S67" i="2" s="1"/>
  <c r="S64" i="2" a="1"/>
  <c r="S64" i="2" s="1"/>
  <c r="S62" i="2" a="1"/>
  <c r="S62" i="2" s="1"/>
  <c r="S61" i="2" a="1"/>
  <c r="S61" i="2" s="1"/>
  <c r="S57" i="2" a="1"/>
  <c r="S57" i="2" s="1"/>
  <c r="S60" i="2" a="1"/>
  <c r="S60" i="2" s="1"/>
  <c r="S59" i="2" a="1"/>
  <c r="S59" i="2" s="1"/>
  <c r="S58" i="2" a="1"/>
  <c r="S58" i="2" s="1"/>
  <c r="S54" i="2" a="1"/>
  <c r="S54" i="2" s="1"/>
  <c r="S52" i="2" a="1"/>
  <c r="S52" i="2" s="1"/>
  <c r="S51" i="2" a="1"/>
  <c r="S51" i="2" s="1"/>
  <c r="S53" i="2" a="1"/>
  <c r="S53" i="2" s="1"/>
  <c r="S50" i="2" a="1"/>
  <c r="S50" i="2" s="1"/>
  <c r="S56" i="2" a="1"/>
  <c r="S56" i="2" s="1"/>
  <c r="S49" i="2" a="1"/>
  <c r="S49" i="2" s="1"/>
  <c r="S55" i="2" a="1"/>
  <c r="S55" i="2" s="1"/>
  <c r="S42" i="2" a="1"/>
  <c r="S42" i="2" s="1"/>
  <c r="S44" i="2" a="1"/>
  <c r="S44" i="2" s="1"/>
  <c r="S43" i="2" a="1"/>
  <c r="S43" i="2" s="1"/>
  <c r="S46" i="2" a="1"/>
  <c r="S46" i="2" s="1"/>
  <c r="S45" i="2" a="1"/>
  <c r="S45" i="2" s="1"/>
  <c r="S41" i="2" a="1"/>
  <c r="S41" i="2" s="1"/>
  <c r="S47" i="2" a="1"/>
  <c r="S47" i="2" s="1"/>
  <c r="S40" i="2" a="1"/>
  <c r="S40" i="2" s="1"/>
  <c r="S48" i="2" a="1"/>
  <c r="S48" i="2" s="1"/>
  <c r="S38" i="2" a="1"/>
  <c r="S38" i="2" s="1"/>
  <c r="S34" i="2" a="1"/>
  <c r="S34" i="2" s="1"/>
  <c r="S33" i="2" a="1"/>
  <c r="S33" i="2" s="1"/>
  <c r="S37" i="2" a="1"/>
  <c r="S37" i="2" s="1"/>
  <c r="S36" i="2" a="1"/>
  <c r="S36" i="2" s="1"/>
  <c r="S39" i="2" a="1"/>
  <c r="S39" i="2" s="1"/>
  <c r="S35" i="2" a="1"/>
  <c r="S35" i="2" s="1"/>
  <c r="S29" i="2" a="1"/>
  <c r="S29" i="2" s="1"/>
  <c r="S28" i="2" a="1"/>
  <c r="S28" i="2" s="1"/>
  <c r="S27" i="2" a="1"/>
  <c r="S27" i="2" s="1"/>
  <c r="S26" i="2" a="1"/>
  <c r="S26" i="2" s="1"/>
  <c r="S31" i="2" a="1"/>
  <c r="S31" i="2" s="1"/>
  <c r="S30" i="2" a="1"/>
  <c r="S30" i="2" s="1"/>
  <c r="S32" i="2" a="1"/>
  <c r="S32" i="2" s="1"/>
  <c r="S25" i="2" a="1"/>
  <c r="S25" i="2" s="1"/>
  <c r="S17" i="2" a="1"/>
  <c r="S17" i="2" s="1"/>
  <c r="S18" i="2" a="1"/>
  <c r="S18" i="2" s="1"/>
  <c r="S24" i="2" a="1"/>
  <c r="S24" i="2" s="1"/>
  <c r="S23" i="2" a="1"/>
  <c r="S23" i="2" s="1"/>
  <c r="S22" i="2" a="1"/>
  <c r="S22" i="2" s="1"/>
  <c r="S21" i="2" a="1"/>
  <c r="S21" i="2" s="1"/>
  <c r="S20" i="2" a="1"/>
  <c r="S20" i="2" s="1"/>
  <c r="S19" i="2" a="1"/>
  <c r="S19" i="2" s="1"/>
  <c r="S16" i="2" a="1"/>
  <c r="S16" i="2" s="1"/>
  <c r="S14" i="2" a="1"/>
  <c r="S14" i="2" s="1"/>
  <c r="S9" i="2" a="1"/>
  <c r="S9" i="2" s="1"/>
  <c r="S13" i="2" a="1"/>
  <c r="S13" i="2" s="1"/>
  <c r="S12" i="2" a="1"/>
  <c r="S12" i="2" s="1"/>
  <c r="S11" i="2" a="1"/>
  <c r="S11" i="2" s="1"/>
  <c r="S10" i="2" a="1"/>
  <c r="S10" i="2" s="1"/>
  <c r="S15" i="2" a="1"/>
  <c r="S15" i="2" s="1"/>
  <c r="S7" i="2" a="1"/>
  <c r="S7" i="2" s="1"/>
  <c r="S8" i="2" a="1"/>
  <c r="S8" i="2" s="1"/>
  <c r="S6" i="2" a="1"/>
  <c r="S6" i="2" s="1"/>
  <c r="S5" i="2" a="1"/>
  <c r="S5" i="2" s="1"/>
  <c r="S4" i="2" a="1"/>
  <c r="S4" i="2" s="1"/>
  <c r="AG101" i="2" a="1"/>
  <c r="AG101" i="2" s="1"/>
  <c r="AG100" i="2" a="1"/>
  <c r="AG100" i="2" s="1"/>
  <c r="AG99" i="2" a="1"/>
  <c r="AG99" i="2" s="1"/>
  <c r="AG103" i="2" a="1"/>
  <c r="AG103" i="2" s="1"/>
  <c r="AG102" i="2" a="1"/>
  <c r="AG102" i="2" s="1"/>
  <c r="AG98" i="2" a="1"/>
  <c r="AG98" i="2" s="1"/>
  <c r="AG97" i="2" a="1"/>
  <c r="AG97" i="2" s="1"/>
  <c r="AG96" i="2" a="1"/>
  <c r="AG96" i="2" s="1"/>
  <c r="AG95" i="2" a="1"/>
  <c r="AG95" i="2" s="1"/>
  <c r="AG94" i="2" a="1"/>
  <c r="AG94" i="2" s="1"/>
  <c r="AG93" i="2" a="1"/>
  <c r="AG93" i="2" s="1"/>
  <c r="AG92" i="2" a="1"/>
  <c r="AG92" i="2" s="1"/>
  <c r="AG91" i="2" a="1"/>
  <c r="AG91" i="2" s="1"/>
  <c r="AG90" i="2" a="1"/>
  <c r="AG90" i="2" s="1"/>
  <c r="AG89" i="2" a="1"/>
  <c r="AG89" i="2" s="1"/>
  <c r="AG87" i="2" a="1"/>
  <c r="AG87" i="2" s="1"/>
  <c r="AG88" i="2" a="1"/>
  <c r="AG88" i="2" s="1"/>
  <c r="AG86" i="2" a="1"/>
  <c r="AG86" i="2" s="1"/>
  <c r="AG85" i="2" a="1"/>
  <c r="AG85" i="2" s="1"/>
  <c r="AG84" i="2" a="1"/>
  <c r="AG84" i="2" s="1"/>
  <c r="AG81" i="2" a="1"/>
  <c r="AG81" i="2" s="1"/>
  <c r="AG83" i="2" a="1"/>
  <c r="AG83" i="2" s="1"/>
  <c r="AG82" i="2" a="1"/>
  <c r="AG82" i="2" s="1"/>
  <c r="AG80" i="2" a="1"/>
  <c r="AG80" i="2" s="1"/>
  <c r="AG78" i="2" a="1"/>
  <c r="AG78" i="2" s="1"/>
  <c r="AG79" i="2" a="1"/>
  <c r="AG79" i="2" s="1"/>
  <c r="AG77" i="2" a="1"/>
  <c r="AG77" i="2" s="1"/>
  <c r="AG76" i="2" a="1"/>
  <c r="AG76" i="2" s="1"/>
  <c r="AG73" i="2" a="1"/>
  <c r="AG73" i="2" s="1"/>
  <c r="AG72" i="2" a="1"/>
  <c r="AG72" i="2" s="1"/>
  <c r="AG74" i="2" a="1"/>
  <c r="AG74" i="2" s="1"/>
  <c r="AG75" i="2" a="1"/>
  <c r="AG75" i="2" s="1"/>
  <c r="AG69" i="2" a="1"/>
  <c r="AG69" i="2" s="1"/>
  <c r="AG68" i="2" a="1"/>
  <c r="AG68" i="2" s="1"/>
  <c r="AG71" i="2" a="1"/>
  <c r="AG71" i="2" s="1"/>
  <c r="AG70" i="2" a="1"/>
  <c r="AG70" i="2" s="1"/>
  <c r="AG67" i="2" a="1"/>
  <c r="AG67" i="2" s="1"/>
  <c r="AG66" i="2" a="1"/>
  <c r="AG66" i="2" s="1"/>
  <c r="AG64" i="2" a="1"/>
  <c r="AG64" i="2" s="1"/>
  <c r="AG65" i="2" a="1"/>
  <c r="AG65" i="2" s="1"/>
  <c r="AG62" i="2" a="1"/>
  <c r="AG62" i="2" s="1"/>
  <c r="AG63" i="2" a="1"/>
  <c r="AG63" i="2" s="1"/>
  <c r="AG61" i="2" a="1"/>
  <c r="AG61" i="2" s="1"/>
  <c r="AG60" i="2" a="1"/>
  <c r="AG60" i="2" s="1"/>
  <c r="AG59" i="2" a="1"/>
  <c r="AG59" i="2" s="1"/>
  <c r="AG58" i="2" a="1"/>
  <c r="AG58" i="2" s="1"/>
  <c r="AG57" i="2" a="1"/>
  <c r="AG57" i="2" s="1"/>
  <c r="AG51" i="2" a="1"/>
  <c r="AG51" i="2" s="1"/>
  <c r="AG50" i="2" a="1"/>
  <c r="AG50" i="2" s="1"/>
  <c r="AG49" i="2" a="1"/>
  <c r="AG49" i="2" s="1"/>
  <c r="AG56" i="2" a="1"/>
  <c r="AG56" i="2" s="1"/>
  <c r="AG55" i="2" a="1"/>
  <c r="AG55" i="2" s="1"/>
  <c r="AG48" i="2" a="1"/>
  <c r="AG48" i="2" s="1"/>
  <c r="AG54" i="2" a="1"/>
  <c r="AG54" i="2" s="1"/>
  <c r="AG53" i="2" a="1"/>
  <c r="AG53" i="2" s="1"/>
  <c r="AG52" i="2" a="1"/>
  <c r="AG52" i="2" s="1"/>
  <c r="AG47" i="2" a="1"/>
  <c r="AG47" i="2" s="1"/>
  <c r="AG44" i="2" a="1"/>
  <c r="AG44" i="2" s="1"/>
  <c r="AG42" i="2" a="1"/>
  <c r="AG42" i="2" s="1"/>
  <c r="AG46" i="2" a="1"/>
  <c r="AG46" i="2" s="1"/>
  <c r="AG43" i="2" a="1"/>
  <c r="AG43" i="2" s="1"/>
  <c r="AG45" i="2" a="1"/>
  <c r="AG45" i="2" s="1"/>
  <c r="AG39" i="2" a="1"/>
  <c r="AG39" i="2" s="1"/>
  <c r="AG41" i="2" a="1"/>
  <c r="AG41" i="2" s="1"/>
  <c r="AG35" i="2" a="1"/>
  <c r="AG35" i="2" s="1"/>
  <c r="AG38" i="2" a="1"/>
  <c r="AG38" i="2" s="1"/>
  <c r="AG34" i="2" a="1"/>
  <c r="AG34" i="2" s="1"/>
  <c r="AG37" i="2" a="1"/>
  <c r="AG37" i="2" s="1"/>
  <c r="AG40" i="2" a="1"/>
  <c r="AG40" i="2" s="1"/>
  <c r="AG36" i="2" a="1"/>
  <c r="AG36" i="2" s="1"/>
  <c r="AG33" i="2" a="1"/>
  <c r="AG33" i="2" s="1"/>
  <c r="AG31" i="2" a="1"/>
  <c r="AG31" i="2" s="1"/>
  <c r="AG30" i="2" a="1"/>
  <c r="AG30" i="2" s="1"/>
  <c r="AG32" i="2" a="1"/>
  <c r="AG32" i="2" s="1"/>
  <c r="AG29" i="2" a="1"/>
  <c r="AG29" i="2" s="1"/>
  <c r="AG26" i="2" a="1"/>
  <c r="AG26" i="2" s="1"/>
  <c r="AG28" i="2" a="1"/>
  <c r="AG28" i="2" s="1"/>
  <c r="AG27" i="2" a="1"/>
  <c r="AG27" i="2" s="1"/>
  <c r="AG25" i="2" a="1"/>
  <c r="AG25" i="2" s="1"/>
  <c r="AG18" i="2" a="1"/>
  <c r="AG18" i="2" s="1"/>
  <c r="AG17" i="2" a="1"/>
  <c r="AG17" i="2" s="1"/>
  <c r="AG16" i="2" a="1"/>
  <c r="AG16" i="2" s="1"/>
  <c r="AG24" i="2" a="1"/>
  <c r="AG24" i="2" s="1"/>
  <c r="AG23" i="2" a="1"/>
  <c r="AG23" i="2" s="1"/>
  <c r="AG22" i="2" a="1"/>
  <c r="AG22" i="2" s="1"/>
  <c r="AG21" i="2" a="1"/>
  <c r="AG21" i="2" s="1"/>
  <c r="AG20" i="2" a="1"/>
  <c r="AG20" i="2" s="1"/>
  <c r="AG19" i="2" a="1"/>
  <c r="AG19" i="2" s="1"/>
  <c r="AG11" i="2" a="1"/>
  <c r="AG11" i="2" s="1"/>
  <c r="AG14" i="2" a="1"/>
  <c r="AG14" i="2" s="1"/>
  <c r="AG9" i="2" a="1"/>
  <c r="AG9" i="2" s="1"/>
  <c r="AG15" i="2" a="1"/>
  <c r="AG15" i="2" s="1"/>
  <c r="AG10" i="2" a="1"/>
  <c r="AG10" i="2" s="1"/>
  <c r="AG13" i="2" a="1"/>
  <c r="AG13" i="2" s="1"/>
  <c r="AG12" i="2" a="1"/>
  <c r="AG12" i="2" s="1"/>
  <c r="AG6" i="2" a="1"/>
  <c r="AG6" i="2" s="1"/>
  <c r="AG7" i="2" a="1"/>
  <c r="AG7" i="2" s="1"/>
  <c r="AG4" i="2" a="1"/>
  <c r="AG4" i="2" s="1"/>
  <c r="AG5" i="2" a="1"/>
  <c r="AG5" i="2" s="1"/>
  <c r="AG8" i="2" a="1"/>
  <c r="AG8" i="2" s="1"/>
  <c r="CP100" i="2" a="1"/>
  <c r="CP100" i="2" s="1"/>
  <c r="CP99" i="2" a="1"/>
  <c r="CP99" i="2" s="1"/>
  <c r="CP103" i="2" a="1"/>
  <c r="CP103" i="2" s="1"/>
  <c r="CP102" i="2" a="1"/>
  <c r="CP102" i="2" s="1"/>
  <c r="CP101" i="2" a="1"/>
  <c r="CP101" i="2" s="1"/>
  <c r="CP98" i="2" a="1"/>
  <c r="CP98" i="2" s="1"/>
  <c r="CP97" i="2" a="1"/>
  <c r="CP97" i="2" s="1"/>
  <c r="CP96" i="2" a="1"/>
  <c r="CP96" i="2" s="1"/>
  <c r="CP95" i="2" a="1"/>
  <c r="CP95" i="2" s="1"/>
  <c r="CP94" i="2" a="1"/>
  <c r="CP94" i="2" s="1"/>
  <c r="CP93" i="2" a="1"/>
  <c r="CP93" i="2" s="1"/>
  <c r="CP92" i="2" a="1"/>
  <c r="CP92" i="2" s="1"/>
  <c r="CP88" i="2" a="1"/>
  <c r="CP88" i="2" s="1"/>
  <c r="CP90" i="2" a="1"/>
  <c r="CP90" i="2" s="1"/>
  <c r="CP91" i="2" a="1"/>
  <c r="CP91" i="2" s="1"/>
  <c r="CP89" i="2" a="1"/>
  <c r="CP89" i="2" s="1"/>
  <c r="CP85" i="2" a="1"/>
  <c r="CP85" i="2" s="1"/>
  <c r="CP84" i="2" a="1"/>
  <c r="CP84" i="2" s="1"/>
  <c r="CP86" i="2" a="1"/>
  <c r="CP86" i="2" s="1"/>
  <c r="CP87" i="2" a="1"/>
  <c r="CP87" i="2" s="1"/>
  <c r="CP82" i="2" a="1"/>
  <c r="CP82" i="2" s="1"/>
  <c r="CP81" i="2" a="1"/>
  <c r="CP81" i="2" s="1"/>
  <c r="CP80" i="2" a="1"/>
  <c r="CP80" i="2" s="1"/>
  <c r="CP83" i="2" a="1"/>
  <c r="CP83" i="2" s="1"/>
  <c r="CP79" i="2" a="1"/>
  <c r="CP79" i="2" s="1"/>
  <c r="CP76" i="2" a="1"/>
  <c r="CP76" i="2" s="1"/>
  <c r="CP77" i="2" a="1"/>
  <c r="CP77" i="2" s="1"/>
  <c r="CP78" i="2" a="1"/>
  <c r="CP78" i="2" s="1"/>
  <c r="CP75" i="2" a="1"/>
  <c r="CP75" i="2" s="1"/>
  <c r="CP72" i="2" a="1"/>
  <c r="CP72" i="2" s="1"/>
  <c r="CP73" i="2" a="1"/>
  <c r="CP73" i="2" s="1"/>
  <c r="CP74" i="2" a="1"/>
  <c r="CP74" i="2" s="1"/>
  <c r="CP69" i="2" a="1"/>
  <c r="CP69" i="2" s="1"/>
  <c r="CP68" i="2" a="1"/>
  <c r="CP68" i="2" s="1"/>
  <c r="CP71" i="2" a="1"/>
  <c r="CP71" i="2" s="1"/>
  <c r="CP70" i="2" a="1"/>
  <c r="CP70" i="2" s="1"/>
  <c r="CP67" i="2" a="1"/>
  <c r="CP67" i="2" s="1"/>
  <c r="CP65" i="2" a="1"/>
  <c r="CP65" i="2" s="1"/>
  <c r="CP64" i="2" a="1"/>
  <c r="CP64" i="2" s="1"/>
  <c r="CP66" i="2" a="1"/>
  <c r="CP66" i="2" s="1"/>
  <c r="CP59" i="2" a="1"/>
  <c r="CP59" i="2" s="1"/>
  <c r="CP63" i="2" a="1"/>
  <c r="CP63" i="2" s="1"/>
  <c r="CP62" i="2" a="1"/>
  <c r="CP62" i="2" s="1"/>
  <c r="CP61" i="2" a="1"/>
  <c r="CP61" i="2" s="1"/>
  <c r="CP57" i="2" a="1"/>
  <c r="CP57" i="2" s="1"/>
  <c r="CP56" i="2" a="1"/>
  <c r="CP56" i="2" s="1"/>
  <c r="CP60" i="2" a="1"/>
  <c r="CP60" i="2" s="1"/>
  <c r="CP58" i="2" a="1"/>
  <c r="CP58" i="2" s="1"/>
  <c r="CP54" i="2" a="1"/>
  <c r="CP54" i="2" s="1"/>
  <c r="CP52" i="2" a="1"/>
  <c r="CP52" i="2" s="1"/>
  <c r="CP53" i="2" a="1"/>
  <c r="CP53" i="2" s="1"/>
  <c r="CP48" i="2" a="1"/>
  <c r="CP48" i="2" s="1"/>
  <c r="CP55" i="2" a="1"/>
  <c r="CP55" i="2" s="1"/>
  <c r="CP51" i="2" a="1"/>
  <c r="CP51" i="2" s="1"/>
  <c r="CP50" i="2" a="1"/>
  <c r="CP50" i="2" s="1"/>
  <c r="CP49" i="2" a="1"/>
  <c r="CP49" i="2" s="1"/>
  <c r="CP45" i="2" a="1"/>
  <c r="CP45" i="2" s="1"/>
  <c r="CP47" i="2" a="1"/>
  <c r="CP47" i="2" s="1"/>
  <c r="CP41" i="2" a="1"/>
  <c r="CP41" i="2" s="1"/>
  <c r="CP44" i="2" a="1"/>
  <c r="CP44" i="2" s="1"/>
  <c r="CP43" i="2" a="1"/>
  <c r="CP43" i="2" s="1"/>
  <c r="CP46" i="2" a="1"/>
  <c r="CP46" i="2" s="1"/>
  <c r="CP42" i="2" a="1"/>
  <c r="CP42" i="2" s="1"/>
  <c r="CP37" i="2" a="1"/>
  <c r="CP37" i="2" s="1"/>
  <c r="CP40" i="2" a="1"/>
  <c r="CP40" i="2" s="1"/>
  <c r="CP34" i="2" a="1"/>
  <c r="CP34" i="2" s="1"/>
  <c r="CP36" i="2" a="1"/>
  <c r="CP36" i="2" s="1"/>
  <c r="CP39" i="2" a="1"/>
  <c r="CP39" i="2" s="1"/>
  <c r="CP35" i="2" a="1"/>
  <c r="CP35" i="2" s="1"/>
  <c r="CP38" i="2" a="1"/>
  <c r="CP38" i="2" s="1"/>
  <c r="CP27" i="2" a="1"/>
  <c r="CP27" i="2" s="1"/>
  <c r="CP26" i="2" a="1"/>
  <c r="CP26" i="2" s="1"/>
  <c r="CP30" i="2" a="1"/>
  <c r="CP30" i="2" s="1"/>
  <c r="CP25" i="2" a="1"/>
  <c r="CP25" i="2" s="1"/>
  <c r="CP31" i="2" a="1"/>
  <c r="CP31" i="2" s="1"/>
  <c r="CP29" i="2" a="1"/>
  <c r="CP29" i="2" s="1"/>
  <c r="CP33" i="2" a="1"/>
  <c r="CP33" i="2" s="1"/>
  <c r="CP32" i="2" a="1"/>
  <c r="CP32" i="2" s="1"/>
  <c r="CP28" i="2" a="1"/>
  <c r="CP28" i="2" s="1"/>
  <c r="CP16" i="2" a="1"/>
  <c r="CP16" i="2" s="1"/>
  <c r="CP17" i="2" a="1"/>
  <c r="CP17" i="2" s="1"/>
  <c r="CP15" i="2" a="1"/>
  <c r="CP15" i="2" s="1"/>
  <c r="CP24" i="2" a="1"/>
  <c r="CP24" i="2" s="1"/>
  <c r="CP23" i="2" a="1"/>
  <c r="CP23" i="2" s="1"/>
  <c r="CP22" i="2" a="1"/>
  <c r="CP22" i="2" s="1"/>
  <c r="CP21" i="2" a="1"/>
  <c r="CP21" i="2" s="1"/>
  <c r="CP20" i="2" a="1"/>
  <c r="CP20" i="2" s="1"/>
  <c r="CP19" i="2" a="1"/>
  <c r="CP19" i="2" s="1"/>
  <c r="CP18" i="2" a="1"/>
  <c r="CP18" i="2" s="1"/>
  <c r="CP10" i="2" a="1"/>
  <c r="CP10" i="2" s="1"/>
  <c r="CP9" i="2" a="1"/>
  <c r="CP9" i="2" s="1"/>
  <c r="CP14" i="2" a="1"/>
  <c r="CP14" i="2" s="1"/>
  <c r="CP13" i="2" a="1"/>
  <c r="CP13" i="2" s="1"/>
  <c r="CP8" i="2" a="1"/>
  <c r="CP8" i="2" s="1"/>
  <c r="CP12" i="2" a="1"/>
  <c r="CP12" i="2" s="1"/>
  <c r="CP11" i="2" a="1"/>
  <c r="CP11" i="2" s="1"/>
  <c r="CP5" i="2" a="1"/>
  <c r="CP5" i="2" s="1"/>
  <c r="CP6" i="2" a="1"/>
  <c r="CP6" i="2" s="1"/>
  <c r="CP4" i="2" a="1"/>
  <c r="CP4" i="2" s="1"/>
  <c r="CP7" i="2" a="1"/>
  <c r="CP7" i="2" s="1"/>
  <c r="AI100" i="2" a="1"/>
  <c r="AI100" i="2" s="1"/>
  <c r="AI103" i="2" a="1"/>
  <c r="AI103" i="2" s="1"/>
  <c r="AI102" i="2" a="1"/>
  <c r="AI102" i="2" s="1"/>
  <c r="AI101" i="2" a="1"/>
  <c r="AI101" i="2" s="1"/>
  <c r="AI98" i="2" a="1"/>
  <c r="AI98" i="2" s="1"/>
  <c r="AI97" i="2" a="1"/>
  <c r="AI97" i="2" s="1"/>
  <c r="AI99" i="2" a="1"/>
  <c r="AI99" i="2" s="1"/>
  <c r="AI96" i="2" a="1"/>
  <c r="AI96" i="2" s="1"/>
  <c r="AI95" i="2" a="1"/>
  <c r="AI95" i="2" s="1"/>
  <c r="AI94" i="2" a="1"/>
  <c r="AI94" i="2" s="1"/>
  <c r="AI93" i="2" a="1"/>
  <c r="AI93" i="2" s="1"/>
  <c r="AI92" i="2" a="1"/>
  <c r="AI92" i="2" s="1"/>
  <c r="AI90" i="2" a="1"/>
  <c r="AI90" i="2" s="1"/>
  <c r="AI89" i="2" a="1"/>
  <c r="AI89" i="2" s="1"/>
  <c r="AI88" i="2" a="1"/>
  <c r="AI88" i="2" s="1"/>
  <c r="AI91" i="2" a="1"/>
  <c r="AI91" i="2" s="1"/>
  <c r="AI85" i="2" a="1"/>
  <c r="AI85" i="2" s="1"/>
  <c r="AI84" i="2" a="1"/>
  <c r="AI84" i="2" s="1"/>
  <c r="AI87" i="2" a="1"/>
  <c r="AI87" i="2" s="1"/>
  <c r="AI86" i="2" a="1"/>
  <c r="AI86" i="2" s="1"/>
  <c r="AI81" i="2" a="1"/>
  <c r="AI81" i="2" s="1"/>
  <c r="AI83" i="2" a="1"/>
  <c r="AI83" i="2" s="1"/>
  <c r="AI82" i="2" a="1"/>
  <c r="AI82" i="2" s="1"/>
  <c r="AI80" i="2" a="1"/>
  <c r="AI80" i="2" s="1"/>
  <c r="AI78" i="2" a="1"/>
  <c r="AI78" i="2" s="1"/>
  <c r="AI79" i="2" a="1"/>
  <c r="AI79" i="2" s="1"/>
  <c r="AI77" i="2" a="1"/>
  <c r="AI77" i="2" s="1"/>
  <c r="AI76" i="2" a="1"/>
  <c r="AI76" i="2" s="1"/>
  <c r="AI74" i="2" a="1"/>
  <c r="AI74" i="2" s="1"/>
  <c r="AI75" i="2" a="1"/>
  <c r="AI75" i="2" s="1"/>
  <c r="AI73" i="2" a="1"/>
  <c r="AI73" i="2" s="1"/>
  <c r="AI72" i="2" a="1"/>
  <c r="AI72" i="2" s="1"/>
  <c r="AI71" i="2" a="1"/>
  <c r="AI71" i="2" s="1"/>
  <c r="AI70" i="2" a="1"/>
  <c r="AI70" i="2" s="1"/>
  <c r="AI69" i="2" a="1"/>
  <c r="AI69" i="2" s="1"/>
  <c r="AI68" i="2" a="1"/>
  <c r="AI68" i="2" s="1"/>
  <c r="AI65" i="2" a="1"/>
  <c r="AI65" i="2" s="1"/>
  <c r="AI67" i="2" a="1"/>
  <c r="AI67" i="2" s="1"/>
  <c r="AI66" i="2" a="1"/>
  <c r="AI66" i="2" s="1"/>
  <c r="AI64" i="2" a="1"/>
  <c r="AI64" i="2" s="1"/>
  <c r="AI60" i="2" a="1"/>
  <c r="AI60" i="2" s="1"/>
  <c r="AI63" i="2" a="1"/>
  <c r="AI63" i="2" s="1"/>
  <c r="AI62" i="2" a="1"/>
  <c r="AI62" i="2" s="1"/>
  <c r="AI61" i="2" a="1"/>
  <c r="AI61" i="2" s="1"/>
  <c r="AI57" i="2" a="1"/>
  <c r="AI57" i="2" s="1"/>
  <c r="AI58" i="2" a="1"/>
  <c r="AI58" i="2" s="1"/>
  <c r="AI59" i="2" a="1"/>
  <c r="AI59" i="2" s="1"/>
  <c r="AI50" i="2" a="1"/>
  <c r="AI50" i="2" s="1"/>
  <c r="AI56" i="2" a="1"/>
  <c r="AI56" i="2" s="1"/>
  <c r="AI55" i="2" a="1"/>
  <c r="AI55" i="2" s="1"/>
  <c r="AI49" i="2" a="1"/>
  <c r="AI49" i="2" s="1"/>
  <c r="AI54" i="2" a="1"/>
  <c r="AI54" i="2" s="1"/>
  <c r="AI52" i="2" a="1"/>
  <c r="AI52" i="2" s="1"/>
  <c r="AI53" i="2" a="1"/>
  <c r="AI53" i="2" s="1"/>
  <c r="AI51" i="2" a="1"/>
  <c r="AI51" i="2" s="1"/>
  <c r="AI44" i="2" a="1"/>
  <c r="AI44" i="2" s="1"/>
  <c r="AI42" i="2" a="1"/>
  <c r="AI42" i="2" s="1"/>
  <c r="AI43" i="2" a="1"/>
  <c r="AI43" i="2" s="1"/>
  <c r="AI48" i="2" a="1"/>
  <c r="AI48" i="2" s="1"/>
  <c r="AI46" i="2" a="1"/>
  <c r="AI46" i="2" s="1"/>
  <c r="AI45" i="2" a="1"/>
  <c r="AI45" i="2" s="1"/>
  <c r="AI41" i="2" a="1"/>
  <c r="AI41" i="2" s="1"/>
  <c r="AI47" i="2" a="1"/>
  <c r="AI47" i="2" s="1"/>
  <c r="AI35" i="2" a="1"/>
  <c r="AI35" i="2" s="1"/>
  <c r="AI38" i="2" a="1"/>
  <c r="AI38" i="2" s="1"/>
  <c r="AI34" i="2" a="1"/>
  <c r="AI34" i="2" s="1"/>
  <c r="AI37" i="2" a="1"/>
  <c r="AI37" i="2" s="1"/>
  <c r="AI40" i="2" a="1"/>
  <c r="AI40" i="2" s="1"/>
  <c r="AI36" i="2" a="1"/>
  <c r="AI36" i="2" s="1"/>
  <c r="AI39" i="2" a="1"/>
  <c r="AI39" i="2" s="1"/>
  <c r="AI31" i="2" a="1"/>
  <c r="AI31" i="2" s="1"/>
  <c r="AI30" i="2" a="1"/>
  <c r="AI30" i="2" s="1"/>
  <c r="AI32" i="2" a="1"/>
  <c r="AI32" i="2" s="1"/>
  <c r="AI29" i="2" a="1"/>
  <c r="AI29" i="2" s="1"/>
  <c r="AI26" i="2" a="1"/>
  <c r="AI26" i="2" s="1"/>
  <c r="AI28" i="2" a="1"/>
  <c r="AI28" i="2" s="1"/>
  <c r="AI27" i="2" a="1"/>
  <c r="AI27" i="2" s="1"/>
  <c r="AI33" i="2" a="1"/>
  <c r="AI33" i="2" s="1"/>
  <c r="AI17" i="2" a="1"/>
  <c r="AI17" i="2" s="1"/>
  <c r="AI16" i="2" a="1"/>
  <c r="AI16" i="2" s="1"/>
  <c r="AI24" i="2" a="1"/>
  <c r="AI24" i="2" s="1"/>
  <c r="AI23" i="2" a="1"/>
  <c r="AI23" i="2" s="1"/>
  <c r="AI22" i="2" a="1"/>
  <c r="AI22" i="2" s="1"/>
  <c r="AI21" i="2" a="1"/>
  <c r="AI21" i="2" s="1"/>
  <c r="AI20" i="2" a="1"/>
  <c r="AI20" i="2" s="1"/>
  <c r="AI19" i="2" a="1"/>
  <c r="AI19" i="2" s="1"/>
  <c r="AI25" i="2" a="1"/>
  <c r="AI25" i="2" s="1"/>
  <c r="AI18" i="2" a="1"/>
  <c r="AI18" i="2" s="1"/>
  <c r="AI10" i="2" a="1"/>
  <c r="AI10" i="2" s="1"/>
  <c r="AI14" i="2" a="1"/>
  <c r="AI14" i="2" s="1"/>
  <c r="AI9" i="2" a="1"/>
  <c r="AI9" i="2" s="1"/>
  <c r="AI15" i="2" a="1"/>
  <c r="AI15" i="2" s="1"/>
  <c r="AI13" i="2" a="1"/>
  <c r="AI13" i="2" s="1"/>
  <c r="AI12" i="2" a="1"/>
  <c r="AI12" i="2" s="1"/>
  <c r="AI11" i="2" a="1"/>
  <c r="AI11" i="2" s="1"/>
  <c r="AI8" i="2" a="1"/>
  <c r="AI8" i="2" s="1"/>
  <c r="AI6" i="2" a="1"/>
  <c r="AI6" i="2" s="1"/>
  <c r="AI4" i="2" a="1"/>
  <c r="AI4" i="2" s="1"/>
  <c r="AI7" i="2" a="1"/>
  <c r="AI7" i="2" s="1"/>
  <c r="AI5" i="2" a="1"/>
  <c r="AI5" i="2" s="1"/>
  <c r="BH100" i="2" a="1"/>
  <c r="BH100" i="2" s="1"/>
  <c r="BH99" i="2" a="1"/>
  <c r="BH99" i="2" s="1"/>
  <c r="BH103" i="2" a="1"/>
  <c r="BH103" i="2" s="1"/>
  <c r="BH102" i="2" a="1"/>
  <c r="BH102" i="2" s="1"/>
  <c r="BH101" i="2" a="1"/>
  <c r="BH101" i="2" s="1"/>
  <c r="BH98" i="2" a="1"/>
  <c r="BH98" i="2" s="1"/>
  <c r="BH97" i="2" a="1"/>
  <c r="BH97" i="2" s="1"/>
  <c r="BH96" i="2" a="1"/>
  <c r="BH96" i="2" s="1"/>
  <c r="BH94" i="2" a="1"/>
  <c r="BH94" i="2" s="1"/>
  <c r="BH93" i="2" a="1"/>
  <c r="BH93" i="2" s="1"/>
  <c r="BH92" i="2" a="1"/>
  <c r="BH92" i="2" s="1"/>
  <c r="BH95" i="2" a="1"/>
  <c r="BH95" i="2" s="1"/>
  <c r="BH90" i="2" a="1"/>
  <c r="BH90" i="2" s="1"/>
  <c r="BH89" i="2" a="1"/>
  <c r="BH89" i="2" s="1"/>
  <c r="BH91" i="2" a="1"/>
  <c r="BH91" i="2" s="1"/>
  <c r="BH88" i="2" a="1"/>
  <c r="BH88" i="2" s="1"/>
  <c r="BH87" i="2" a="1"/>
  <c r="BH87" i="2" s="1"/>
  <c r="BH86" i="2" a="1"/>
  <c r="BH86" i="2" s="1"/>
  <c r="BH85" i="2" a="1"/>
  <c r="BH85" i="2" s="1"/>
  <c r="BH84" i="2" a="1"/>
  <c r="BH84" i="2" s="1"/>
  <c r="BH81" i="2" a="1"/>
  <c r="BH81" i="2" s="1"/>
  <c r="BH80" i="2" a="1"/>
  <c r="BH80" i="2" s="1"/>
  <c r="BH82" i="2" a="1"/>
  <c r="BH82" i="2" s="1"/>
  <c r="BH83" i="2" a="1"/>
  <c r="BH83" i="2" s="1"/>
  <c r="BH75" i="2" a="1"/>
  <c r="BH75" i="2" s="1"/>
  <c r="BH79" i="2" a="1"/>
  <c r="BH79" i="2" s="1"/>
  <c r="BH78" i="2" a="1"/>
  <c r="BH78" i="2" s="1"/>
  <c r="BH77" i="2" a="1"/>
  <c r="BH77" i="2" s="1"/>
  <c r="BH76" i="2" a="1"/>
  <c r="BH76" i="2" s="1"/>
  <c r="BH74" i="2" a="1"/>
  <c r="BH74" i="2" s="1"/>
  <c r="BH73" i="2" a="1"/>
  <c r="BH73" i="2" s="1"/>
  <c r="BH72" i="2" a="1"/>
  <c r="BH72" i="2" s="1"/>
  <c r="BH69" i="2" a="1"/>
  <c r="BH69" i="2" s="1"/>
  <c r="BH68" i="2" a="1"/>
  <c r="BH68" i="2" s="1"/>
  <c r="BH71" i="2" a="1"/>
  <c r="BH71" i="2" s="1"/>
  <c r="BH70" i="2" a="1"/>
  <c r="BH70" i="2" s="1"/>
  <c r="BH65" i="2" a="1"/>
  <c r="BH65" i="2" s="1"/>
  <c r="BH64" i="2" a="1"/>
  <c r="BH64" i="2" s="1"/>
  <c r="BH67" i="2" a="1"/>
  <c r="BH67" i="2" s="1"/>
  <c r="BH66" i="2" a="1"/>
  <c r="BH66" i="2" s="1"/>
  <c r="BH62" i="2" a="1"/>
  <c r="BH62" i="2" s="1"/>
  <c r="BH61" i="2" a="1"/>
  <c r="BH61" i="2" s="1"/>
  <c r="BH63" i="2" a="1"/>
  <c r="BH63" i="2" s="1"/>
  <c r="BH60" i="2" a="1"/>
  <c r="BH60" i="2" s="1"/>
  <c r="BH59" i="2" a="1"/>
  <c r="BH59" i="2" s="1"/>
  <c r="BH57" i="2" a="1"/>
  <c r="BH57" i="2" s="1"/>
  <c r="BH58" i="2" a="1"/>
  <c r="BH58" i="2" s="1"/>
  <c r="BH56" i="2" a="1"/>
  <c r="BH56" i="2" s="1"/>
  <c r="BH51" i="2" a="1"/>
  <c r="BH51" i="2" s="1"/>
  <c r="BH50" i="2" a="1"/>
  <c r="BH50" i="2" s="1"/>
  <c r="BH55" i="2" a="1"/>
  <c r="BH55" i="2" s="1"/>
  <c r="BH49" i="2" a="1"/>
  <c r="BH49" i="2" s="1"/>
  <c r="BH48" i="2" a="1"/>
  <c r="BH48" i="2" s="1"/>
  <c r="BH54" i="2" a="1"/>
  <c r="BH54" i="2" s="1"/>
  <c r="BH53" i="2" a="1"/>
  <c r="BH53" i="2" s="1"/>
  <c r="BH52" i="2" a="1"/>
  <c r="BH52" i="2" s="1"/>
  <c r="BH41" i="2" a="1"/>
  <c r="BH41" i="2" s="1"/>
  <c r="BH47" i="2" a="1"/>
  <c r="BH47" i="2" s="1"/>
  <c r="BH44" i="2" a="1"/>
  <c r="BH44" i="2" s="1"/>
  <c r="BH42" i="2" a="1"/>
  <c r="BH42" i="2" s="1"/>
  <c r="BH43" i="2" a="1"/>
  <c r="BH43" i="2" s="1"/>
  <c r="BH40" i="2" a="1"/>
  <c r="BH40" i="2" s="1"/>
  <c r="BH46" i="2" a="1"/>
  <c r="BH46" i="2" s="1"/>
  <c r="BH45" i="2" a="1"/>
  <c r="BH45" i="2" s="1"/>
  <c r="BH38" i="2" a="1"/>
  <c r="BH38" i="2" s="1"/>
  <c r="BH37" i="2" a="1"/>
  <c r="BH37" i="2" s="1"/>
  <c r="BH34" i="2" a="1"/>
  <c r="BH34" i="2" s="1"/>
  <c r="BH36" i="2" a="1"/>
  <c r="BH36" i="2" s="1"/>
  <c r="BH39" i="2" a="1"/>
  <c r="BH39" i="2" s="1"/>
  <c r="BH35" i="2" a="1"/>
  <c r="BH35" i="2" s="1"/>
  <c r="BH30" i="2" a="1"/>
  <c r="BH30" i="2" s="1"/>
  <c r="BH26" i="2" a="1"/>
  <c r="BH26" i="2" s="1"/>
  <c r="BH25" i="2" a="1"/>
  <c r="BH25" i="2" s="1"/>
  <c r="BH31" i="2" a="1"/>
  <c r="BH31" i="2" s="1"/>
  <c r="BH29" i="2" a="1"/>
  <c r="BH29" i="2" s="1"/>
  <c r="BH32" i="2" a="1"/>
  <c r="BH32" i="2" s="1"/>
  <c r="BH28" i="2" a="1"/>
  <c r="BH28" i="2" s="1"/>
  <c r="BH33" i="2" a="1"/>
  <c r="BH33" i="2" s="1"/>
  <c r="BH27" i="2" a="1"/>
  <c r="BH27" i="2" s="1"/>
  <c r="BH16" i="2" a="1"/>
  <c r="BH16" i="2" s="1"/>
  <c r="BH24" i="2" a="1"/>
  <c r="BH24" i="2" s="1"/>
  <c r="BH23" i="2" a="1"/>
  <c r="BH23" i="2" s="1"/>
  <c r="BH22" i="2" a="1"/>
  <c r="BH22" i="2" s="1"/>
  <c r="BH21" i="2" a="1"/>
  <c r="BH21" i="2" s="1"/>
  <c r="BH20" i="2" a="1"/>
  <c r="BH20" i="2" s="1"/>
  <c r="BH19" i="2" a="1"/>
  <c r="BH19" i="2" s="1"/>
  <c r="BH15" i="2" a="1"/>
  <c r="BH15" i="2" s="1"/>
  <c r="BH18" i="2" a="1"/>
  <c r="BH18" i="2" s="1"/>
  <c r="BH17" i="2" a="1"/>
  <c r="BH17" i="2" s="1"/>
  <c r="BH11" i="2" a="1"/>
  <c r="BH11" i="2" s="1"/>
  <c r="BH9" i="2" a="1"/>
  <c r="BH9" i="2" s="1"/>
  <c r="BH14" i="2" a="1"/>
  <c r="BH14" i="2" s="1"/>
  <c r="BH13" i="2" a="1"/>
  <c r="BH13" i="2" s="1"/>
  <c r="BH8" i="2" a="1"/>
  <c r="BH8" i="2" s="1"/>
  <c r="BH12" i="2" a="1"/>
  <c r="BH12" i="2" s="1"/>
  <c r="BH10" i="2" a="1"/>
  <c r="BH10" i="2" s="1"/>
  <c r="BH7" i="2" a="1"/>
  <c r="BH7" i="2" s="1"/>
  <c r="BH4" i="2" a="1"/>
  <c r="BH4" i="2" s="1"/>
  <c r="BH5" i="2" a="1"/>
  <c r="BH5" i="2" s="1"/>
  <c r="BH6" i="2" a="1"/>
  <c r="BH6" i="2" s="1"/>
  <c r="CP120" i="2"/>
  <c r="GL11" i="2" s="1"/>
  <c r="CS100" i="2" a="1"/>
  <c r="CS100" i="2" s="1"/>
  <c r="CS99" i="2" a="1"/>
  <c r="CS99" i="2" s="1"/>
  <c r="CS103" i="2" a="1"/>
  <c r="CS103" i="2" s="1"/>
  <c r="CS102" i="2" a="1"/>
  <c r="CS102" i="2" s="1"/>
  <c r="CS101" i="2" a="1"/>
  <c r="CS101" i="2" s="1"/>
  <c r="CS98" i="2" a="1"/>
  <c r="CS98" i="2" s="1"/>
  <c r="CS97" i="2" a="1"/>
  <c r="CS97" i="2" s="1"/>
  <c r="CS96" i="2" a="1"/>
  <c r="CS96" i="2" s="1"/>
  <c r="CS95" i="2" a="1"/>
  <c r="CS95" i="2" s="1"/>
  <c r="CS92" i="2" a="1"/>
  <c r="CS92" i="2" s="1"/>
  <c r="CS94" i="2" a="1"/>
  <c r="CS94" i="2" s="1"/>
  <c r="CS93" i="2" a="1"/>
  <c r="CS93" i="2" s="1"/>
  <c r="CS90" i="2" a="1"/>
  <c r="CS90" i="2" s="1"/>
  <c r="CS91" i="2" a="1"/>
  <c r="CS91" i="2" s="1"/>
  <c r="CS89" i="2" a="1"/>
  <c r="CS89" i="2" s="1"/>
  <c r="CS88" i="2" a="1"/>
  <c r="CS88" i="2" s="1"/>
  <c r="CS86" i="2" a="1"/>
  <c r="CS86" i="2" s="1"/>
  <c r="CS87" i="2" a="1"/>
  <c r="CS87" i="2" s="1"/>
  <c r="CS84" i="2" a="1"/>
  <c r="CS84" i="2" s="1"/>
  <c r="CS85" i="2" a="1"/>
  <c r="CS85" i="2" s="1"/>
  <c r="CS80" i="2" a="1"/>
  <c r="CS80" i="2" s="1"/>
  <c r="CS83" i="2" a="1"/>
  <c r="CS83" i="2" s="1"/>
  <c r="CS82" i="2" a="1"/>
  <c r="CS82" i="2" s="1"/>
  <c r="CS81" i="2" a="1"/>
  <c r="CS81" i="2" s="1"/>
  <c r="CS76" i="2" a="1"/>
  <c r="CS76" i="2" s="1"/>
  <c r="CS79" i="2" a="1"/>
  <c r="CS79" i="2" s="1"/>
  <c r="CS78" i="2" a="1"/>
  <c r="CS78" i="2" s="1"/>
  <c r="CS77" i="2" a="1"/>
  <c r="CS77" i="2" s="1"/>
  <c r="CS74" i="2" a="1"/>
  <c r="CS74" i="2" s="1"/>
  <c r="CS72" i="2" a="1"/>
  <c r="CS72" i="2" s="1"/>
  <c r="CS73" i="2" a="1"/>
  <c r="CS73" i="2" s="1"/>
  <c r="CS75" i="2" a="1"/>
  <c r="CS75" i="2" s="1"/>
  <c r="CS68" i="2" a="1"/>
  <c r="CS68" i="2" s="1"/>
  <c r="CS71" i="2" a="1"/>
  <c r="CS71" i="2" s="1"/>
  <c r="CS70" i="2" a="1"/>
  <c r="CS70" i="2" s="1"/>
  <c r="CS69" i="2" a="1"/>
  <c r="CS69" i="2" s="1"/>
  <c r="CS65" i="2" a="1"/>
  <c r="CS65" i="2" s="1"/>
  <c r="CS64" i="2" a="1"/>
  <c r="CS64" i="2" s="1"/>
  <c r="CS66" i="2" a="1"/>
  <c r="CS66" i="2" s="1"/>
  <c r="CS67" i="2" a="1"/>
  <c r="CS67" i="2" s="1"/>
  <c r="CS63" i="2" a="1"/>
  <c r="CS63" i="2" s="1"/>
  <c r="CS62" i="2" a="1"/>
  <c r="CS62" i="2" s="1"/>
  <c r="CS61" i="2" a="1"/>
  <c r="CS61" i="2" s="1"/>
  <c r="CS60" i="2" a="1"/>
  <c r="CS60" i="2" s="1"/>
  <c r="CS59" i="2" a="1"/>
  <c r="CS59" i="2" s="1"/>
  <c r="CS57" i="2" a="1"/>
  <c r="CS57" i="2" s="1"/>
  <c r="CS58" i="2" a="1"/>
  <c r="CS58" i="2" s="1"/>
  <c r="CS55" i="2" a="1"/>
  <c r="CS55" i="2" s="1"/>
  <c r="CS51" i="2" a="1"/>
  <c r="CS51" i="2" s="1"/>
  <c r="CS50" i="2" a="1"/>
  <c r="CS50" i="2" s="1"/>
  <c r="CS52" i="2" a="1"/>
  <c r="CS52" i="2" s="1"/>
  <c r="CS49" i="2" a="1"/>
  <c r="CS49" i="2" s="1"/>
  <c r="CS54" i="2" a="1"/>
  <c r="CS54" i="2" s="1"/>
  <c r="CS53" i="2" a="1"/>
  <c r="CS53" i="2" s="1"/>
  <c r="CS48" i="2" a="1"/>
  <c r="CS48" i="2" s="1"/>
  <c r="CS56" i="2" a="1"/>
  <c r="CS56" i="2" s="1"/>
  <c r="CS47" i="2" a="1"/>
  <c r="CS47" i="2" s="1"/>
  <c r="CS41" i="2" a="1"/>
  <c r="CS41" i="2" s="1"/>
  <c r="CS40" i="2" a="1"/>
  <c r="CS40" i="2" s="1"/>
  <c r="CS44" i="2" a="1"/>
  <c r="CS44" i="2" s="1"/>
  <c r="CS43" i="2" a="1"/>
  <c r="CS43" i="2" s="1"/>
  <c r="CS46" i="2" a="1"/>
  <c r="CS46" i="2" s="1"/>
  <c r="CS42" i="2" a="1"/>
  <c r="CS42" i="2" s="1"/>
  <c r="CS45" i="2" a="1"/>
  <c r="CS45" i="2" s="1"/>
  <c r="CS36" i="2" a="1"/>
  <c r="CS36" i="2" s="1"/>
  <c r="CS34" i="2" a="1"/>
  <c r="CS34" i="2" s="1"/>
  <c r="CS39" i="2" a="1"/>
  <c r="CS39" i="2" s="1"/>
  <c r="CS35" i="2" a="1"/>
  <c r="CS35" i="2" s="1"/>
  <c r="CS38" i="2" a="1"/>
  <c r="CS38" i="2" s="1"/>
  <c r="CS37" i="2" a="1"/>
  <c r="CS37" i="2" s="1"/>
  <c r="CS30" i="2" a="1"/>
  <c r="CS30" i="2" s="1"/>
  <c r="CS31" i="2" a="1"/>
  <c r="CS31" i="2" s="1"/>
  <c r="CS29" i="2" a="1"/>
  <c r="CS29" i="2" s="1"/>
  <c r="CS28" i="2" a="1"/>
  <c r="CS28" i="2" s="1"/>
  <c r="CS32" i="2" a="1"/>
  <c r="CS32" i="2" s="1"/>
  <c r="CS33" i="2" a="1"/>
  <c r="CS33" i="2" s="1"/>
  <c r="CS27" i="2" a="1"/>
  <c r="CS27" i="2" s="1"/>
  <c r="CS26" i="2" a="1"/>
  <c r="CS26" i="2" s="1"/>
  <c r="CS15" i="2" a="1"/>
  <c r="CS15" i="2" s="1"/>
  <c r="CS24" i="2" a="1"/>
  <c r="CS24" i="2" s="1"/>
  <c r="CS23" i="2" a="1"/>
  <c r="CS23" i="2" s="1"/>
  <c r="CS22" i="2" a="1"/>
  <c r="CS22" i="2" s="1"/>
  <c r="CS21" i="2" a="1"/>
  <c r="CS21" i="2" s="1"/>
  <c r="CS20" i="2" a="1"/>
  <c r="CS20" i="2" s="1"/>
  <c r="CS19" i="2" a="1"/>
  <c r="CS19" i="2" s="1"/>
  <c r="CS18" i="2" a="1"/>
  <c r="CS18" i="2" s="1"/>
  <c r="CS25" i="2" a="1"/>
  <c r="CS25" i="2" s="1"/>
  <c r="CS16" i="2" a="1"/>
  <c r="CS16" i="2" s="1"/>
  <c r="CS17" i="2" a="1"/>
  <c r="CS17" i="2" s="1"/>
  <c r="CS13" i="2" a="1"/>
  <c r="CS13" i="2" s="1"/>
  <c r="CS8" i="2" a="1"/>
  <c r="CS8" i="2" s="1"/>
  <c r="CS12" i="2" a="1"/>
  <c r="CS12" i="2" s="1"/>
  <c r="CS11" i="2" a="1"/>
  <c r="CS11" i="2" s="1"/>
  <c r="CS10" i="2" a="1"/>
  <c r="CS10" i="2" s="1"/>
  <c r="CS9" i="2" a="1"/>
  <c r="CS9" i="2" s="1"/>
  <c r="CS14" i="2" a="1"/>
  <c r="CS14" i="2" s="1"/>
  <c r="CS5" i="2" a="1"/>
  <c r="CS5" i="2" s="1"/>
  <c r="CS6" i="2" a="1"/>
  <c r="CS6" i="2" s="1"/>
  <c r="CS4" i="2" a="1"/>
  <c r="CS4" i="2" s="1"/>
  <c r="CS7" i="2" a="1"/>
  <c r="CS7" i="2" s="1"/>
  <c r="CL103" i="2" a="1"/>
  <c r="CL103" i="2" s="1"/>
  <c r="CL102" i="2" a="1"/>
  <c r="CL102" i="2" s="1"/>
  <c r="CL101" i="2" a="1"/>
  <c r="CL101" i="2" s="1"/>
  <c r="CL100" i="2" a="1"/>
  <c r="CL100" i="2" s="1"/>
  <c r="CL99" i="2" a="1"/>
  <c r="CL99" i="2" s="1"/>
  <c r="CL96" i="2" a="1"/>
  <c r="CL96" i="2" s="1"/>
  <c r="CL95" i="2" a="1"/>
  <c r="CL95" i="2" s="1"/>
  <c r="CL97" i="2" a="1"/>
  <c r="CL97" i="2" s="1"/>
  <c r="CL98" i="2" a="1"/>
  <c r="CL98" i="2" s="1"/>
  <c r="CL92" i="2" a="1"/>
  <c r="CL92" i="2" s="1"/>
  <c r="CL94" i="2" a="1"/>
  <c r="CL94" i="2" s="1"/>
  <c r="CL93" i="2" a="1"/>
  <c r="CL93" i="2" s="1"/>
  <c r="CL90" i="2" a="1"/>
  <c r="CL90" i="2" s="1"/>
  <c r="CL89" i="2" a="1"/>
  <c r="CL89" i="2" s="1"/>
  <c r="CL91" i="2" a="1"/>
  <c r="CL91" i="2" s="1"/>
  <c r="CL88" i="2" a="1"/>
  <c r="CL88" i="2" s="1"/>
  <c r="CL85" i="2" a="1"/>
  <c r="CL85" i="2" s="1"/>
  <c r="CL84" i="2" a="1"/>
  <c r="CL84" i="2" s="1"/>
  <c r="CL87" i="2" a="1"/>
  <c r="CL87" i="2" s="1"/>
  <c r="CL86" i="2" a="1"/>
  <c r="CL86" i="2" s="1"/>
  <c r="CL82" i="2" a="1"/>
  <c r="CL82" i="2" s="1"/>
  <c r="CL81" i="2" a="1"/>
  <c r="CL81" i="2" s="1"/>
  <c r="CL83" i="2" a="1"/>
  <c r="CL83" i="2" s="1"/>
  <c r="CL80" i="2" a="1"/>
  <c r="CL80" i="2" s="1"/>
  <c r="CL77" i="2" a="1"/>
  <c r="CL77" i="2" s="1"/>
  <c r="CL79" i="2" a="1"/>
  <c r="CL79" i="2" s="1"/>
  <c r="CL76" i="2" a="1"/>
  <c r="CL76" i="2" s="1"/>
  <c r="CL78" i="2" a="1"/>
  <c r="CL78" i="2" s="1"/>
  <c r="CL74" i="2" a="1"/>
  <c r="CL74" i="2" s="1"/>
  <c r="CL75" i="2" a="1"/>
  <c r="CL75" i="2" s="1"/>
  <c r="CL73" i="2" a="1"/>
  <c r="CL73" i="2" s="1"/>
  <c r="CL72" i="2" a="1"/>
  <c r="CL72" i="2" s="1"/>
  <c r="CL68" i="2" a="1"/>
  <c r="CL68" i="2" s="1"/>
  <c r="CL71" i="2" a="1"/>
  <c r="CL71" i="2" s="1"/>
  <c r="CL70" i="2" a="1"/>
  <c r="CL70" i="2" s="1"/>
  <c r="CL69" i="2" a="1"/>
  <c r="CL69" i="2" s="1"/>
  <c r="CL63" i="2" a="1"/>
  <c r="CL63" i="2" s="1"/>
  <c r="CL64" i="2" a="1"/>
  <c r="CL64" i="2" s="1"/>
  <c r="CL66" i="2" a="1"/>
  <c r="CL66" i="2" s="1"/>
  <c r="CL67" i="2" a="1"/>
  <c r="CL67" i="2" s="1"/>
  <c r="CL65" i="2" a="1"/>
  <c r="CL65" i="2" s="1"/>
  <c r="CL62" i="2" a="1"/>
  <c r="CL62" i="2" s="1"/>
  <c r="CL61" i="2" a="1"/>
  <c r="CL61" i="2" s="1"/>
  <c r="CL60" i="2" a="1"/>
  <c r="CL60" i="2" s="1"/>
  <c r="CL59" i="2" a="1"/>
  <c r="CL59" i="2" s="1"/>
  <c r="CL56" i="2" a="1"/>
  <c r="CL56" i="2" s="1"/>
  <c r="CL58" i="2" a="1"/>
  <c r="CL58" i="2" s="1"/>
  <c r="CL57" i="2" a="1"/>
  <c r="CL57" i="2" s="1"/>
  <c r="CL50" i="2" a="1"/>
  <c r="CL50" i="2" s="1"/>
  <c r="CL49" i="2" a="1"/>
  <c r="CL49" i="2" s="1"/>
  <c r="CL54" i="2" a="1"/>
  <c r="CL54" i="2" s="1"/>
  <c r="CL53" i="2" a="1"/>
  <c r="CL53" i="2" s="1"/>
  <c r="CL52" i="2" a="1"/>
  <c r="CL52" i="2" s="1"/>
  <c r="CL55" i="2" a="1"/>
  <c r="CL55" i="2" s="1"/>
  <c r="CL51" i="2" a="1"/>
  <c r="CL51" i="2" s="1"/>
  <c r="CL44" i="2" a="1"/>
  <c r="CL44" i="2" s="1"/>
  <c r="CL48" i="2" a="1"/>
  <c r="CL48" i="2" s="1"/>
  <c r="CL43" i="2" a="1"/>
  <c r="CL43" i="2" s="1"/>
  <c r="CL46" i="2" a="1"/>
  <c r="CL46" i="2" s="1"/>
  <c r="CL42" i="2" a="1"/>
  <c r="CL42" i="2" s="1"/>
  <c r="CL45" i="2" a="1"/>
  <c r="CL45" i="2" s="1"/>
  <c r="CL47" i="2" a="1"/>
  <c r="CL47" i="2" s="1"/>
  <c r="CL41" i="2" a="1"/>
  <c r="CL41" i="2" s="1"/>
  <c r="CL35" i="2" a="1"/>
  <c r="CL35" i="2" s="1"/>
  <c r="CL38" i="2" a="1"/>
  <c r="CL38" i="2" s="1"/>
  <c r="CL33" i="2" a="1"/>
  <c r="CL33" i="2" s="1"/>
  <c r="CL40" i="2" a="1"/>
  <c r="CL40" i="2" s="1"/>
  <c r="CL37" i="2" a="1"/>
  <c r="CL37" i="2" s="1"/>
  <c r="CL34" i="2" a="1"/>
  <c r="CL34" i="2" s="1"/>
  <c r="CL36" i="2" a="1"/>
  <c r="CL36" i="2" s="1"/>
  <c r="CL39" i="2" a="1"/>
  <c r="CL39" i="2" s="1"/>
  <c r="CL29" i="2" a="1"/>
  <c r="CL29" i="2" s="1"/>
  <c r="CL32" i="2" a="1"/>
  <c r="CL32" i="2" s="1"/>
  <c r="CL28" i="2" a="1"/>
  <c r="CL28" i="2" s="1"/>
  <c r="CL27" i="2" a="1"/>
  <c r="CL27" i="2" s="1"/>
  <c r="CL26" i="2" a="1"/>
  <c r="CL26" i="2" s="1"/>
  <c r="CL25" i="2" a="1"/>
  <c r="CL25" i="2" s="1"/>
  <c r="CL31" i="2" a="1"/>
  <c r="CL31" i="2" s="1"/>
  <c r="CL30" i="2" a="1"/>
  <c r="CL30" i="2" s="1"/>
  <c r="CL17" i="2" a="1"/>
  <c r="CL17" i="2" s="1"/>
  <c r="CL16" i="2" a="1"/>
  <c r="CL16" i="2" s="1"/>
  <c r="CL24" i="2" a="1"/>
  <c r="CL24" i="2" s="1"/>
  <c r="CL23" i="2" a="1"/>
  <c r="CL23" i="2" s="1"/>
  <c r="CL22" i="2" a="1"/>
  <c r="CL22" i="2" s="1"/>
  <c r="CL21" i="2" a="1"/>
  <c r="CL21" i="2" s="1"/>
  <c r="CL20" i="2" a="1"/>
  <c r="CL20" i="2" s="1"/>
  <c r="CL19" i="2" a="1"/>
  <c r="CL19" i="2" s="1"/>
  <c r="CL18" i="2" a="1"/>
  <c r="CL18" i="2" s="1"/>
  <c r="CL8" i="2" a="1"/>
  <c r="CL8" i="2" s="1"/>
  <c r="CL12" i="2" a="1"/>
  <c r="CL12" i="2" s="1"/>
  <c r="CL11" i="2" a="1"/>
  <c r="CL11" i="2" s="1"/>
  <c r="CL10" i="2" a="1"/>
  <c r="CL10" i="2" s="1"/>
  <c r="CL15" i="2" a="1"/>
  <c r="CL15" i="2" s="1"/>
  <c r="CL9" i="2" a="1"/>
  <c r="CL9" i="2" s="1"/>
  <c r="CL14" i="2" a="1"/>
  <c r="CL14" i="2" s="1"/>
  <c r="CL13" i="2" a="1"/>
  <c r="CL13" i="2" s="1"/>
  <c r="CL5" i="2" a="1"/>
  <c r="CL5" i="2" s="1"/>
  <c r="CL6" i="2" a="1"/>
  <c r="CL6" i="2" s="1"/>
  <c r="CL4" i="2" a="1"/>
  <c r="CL4" i="2" s="1"/>
  <c r="CL7" i="2" a="1"/>
  <c r="CL7" i="2" s="1"/>
  <c r="F103" i="2" a="1"/>
  <c r="F103" i="2" s="1"/>
  <c r="F102" i="2" a="1"/>
  <c r="F102" i="2" s="1"/>
  <c r="F100" i="2" a="1"/>
  <c r="F100" i="2" s="1"/>
  <c r="F101" i="2" a="1"/>
  <c r="F101" i="2" s="1"/>
  <c r="F99" i="2" a="1"/>
  <c r="F99" i="2" s="1"/>
  <c r="F97" i="2" a="1"/>
  <c r="F97" i="2" s="1"/>
  <c r="F98" i="2" a="1"/>
  <c r="F98" i="2" s="1"/>
  <c r="F96" i="2" a="1"/>
  <c r="F96" i="2" s="1"/>
  <c r="F95" i="2" a="1"/>
  <c r="F95" i="2" s="1"/>
  <c r="F94" i="2" a="1"/>
  <c r="F94" i="2" s="1"/>
  <c r="F93" i="2" a="1"/>
  <c r="F93" i="2" s="1"/>
  <c r="F92" i="2" a="1"/>
  <c r="F92" i="2" s="1"/>
  <c r="F91" i="2" a="1"/>
  <c r="F91" i="2" s="1"/>
  <c r="F90" i="2" a="1"/>
  <c r="F90" i="2" s="1"/>
  <c r="F89" i="2" a="1"/>
  <c r="F89" i="2" s="1"/>
  <c r="F88" i="2" a="1"/>
  <c r="F88" i="2" s="1"/>
  <c r="F87" i="2" a="1"/>
  <c r="F87" i="2" s="1"/>
  <c r="F86" i="2" a="1"/>
  <c r="F86" i="2" s="1"/>
  <c r="F84" i="2" a="1"/>
  <c r="F84" i="2" s="1"/>
  <c r="F85" i="2" a="1"/>
  <c r="F85" i="2" s="1"/>
  <c r="F83" i="2" a="1"/>
  <c r="F83" i="2" s="1"/>
  <c r="F82" i="2" a="1"/>
  <c r="F82" i="2" s="1"/>
  <c r="F81" i="2" a="1"/>
  <c r="F81" i="2" s="1"/>
  <c r="F80" i="2" a="1"/>
  <c r="F80" i="2" s="1"/>
  <c r="F78" i="2" a="1"/>
  <c r="F78" i="2" s="1"/>
  <c r="F79" i="2" a="1"/>
  <c r="F79" i="2" s="1"/>
  <c r="F77" i="2" a="1"/>
  <c r="F77" i="2" s="1"/>
  <c r="F74" i="2" a="1"/>
  <c r="F74" i="2" s="1"/>
  <c r="F76" i="2" a="1"/>
  <c r="F76" i="2" s="1"/>
  <c r="F73" i="2" a="1"/>
  <c r="F73" i="2" s="1"/>
  <c r="F75" i="2" a="1"/>
  <c r="F75" i="2" s="1"/>
  <c r="F72" i="2" a="1"/>
  <c r="F72" i="2" s="1"/>
  <c r="F69" i="2" a="1"/>
  <c r="F69" i="2" s="1"/>
  <c r="F71" i="2" a="1"/>
  <c r="F71" i="2" s="1"/>
  <c r="F70" i="2" a="1"/>
  <c r="F70" i="2" s="1"/>
  <c r="F64" i="2" a="1"/>
  <c r="F64" i="2" s="1"/>
  <c r="F67" i="2" a="1"/>
  <c r="F67" i="2" s="1"/>
  <c r="F68" i="2" a="1"/>
  <c r="F68" i="2" s="1"/>
  <c r="F65" i="2" a="1"/>
  <c r="F65" i="2" s="1"/>
  <c r="F66" i="2" a="1"/>
  <c r="F66" i="2" s="1"/>
  <c r="F61" i="2" a="1"/>
  <c r="F61" i="2" s="1"/>
  <c r="F63" i="2" a="1"/>
  <c r="F63" i="2" s="1"/>
  <c r="F60" i="2" a="1"/>
  <c r="F60" i="2" s="1"/>
  <c r="F62" i="2" a="1"/>
  <c r="F62" i="2" s="1"/>
  <c r="F59" i="2" a="1"/>
  <c r="F59" i="2" s="1"/>
  <c r="F58" i="2" a="1"/>
  <c r="F58" i="2" s="1"/>
  <c r="F57" i="2" a="1"/>
  <c r="F57" i="2" s="1"/>
  <c r="F53" i="2" a="1"/>
  <c r="F53" i="2" s="1"/>
  <c r="F50" i="2" a="1"/>
  <c r="F50" i="2" s="1"/>
  <c r="F49" i="2" a="1"/>
  <c r="F49" i="2" s="1"/>
  <c r="F56" i="2" a="1"/>
  <c r="F56" i="2" s="1"/>
  <c r="F55" i="2" a="1"/>
  <c r="F55" i="2" s="1"/>
  <c r="F54" i="2" a="1"/>
  <c r="F54" i="2" s="1"/>
  <c r="F52" i="2" a="1"/>
  <c r="F52" i="2" s="1"/>
  <c r="F51" i="2" a="1"/>
  <c r="F51" i="2" s="1"/>
  <c r="F47" i="2" a="1"/>
  <c r="F47" i="2" s="1"/>
  <c r="F42" i="2" a="1"/>
  <c r="F42" i="2" s="1"/>
  <c r="F44" i="2" a="1"/>
  <c r="F44" i="2" s="1"/>
  <c r="F45" i="2" a="1"/>
  <c r="F45" i="2" s="1"/>
  <c r="F43" i="2" a="1"/>
  <c r="F43" i="2" s="1"/>
  <c r="F46" i="2" a="1"/>
  <c r="F46" i="2" s="1"/>
  <c r="F41" i="2" a="1"/>
  <c r="F41" i="2" s="1"/>
  <c r="F48" i="2" a="1"/>
  <c r="F48" i="2" s="1"/>
  <c r="F37" i="2" a="1"/>
  <c r="F37" i="2" s="1"/>
  <c r="F36" i="2" a="1"/>
  <c r="F36" i="2" s="1"/>
  <c r="F40" i="2" a="1"/>
  <c r="F40" i="2" s="1"/>
  <c r="F39" i="2" a="1"/>
  <c r="F39" i="2" s="1"/>
  <c r="F35" i="2" a="1"/>
  <c r="F35" i="2" s="1"/>
  <c r="F38" i="2" a="1"/>
  <c r="F38" i="2" s="1"/>
  <c r="F34" i="2" a="1"/>
  <c r="F34" i="2" s="1"/>
  <c r="F32" i="2" a="1"/>
  <c r="F32" i="2" s="1"/>
  <c r="F31" i="2" a="1"/>
  <c r="F31" i="2" s="1"/>
  <c r="F30" i="2" a="1"/>
  <c r="F30" i="2" s="1"/>
  <c r="F29" i="2" a="1"/>
  <c r="F29" i="2" s="1"/>
  <c r="F33" i="2" a="1"/>
  <c r="F33" i="2" s="1"/>
  <c r="F28" i="2" a="1"/>
  <c r="F28" i="2" s="1"/>
  <c r="F26" i="2" a="1"/>
  <c r="F26" i="2" s="1"/>
  <c r="F27" i="2" a="1"/>
  <c r="F27" i="2" s="1"/>
  <c r="F18" i="2" a="1"/>
  <c r="F18" i="2" s="1"/>
  <c r="F25" i="2" a="1"/>
  <c r="F25" i="2" s="1"/>
  <c r="F17" i="2" a="1"/>
  <c r="F17" i="2" s="1"/>
  <c r="F16" i="2" a="1"/>
  <c r="F16" i="2" s="1"/>
  <c r="F15" i="2" a="1"/>
  <c r="F15" i="2" s="1"/>
  <c r="F24" i="2" a="1"/>
  <c r="F24" i="2" s="1"/>
  <c r="F23" i="2" a="1"/>
  <c r="F23" i="2" s="1"/>
  <c r="F22" i="2" a="1"/>
  <c r="F22" i="2" s="1"/>
  <c r="F21" i="2" a="1"/>
  <c r="F21" i="2" s="1"/>
  <c r="F20" i="2" a="1"/>
  <c r="F20" i="2" s="1"/>
  <c r="F19" i="2" a="1"/>
  <c r="F19" i="2" s="1"/>
  <c r="F12" i="2" a="1"/>
  <c r="F12" i="2" s="1"/>
  <c r="F8" i="2" a="1"/>
  <c r="F8" i="2" s="1"/>
  <c r="F10" i="2" a="1"/>
  <c r="F10" i="2" s="1"/>
  <c r="F11" i="2" a="1"/>
  <c r="F11" i="2" s="1"/>
  <c r="F14" i="2" a="1"/>
  <c r="F14" i="2" s="1"/>
  <c r="F9" i="2" a="1"/>
  <c r="F9" i="2" s="1"/>
  <c r="F13" i="2" a="1"/>
  <c r="F13" i="2" s="1"/>
  <c r="F6" i="2" a="1"/>
  <c r="F6" i="2" s="1"/>
  <c r="F5" i="2" a="1"/>
  <c r="F5" i="2" s="1"/>
  <c r="F4" i="2" a="1"/>
  <c r="F4" i="2" s="1"/>
  <c r="F7" i="2" a="1"/>
  <c r="F7" i="2" s="1"/>
  <c r="R103" i="2" a="1"/>
  <c r="R103" i="2" s="1"/>
  <c r="R102" i="2" a="1"/>
  <c r="R102" i="2" s="1"/>
  <c r="R101" i="2" a="1"/>
  <c r="R101" i="2" s="1"/>
  <c r="R100" i="2" a="1"/>
  <c r="R100" i="2" s="1"/>
  <c r="R96" i="2" a="1"/>
  <c r="R96" i="2" s="1"/>
  <c r="R99" i="2" a="1"/>
  <c r="R99" i="2" s="1"/>
  <c r="R97" i="2" a="1"/>
  <c r="R97" i="2" s="1"/>
  <c r="R98" i="2" a="1"/>
  <c r="R98" i="2" s="1"/>
  <c r="R94" i="2" a="1"/>
  <c r="R94" i="2" s="1"/>
  <c r="R93" i="2" a="1"/>
  <c r="R93" i="2" s="1"/>
  <c r="R95" i="2" a="1"/>
  <c r="R95" i="2" s="1"/>
  <c r="R91" i="2" a="1"/>
  <c r="R91" i="2" s="1"/>
  <c r="R90" i="2" a="1"/>
  <c r="R90" i="2" s="1"/>
  <c r="R92" i="2" a="1"/>
  <c r="R92" i="2" s="1"/>
  <c r="R89" i="2" a="1"/>
  <c r="R89" i="2" s="1"/>
  <c r="R88" i="2" a="1"/>
  <c r="R88" i="2" s="1"/>
  <c r="R84" i="2" a="1"/>
  <c r="R84" i="2" s="1"/>
  <c r="R85" i="2" a="1"/>
  <c r="R85" i="2" s="1"/>
  <c r="R87" i="2" a="1"/>
  <c r="R87" i="2" s="1"/>
  <c r="R86" i="2" a="1"/>
  <c r="R86" i="2" s="1"/>
  <c r="R83" i="2" a="1"/>
  <c r="R83" i="2" s="1"/>
  <c r="R82" i="2" a="1"/>
  <c r="R82" i="2" s="1"/>
  <c r="R81" i="2" a="1"/>
  <c r="R81" i="2" s="1"/>
  <c r="R80" i="2" a="1"/>
  <c r="R80" i="2" s="1"/>
  <c r="R78" i="2" a="1"/>
  <c r="R78" i="2" s="1"/>
  <c r="R79" i="2" a="1"/>
  <c r="R79" i="2" s="1"/>
  <c r="R77" i="2" a="1"/>
  <c r="R77" i="2" s="1"/>
  <c r="R74" i="2" a="1"/>
  <c r="R74" i="2" s="1"/>
  <c r="R75" i="2" a="1"/>
  <c r="R75" i="2" s="1"/>
  <c r="R73" i="2" a="1"/>
  <c r="R73" i="2" s="1"/>
  <c r="R76" i="2" a="1"/>
  <c r="R76" i="2" s="1"/>
  <c r="R72" i="2" a="1"/>
  <c r="R72" i="2" s="1"/>
  <c r="R71" i="2" a="1"/>
  <c r="R71" i="2" s="1"/>
  <c r="R68" i="2" a="1"/>
  <c r="R68" i="2" s="1"/>
  <c r="R70" i="2" a="1"/>
  <c r="R70" i="2" s="1"/>
  <c r="R69" i="2" a="1"/>
  <c r="R69" i="2" s="1"/>
  <c r="R65" i="2" a="1"/>
  <c r="R65" i="2" s="1"/>
  <c r="R66" i="2" a="1"/>
  <c r="R66" i="2" s="1"/>
  <c r="R67" i="2" a="1"/>
  <c r="R67" i="2" s="1"/>
  <c r="R64" i="2" a="1"/>
  <c r="R64" i="2" s="1"/>
  <c r="R60" i="2" a="1"/>
  <c r="R60" i="2" s="1"/>
  <c r="R63" i="2" a="1"/>
  <c r="R63" i="2" s="1"/>
  <c r="R62" i="2" a="1"/>
  <c r="R62" i="2" s="1"/>
  <c r="R61" i="2" a="1"/>
  <c r="R61" i="2" s="1"/>
  <c r="R58" i="2" a="1"/>
  <c r="R58" i="2" s="1"/>
  <c r="R57" i="2" a="1"/>
  <c r="R57" i="2" s="1"/>
  <c r="R59" i="2" a="1"/>
  <c r="R59" i="2" s="1"/>
  <c r="R56" i="2" a="1"/>
  <c r="R56" i="2" s="1"/>
  <c r="R55" i="2" a="1"/>
  <c r="R55" i="2" s="1"/>
  <c r="R48" i="2" a="1"/>
  <c r="R48" i="2" s="1"/>
  <c r="R54" i="2" a="1"/>
  <c r="R54" i="2" s="1"/>
  <c r="R52" i="2" a="1"/>
  <c r="R52" i="2" s="1"/>
  <c r="R51" i="2" a="1"/>
  <c r="R51" i="2" s="1"/>
  <c r="R53" i="2" a="1"/>
  <c r="R53" i="2" s="1"/>
  <c r="R50" i="2" a="1"/>
  <c r="R50" i="2" s="1"/>
  <c r="R49" i="2" a="1"/>
  <c r="R49" i="2" s="1"/>
  <c r="R42" i="2" a="1"/>
  <c r="R42" i="2" s="1"/>
  <c r="R44" i="2" a="1"/>
  <c r="R44" i="2" s="1"/>
  <c r="R43" i="2" a="1"/>
  <c r="R43" i="2" s="1"/>
  <c r="R46" i="2" a="1"/>
  <c r="R46" i="2" s="1"/>
  <c r="R45" i="2" a="1"/>
  <c r="R45" i="2" s="1"/>
  <c r="R41" i="2" a="1"/>
  <c r="R41" i="2" s="1"/>
  <c r="R47" i="2" a="1"/>
  <c r="R47" i="2" s="1"/>
  <c r="R35" i="2" a="1"/>
  <c r="R35" i="2" s="1"/>
  <c r="R40" i="2" a="1"/>
  <c r="R40" i="2" s="1"/>
  <c r="R38" i="2" a="1"/>
  <c r="R38" i="2" s="1"/>
  <c r="R34" i="2" a="1"/>
  <c r="R34" i="2" s="1"/>
  <c r="R37" i="2" a="1"/>
  <c r="R37" i="2" s="1"/>
  <c r="R36" i="2" a="1"/>
  <c r="R36" i="2" s="1"/>
  <c r="R39" i="2" a="1"/>
  <c r="R39" i="2" s="1"/>
  <c r="R32" i="2" a="1"/>
  <c r="R32" i="2" s="1"/>
  <c r="R30" i="2" a="1"/>
  <c r="R30" i="2" s="1"/>
  <c r="R29" i="2" a="1"/>
  <c r="R29" i="2" s="1"/>
  <c r="R33" i="2" a="1"/>
  <c r="R33" i="2" s="1"/>
  <c r="R28" i="2" a="1"/>
  <c r="R28" i="2" s="1"/>
  <c r="R27" i="2" a="1"/>
  <c r="R27" i="2" s="1"/>
  <c r="R26" i="2" a="1"/>
  <c r="R26" i="2" s="1"/>
  <c r="R31" i="2" a="1"/>
  <c r="R31" i="2" s="1"/>
  <c r="R16" i="2" a="1"/>
  <c r="R16" i="2" s="1"/>
  <c r="R25" i="2" a="1"/>
  <c r="R25" i="2" s="1"/>
  <c r="R17" i="2" a="1"/>
  <c r="R17" i="2" s="1"/>
  <c r="R24" i="2" a="1"/>
  <c r="R24" i="2" s="1"/>
  <c r="R23" i="2" a="1"/>
  <c r="R23" i="2" s="1"/>
  <c r="R22" i="2" a="1"/>
  <c r="R22" i="2" s="1"/>
  <c r="R21" i="2" a="1"/>
  <c r="R21" i="2" s="1"/>
  <c r="R20" i="2" a="1"/>
  <c r="R20" i="2" s="1"/>
  <c r="R19" i="2" a="1"/>
  <c r="R19" i="2" s="1"/>
  <c r="R18" i="2" a="1"/>
  <c r="R18" i="2" s="1"/>
  <c r="R15" i="2" a="1"/>
  <c r="R15" i="2" s="1"/>
  <c r="R14" i="2" a="1"/>
  <c r="R14" i="2" s="1"/>
  <c r="R9" i="2" a="1"/>
  <c r="R9" i="2" s="1"/>
  <c r="R13" i="2" a="1"/>
  <c r="R13" i="2" s="1"/>
  <c r="R12" i="2" a="1"/>
  <c r="R12" i="2" s="1"/>
  <c r="R8" i="2" a="1"/>
  <c r="R8" i="2" s="1"/>
  <c r="R11" i="2" a="1"/>
  <c r="R11" i="2" s="1"/>
  <c r="R10" i="2" a="1"/>
  <c r="R10" i="2" s="1"/>
  <c r="R5" i="2" a="1"/>
  <c r="R5" i="2" s="1"/>
  <c r="R4" i="2" a="1"/>
  <c r="R4" i="2" s="1"/>
  <c r="R7" i="2" a="1"/>
  <c r="R7" i="2" s="1"/>
  <c r="R6" i="2" a="1"/>
  <c r="R6" i="2" s="1"/>
  <c r="AD103" i="2" a="1"/>
  <c r="AD103" i="2" s="1"/>
  <c r="AD102" i="2" a="1"/>
  <c r="AD102" i="2" s="1"/>
  <c r="AD101" i="2" a="1"/>
  <c r="AD101" i="2" s="1"/>
  <c r="AD100" i="2" a="1"/>
  <c r="AD100" i="2" s="1"/>
  <c r="AD96" i="2" a="1"/>
  <c r="AD96" i="2" s="1"/>
  <c r="AD97" i="2" a="1"/>
  <c r="AD97" i="2" s="1"/>
  <c r="AD98" i="2" a="1"/>
  <c r="AD98" i="2" s="1"/>
  <c r="AD99" i="2" a="1"/>
  <c r="AD99" i="2" s="1"/>
  <c r="AD92" i="2" a="1"/>
  <c r="AD92" i="2" s="1"/>
  <c r="AD95" i="2" a="1"/>
  <c r="AD95" i="2" s="1"/>
  <c r="AD94" i="2" a="1"/>
  <c r="AD94" i="2" s="1"/>
  <c r="AD93" i="2" a="1"/>
  <c r="AD93" i="2" s="1"/>
  <c r="AD89" i="2" a="1"/>
  <c r="AD89" i="2" s="1"/>
  <c r="AD88" i="2" a="1"/>
  <c r="AD88" i="2" s="1"/>
  <c r="AD91" i="2" a="1"/>
  <c r="AD91" i="2" s="1"/>
  <c r="AD90" i="2" a="1"/>
  <c r="AD90" i="2" s="1"/>
  <c r="AD87" i="2" a="1"/>
  <c r="AD87" i="2" s="1"/>
  <c r="AD86" i="2" a="1"/>
  <c r="AD86" i="2" s="1"/>
  <c r="AD85" i="2" a="1"/>
  <c r="AD85" i="2" s="1"/>
  <c r="AD84" i="2" a="1"/>
  <c r="AD84" i="2" s="1"/>
  <c r="AD81" i="2" a="1"/>
  <c r="AD81" i="2" s="1"/>
  <c r="AD83" i="2" a="1"/>
  <c r="AD83" i="2" s="1"/>
  <c r="AD82" i="2" a="1"/>
  <c r="AD82" i="2" s="1"/>
  <c r="AD77" i="2" a="1"/>
  <c r="AD77" i="2" s="1"/>
  <c r="AD76" i="2" a="1"/>
  <c r="AD76" i="2" s="1"/>
  <c r="AD80" i="2" a="1"/>
  <c r="AD80" i="2" s="1"/>
  <c r="AD78" i="2" a="1"/>
  <c r="AD78" i="2" s="1"/>
  <c r="AD79" i="2" a="1"/>
  <c r="AD79" i="2" s="1"/>
  <c r="AD75" i="2" a="1"/>
  <c r="AD75" i="2" s="1"/>
  <c r="AD73" i="2" a="1"/>
  <c r="AD73" i="2" s="1"/>
  <c r="AD72" i="2" a="1"/>
  <c r="AD72" i="2" s="1"/>
  <c r="AD74" i="2" a="1"/>
  <c r="AD74" i="2" s="1"/>
  <c r="AD70" i="2" a="1"/>
  <c r="AD70" i="2" s="1"/>
  <c r="AD69" i="2" a="1"/>
  <c r="AD69" i="2" s="1"/>
  <c r="AD71" i="2" a="1"/>
  <c r="AD71" i="2" s="1"/>
  <c r="AD65" i="2" a="1"/>
  <c r="AD65" i="2" s="1"/>
  <c r="AD67" i="2" a="1"/>
  <c r="AD67" i="2" s="1"/>
  <c r="AD66" i="2" a="1"/>
  <c r="AD66" i="2" s="1"/>
  <c r="AD64" i="2" a="1"/>
  <c r="AD64" i="2" s="1"/>
  <c r="AD68" i="2" a="1"/>
  <c r="AD68" i="2" s="1"/>
  <c r="AD60" i="2" a="1"/>
  <c r="AD60" i="2" s="1"/>
  <c r="AD63" i="2" a="1"/>
  <c r="AD63" i="2" s="1"/>
  <c r="AD62" i="2" a="1"/>
  <c r="AD62" i="2" s="1"/>
  <c r="AD61" i="2" a="1"/>
  <c r="AD61" i="2" s="1"/>
  <c r="AD59" i="2" a="1"/>
  <c r="AD59" i="2" s="1"/>
  <c r="AD58" i="2" a="1"/>
  <c r="AD58" i="2" s="1"/>
  <c r="AD57" i="2" a="1"/>
  <c r="AD57" i="2" s="1"/>
  <c r="AD54" i="2" a="1"/>
  <c r="AD54" i="2" s="1"/>
  <c r="AD52" i="2" a="1"/>
  <c r="AD52" i="2" s="1"/>
  <c r="AD53" i="2" a="1"/>
  <c r="AD53" i="2" s="1"/>
  <c r="AD51" i="2" a="1"/>
  <c r="AD51" i="2" s="1"/>
  <c r="AD50" i="2" a="1"/>
  <c r="AD50" i="2" s="1"/>
  <c r="AD56" i="2" a="1"/>
  <c r="AD56" i="2" s="1"/>
  <c r="AD55" i="2" a="1"/>
  <c r="AD55" i="2" s="1"/>
  <c r="AD49" i="2" a="1"/>
  <c r="AD49" i="2" s="1"/>
  <c r="AD43" i="2" a="1"/>
  <c r="AD43" i="2" s="1"/>
  <c r="AD46" i="2" a="1"/>
  <c r="AD46" i="2" s="1"/>
  <c r="AD45" i="2" a="1"/>
  <c r="AD45" i="2" s="1"/>
  <c r="AD41" i="2" a="1"/>
  <c r="AD41" i="2" s="1"/>
  <c r="AD47" i="2" a="1"/>
  <c r="AD47" i="2" s="1"/>
  <c r="AD48" i="2" a="1"/>
  <c r="AD48" i="2" s="1"/>
  <c r="AD44" i="2" a="1"/>
  <c r="AD44" i="2" s="1"/>
  <c r="AD42" i="2" a="1"/>
  <c r="AD42" i="2" s="1"/>
  <c r="AD37" i="2" a="1"/>
  <c r="AD37" i="2" s="1"/>
  <c r="AD40" i="2" a="1"/>
  <c r="AD40" i="2" s="1"/>
  <c r="AD36" i="2" a="1"/>
  <c r="AD36" i="2" s="1"/>
  <c r="AD39" i="2" a="1"/>
  <c r="AD39" i="2" s="1"/>
  <c r="AD35" i="2" a="1"/>
  <c r="AD35" i="2" s="1"/>
  <c r="AD38" i="2" a="1"/>
  <c r="AD38" i="2" s="1"/>
  <c r="AD34" i="2" a="1"/>
  <c r="AD34" i="2" s="1"/>
  <c r="AD28" i="2" a="1"/>
  <c r="AD28" i="2" s="1"/>
  <c r="AD33" i="2" a="1"/>
  <c r="AD33" i="2" s="1"/>
  <c r="AD27" i="2" a="1"/>
  <c r="AD27" i="2" s="1"/>
  <c r="AD31" i="2" a="1"/>
  <c r="AD31" i="2" s="1"/>
  <c r="AD30" i="2" a="1"/>
  <c r="AD30" i="2" s="1"/>
  <c r="AD32" i="2" a="1"/>
  <c r="AD32" i="2" s="1"/>
  <c r="AD26" i="2" a="1"/>
  <c r="AD26" i="2" s="1"/>
  <c r="AD29" i="2" a="1"/>
  <c r="AD29" i="2" s="1"/>
  <c r="AD25" i="2" a="1"/>
  <c r="AD25" i="2" s="1"/>
  <c r="AD17" i="2" a="1"/>
  <c r="AD17" i="2" s="1"/>
  <c r="AD18" i="2" a="1"/>
  <c r="AD18" i="2" s="1"/>
  <c r="AD16" i="2" a="1"/>
  <c r="AD16" i="2" s="1"/>
  <c r="AD24" i="2" a="1"/>
  <c r="AD24" i="2" s="1"/>
  <c r="AD23" i="2" a="1"/>
  <c r="AD23" i="2" s="1"/>
  <c r="AD22" i="2" a="1"/>
  <c r="AD22" i="2" s="1"/>
  <c r="AD21" i="2" a="1"/>
  <c r="AD21" i="2" s="1"/>
  <c r="AD20" i="2" a="1"/>
  <c r="AD20" i="2" s="1"/>
  <c r="AD19" i="2" a="1"/>
  <c r="AD19" i="2" s="1"/>
  <c r="AD13" i="2" a="1"/>
  <c r="AD13" i="2" s="1"/>
  <c r="AD12" i="2" a="1"/>
  <c r="AD12" i="2" s="1"/>
  <c r="AD11" i="2" a="1"/>
  <c r="AD11" i="2" s="1"/>
  <c r="AD8" i="2" a="1"/>
  <c r="AD8" i="2" s="1"/>
  <c r="AD10" i="2" a="1"/>
  <c r="AD10" i="2" s="1"/>
  <c r="AD15" i="2" a="1"/>
  <c r="AD15" i="2" s="1"/>
  <c r="AD14" i="2" a="1"/>
  <c r="AD14" i="2" s="1"/>
  <c r="AD9" i="2" a="1"/>
  <c r="AD9" i="2" s="1"/>
  <c r="AD6" i="2" a="1"/>
  <c r="AD6" i="2" s="1"/>
  <c r="AD7" i="2" a="1"/>
  <c r="AD7" i="2" s="1"/>
  <c r="AD5" i="2" a="1"/>
  <c r="AD5" i="2" s="1"/>
  <c r="AD4" i="2" a="1"/>
  <c r="AD4" i="2" s="1"/>
  <c r="AP103" i="2" a="1"/>
  <c r="AP103" i="2" s="1"/>
  <c r="AP102" i="2" a="1"/>
  <c r="AP102" i="2" s="1"/>
  <c r="AP100" i="2" a="1"/>
  <c r="AP100" i="2" s="1"/>
  <c r="AP101" i="2" a="1"/>
  <c r="AP101" i="2" s="1"/>
  <c r="AP99" i="2" a="1"/>
  <c r="AP99" i="2" s="1"/>
  <c r="AP97" i="2" a="1"/>
  <c r="AP97" i="2" s="1"/>
  <c r="AP98" i="2" a="1"/>
  <c r="AP98" i="2" s="1"/>
  <c r="AP96" i="2" a="1"/>
  <c r="AP96" i="2" s="1"/>
  <c r="AP95" i="2" a="1"/>
  <c r="AP95" i="2" s="1"/>
  <c r="AP94" i="2" a="1"/>
  <c r="AP94" i="2" s="1"/>
  <c r="AP93" i="2" a="1"/>
  <c r="AP93" i="2" s="1"/>
  <c r="AP92" i="2" a="1"/>
  <c r="AP92" i="2" s="1"/>
  <c r="AP91" i="2" a="1"/>
  <c r="AP91" i="2" s="1"/>
  <c r="AP90" i="2" a="1"/>
  <c r="AP90" i="2" s="1"/>
  <c r="AP89" i="2" a="1"/>
  <c r="AP89" i="2" s="1"/>
  <c r="AP88" i="2" a="1"/>
  <c r="AP88" i="2" s="1"/>
  <c r="AP87" i="2" a="1"/>
  <c r="AP87" i="2" s="1"/>
  <c r="AP86" i="2" a="1"/>
  <c r="AP86" i="2" s="1"/>
  <c r="AP85" i="2" a="1"/>
  <c r="AP85" i="2" s="1"/>
  <c r="AP84" i="2" a="1"/>
  <c r="AP84" i="2" s="1"/>
  <c r="AP81" i="2" a="1"/>
  <c r="AP81" i="2" s="1"/>
  <c r="AP83" i="2" a="1"/>
  <c r="AP83" i="2" s="1"/>
  <c r="AP82" i="2" a="1"/>
  <c r="AP82" i="2" s="1"/>
  <c r="AP78" i="2" a="1"/>
  <c r="AP78" i="2" s="1"/>
  <c r="AP80" i="2" a="1"/>
  <c r="AP80" i="2" s="1"/>
  <c r="AP79" i="2" a="1"/>
  <c r="AP79" i="2" s="1"/>
  <c r="AP77" i="2" a="1"/>
  <c r="AP77" i="2" s="1"/>
  <c r="AP76" i="2" a="1"/>
  <c r="AP76" i="2" s="1"/>
  <c r="AP73" i="2" a="1"/>
  <c r="AP73" i="2" s="1"/>
  <c r="AP72" i="2" a="1"/>
  <c r="AP72" i="2" s="1"/>
  <c r="AP75" i="2" a="1"/>
  <c r="AP75" i="2" s="1"/>
  <c r="AP74" i="2" a="1"/>
  <c r="AP74" i="2" s="1"/>
  <c r="AP69" i="2" a="1"/>
  <c r="AP69" i="2" s="1"/>
  <c r="AP71" i="2" a="1"/>
  <c r="AP71" i="2" s="1"/>
  <c r="AP70" i="2" a="1"/>
  <c r="AP70" i="2" s="1"/>
  <c r="AP64" i="2" a="1"/>
  <c r="AP64" i="2" s="1"/>
  <c r="AP68" i="2" a="1"/>
  <c r="AP68" i="2" s="1"/>
  <c r="AP65" i="2" a="1"/>
  <c r="AP65" i="2" s="1"/>
  <c r="AP67" i="2" a="1"/>
  <c r="AP67" i="2" s="1"/>
  <c r="AP66" i="2" a="1"/>
  <c r="AP66" i="2" s="1"/>
  <c r="AP62" i="2" a="1"/>
  <c r="AP62" i="2" s="1"/>
  <c r="AP63" i="2" a="1"/>
  <c r="AP63" i="2" s="1"/>
  <c r="AP61" i="2" a="1"/>
  <c r="AP61" i="2" s="1"/>
  <c r="AP60" i="2" a="1"/>
  <c r="AP60" i="2" s="1"/>
  <c r="AP58" i="2" a="1"/>
  <c r="AP58" i="2" s="1"/>
  <c r="AP59" i="2" a="1"/>
  <c r="AP59" i="2" s="1"/>
  <c r="AP57" i="2" a="1"/>
  <c r="AP57" i="2" s="1"/>
  <c r="AP51" i="2" a="1"/>
  <c r="AP51" i="2" s="1"/>
  <c r="AP50" i="2" a="1"/>
  <c r="AP50" i="2" s="1"/>
  <c r="AP55" i="2" a="1"/>
  <c r="AP55" i="2" s="1"/>
  <c r="AP49" i="2" a="1"/>
  <c r="AP49" i="2" s="1"/>
  <c r="AP56" i="2" a="1"/>
  <c r="AP56" i="2" s="1"/>
  <c r="AP54" i="2" a="1"/>
  <c r="AP54" i="2" s="1"/>
  <c r="AP52" i="2" a="1"/>
  <c r="AP52" i="2" s="1"/>
  <c r="AP53" i="2" a="1"/>
  <c r="AP53" i="2" s="1"/>
  <c r="AP48" i="2" a="1"/>
  <c r="AP48" i="2" s="1"/>
  <c r="AP47" i="2" a="1"/>
  <c r="AP47" i="2" s="1"/>
  <c r="AP44" i="2" a="1"/>
  <c r="AP44" i="2" s="1"/>
  <c r="AP42" i="2" a="1"/>
  <c r="AP42" i="2" s="1"/>
  <c r="AP43" i="2" a="1"/>
  <c r="AP43" i="2" s="1"/>
  <c r="AP46" i="2" a="1"/>
  <c r="AP46" i="2" s="1"/>
  <c r="AP45" i="2" a="1"/>
  <c r="AP45" i="2" s="1"/>
  <c r="AP35" i="2" a="1"/>
  <c r="AP35" i="2" s="1"/>
  <c r="AP41" i="2" a="1"/>
  <c r="AP41" i="2" s="1"/>
  <c r="AP40" i="2" a="1"/>
  <c r="AP40" i="2" s="1"/>
  <c r="AP38" i="2" a="1"/>
  <c r="AP38" i="2" s="1"/>
  <c r="AP37" i="2" a="1"/>
  <c r="AP37" i="2" s="1"/>
  <c r="AP34" i="2" a="1"/>
  <c r="AP34" i="2" s="1"/>
  <c r="AP39" i="2" a="1"/>
  <c r="AP39" i="2" s="1"/>
  <c r="AP36" i="2" a="1"/>
  <c r="AP36" i="2" s="1"/>
  <c r="AP33" i="2" a="1"/>
  <c r="AP33" i="2" s="1"/>
  <c r="AP30" i="2" a="1"/>
  <c r="AP30" i="2" s="1"/>
  <c r="AP31" i="2" a="1"/>
  <c r="AP31" i="2" s="1"/>
  <c r="AP32" i="2" a="1"/>
  <c r="AP32" i="2" s="1"/>
  <c r="AP29" i="2" a="1"/>
  <c r="AP29" i="2" s="1"/>
  <c r="AP28" i="2" a="1"/>
  <c r="AP28" i="2" s="1"/>
  <c r="AP26" i="2" a="1"/>
  <c r="AP26" i="2" s="1"/>
  <c r="AP27" i="2" a="1"/>
  <c r="AP27" i="2" s="1"/>
  <c r="AP16" i="2" a="1"/>
  <c r="AP16" i="2" s="1"/>
  <c r="AP18" i="2" a="1"/>
  <c r="AP18" i="2" s="1"/>
  <c r="AP25" i="2" a="1"/>
  <c r="AP25" i="2" s="1"/>
  <c r="AP17" i="2" a="1"/>
  <c r="AP17" i="2" s="1"/>
  <c r="AP24" i="2" a="1"/>
  <c r="AP24" i="2" s="1"/>
  <c r="AP23" i="2" a="1"/>
  <c r="AP23" i="2" s="1"/>
  <c r="AP22" i="2" a="1"/>
  <c r="AP22" i="2" s="1"/>
  <c r="AP21" i="2" a="1"/>
  <c r="AP21" i="2" s="1"/>
  <c r="AP20" i="2" a="1"/>
  <c r="AP20" i="2" s="1"/>
  <c r="AP19" i="2" a="1"/>
  <c r="AP19" i="2" s="1"/>
  <c r="AP11" i="2" a="1"/>
  <c r="AP11" i="2" s="1"/>
  <c r="AP10" i="2" a="1"/>
  <c r="AP10" i="2" s="1"/>
  <c r="AP9" i="2" a="1"/>
  <c r="AP9" i="2" s="1"/>
  <c r="AP14" i="2" a="1"/>
  <c r="AP14" i="2" s="1"/>
  <c r="AP15" i="2" a="1"/>
  <c r="AP15" i="2" s="1"/>
  <c r="AP13" i="2" a="1"/>
  <c r="AP13" i="2" s="1"/>
  <c r="AP12" i="2" a="1"/>
  <c r="AP12" i="2" s="1"/>
  <c r="AP6" i="2" a="1"/>
  <c r="AP6" i="2" s="1"/>
  <c r="AP7" i="2" a="1"/>
  <c r="AP7" i="2" s="1"/>
  <c r="AP5" i="2" a="1"/>
  <c r="AP5" i="2" s="1"/>
  <c r="AP4" i="2" a="1"/>
  <c r="AP4" i="2" s="1"/>
  <c r="AP8" i="2" a="1"/>
  <c r="AP8" i="2" s="1"/>
  <c r="BB99" i="2" a="1"/>
  <c r="BB99" i="2" s="1"/>
  <c r="BB103" i="2" a="1"/>
  <c r="BB103" i="2" s="1"/>
  <c r="BB102" i="2" a="1"/>
  <c r="BB102" i="2" s="1"/>
  <c r="BB101" i="2" a="1"/>
  <c r="BB101" i="2" s="1"/>
  <c r="BB100" i="2" a="1"/>
  <c r="BB100" i="2" s="1"/>
  <c r="BB96" i="2" a="1"/>
  <c r="BB96" i="2" s="1"/>
  <c r="BB97" i="2" a="1"/>
  <c r="BB97" i="2" s="1"/>
  <c r="BB98" i="2" a="1"/>
  <c r="BB98" i="2" s="1"/>
  <c r="BB93" i="2" a="1"/>
  <c r="BB93" i="2" s="1"/>
  <c r="BB92" i="2" a="1"/>
  <c r="BB92" i="2" s="1"/>
  <c r="BB95" i="2" a="1"/>
  <c r="BB95" i="2" s="1"/>
  <c r="BB94" i="2" a="1"/>
  <c r="BB94" i="2" s="1"/>
  <c r="BB90" i="2" a="1"/>
  <c r="BB90" i="2" s="1"/>
  <c r="BB89" i="2" a="1"/>
  <c r="BB89" i="2" s="1"/>
  <c r="BB88" i="2" a="1"/>
  <c r="BB88" i="2" s="1"/>
  <c r="BB91" i="2" a="1"/>
  <c r="BB91" i="2" s="1"/>
  <c r="BB85" i="2" a="1"/>
  <c r="BB85" i="2" s="1"/>
  <c r="BB84" i="2" a="1"/>
  <c r="BB84" i="2" s="1"/>
  <c r="BB86" i="2" a="1"/>
  <c r="BB86" i="2" s="1"/>
  <c r="BB87" i="2" a="1"/>
  <c r="BB87" i="2" s="1"/>
  <c r="BB80" i="2" a="1"/>
  <c r="BB80" i="2" s="1"/>
  <c r="BB83" i="2" a="1"/>
  <c r="BB83" i="2" s="1"/>
  <c r="BB82" i="2" a="1"/>
  <c r="BB82" i="2" s="1"/>
  <c r="BB81" i="2" a="1"/>
  <c r="BB81" i="2" s="1"/>
  <c r="BB78" i="2" a="1"/>
  <c r="BB78" i="2" s="1"/>
  <c r="BB79" i="2" a="1"/>
  <c r="BB79" i="2" s="1"/>
  <c r="BB76" i="2" a="1"/>
  <c r="BB76" i="2" s="1"/>
  <c r="BB77" i="2" a="1"/>
  <c r="BB77" i="2" s="1"/>
  <c r="BB75" i="2" a="1"/>
  <c r="BB75" i="2" s="1"/>
  <c r="BB74" i="2" a="1"/>
  <c r="BB74" i="2" s="1"/>
  <c r="BB73" i="2" a="1"/>
  <c r="BB73" i="2" s="1"/>
  <c r="BB72" i="2" a="1"/>
  <c r="BB72" i="2" s="1"/>
  <c r="BB71" i="2" a="1"/>
  <c r="BB71" i="2" s="1"/>
  <c r="BB70" i="2" a="1"/>
  <c r="BB70" i="2" s="1"/>
  <c r="BB69" i="2" a="1"/>
  <c r="BB69" i="2" s="1"/>
  <c r="BB68" i="2" a="1"/>
  <c r="BB68" i="2" s="1"/>
  <c r="BB67" i="2" a="1"/>
  <c r="BB67" i="2" s="1"/>
  <c r="BB66" i="2" a="1"/>
  <c r="BB66" i="2" s="1"/>
  <c r="BB65" i="2" a="1"/>
  <c r="BB65" i="2" s="1"/>
  <c r="BB64" i="2" a="1"/>
  <c r="BB64" i="2" s="1"/>
  <c r="BB61" i="2" a="1"/>
  <c r="BB61" i="2" s="1"/>
  <c r="BB63" i="2" a="1"/>
  <c r="BB63" i="2" s="1"/>
  <c r="BB60" i="2" a="1"/>
  <c r="BB60" i="2" s="1"/>
  <c r="BB62" i="2" a="1"/>
  <c r="BB62" i="2" s="1"/>
  <c r="BB57" i="2" a="1"/>
  <c r="BB57" i="2" s="1"/>
  <c r="BB56" i="2" a="1"/>
  <c r="BB56" i="2" s="1"/>
  <c r="BB58" i="2" a="1"/>
  <c r="BB58" i="2" s="1"/>
  <c r="BB59" i="2" a="1"/>
  <c r="BB59" i="2" s="1"/>
  <c r="BB55" i="2" a="1"/>
  <c r="BB55" i="2" s="1"/>
  <c r="BB49" i="2" a="1"/>
  <c r="BB49" i="2" s="1"/>
  <c r="BB48" i="2" a="1"/>
  <c r="BB48" i="2" s="1"/>
  <c r="BB54" i="2" a="1"/>
  <c r="BB54" i="2" s="1"/>
  <c r="BB53" i="2" a="1"/>
  <c r="BB53" i="2" s="1"/>
  <c r="BB52" i="2" a="1"/>
  <c r="BB52" i="2" s="1"/>
  <c r="BB51" i="2" a="1"/>
  <c r="BB51" i="2" s="1"/>
  <c r="BB50" i="2" a="1"/>
  <c r="BB50" i="2" s="1"/>
  <c r="BB44" i="2" a="1"/>
  <c r="BB44" i="2" s="1"/>
  <c r="BB42" i="2" a="1"/>
  <c r="BB42" i="2" s="1"/>
  <c r="BB43" i="2" a="1"/>
  <c r="BB43" i="2" s="1"/>
  <c r="BB46" i="2" a="1"/>
  <c r="BB46" i="2" s="1"/>
  <c r="BB40" i="2" a="1"/>
  <c r="BB40" i="2" s="1"/>
  <c r="BB45" i="2" a="1"/>
  <c r="BB45" i="2" s="1"/>
  <c r="BB41" i="2" a="1"/>
  <c r="BB41" i="2" s="1"/>
  <c r="BB47" i="2" a="1"/>
  <c r="BB47" i="2" s="1"/>
  <c r="BB37" i="2" a="1"/>
  <c r="BB37" i="2" s="1"/>
  <c r="BB34" i="2" a="1"/>
  <c r="BB34" i="2" s="1"/>
  <c r="BB36" i="2" a="1"/>
  <c r="BB36" i="2" s="1"/>
  <c r="BB39" i="2" a="1"/>
  <c r="BB39" i="2" s="1"/>
  <c r="BB35" i="2" a="1"/>
  <c r="BB35" i="2" s="1"/>
  <c r="BB38" i="2" a="1"/>
  <c r="BB38" i="2" s="1"/>
  <c r="BB32" i="2" a="1"/>
  <c r="BB32" i="2" s="1"/>
  <c r="BB29" i="2" a="1"/>
  <c r="BB29" i="2" s="1"/>
  <c r="BB33" i="2" a="1"/>
  <c r="BB33" i="2" s="1"/>
  <c r="BB28" i="2" a="1"/>
  <c r="BB28" i="2" s="1"/>
  <c r="BB27" i="2" a="1"/>
  <c r="BB27" i="2" s="1"/>
  <c r="BB26" i="2" a="1"/>
  <c r="BB26" i="2" s="1"/>
  <c r="BB31" i="2" a="1"/>
  <c r="BB31" i="2" s="1"/>
  <c r="BB30" i="2" a="1"/>
  <c r="BB30" i="2" s="1"/>
  <c r="BB15" i="2" a="1"/>
  <c r="BB15" i="2" s="1"/>
  <c r="BB17" i="2" a="1"/>
  <c r="BB17" i="2" s="1"/>
  <c r="BB25" i="2" a="1"/>
  <c r="BB25" i="2" s="1"/>
  <c r="BB24" i="2" a="1"/>
  <c r="BB24" i="2" s="1"/>
  <c r="BB23" i="2" a="1"/>
  <c r="BB23" i="2" s="1"/>
  <c r="BB22" i="2" a="1"/>
  <c r="BB22" i="2" s="1"/>
  <c r="BB21" i="2" a="1"/>
  <c r="BB21" i="2" s="1"/>
  <c r="BB20" i="2" a="1"/>
  <c r="BB20" i="2" s="1"/>
  <c r="BB19" i="2" a="1"/>
  <c r="BB19" i="2" s="1"/>
  <c r="BB16" i="2" a="1"/>
  <c r="BB16" i="2" s="1"/>
  <c r="BB18" i="2" a="1"/>
  <c r="BB18" i="2" s="1"/>
  <c r="BB13" i="2" a="1"/>
  <c r="BB13" i="2" s="1"/>
  <c r="BB8" i="2" a="1"/>
  <c r="BB8" i="2" s="1"/>
  <c r="BB12" i="2" a="1"/>
  <c r="BB12" i="2" s="1"/>
  <c r="BB11" i="2" a="1"/>
  <c r="BB11" i="2" s="1"/>
  <c r="BB10" i="2" a="1"/>
  <c r="BB10" i="2" s="1"/>
  <c r="BB14" i="2" a="1"/>
  <c r="BB14" i="2" s="1"/>
  <c r="BB9" i="2" a="1"/>
  <c r="BB9" i="2" s="1"/>
  <c r="BB7" i="2" a="1"/>
  <c r="BB7" i="2" s="1"/>
  <c r="BB4" i="2" a="1"/>
  <c r="BB4" i="2" s="1"/>
  <c r="BB5" i="2" a="1"/>
  <c r="BB5" i="2" s="1"/>
  <c r="BB6" i="2" a="1"/>
  <c r="BB6" i="2" s="1"/>
  <c r="BN103" i="2" a="1"/>
  <c r="BN103" i="2" s="1"/>
  <c r="BN102" i="2" a="1"/>
  <c r="BN102" i="2" s="1"/>
  <c r="BN101" i="2" a="1"/>
  <c r="BN101" i="2" s="1"/>
  <c r="BN100" i="2" a="1"/>
  <c r="BN100" i="2" s="1"/>
  <c r="BN99" i="2" a="1"/>
  <c r="BN99" i="2" s="1"/>
  <c r="BN98" i="2" a="1"/>
  <c r="BN98" i="2" s="1"/>
  <c r="BN97" i="2" a="1"/>
  <c r="BN97" i="2" s="1"/>
  <c r="BN96" i="2" a="1"/>
  <c r="BN96" i="2" s="1"/>
  <c r="BN94" i="2" a="1"/>
  <c r="BN94" i="2" s="1"/>
  <c r="BN95" i="2" a="1"/>
  <c r="BN95" i="2" s="1"/>
  <c r="BN93" i="2" a="1"/>
  <c r="BN93" i="2" s="1"/>
  <c r="BN92" i="2" a="1"/>
  <c r="BN92" i="2" s="1"/>
  <c r="BN89" i="2" a="1"/>
  <c r="BN89" i="2" s="1"/>
  <c r="BN91" i="2" a="1"/>
  <c r="BN91" i="2" s="1"/>
  <c r="BN88" i="2" a="1"/>
  <c r="BN88" i="2" s="1"/>
  <c r="BN90" i="2" a="1"/>
  <c r="BN90" i="2" s="1"/>
  <c r="BN85" i="2" a="1"/>
  <c r="BN85" i="2" s="1"/>
  <c r="BN84" i="2" a="1"/>
  <c r="BN84" i="2" s="1"/>
  <c r="BN86" i="2" a="1"/>
  <c r="BN86" i="2" s="1"/>
  <c r="BN87" i="2" a="1"/>
  <c r="BN87" i="2" s="1"/>
  <c r="BN83" i="2" a="1"/>
  <c r="BN83" i="2" s="1"/>
  <c r="BN82" i="2" a="1"/>
  <c r="BN82" i="2" s="1"/>
  <c r="BN81" i="2" a="1"/>
  <c r="BN81" i="2" s="1"/>
  <c r="BN80" i="2" a="1"/>
  <c r="BN80" i="2" s="1"/>
  <c r="BN79" i="2" a="1"/>
  <c r="BN79" i="2" s="1"/>
  <c r="BN77" i="2" a="1"/>
  <c r="BN77" i="2" s="1"/>
  <c r="BN78" i="2" a="1"/>
  <c r="BN78" i="2" s="1"/>
  <c r="BN76" i="2" a="1"/>
  <c r="BN76" i="2" s="1"/>
  <c r="BN75" i="2" a="1"/>
  <c r="BN75" i="2" s="1"/>
  <c r="BN74" i="2" a="1"/>
  <c r="BN74" i="2" s="1"/>
  <c r="BN73" i="2" a="1"/>
  <c r="BN73" i="2" s="1"/>
  <c r="BN72" i="2" a="1"/>
  <c r="BN72" i="2" s="1"/>
  <c r="BN70" i="2" a="1"/>
  <c r="BN70" i="2" s="1"/>
  <c r="BN69" i="2" a="1"/>
  <c r="BN69" i="2" s="1"/>
  <c r="BN68" i="2" a="1"/>
  <c r="BN68" i="2" s="1"/>
  <c r="BN71" i="2" a="1"/>
  <c r="BN71" i="2" s="1"/>
  <c r="BN66" i="2" a="1"/>
  <c r="BN66" i="2" s="1"/>
  <c r="BN67" i="2" a="1"/>
  <c r="BN67" i="2" s="1"/>
  <c r="BN65" i="2" a="1"/>
  <c r="BN65" i="2" s="1"/>
  <c r="BN64" i="2" a="1"/>
  <c r="BN64" i="2" s="1"/>
  <c r="BN63" i="2" a="1"/>
  <c r="BN63" i="2" s="1"/>
  <c r="BN62" i="2" a="1"/>
  <c r="BN62" i="2" s="1"/>
  <c r="BN61" i="2" a="1"/>
  <c r="BN61" i="2" s="1"/>
  <c r="BN60" i="2" a="1"/>
  <c r="BN60" i="2" s="1"/>
  <c r="BN58" i="2" a="1"/>
  <c r="BN58" i="2" s="1"/>
  <c r="BN59" i="2" a="1"/>
  <c r="BN59" i="2" s="1"/>
  <c r="BN57" i="2" a="1"/>
  <c r="BN57" i="2" s="1"/>
  <c r="BN56" i="2" a="1"/>
  <c r="BN56" i="2" s="1"/>
  <c r="BN54" i="2" a="1"/>
  <c r="BN54" i="2" s="1"/>
  <c r="BN53" i="2" a="1"/>
  <c r="BN53" i="2" s="1"/>
  <c r="BN52" i="2" a="1"/>
  <c r="BN52" i="2" s="1"/>
  <c r="BN51" i="2" a="1"/>
  <c r="BN51" i="2" s="1"/>
  <c r="BN55" i="2" a="1"/>
  <c r="BN55" i="2" s="1"/>
  <c r="BN50" i="2" a="1"/>
  <c r="BN50" i="2" s="1"/>
  <c r="BN49" i="2" a="1"/>
  <c r="BN49" i="2" s="1"/>
  <c r="BN48" i="2" a="1"/>
  <c r="BN48" i="2" s="1"/>
  <c r="BN46" i="2" a="1"/>
  <c r="BN46" i="2" s="1"/>
  <c r="BN43" i="2" a="1"/>
  <c r="BN43" i="2" s="1"/>
  <c r="BN45" i="2" a="1"/>
  <c r="BN45" i="2" s="1"/>
  <c r="BN47" i="2" a="1"/>
  <c r="BN47" i="2" s="1"/>
  <c r="BN41" i="2" a="1"/>
  <c r="BN41" i="2" s="1"/>
  <c r="BN44" i="2" a="1"/>
  <c r="BN44" i="2" s="1"/>
  <c r="BN42" i="2" a="1"/>
  <c r="BN42" i="2" s="1"/>
  <c r="BN39" i="2" a="1"/>
  <c r="BN39" i="2" s="1"/>
  <c r="BN35" i="2" a="1"/>
  <c r="BN35" i="2" s="1"/>
  <c r="BN38" i="2" a="1"/>
  <c r="BN38" i="2" s="1"/>
  <c r="BN37" i="2" a="1"/>
  <c r="BN37" i="2" s="1"/>
  <c r="BN40" i="2" a="1"/>
  <c r="BN40" i="2" s="1"/>
  <c r="BN34" i="2" a="1"/>
  <c r="BN34" i="2" s="1"/>
  <c r="BN36" i="2" a="1"/>
  <c r="BN36" i="2" s="1"/>
  <c r="BN28" i="2" a="1"/>
  <c r="BN28" i="2" s="1"/>
  <c r="BN27" i="2" a="1"/>
  <c r="BN27" i="2" s="1"/>
  <c r="BN33" i="2" a="1"/>
  <c r="BN33" i="2" s="1"/>
  <c r="BN31" i="2" a="1"/>
  <c r="BN31" i="2" s="1"/>
  <c r="BN30" i="2" a="1"/>
  <c r="BN30" i="2" s="1"/>
  <c r="BN26" i="2" a="1"/>
  <c r="BN26" i="2" s="1"/>
  <c r="BN29" i="2" a="1"/>
  <c r="BN29" i="2" s="1"/>
  <c r="BN25" i="2" a="1"/>
  <c r="BN25" i="2" s="1"/>
  <c r="BN32" i="2" a="1"/>
  <c r="BN32" i="2" s="1"/>
  <c r="BN16" i="2" a="1"/>
  <c r="BN16" i="2" s="1"/>
  <c r="BN17" i="2" a="1"/>
  <c r="BN17" i="2" s="1"/>
  <c r="BN15" i="2" a="1"/>
  <c r="BN15" i="2" s="1"/>
  <c r="BN24" i="2" a="1"/>
  <c r="BN24" i="2" s="1"/>
  <c r="BN23" i="2" a="1"/>
  <c r="BN23" i="2" s="1"/>
  <c r="BN22" i="2" a="1"/>
  <c r="BN22" i="2" s="1"/>
  <c r="BN21" i="2" a="1"/>
  <c r="BN21" i="2" s="1"/>
  <c r="BN20" i="2" a="1"/>
  <c r="BN20" i="2" s="1"/>
  <c r="BN19" i="2" a="1"/>
  <c r="BN19" i="2" s="1"/>
  <c r="BN18" i="2" a="1"/>
  <c r="BN18" i="2" s="1"/>
  <c r="BN12" i="2" a="1"/>
  <c r="BN12" i="2" s="1"/>
  <c r="BN10" i="2" a="1"/>
  <c r="BN10" i="2" s="1"/>
  <c r="BN11" i="2" a="1"/>
  <c r="BN11" i="2" s="1"/>
  <c r="BN14" i="2" a="1"/>
  <c r="BN14" i="2" s="1"/>
  <c r="BN9" i="2" a="1"/>
  <c r="BN9" i="2" s="1"/>
  <c r="BN13" i="2" a="1"/>
  <c r="BN13" i="2" s="1"/>
  <c r="BN8" i="2" a="1"/>
  <c r="BN8" i="2" s="1"/>
  <c r="BN6" i="2" a="1"/>
  <c r="BN6" i="2" s="1"/>
  <c r="BN5" i="2" a="1"/>
  <c r="BN5" i="2" s="1"/>
  <c r="BN4" i="2" a="1"/>
  <c r="BN4" i="2" s="1"/>
  <c r="BN7" i="2" a="1"/>
  <c r="BN7" i="2" s="1"/>
  <c r="BZ100" i="2" a="1"/>
  <c r="BZ100" i="2" s="1"/>
  <c r="BZ103" i="2" a="1"/>
  <c r="BZ103" i="2" s="1"/>
  <c r="BZ102" i="2" a="1"/>
  <c r="BZ102" i="2" s="1"/>
  <c r="BZ101" i="2" a="1"/>
  <c r="BZ101" i="2" s="1"/>
  <c r="BZ99" i="2" a="1"/>
  <c r="BZ99" i="2" s="1"/>
  <c r="BZ98" i="2" a="1"/>
  <c r="BZ98" i="2" s="1"/>
  <c r="BZ97" i="2" a="1"/>
  <c r="BZ97" i="2" s="1"/>
  <c r="BZ96" i="2" a="1"/>
  <c r="BZ96" i="2" s="1"/>
  <c r="BZ93" i="2" a="1"/>
  <c r="BZ93" i="2" s="1"/>
  <c r="BZ92" i="2" a="1"/>
  <c r="BZ92" i="2" s="1"/>
  <c r="BZ95" i="2" a="1"/>
  <c r="BZ95" i="2" s="1"/>
  <c r="BZ94" i="2" a="1"/>
  <c r="BZ94" i="2" s="1"/>
  <c r="BZ90" i="2" a="1"/>
  <c r="BZ90" i="2" s="1"/>
  <c r="BZ89" i="2" a="1"/>
  <c r="BZ89" i="2" s="1"/>
  <c r="BZ91" i="2" a="1"/>
  <c r="BZ91" i="2" s="1"/>
  <c r="BZ88" i="2" a="1"/>
  <c r="BZ88" i="2" s="1"/>
  <c r="BZ84" i="2" a="1"/>
  <c r="BZ84" i="2" s="1"/>
  <c r="BZ86" i="2" a="1"/>
  <c r="BZ86" i="2" s="1"/>
  <c r="BZ87" i="2" a="1"/>
  <c r="BZ87" i="2" s="1"/>
  <c r="BZ85" i="2" a="1"/>
  <c r="BZ85" i="2" s="1"/>
  <c r="BZ81" i="2" a="1"/>
  <c r="BZ81" i="2" s="1"/>
  <c r="BZ80" i="2" a="1"/>
  <c r="BZ80" i="2" s="1"/>
  <c r="BZ82" i="2" a="1"/>
  <c r="BZ82" i="2" s="1"/>
  <c r="BZ83" i="2" a="1"/>
  <c r="BZ83" i="2" s="1"/>
  <c r="BZ78" i="2" a="1"/>
  <c r="BZ78" i="2" s="1"/>
  <c r="BZ76" i="2" a="1"/>
  <c r="BZ76" i="2" s="1"/>
  <c r="BZ79" i="2" a="1"/>
  <c r="BZ79" i="2" s="1"/>
  <c r="BZ77" i="2" a="1"/>
  <c r="BZ77" i="2" s="1"/>
  <c r="BZ73" i="2" a="1"/>
  <c r="BZ73" i="2" s="1"/>
  <c r="BZ72" i="2" a="1"/>
  <c r="BZ72" i="2" s="1"/>
  <c r="BZ74" i="2" a="1"/>
  <c r="BZ74" i="2" s="1"/>
  <c r="BZ75" i="2" a="1"/>
  <c r="BZ75" i="2" s="1"/>
  <c r="BZ69" i="2" a="1"/>
  <c r="BZ69" i="2" s="1"/>
  <c r="BZ68" i="2" a="1"/>
  <c r="BZ68" i="2" s="1"/>
  <c r="BZ71" i="2" a="1"/>
  <c r="BZ71" i="2" s="1"/>
  <c r="BZ70" i="2" a="1"/>
  <c r="BZ70" i="2" s="1"/>
  <c r="BZ65" i="2" a="1"/>
  <c r="BZ65" i="2" s="1"/>
  <c r="BZ63" i="2" a="1"/>
  <c r="BZ63" i="2" s="1"/>
  <c r="BZ64" i="2" a="1"/>
  <c r="BZ64" i="2" s="1"/>
  <c r="BZ66" i="2" a="1"/>
  <c r="BZ66" i="2" s="1"/>
  <c r="BZ67" i="2" a="1"/>
  <c r="BZ67" i="2" s="1"/>
  <c r="BZ62" i="2" a="1"/>
  <c r="BZ62" i="2" s="1"/>
  <c r="BZ61" i="2" a="1"/>
  <c r="BZ61" i="2" s="1"/>
  <c r="BZ60" i="2" a="1"/>
  <c r="BZ60" i="2" s="1"/>
  <c r="BZ57" i="2" a="1"/>
  <c r="BZ57" i="2" s="1"/>
  <c r="BZ58" i="2" a="1"/>
  <c r="BZ58" i="2" s="1"/>
  <c r="BZ59" i="2" a="1"/>
  <c r="BZ59" i="2" s="1"/>
  <c r="BZ51" i="2" a="1"/>
  <c r="BZ51" i="2" s="1"/>
  <c r="BZ56" i="2" a="1"/>
  <c r="BZ56" i="2" s="1"/>
  <c r="BZ55" i="2" a="1"/>
  <c r="BZ55" i="2" s="1"/>
  <c r="BZ50" i="2" a="1"/>
  <c r="BZ50" i="2" s="1"/>
  <c r="BZ49" i="2" a="1"/>
  <c r="BZ49" i="2" s="1"/>
  <c r="BZ54" i="2" a="1"/>
  <c r="BZ54" i="2" s="1"/>
  <c r="BZ53" i="2" a="1"/>
  <c r="BZ53" i="2" s="1"/>
  <c r="BZ48" i="2" a="1"/>
  <c r="BZ48" i="2" s="1"/>
  <c r="BZ52" i="2" a="1"/>
  <c r="BZ52" i="2" s="1"/>
  <c r="BZ47" i="2" a="1"/>
  <c r="BZ47" i="2" s="1"/>
  <c r="BZ41" i="2" a="1"/>
  <c r="BZ41" i="2" s="1"/>
  <c r="BZ40" i="2" a="1"/>
  <c r="BZ40" i="2" s="1"/>
  <c r="BZ44" i="2" a="1"/>
  <c r="BZ44" i="2" s="1"/>
  <c r="BZ43" i="2" a="1"/>
  <c r="BZ43" i="2" s="1"/>
  <c r="BZ42" i="2" a="1"/>
  <c r="BZ42" i="2" s="1"/>
  <c r="BZ46" i="2" a="1"/>
  <c r="BZ46" i="2" s="1"/>
  <c r="BZ45" i="2" a="1"/>
  <c r="BZ45" i="2" s="1"/>
  <c r="BZ37" i="2" a="1"/>
  <c r="BZ37" i="2" s="1"/>
  <c r="BZ34" i="2" a="1"/>
  <c r="BZ34" i="2" s="1"/>
  <c r="BZ36" i="2" a="1"/>
  <c r="BZ36" i="2" s="1"/>
  <c r="BZ39" i="2" a="1"/>
  <c r="BZ39" i="2" s="1"/>
  <c r="BZ38" i="2" a="1"/>
  <c r="BZ38" i="2" s="1"/>
  <c r="BZ35" i="2" a="1"/>
  <c r="BZ35" i="2" s="1"/>
  <c r="BZ31" i="2" a="1"/>
  <c r="BZ31" i="2" s="1"/>
  <c r="BZ30" i="2" a="1"/>
  <c r="BZ30" i="2" s="1"/>
  <c r="BZ26" i="2" a="1"/>
  <c r="BZ26" i="2" s="1"/>
  <c r="BZ29" i="2" a="1"/>
  <c r="BZ29" i="2" s="1"/>
  <c r="BZ32" i="2" a="1"/>
  <c r="BZ32" i="2" s="1"/>
  <c r="BZ28" i="2" a="1"/>
  <c r="BZ28" i="2" s="1"/>
  <c r="BZ33" i="2" a="1"/>
  <c r="BZ33" i="2" s="1"/>
  <c r="BZ27" i="2" a="1"/>
  <c r="BZ27" i="2" s="1"/>
  <c r="BZ25" i="2" a="1"/>
  <c r="BZ25" i="2" s="1"/>
  <c r="BZ15" i="2" a="1"/>
  <c r="BZ15" i="2" s="1"/>
  <c r="BZ17" i="2" a="1"/>
  <c r="BZ17" i="2" s="1"/>
  <c r="BZ24" i="2" a="1"/>
  <c r="BZ24" i="2" s="1"/>
  <c r="BZ23" i="2" a="1"/>
  <c r="BZ23" i="2" s="1"/>
  <c r="BZ22" i="2" a="1"/>
  <c r="BZ22" i="2" s="1"/>
  <c r="BZ21" i="2" a="1"/>
  <c r="BZ21" i="2" s="1"/>
  <c r="BZ20" i="2" a="1"/>
  <c r="BZ20" i="2" s="1"/>
  <c r="BZ19" i="2" a="1"/>
  <c r="BZ19" i="2" s="1"/>
  <c r="BZ18" i="2" a="1"/>
  <c r="BZ18" i="2" s="1"/>
  <c r="BZ16" i="2" a="1"/>
  <c r="BZ16" i="2" s="1"/>
  <c r="BZ9" i="2" a="1"/>
  <c r="BZ9" i="2" s="1"/>
  <c r="BZ14" i="2" a="1"/>
  <c r="BZ14" i="2" s="1"/>
  <c r="BZ8" i="2" a="1"/>
  <c r="BZ8" i="2" s="1"/>
  <c r="BZ13" i="2" a="1"/>
  <c r="BZ13" i="2" s="1"/>
  <c r="BZ12" i="2" a="1"/>
  <c r="BZ12" i="2" s="1"/>
  <c r="BZ10" i="2" a="1"/>
  <c r="BZ10" i="2" s="1"/>
  <c r="BZ11" i="2" a="1"/>
  <c r="BZ11" i="2" s="1"/>
  <c r="BZ7" i="2" a="1"/>
  <c r="BZ7" i="2" s="1"/>
  <c r="BZ5" i="2" a="1"/>
  <c r="BZ5" i="2" s="1"/>
  <c r="BZ6" i="2" a="1"/>
  <c r="BZ6" i="2" s="1"/>
  <c r="BZ4" i="2" a="1"/>
  <c r="BZ4" i="2" s="1"/>
  <c r="GI8" i="2" a="1"/>
  <c r="GI8" i="2" s="1"/>
  <c r="GI52" i="2" a="1"/>
  <c r="GI52" i="2" s="1"/>
  <c r="GI48" i="2" a="1"/>
  <c r="GI48" i="2" s="1"/>
  <c r="GI21" i="2" a="1"/>
  <c r="GI21" i="2" s="1"/>
  <c r="GI29" i="2" a="1"/>
  <c r="GI29" i="2" s="1"/>
  <c r="GI17" i="2" a="1"/>
  <c r="GI17" i="2" s="1"/>
  <c r="GI12" i="2" a="1"/>
  <c r="GI12" i="2" s="1"/>
  <c r="GI34" i="2" a="1"/>
  <c r="GI34" i="2" s="1"/>
  <c r="GI13" i="2" a="1"/>
  <c r="GI13" i="2" s="1"/>
  <c r="GI30" i="2" a="1"/>
  <c r="GI30" i="2" s="1"/>
  <c r="GI9" i="2" a="1"/>
  <c r="GI9" i="2" s="1"/>
  <c r="GI33" i="2" a="1"/>
  <c r="GI33" i="2" s="1"/>
  <c r="GI20" i="2" a="1"/>
  <c r="GI20" i="2" s="1"/>
  <c r="GI26" i="2" a="1"/>
  <c r="GI26" i="2" s="1"/>
  <c r="GI43" i="2" a="1"/>
  <c r="GI43" i="2" s="1"/>
  <c r="GI39" i="2" a="1"/>
  <c r="GI39" i="2" s="1"/>
  <c r="GI49" i="2" a="1"/>
  <c r="GI49" i="2" s="1"/>
  <c r="GI6" i="2" a="1"/>
  <c r="GI6" i="2" s="1"/>
  <c r="GI16" i="2" a="1"/>
  <c r="GI16" i="2" s="1"/>
  <c r="GI38" i="2" a="1"/>
  <c r="GI38" i="2" s="1"/>
  <c r="GI5" i="2" a="1"/>
  <c r="GI5" i="2" s="1"/>
  <c r="GI42" i="2" a="1"/>
  <c r="GI42" i="2" s="1"/>
  <c r="GI53" i="2" a="1"/>
  <c r="GI53" i="2" s="1"/>
  <c r="GI14" i="2" a="1"/>
  <c r="GI14" i="2" s="1"/>
  <c r="GI10" i="2" a="1"/>
  <c r="GI10" i="2" s="1"/>
  <c r="GI18" i="2" a="1"/>
  <c r="GI18" i="2" s="1"/>
  <c r="GI7" i="2" a="1"/>
  <c r="GI7" i="2" s="1"/>
  <c r="GI11" i="2" a="1"/>
  <c r="GI11" i="2" s="1"/>
  <c r="GI22" i="2" a="1"/>
  <c r="GI22" i="2" s="1"/>
  <c r="GI15" i="2" a="1"/>
  <c r="GI15" i="2" s="1"/>
  <c r="GI23" i="2" a="1"/>
  <c r="GI23" i="2" s="1"/>
  <c r="GI19" i="2" a="1"/>
  <c r="GI19" i="2" s="1"/>
  <c r="GI4" i="2" a="1"/>
  <c r="GI4" i="2" s="1"/>
  <c r="GI24" i="2" a="1"/>
  <c r="GI24" i="2" s="1"/>
  <c r="GI25" i="2" a="1"/>
  <c r="GI25" i="2" s="1"/>
  <c r="GI31" i="2" a="1"/>
  <c r="GI31" i="2" s="1"/>
  <c r="GI36" i="2" a="1"/>
  <c r="GI36" i="2" s="1"/>
  <c r="GI27" i="2" a="1"/>
  <c r="GI27" i="2" s="1"/>
  <c r="GI35" i="2" a="1"/>
  <c r="GI35" i="2" s="1"/>
  <c r="GI37" i="2" a="1"/>
  <c r="GI37" i="2" s="1"/>
  <c r="GI32" i="2" a="1"/>
  <c r="GI32" i="2" s="1"/>
  <c r="GI40" i="2" a="1"/>
  <c r="GI40" i="2" s="1"/>
  <c r="GI44" i="2" a="1"/>
  <c r="GI44" i="2" s="1"/>
  <c r="GI28" i="2" a="1"/>
  <c r="GI28" i="2" s="1"/>
  <c r="GI41" i="2" a="1"/>
  <c r="GI41" i="2" s="1"/>
  <c r="GI46" i="2" a="1"/>
  <c r="GI46" i="2" s="1"/>
  <c r="GI45" i="2" a="1"/>
  <c r="GI45" i="2" s="1"/>
  <c r="GI50" i="2" a="1"/>
  <c r="GI50" i="2" s="1"/>
  <c r="GI47" i="2" a="1"/>
  <c r="GI47" i="2" s="1"/>
  <c r="GI54" i="2" a="1"/>
  <c r="GI54" i="2" s="1"/>
  <c r="GI51" i="2" a="1"/>
  <c r="GI51" i="2" s="1"/>
  <c r="GF23" i="2" a="1"/>
  <c r="GF23" i="2" s="1"/>
  <c r="GF19" i="2" a="1"/>
  <c r="GF19" i="2" s="1"/>
  <c r="GF11" i="2" a="1"/>
  <c r="GF11" i="2" s="1"/>
  <c r="GB11" i="2" s="1"/>
  <c r="GF44" i="2" a="1"/>
  <c r="GF44" i="2" s="1"/>
  <c r="GF7" i="2" a="1"/>
  <c r="GF7" i="2" s="1"/>
  <c r="GF10" i="2" a="1"/>
  <c r="GF10" i="2" s="1"/>
  <c r="GF27" i="2" a="1"/>
  <c r="GF27" i="2" s="1"/>
  <c r="GF6" i="2" a="1"/>
  <c r="GF6" i="2" s="1"/>
  <c r="GF50" i="2" a="1"/>
  <c r="GF50" i="2" s="1"/>
  <c r="GF22" i="2" a="1"/>
  <c r="GF22" i="2" s="1"/>
  <c r="GF40" i="2" a="1"/>
  <c r="GF40" i="2" s="1"/>
  <c r="GF51" i="2" a="1"/>
  <c r="GF51" i="2" s="1"/>
  <c r="GF47" i="2" a="1"/>
  <c r="GF47" i="2" s="1"/>
  <c r="GF4" i="2" a="1"/>
  <c r="GF4" i="2" s="1"/>
  <c r="GF14" i="2" a="1"/>
  <c r="GF14" i="2" s="1"/>
  <c r="GF31" i="2" a="1"/>
  <c r="GF31" i="2" s="1"/>
  <c r="GF15" i="2" a="1"/>
  <c r="GF15" i="2" s="1"/>
  <c r="GF41" i="2" a="1"/>
  <c r="GF41" i="2" s="1"/>
  <c r="GF18" i="2" a="1"/>
  <c r="GF18" i="2" s="1"/>
  <c r="GF28" i="2" a="1"/>
  <c r="GF28" i="2" s="1"/>
  <c r="GF54" i="2" a="1"/>
  <c r="GF54" i="2" s="1"/>
  <c r="GF32" i="2" a="1"/>
  <c r="GF32" i="2" s="1"/>
  <c r="GF8" i="2" a="1"/>
  <c r="GF8" i="2" s="1"/>
  <c r="GF16" i="2" a="1"/>
  <c r="GF16" i="2" s="1"/>
  <c r="GF12" i="2" a="1"/>
  <c r="GF12" i="2" s="1"/>
  <c r="GF20" i="2" a="1"/>
  <c r="GF20" i="2" s="1"/>
  <c r="GF5" i="2" a="1"/>
  <c r="GF5" i="2" s="1"/>
  <c r="GF9" i="2" a="1"/>
  <c r="GF9" i="2" s="1"/>
  <c r="GF13" i="2" a="1"/>
  <c r="GF13" i="2" s="1"/>
  <c r="GF21" i="2" a="1"/>
  <c r="GF21" i="2" s="1"/>
  <c r="GF17" i="2" a="1"/>
  <c r="GF17" i="2" s="1"/>
  <c r="GF24" i="2" a="1"/>
  <c r="GF24" i="2" s="1"/>
  <c r="GF25" i="2" a="1"/>
  <c r="GF25" i="2" s="1"/>
  <c r="GF29" i="2" a="1"/>
  <c r="GF29" i="2" s="1"/>
  <c r="GF36" i="2" a="1"/>
  <c r="GF36" i="2" s="1"/>
  <c r="GF33" i="2" a="1"/>
  <c r="GF33" i="2" s="1"/>
  <c r="GF30" i="2" a="1"/>
  <c r="GF30" i="2" s="1"/>
  <c r="GF38" i="2" a="1"/>
  <c r="GF38" i="2" s="1"/>
  <c r="GF42" i="2" a="1"/>
  <c r="GF42" i="2" s="1"/>
  <c r="GF26" i="2" a="1"/>
  <c r="GF26" i="2" s="1"/>
  <c r="GF34" i="2" a="1"/>
  <c r="GF34" i="2" s="1"/>
  <c r="GF35" i="2" a="1"/>
  <c r="GF35" i="2" s="1"/>
  <c r="GF37" i="2" a="1"/>
  <c r="GF37" i="2" s="1"/>
  <c r="GF39" i="2" a="1"/>
  <c r="GF39" i="2" s="1"/>
  <c r="GF43" i="2" a="1"/>
  <c r="GF43" i="2" s="1"/>
  <c r="GF48" i="2" a="1"/>
  <c r="GF48" i="2" s="1"/>
  <c r="GF52" i="2" a="1"/>
  <c r="GF52" i="2" s="1"/>
  <c r="GF49" i="2" a="1"/>
  <c r="GF49" i="2" s="1"/>
  <c r="GF53" i="2" a="1"/>
  <c r="GF53" i="2" s="1"/>
  <c r="GF45" i="2" a="1"/>
  <c r="GF45" i="2" s="1"/>
  <c r="GF46" i="2" a="1"/>
  <c r="GF46" i="2" s="1"/>
  <c r="CW1" i="2"/>
  <c r="DA1" i="2"/>
  <c r="DE1" i="2"/>
  <c r="CT1" i="2"/>
  <c r="CX1" i="2"/>
  <c r="DB1" i="2"/>
  <c r="CU1" i="2"/>
  <c r="CY1" i="2"/>
  <c r="DC1" i="2"/>
  <c r="CV1" i="2"/>
  <c r="CZ1" i="2"/>
  <c r="DD1" i="2"/>
  <c r="GB9" i="2" l="1"/>
  <c r="GB5" i="2"/>
  <c r="GB8" i="2"/>
  <c r="GB4" i="2"/>
  <c r="CG120" i="2"/>
  <c r="GO10" i="2" s="1"/>
  <c r="AV120" i="2"/>
  <c r="GN7" i="2" s="1"/>
  <c r="L120" i="2"/>
  <c r="GN4" i="2" s="1"/>
  <c r="M120" i="2"/>
  <c r="GO4" i="2" s="1"/>
  <c r="DC99" i="2" a="1"/>
  <c r="DC99" i="2" s="1"/>
  <c r="DC103" i="2" a="1"/>
  <c r="DC103" i="2" s="1"/>
  <c r="DC102" i="2" a="1"/>
  <c r="DC102" i="2" s="1"/>
  <c r="DC101" i="2" a="1"/>
  <c r="DC101" i="2" s="1"/>
  <c r="DC100" i="2" a="1"/>
  <c r="DC100" i="2" s="1"/>
  <c r="DC98" i="2" a="1"/>
  <c r="DC98" i="2" s="1"/>
  <c r="DC96" i="2" a="1"/>
  <c r="DC96" i="2" s="1"/>
  <c r="DC97" i="2" a="1"/>
  <c r="DC97" i="2" s="1"/>
  <c r="DC95" i="2" a="1"/>
  <c r="DC95" i="2" s="1"/>
  <c r="DC92" i="2" a="1"/>
  <c r="DC92" i="2" s="1"/>
  <c r="DC94" i="2" a="1"/>
  <c r="DC94" i="2" s="1"/>
  <c r="DC93" i="2" a="1"/>
  <c r="DC93" i="2" s="1"/>
  <c r="DC90" i="2" a="1"/>
  <c r="DC90" i="2" s="1"/>
  <c r="DC89" i="2" a="1"/>
  <c r="DC89" i="2" s="1"/>
  <c r="DC91" i="2" a="1"/>
  <c r="DC91" i="2" s="1"/>
  <c r="DC88" i="2" a="1"/>
  <c r="DC88" i="2" s="1"/>
  <c r="DC86" i="2" a="1"/>
  <c r="DC86" i="2" s="1"/>
  <c r="DC85" i="2" a="1"/>
  <c r="DC85" i="2" s="1"/>
  <c r="DC84" i="2" a="1"/>
  <c r="DC84" i="2" s="1"/>
  <c r="DC87" i="2" a="1"/>
  <c r="DC87" i="2" s="1"/>
  <c r="DC83" i="2" a="1"/>
  <c r="DC83" i="2" s="1"/>
  <c r="DC82" i="2" a="1"/>
  <c r="DC82" i="2" s="1"/>
  <c r="DC81" i="2" a="1"/>
  <c r="DC81" i="2" s="1"/>
  <c r="DC80" i="2" a="1"/>
  <c r="DC80" i="2" s="1"/>
  <c r="DC79" i="2" a="1"/>
  <c r="DC79" i="2" s="1"/>
  <c r="DC77" i="2" a="1"/>
  <c r="DC77" i="2" s="1"/>
  <c r="DC76" i="2" a="1"/>
  <c r="DC76" i="2" s="1"/>
  <c r="DC78" i="2" a="1"/>
  <c r="DC78" i="2" s="1"/>
  <c r="DC72" i="2" a="1"/>
  <c r="DC72" i="2" s="1"/>
  <c r="DC74" i="2" a="1"/>
  <c r="DC74" i="2" s="1"/>
  <c r="DC73" i="2" a="1"/>
  <c r="DC73" i="2" s="1"/>
  <c r="DC75" i="2" a="1"/>
  <c r="DC75" i="2" s="1"/>
  <c r="DC70" i="2" a="1"/>
  <c r="DC70" i="2" s="1"/>
  <c r="DC71" i="2" a="1"/>
  <c r="DC71" i="2" s="1"/>
  <c r="DC69" i="2" a="1"/>
  <c r="DC69" i="2" s="1"/>
  <c r="DC68" i="2" a="1"/>
  <c r="DC68" i="2" s="1"/>
  <c r="DC64" i="2" a="1"/>
  <c r="DC64" i="2" s="1"/>
  <c r="DC66" i="2" a="1"/>
  <c r="DC66" i="2" s="1"/>
  <c r="DC67" i="2" a="1"/>
  <c r="DC67" i="2" s="1"/>
  <c r="DC65" i="2" a="1"/>
  <c r="DC65" i="2" s="1"/>
  <c r="DC62" i="2" a="1"/>
  <c r="DC62" i="2" s="1"/>
  <c r="DC63" i="2" a="1"/>
  <c r="DC63" i="2" s="1"/>
  <c r="DC61" i="2" a="1"/>
  <c r="DC61" i="2" s="1"/>
  <c r="DC60" i="2" a="1"/>
  <c r="DC60" i="2" s="1"/>
  <c r="DC59" i="2" a="1"/>
  <c r="DC59" i="2" s="1"/>
  <c r="DC56" i="2" a="1"/>
  <c r="DC56" i="2" s="1"/>
  <c r="DC58" i="2" a="1"/>
  <c r="DC58" i="2" s="1"/>
  <c r="DC57" i="2" a="1"/>
  <c r="DC57" i="2" s="1"/>
  <c r="DC55" i="2" a="1"/>
  <c r="DC55" i="2" s="1"/>
  <c r="DC51" i="2" a="1"/>
  <c r="DC51" i="2" s="1"/>
  <c r="DC50" i="2" a="1"/>
  <c r="DC50" i="2" s="1"/>
  <c r="DC52" i="2" a="1"/>
  <c r="DC52" i="2" s="1"/>
  <c r="DC49" i="2" a="1"/>
  <c r="DC49" i="2" s="1"/>
  <c r="DC54" i="2" a="1"/>
  <c r="DC54" i="2" s="1"/>
  <c r="DC53" i="2" a="1"/>
  <c r="DC53" i="2" s="1"/>
  <c r="DC48" i="2" a="1"/>
  <c r="DC48" i="2" s="1"/>
  <c r="DC41" i="2" a="1"/>
  <c r="DC41" i="2" s="1"/>
  <c r="DC44" i="2" a="1"/>
  <c r="DC44" i="2" s="1"/>
  <c r="DC43" i="2" a="1"/>
  <c r="DC43" i="2" s="1"/>
  <c r="DC46" i="2" a="1"/>
  <c r="DC46" i="2" s="1"/>
  <c r="DC45" i="2" a="1"/>
  <c r="DC45" i="2" s="1"/>
  <c r="DC42" i="2" a="1"/>
  <c r="DC42" i="2" s="1"/>
  <c r="DC47" i="2" a="1"/>
  <c r="DC47" i="2" s="1"/>
  <c r="DC35" i="2" a="1"/>
  <c r="DC35" i="2" s="1"/>
  <c r="DC38" i="2" a="1"/>
  <c r="DC38" i="2" s="1"/>
  <c r="DC40" i="2" a="1"/>
  <c r="DC40" i="2" s="1"/>
  <c r="DC37" i="2" a="1"/>
  <c r="DC37" i="2" s="1"/>
  <c r="DC33" i="2" a="1"/>
  <c r="DC33" i="2" s="1"/>
  <c r="DC36" i="2" a="1"/>
  <c r="DC36" i="2" s="1"/>
  <c r="DC34" i="2" a="1"/>
  <c r="DC34" i="2" s="1"/>
  <c r="DC39" i="2" a="1"/>
  <c r="DC39" i="2" s="1"/>
  <c r="DC31" i="2" a="1"/>
  <c r="DC31" i="2" s="1"/>
  <c r="DC30" i="2" a="1"/>
  <c r="DC30" i="2" s="1"/>
  <c r="DC29" i="2" a="1"/>
  <c r="DC29" i="2" s="1"/>
  <c r="DC25" i="2" a="1"/>
  <c r="DC25" i="2" s="1"/>
  <c r="DC28" i="2" a="1"/>
  <c r="DC28" i="2" s="1"/>
  <c r="DC32" i="2" a="1"/>
  <c r="DC32" i="2" s="1"/>
  <c r="DC27" i="2" a="1"/>
  <c r="DC27" i="2" s="1"/>
  <c r="DC26" i="2" a="1"/>
  <c r="DC26" i="2" s="1"/>
  <c r="DC17" i="2" a="1"/>
  <c r="DC17" i="2" s="1"/>
  <c r="DC24" i="2" a="1"/>
  <c r="DC24" i="2" s="1"/>
  <c r="DC23" i="2" a="1"/>
  <c r="DC23" i="2" s="1"/>
  <c r="DC22" i="2" a="1"/>
  <c r="DC22" i="2" s="1"/>
  <c r="DC21" i="2" a="1"/>
  <c r="DC21" i="2" s="1"/>
  <c r="DC20" i="2" a="1"/>
  <c r="DC20" i="2" s="1"/>
  <c r="DC19" i="2" a="1"/>
  <c r="DC19" i="2" s="1"/>
  <c r="DC18" i="2" a="1"/>
  <c r="DC18" i="2" s="1"/>
  <c r="DC16" i="2" a="1"/>
  <c r="DC16" i="2" s="1"/>
  <c r="DC15" i="2" a="1"/>
  <c r="DC15" i="2" s="1"/>
  <c r="DC12" i="2" a="1"/>
  <c r="DC12" i="2" s="1"/>
  <c r="DC8" i="2" a="1"/>
  <c r="DC8" i="2" s="1"/>
  <c r="DC11" i="2" a="1"/>
  <c r="DC11" i="2" s="1"/>
  <c r="DC10" i="2" a="1"/>
  <c r="DC10" i="2" s="1"/>
  <c r="DC9" i="2" a="1"/>
  <c r="DC9" i="2" s="1"/>
  <c r="DC14" i="2" a="1"/>
  <c r="DC14" i="2" s="1"/>
  <c r="DC13" i="2" a="1"/>
  <c r="DC13" i="2" s="1"/>
  <c r="DC6" i="2" a="1"/>
  <c r="DC6" i="2" s="1"/>
  <c r="DC4" i="2" a="1"/>
  <c r="DC4" i="2" s="1"/>
  <c r="DC5" i="2" a="1"/>
  <c r="DC5" i="2" s="1"/>
  <c r="DC7" i="2" a="1"/>
  <c r="DC7" i="2" s="1"/>
  <c r="CE120" i="2"/>
  <c r="GM10" i="2" s="1"/>
  <c r="AW120" i="2"/>
  <c r="GO7" i="2" s="1"/>
  <c r="CU103" i="2" a="1"/>
  <c r="CU103" i="2" s="1"/>
  <c r="CU102" i="2" a="1"/>
  <c r="CU102" i="2" s="1"/>
  <c r="CU101" i="2" a="1"/>
  <c r="CU101" i="2" s="1"/>
  <c r="CU100" i="2" a="1"/>
  <c r="CU100" i="2" s="1"/>
  <c r="CU99" i="2" a="1"/>
  <c r="CU99" i="2" s="1"/>
  <c r="CU95" i="2" a="1"/>
  <c r="CU95" i="2" s="1"/>
  <c r="CU98" i="2" a="1"/>
  <c r="CU98" i="2" s="1"/>
  <c r="CU97" i="2" a="1"/>
  <c r="CU97" i="2" s="1"/>
  <c r="CU96" i="2" a="1"/>
  <c r="CU96" i="2" s="1"/>
  <c r="CU94" i="2" a="1"/>
  <c r="CU94" i="2" s="1"/>
  <c r="CU93" i="2" a="1"/>
  <c r="CU93" i="2" s="1"/>
  <c r="CU92" i="2" a="1"/>
  <c r="CU92" i="2" s="1"/>
  <c r="CU90" i="2" a="1"/>
  <c r="CU90" i="2" s="1"/>
  <c r="CU89" i="2" a="1"/>
  <c r="CU89" i="2" s="1"/>
  <c r="CU91" i="2" a="1"/>
  <c r="CU91" i="2" s="1"/>
  <c r="CU88" i="2" a="1"/>
  <c r="CU88" i="2" s="1"/>
  <c r="CU84" i="2" a="1"/>
  <c r="CU84" i="2" s="1"/>
  <c r="CU87" i="2" a="1"/>
  <c r="CU87" i="2" s="1"/>
  <c r="CU85" i="2" a="1"/>
  <c r="CU85" i="2" s="1"/>
  <c r="CU86" i="2" a="1"/>
  <c r="CU86" i="2" s="1"/>
  <c r="CU83" i="2" a="1"/>
  <c r="CU83" i="2" s="1"/>
  <c r="CU82" i="2" a="1"/>
  <c r="CU82" i="2" s="1"/>
  <c r="CU81" i="2" a="1"/>
  <c r="CU81" i="2" s="1"/>
  <c r="CU80" i="2" a="1"/>
  <c r="CU80" i="2" s="1"/>
  <c r="CU79" i="2" a="1"/>
  <c r="CU79" i="2" s="1"/>
  <c r="CU77" i="2" a="1"/>
  <c r="CU77" i="2" s="1"/>
  <c r="CU78" i="2" a="1"/>
  <c r="CU78" i="2" s="1"/>
  <c r="CU76" i="2" a="1"/>
  <c r="CU76" i="2" s="1"/>
  <c r="CU73" i="2" a="1"/>
  <c r="CU73" i="2" s="1"/>
  <c r="CU75" i="2" a="1"/>
  <c r="CU75" i="2" s="1"/>
  <c r="CU74" i="2" a="1"/>
  <c r="CU74" i="2" s="1"/>
  <c r="CU72" i="2" a="1"/>
  <c r="CU72" i="2" s="1"/>
  <c r="CU70" i="2" a="1"/>
  <c r="CU70" i="2" s="1"/>
  <c r="CU71" i="2" a="1"/>
  <c r="CU71" i="2" s="1"/>
  <c r="CU69" i="2" a="1"/>
  <c r="CU69" i="2" s="1"/>
  <c r="CU68" i="2" a="1"/>
  <c r="CU68" i="2" s="1"/>
  <c r="CU64" i="2" a="1"/>
  <c r="CU64" i="2" s="1"/>
  <c r="CU66" i="2" a="1"/>
  <c r="CU66" i="2" s="1"/>
  <c r="CU67" i="2" a="1"/>
  <c r="CU67" i="2" s="1"/>
  <c r="CU65" i="2" a="1"/>
  <c r="CU65" i="2" s="1"/>
  <c r="CU61" i="2" a="1"/>
  <c r="CU61" i="2" s="1"/>
  <c r="CU60" i="2" a="1"/>
  <c r="CU60" i="2" s="1"/>
  <c r="CU59" i="2" a="1"/>
  <c r="CU59" i="2" s="1"/>
  <c r="CU63" i="2" a="1"/>
  <c r="CU63" i="2" s="1"/>
  <c r="CU62" i="2" a="1"/>
  <c r="CU62" i="2" s="1"/>
  <c r="CU58" i="2" a="1"/>
  <c r="CU58" i="2" s="1"/>
  <c r="CU57" i="2" a="1"/>
  <c r="CU57" i="2" s="1"/>
  <c r="CU51" i="2" a="1"/>
  <c r="CU51" i="2" s="1"/>
  <c r="CU50" i="2" a="1"/>
  <c r="CU50" i="2" s="1"/>
  <c r="CU52" i="2" a="1"/>
  <c r="CU52" i="2" s="1"/>
  <c r="CU49" i="2" a="1"/>
  <c r="CU49" i="2" s="1"/>
  <c r="CU48" i="2" a="1"/>
  <c r="CU48" i="2" s="1"/>
  <c r="CU54" i="2" a="1"/>
  <c r="CU54" i="2" s="1"/>
  <c r="CU53" i="2" a="1"/>
  <c r="CU53" i="2" s="1"/>
  <c r="CU56" i="2" a="1"/>
  <c r="CU56" i="2" s="1"/>
  <c r="CU55" i="2" a="1"/>
  <c r="CU55" i="2" s="1"/>
  <c r="CU44" i="2" a="1"/>
  <c r="CU44" i="2" s="1"/>
  <c r="CU43" i="2" a="1"/>
  <c r="CU43" i="2" s="1"/>
  <c r="CU46" i="2" a="1"/>
  <c r="CU46" i="2" s="1"/>
  <c r="CU42" i="2" a="1"/>
  <c r="CU42" i="2" s="1"/>
  <c r="CU45" i="2" a="1"/>
  <c r="CU45" i="2" s="1"/>
  <c r="CU47" i="2" a="1"/>
  <c r="CU47" i="2" s="1"/>
  <c r="CU41" i="2" a="1"/>
  <c r="CU41" i="2" s="1"/>
  <c r="CU38" i="2" a="1"/>
  <c r="CU38" i="2" s="1"/>
  <c r="CU37" i="2" a="1"/>
  <c r="CU37" i="2" s="1"/>
  <c r="CU33" i="2" a="1"/>
  <c r="CU33" i="2" s="1"/>
  <c r="CU39" i="2" a="1"/>
  <c r="CU39" i="2" s="1"/>
  <c r="CU36" i="2" a="1"/>
  <c r="CU36" i="2" s="1"/>
  <c r="CU34" i="2" a="1"/>
  <c r="CU34" i="2" s="1"/>
  <c r="CU40" i="2" a="1"/>
  <c r="CU40" i="2" s="1"/>
  <c r="CU35" i="2" a="1"/>
  <c r="CU35" i="2" s="1"/>
  <c r="CU25" i="2" a="1"/>
  <c r="CU25" i="2" s="1"/>
  <c r="CU29" i="2" a="1"/>
  <c r="CU29" i="2" s="1"/>
  <c r="CU28" i="2" a="1"/>
  <c r="CU28" i="2" s="1"/>
  <c r="CU32" i="2" a="1"/>
  <c r="CU32" i="2" s="1"/>
  <c r="CU27" i="2" a="1"/>
  <c r="CU27" i="2" s="1"/>
  <c r="CU26" i="2" a="1"/>
  <c r="CU26" i="2" s="1"/>
  <c r="CU30" i="2" a="1"/>
  <c r="CU30" i="2" s="1"/>
  <c r="CU31" i="2" a="1"/>
  <c r="CU31" i="2" s="1"/>
  <c r="CU24" i="2" a="1"/>
  <c r="CU24" i="2" s="1"/>
  <c r="CU23" i="2" a="1"/>
  <c r="CU23" i="2" s="1"/>
  <c r="CU22" i="2" a="1"/>
  <c r="CU22" i="2" s="1"/>
  <c r="CU21" i="2" a="1"/>
  <c r="CU21" i="2" s="1"/>
  <c r="CU20" i="2" a="1"/>
  <c r="CU20" i="2" s="1"/>
  <c r="CU19" i="2" a="1"/>
  <c r="CU19" i="2" s="1"/>
  <c r="CU18" i="2" a="1"/>
  <c r="CU18" i="2" s="1"/>
  <c r="CU16" i="2" a="1"/>
  <c r="CU16" i="2" s="1"/>
  <c r="CU17" i="2" a="1"/>
  <c r="CU17" i="2" s="1"/>
  <c r="CU13" i="2" a="1"/>
  <c r="CU13" i="2" s="1"/>
  <c r="CU8" i="2" a="1"/>
  <c r="CU8" i="2" s="1"/>
  <c r="CU12" i="2" a="1"/>
  <c r="CU12" i="2" s="1"/>
  <c r="CU15" i="2" a="1"/>
  <c r="CU15" i="2" s="1"/>
  <c r="CU11" i="2" a="1"/>
  <c r="CU11" i="2" s="1"/>
  <c r="CU10" i="2" a="1"/>
  <c r="CU10" i="2" s="1"/>
  <c r="CU9" i="2" a="1"/>
  <c r="CU9" i="2" s="1"/>
  <c r="CU14" i="2" a="1"/>
  <c r="CU14" i="2" s="1"/>
  <c r="CU6" i="2" a="1"/>
  <c r="CU6" i="2" s="1"/>
  <c r="CU4" i="2" a="1"/>
  <c r="CU4" i="2" s="1"/>
  <c r="CU7" i="2" a="1"/>
  <c r="CU7" i="2" s="1"/>
  <c r="CU5" i="2" a="1"/>
  <c r="CU5" i="2" s="1"/>
  <c r="CF120" i="2"/>
  <c r="GN10" i="2" s="1"/>
  <c r="AU120" i="2"/>
  <c r="GM7" i="2" s="1"/>
  <c r="GQ7" i="2" s="1"/>
  <c r="K120" i="2"/>
  <c r="GM4" i="2" s="1"/>
  <c r="GQ4" i="2" s="1"/>
  <c r="CS120" i="2"/>
  <c r="GO11" i="2" s="1"/>
  <c r="AI120" i="2"/>
  <c r="GM6" i="2" s="1"/>
  <c r="CQ120" i="2"/>
  <c r="GM11" i="2" s="1"/>
  <c r="CY103" i="2" a="1"/>
  <c r="CY103" i="2" s="1"/>
  <c r="CY102" i="2" a="1"/>
  <c r="CY102" i="2" s="1"/>
  <c r="CY101" i="2" a="1"/>
  <c r="CY101" i="2" s="1"/>
  <c r="CY100" i="2" a="1"/>
  <c r="CY100" i="2" s="1"/>
  <c r="CY99" i="2" a="1"/>
  <c r="CY99" i="2" s="1"/>
  <c r="CY98" i="2" a="1"/>
  <c r="CY98" i="2" s="1"/>
  <c r="CY97" i="2" a="1"/>
  <c r="CY97" i="2" s="1"/>
  <c r="CY96" i="2" a="1"/>
  <c r="CY96" i="2" s="1"/>
  <c r="CY94" i="2" a="1"/>
  <c r="CY94" i="2" s="1"/>
  <c r="CY93" i="2" a="1"/>
  <c r="CY93" i="2" s="1"/>
  <c r="CY92" i="2" a="1"/>
  <c r="CY92" i="2" s="1"/>
  <c r="CY95" i="2" a="1"/>
  <c r="CY95" i="2" s="1"/>
  <c r="CY91" i="2" a="1"/>
  <c r="CY91" i="2" s="1"/>
  <c r="CY88" i="2" a="1"/>
  <c r="CY88" i="2" s="1"/>
  <c r="CY90" i="2" a="1"/>
  <c r="CY90" i="2" s="1"/>
  <c r="CY89" i="2" a="1"/>
  <c r="CY89" i="2" s="1"/>
  <c r="CY87" i="2" a="1"/>
  <c r="CY87" i="2" s="1"/>
  <c r="CY85" i="2" a="1"/>
  <c r="CY85" i="2" s="1"/>
  <c r="CY84" i="2" a="1"/>
  <c r="CY84" i="2" s="1"/>
  <c r="CY86" i="2" a="1"/>
  <c r="CY86" i="2" s="1"/>
  <c r="CY82" i="2" a="1"/>
  <c r="CY82" i="2" s="1"/>
  <c r="CY81" i="2" a="1"/>
  <c r="CY81" i="2" s="1"/>
  <c r="CY80" i="2" a="1"/>
  <c r="CY80" i="2" s="1"/>
  <c r="CY83" i="2" a="1"/>
  <c r="CY83" i="2" s="1"/>
  <c r="CY79" i="2" a="1"/>
  <c r="CY79" i="2" s="1"/>
  <c r="CY77" i="2" a="1"/>
  <c r="CY77" i="2" s="1"/>
  <c r="CY76" i="2" a="1"/>
  <c r="CY76" i="2" s="1"/>
  <c r="CY78" i="2" a="1"/>
  <c r="CY78" i="2" s="1"/>
  <c r="CY75" i="2" a="1"/>
  <c r="CY75" i="2" s="1"/>
  <c r="CY72" i="2" a="1"/>
  <c r="CY72" i="2" s="1"/>
  <c r="CY74" i="2" a="1"/>
  <c r="CY74" i="2" s="1"/>
  <c r="CY73" i="2" a="1"/>
  <c r="CY73" i="2" s="1"/>
  <c r="CY69" i="2" a="1"/>
  <c r="CY69" i="2" s="1"/>
  <c r="CY68" i="2" a="1"/>
  <c r="CY68" i="2" s="1"/>
  <c r="CY70" i="2" a="1"/>
  <c r="CY70" i="2" s="1"/>
  <c r="CY71" i="2" a="1"/>
  <c r="CY71" i="2" s="1"/>
  <c r="CY65" i="2" a="1"/>
  <c r="CY65" i="2" s="1"/>
  <c r="CY64" i="2" a="1"/>
  <c r="CY64" i="2" s="1"/>
  <c r="CY66" i="2" a="1"/>
  <c r="CY66" i="2" s="1"/>
  <c r="CY67" i="2" a="1"/>
  <c r="CY67" i="2" s="1"/>
  <c r="CY63" i="2" a="1"/>
  <c r="CY63" i="2" s="1"/>
  <c r="CY62" i="2" a="1"/>
  <c r="CY62" i="2" s="1"/>
  <c r="CY61" i="2" a="1"/>
  <c r="CY61" i="2" s="1"/>
  <c r="CY57" i="2" a="1"/>
  <c r="CY57" i="2" s="1"/>
  <c r="CY60" i="2" a="1"/>
  <c r="CY60" i="2" s="1"/>
  <c r="CY56" i="2" a="1"/>
  <c r="CY56" i="2" s="1"/>
  <c r="CY58" i="2" a="1"/>
  <c r="CY58" i="2" s="1"/>
  <c r="CY59" i="2" a="1"/>
  <c r="CY59" i="2" s="1"/>
  <c r="CY53" i="2" a="1"/>
  <c r="CY53" i="2" s="1"/>
  <c r="CY54" i="2" a="1"/>
  <c r="CY54" i="2" s="1"/>
  <c r="CY48" i="2" a="1"/>
  <c r="CY48" i="2" s="1"/>
  <c r="CY55" i="2" a="1"/>
  <c r="CY55" i="2" s="1"/>
  <c r="CY51" i="2" a="1"/>
  <c r="CY51" i="2" s="1"/>
  <c r="CY50" i="2" a="1"/>
  <c r="CY50" i="2" s="1"/>
  <c r="CY49" i="2" a="1"/>
  <c r="CY49" i="2" s="1"/>
  <c r="CY52" i="2" a="1"/>
  <c r="CY52" i="2" s="1"/>
  <c r="CY45" i="2" a="1"/>
  <c r="CY45" i="2" s="1"/>
  <c r="CY42" i="2" a="1"/>
  <c r="CY42" i="2" s="1"/>
  <c r="CY47" i="2" a="1"/>
  <c r="CY47" i="2" s="1"/>
  <c r="CY41" i="2" a="1"/>
  <c r="CY41" i="2" s="1"/>
  <c r="CY40" i="2" a="1"/>
  <c r="CY40" i="2" s="1"/>
  <c r="CY44" i="2" a="1"/>
  <c r="CY44" i="2" s="1"/>
  <c r="CY43" i="2" a="1"/>
  <c r="CY43" i="2" s="1"/>
  <c r="CY46" i="2" a="1"/>
  <c r="CY46" i="2" s="1"/>
  <c r="CY36" i="2" a="1"/>
  <c r="CY36" i="2" s="1"/>
  <c r="CY34" i="2" a="1"/>
  <c r="CY34" i="2" s="1"/>
  <c r="CY39" i="2" a="1"/>
  <c r="CY39" i="2" s="1"/>
  <c r="CY35" i="2" a="1"/>
  <c r="CY35" i="2" s="1"/>
  <c r="CY38" i="2" a="1"/>
  <c r="CY38" i="2" s="1"/>
  <c r="CY33" i="2" a="1"/>
  <c r="CY33" i="2" s="1"/>
  <c r="CY37" i="2" a="1"/>
  <c r="CY37" i="2" s="1"/>
  <c r="CY32" i="2" a="1"/>
  <c r="CY32" i="2" s="1"/>
  <c r="CY27" i="2" a="1"/>
  <c r="CY27" i="2" s="1"/>
  <c r="CY26" i="2" a="1"/>
  <c r="CY26" i="2" s="1"/>
  <c r="CY31" i="2" a="1"/>
  <c r="CY31" i="2" s="1"/>
  <c r="CY30" i="2" a="1"/>
  <c r="CY30" i="2" s="1"/>
  <c r="CY29" i="2" a="1"/>
  <c r="CY29" i="2" s="1"/>
  <c r="CY25" i="2" a="1"/>
  <c r="CY25" i="2" s="1"/>
  <c r="CY28" i="2" a="1"/>
  <c r="CY28" i="2" s="1"/>
  <c r="CY15" i="2" a="1"/>
  <c r="CY15" i="2" s="1"/>
  <c r="CY17" i="2" a="1"/>
  <c r="CY17" i="2" s="1"/>
  <c r="CY24" i="2" a="1"/>
  <c r="CY24" i="2" s="1"/>
  <c r="CY23" i="2" a="1"/>
  <c r="CY23" i="2" s="1"/>
  <c r="CY22" i="2" a="1"/>
  <c r="CY22" i="2" s="1"/>
  <c r="CY21" i="2" a="1"/>
  <c r="CY21" i="2" s="1"/>
  <c r="CY20" i="2" a="1"/>
  <c r="CY20" i="2" s="1"/>
  <c r="CY19" i="2" a="1"/>
  <c r="CY19" i="2" s="1"/>
  <c r="CY18" i="2" a="1"/>
  <c r="CY18" i="2" s="1"/>
  <c r="CY16" i="2" a="1"/>
  <c r="CY16" i="2" s="1"/>
  <c r="CY14" i="2" a="1"/>
  <c r="CY14" i="2" s="1"/>
  <c r="CY10" i="2" a="1"/>
  <c r="CY10" i="2" s="1"/>
  <c r="CY13" i="2" a="1"/>
  <c r="CY13" i="2" s="1"/>
  <c r="CY12" i="2" a="1"/>
  <c r="CY12" i="2" s="1"/>
  <c r="CY8" i="2" a="1"/>
  <c r="CY8" i="2" s="1"/>
  <c r="CY11" i="2" a="1"/>
  <c r="CY11" i="2" s="1"/>
  <c r="CY9" i="2" a="1"/>
  <c r="CY9" i="2" s="1"/>
  <c r="CY7" i="2" a="1"/>
  <c r="CY7" i="2" s="1"/>
  <c r="CY5" i="2" a="1"/>
  <c r="CY5" i="2" s="1"/>
  <c r="CY6" i="2" a="1"/>
  <c r="CY6" i="2" s="1"/>
  <c r="CY4" i="2" a="1"/>
  <c r="CY4" i="2" s="1"/>
  <c r="BT120" i="2"/>
  <c r="GN9" i="2" s="1"/>
  <c r="BU120" i="2"/>
  <c r="GO9" i="2" s="1"/>
  <c r="AK120" i="2"/>
  <c r="GO6" i="2" s="1"/>
  <c r="CZ100" i="2" a="1"/>
  <c r="CZ100" i="2" s="1"/>
  <c r="CZ99" i="2" a="1"/>
  <c r="CZ99" i="2" s="1"/>
  <c r="CZ103" i="2" a="1"/>
  <c r="CZ103" i="2" s="1"/>
  <c r="CZ102" i="2" a="1"/>
  <c r="CZ102" i="2" s="1"/>
  <c r="CZ101" i="2" a="1"/>
  <c r="CZ101" i="2" s="1"/>
  <c r="CZ98" i="2" a="1"/>
  <c r="CZ98" i="2" s="1"/>
  <c r="CZ97" i="2" a="1"/>
  <c r="CZ97" i="2" s="1"/>
  <c r="CZ96" i="2" a="1"/>
  <c r="CZ96" i="2" s="1"/>
  <c r="CZ93" i="2" a="1"/>
  <c r="CZ93" i="2" s="1"/>
  <c r="CZ92" i="2" a="1"/>
  <c r="CZ92" i="2" s="1"/>
  <c r="CZ95" i="2" a="1"/>
  <c r="CZ95" i="2" s="1"/>
  <c r="CZ94" i="2" a="1"/>
  <c r="CZ94" i="2" s="1"/>
  <c r="CZ88" i="2" a="1"/>
  <c r="CZ88" i="2" s="1"/>
  <c r="CZ90" i="2" a="1"/>
  <c r="CZ90" i="2" s="1"/>
  <c r="CZ89" i="2" a="1"/>
  <c r="CZ89" i="2" s="1"/>
  <c r="CZ91" i="2" a="1"/>
  <c r="CZ91" i="2" s="1"/>
  <c r="CZ85" i="2" a="1"/>
  <c r="CZ85" i="2" s="1"/>
  <c r="CZ87" i="2" a="1"/>
  <c r="CZ87" i="2" s="1"/>
  <c r="CZ84" i="2" a="1"/>
  <c r="CZ84" i="2" s="1"/>
  <c r="CZ86" i="2" a="1"/>
  <c r="CZ86" i="2" s="1"/>
  <c r="CZ82" i="2" a="1"/>
  <c r="CZ82" i="2" s="1"/>
  <c r="CZ81" i="2" a="1"/>
  <c r="CZ81" i="2" s="1"/>
  <c r="CZ80" i="2" a="1"/>
  <c r="CZ80" i="2" s="1"/>
  <c r="CZ83" i="2" a="1"/>
  <c r="CZ83" i="2" s="1"/>
  <c r="CZ79" i="2" a="1"/>
  <c r="CZ79" i="2" s="1"/>
  <c r="CZ76" i="2" a="1"/>
  <c r="CZ76" i="2" s="1"/>
  <c r="CZ77" i="2" a="1"/>
  <c r="CZ77" i="2" s="1"/>
  <c r="CZ78" i="2" a="1"/>
  <c r="CZ78" i="2" s="1"/>
  <c r="CZ75" i="2" a="1"/>
  <c r="CZ75" i="2" s="1"/>
  <c r="CZ72" i="2" a="1"/>
  <c r="CZ72" i="2" s="1"/>
  <c r="CZ74" i="2" a="1"/>
  <c r="CZ74" i="2" s="1"/>
  <c r="CZ73" i="2" a="1"/>
  <c r="CZ73" i="2" s="1"/>
  <c r="CZ69" i="2" a="1"/>
  <c r="CZ69" i="2" s="1"/>
  <c r="CZ68" i="2" a="1"/>
  <c r="CZ68" i="2" s="1"/>
  <c r="CZ70" i="2" a="1"/>
  <c r="CZ70" i="2" s="1"/>
  <c r="CZ71" i="2" a="1"/>
  <c r="CZ71" i="2" s="1"/>
  <c r="CZ65" i="2" a="1"/>
  <c r="CZ65" i="2" s="1"/>
  <c r="CZ64" i="2" a="1"/>
  <c r="CZ64" i="2" s="1"/>
  <c r="CZ66" i="2" a="1"/>
  <c r="CZ66" i="2" s="1"/>
  <c r="CZ67" i="2" a="1"/>
  <c r="CZ67" i="2" s="1"/>
  <c r="CZ63" i="2" a="1"/>
  <c r="CZ63" i="2" s="1"/>
  <c r="CZ62" i="2" a="1"/>
  <c r="CZ62" i="2" s="1"/>
  <c r="CZ61" i="2" a="1"/>
  <c r="CZ61" i="2" s="1"/>
  <c r="CZ60" i="2" a="1"/>
  <c r="CZ60" i="2" s="1"/>
  <c r="CZ57" i="2" a="1"/>
  <c r="CZ57" i="2" s="1"/>
  <c r="CZ56" i="2" a="1"/>
  <c r="CZ56" i="2" s="1"/>
  <c r="CZ58" i="2" a="1"/>
  <c r="CZ58" i="2" s="1"/>
  <c r="CZ59" i="2" a="1"/>
  <c r="CZ59" i="2" s="1"/>
  <c r="CZ54" i="2" a="1"/>
  <c r="CZ54" i="2" s="1"/>
  <c r="CZ55" i="2" a="1"/>
  <c r="CZ55" i="2" s="1"/>
  <c r="CZ51" i="2" a="1"/>
  <c r="CZ51" i="2" s="1"/>
  <c r="CZ50" i="2" a="1"/>
  <c r="CZ50" i="2" s="1"/>
  <c r="CZ49" i="2" a="1"/>
  <c r="CZ49" i="2" s="1"/>
  <c r="CZ53" i="2" a="1"/>
  <c r="CZ53" i="2" s="1"/>
  <c r="CZ52" i="2" a="1"/>
  <c r="CZ52" i="2" s="1"/>
  <c r="CZ47" i="2" a="1"/>
  <c r="CZ47" i="2" s="1"/>
  <c r="CZ41" i="2" a="1"/>
  <c r="CZ41" i="2" s="1"/>
  <c r="CZ44" i="2" a="1"/>
  <c r="CZ44" i="2" s="1"/>
  <c r="CZ43" i="2" a="1"/>
  <c r="CZ43" i="2" s="1"/>
  <c r="CZ46" i="2" a="1"/>
  <c r="CZ46" i="2" s="1"/>
  <c r="CZ48" i="2" a="1"/>
  <c r="CZ48" i="2" s="1"/>
  <c r="CZ45" i="2" a="1"/>
  <c r="CZ45" i="2" s="1"/>
  <c r="CZ42" i="2" a="1"/>
  <c r="CZ42" i="2" s="1"/>
  <c r="CZ36" i="2" a="1"/>
  <c r="CZ36" i="2" s="1"/>
  <c r="CZ34" i="2" a="1"/>
  <c r="CZ34" i="2" s="1"/>
  <c r="CZ39" i="2" a="1"/>
  <c r="CZ39" i="2" s="1"/>
  <c r="CZ35" i="2" a="1"/>
  <c r="CZ35" i="2" s="1"/>
  <c r="CZ38" i="2" a="1"/>
  <c r="CZ38" i="2" s="1"/>
  <c r="CZ40" i="2" a="1"/>
  <c r="CZ40" i="2" s="1"/>
  <c r="CZ37" i="2" a="1"/>
  <c r="CZ37" i="2" s="1"/>
  <c r="CZ26" i="2" a="1"/>
  <c r="CZ26" i="2" s="1"/>
  <c r="CZ31" i="2" a="1"/>
  <c r="CZ31" i="2" s="1"/>
  <c r="CZ30" i="2" a="1"/>
  <c r="CZ30" i="2" s="1"/>
  <c r="CZ33" i="2" a="1"/>
  <c r="CZ33" i="2" s="1"/>
  <c r="CZ29" i="2" a="1"/>
  <c r="CZ29" i="2" s="1"/>
  <c r="CZ25" i="2" a="1"/>
  <c r="CZ25" i="2" s="1"/>
  <c r="CZ28" i="2" a="1"/>
  <c r="CZ28" i="2" s="1"/>
  <c r="CZ32" i="2" a="1"/>
  <c r="CZ32" i="2" s="1"/>
  <c r="CZ27" i="2" a="1"/>
  <c r="CZ27" i="2" s="1"/>
  <c r="CZ15" i="2" a="1"/>
  <c r="CZ15" i="2" s="1"/>
  <c r="CZ17" i="2" a="1"/>
  <c r="CZ17" i="2" s="1"/>
  <c r="CZ24" i="2" a="1"/>
  <c r="CZ24" i="2" s="1"/>
  <c r="CZ23" i="2" a="1"/>
  <c r="CZ23" i="2" s="1"/>
  <c r="CZ22" i="2" a="1"/>
  <c r="CZ22" i="2" s="1"/>
  <c r="CZ21" i="2" a="1"/>
  <c r="CZ21" i="2" s="1"/>
  <c r="CZ20" i="2" a="1"/>
  <c r="CZ20" i="2" s="1"/>
  <c r="CZ19" i="2" a="1"/>
  <c r="CZ19" i="2" s="1"/>
  <c r="CZ18" i="2" a="1"/>
  <c r="CZ18" i="2" s="1"/>
  <c r="CZ16" i="2" a="1"/>
  <c r="CZ16" i="2" s="1"/>
  <c r="CZ10" i="2" a="1"/>
  <c r="CZ10" i="2" s="1"/>
  <c r="CZ13" i="2" a="1"/>
  <c r="CZ13" i="2" s="1"/>
  <c r="CZ12" i="2" a="1"/>
  <c r="CZ12" i="2" s="1"/>
  <c r="CZ8" i="2" a="1"/>
  <c r="CZ8" i="2" s="1"/>
  <c r="CZ11" i="2" a="1"/>
  <c r="CZ11" i="2" s="1"/>
  <c r="CZ7" i="2" a="1"/>
  <c r="CZ7" i="2" s="1"/>
  <c r="CZ9" i="2" a="1"/>
  <c r="CZ9" i="2" s="1"/>
  <c r="CZ14" i="2" a="1"/>
  <c r="CZ14" i="2" s="1"/>
  <c r="CZ5" i="2" a="1"/>
  <c r="CZ5" i="2" s="1"/>
  <c r="CZ4" i="2" a="1"/>
  <c r="CZ4" i="2" s="1"/>
  <c r="CZ6" i="2" a="1"/>
  <c r="CZ6" i="2" s="1"/>
  <c r="CW103" i="2" a="1"/>
  <c r="CW103" i="2" s="1"/>
  <c r="CW102" i="2" a="1"/>
  <c r="CW102" i="2" s="1"/>
  <c r="CW101" i="2" a="1"/>
  <c r="CW101" i="2" s="1"/>
  <c r="CW100" i="2" a="1"/>
  <c r="CW100" i="2" s="1"/>
  <c r="CW99" i="2" a="1"/>
  <c r="CW99" i="2" s="1"/>
  <c r="CW98" i="2" a="1"/>
  <c r="CW98" i="2" s="1"/>
  <c r="CW97" i="2" a="1"/>
  <c r="CW97" i="2" s="1"/>
  <c r="CW96" i="2" a="1"/>
  <c r="CW96" i="2" s="1"/>
  <c r="CW95" i="2" a="1"/>
  <c r="CW95" i="2" s="1"/>
  <c r="CW94" i="2" a="1"/>
  <c r="CW94" i="2" s="1"/>
  <c r="CW93" i="2" a="1"/>
  <c r="CW93" i="2" s="1"/>
  <c r="CW92" i="2" a="1"/>
  <c r="CW92" i="2" s="1"/>
  <c r="CW89" i="2" a="1"/>
  <c r="CW89" i="2" s="1"/>
  <c r="CW91" i="2" a="1"/>
  <c r="CW91" i="2" s="1"/>
  <c r="CW88" i="2" a="1"/>
  <c r="CW88" i="2" s="1"/>
  <c r="CW90" i="2" a="1"/>
  <c r="CW90" i="2" s="1"/>
  <c r="CW84" i="2" a="1"/>
  <c r="CW84" i="2" s="1"/>
  <c r="CW87" i="2" a="1"/>
  <c r="CW87" i="2" s="1"/>
  <c r="CW85" i="2" a="1"/>
  <c r="CW85" i="2" s="1"/>
  <c r="CW86" i="2" a="1"/>
  <c r="CW86" i="2" s="1"/>
  <c r="CW83" i="2" a="1"/>
  <c r="CW83" i="2" s="1"/>
  <c r="CW82" i="2" a="1"/>
  <c r="CW82" i="2" s="1"/>
  <c r="CW81" i="2" a="1"/>
  <c r="CW81" i="2" s="1"/>
  <c r="CW80" i="2" a="1"/>
  <c r="CW80" i="2" s="1"/>
  <c r="CW78" i="2" a="1"/>
  <c r="CW78" i="2" s="1"/>
  <c r="CW76" i="2" a="1"/>
  <c r="CW76" i="2" s="1"/>
  <c r="CW79" i="2" a="1"/>
  <c r="CW79" i="2" s="1"/>
  <c r="CW77" i="2" a="1"/>
  <c r="CW77" i="2" s="1"/>
  <c r="CW75" i="2" a="1"/>
  <c r="CW75" i="2" s="1"/>
  <c r="CW72" i="2" a="1"/>
  <c r="CW72" i="2" s="1"/>
  <c r="CW74" i="2" a="1"/>
  <c r="CW74" i="2" s="1"/>
  <c r="CW73" i="2" a="1"/>
  <c r="CW73" i="2" s="1"/>
  <c r="CW70" i="2" a="1"/>
  <c r="CW70" i="2" s="1"/>
  <c r="CW71" i="2" a="1"/>
  <c r="CW71" i="2" s="1"/>
  <c r="CW69" i="2" a="1"/>
  <c r="CW69" i="2" s="1"/>
  <c r="CW68" i="2" a="1"/>
  <c r="CW68" i="2" s="1"/>
  <c r="CW66" i="2" a="1"/>
  <c r="CW66" i="2" s="1"/>
  <c r="CW63" i="2" a="1"/>
  <c r="CW63" i="2" s="1"/>
  <c r="CW67" i="2" a="1"/>
  <c r="CW67" i="2" s="1"/>
  <c r="CW65" i="2" a="1"/>
  <c r="CW65" i="2" s="1"/>
  <c r="CW64" i="2" a="1"/>
  <c r="CW64" i="2" s="1"/>
  <c r="CW60" i="2" a="1"/>
  <c r="CW60" i="2" s="1"/>
  <c r="CW62" i="2" a="1"/>
  <c r="CW62" i="2" s="1"/>
  <c r="CW61" i="2" a="1"/>
  <c r="CW61" i="2" s="1"/>
  <c r="CW58" i="2" a="1"/>
  <c r="CW58" i="2" s="1"/>
  <c r="CW59" i="2" a="1"/>
  <c r="CW59" i="2" s="1"/>
  <c r="CW57" i="2" a="1"/>
  <c r="CW57" i="2" s="1"/>
  <c r="CW56" i="2" a="1"/>
  <c r="CW56" i="2" s="1"/>
  <c r="CW52" i="2" a="1"/>
  <c r="CW52" i="2" s="1"/>
  <c r="CW49" i="2" a="1"/>
  <c r="CW49" i="2" s="1"/>
  <c r="CW53" i="2" a="1"/>
  <c r="CW53" i="2" s="1"/>
  <c r="CW48" i="2" a="1"/>
  <c r="CW48" i="2" s="1"/>
  <c r="CW54" i="2" a="1"/>
  <c r="CW54" i="2" s="1"/>
  <c r="CW55" i="2" a="1"/>
  <c r="CW55" i="2" s="1"/>
  <c r="CW51" i="2" a="1"/>
  <c r="CW51" i="2" s="1"/>
  <c r="CW50" i="2" a="1"/>
  <c r="CW50" i="2" s="1"/>
  <c r="CW46" i="2" a="1"/>
  <c r="CW46" i="2" s="1"/>
  <c r="CW43" i="2" a="1"/>
  <c r="CW43" i="2" s="1"/>
  <c r="CW42" i="2" a="1"/>
  <c r="CW42" i="2" s="1"/>
  <c r="CW45" i="2" a="1"/>
  <c r="CW45" i="2" s="1"/>
  <c r="CW47" i="2" a="1"/>
  <c r="CW47" i="2" s="1"/>
  <c r="CW41" i="2" a="1"/>
  <c r="CW41" i="2" s="1"/>
  <c r="CW40" i="2" a="1"/>
  <c r="CW40" i="2" s="1"/>
  <c r="CW44" i="2" a="1"/>
  <c r="CW44" i="2" s="1"/>
  <c r="CW37" i="2" a="1"/>
  <c r="CW37" i="2" s="1"/>
  <c r="CW36" i="2" a="1"/>
  <c r="CW36" i="2" s="1"/>
  <c r="CW34" i="2" a="1"/>
  <c r="CW34" i="2" s="1"/>
  <c r="CW39" i="2" a="1"/>
  <c r="CW39" i="2" s="1"/>
  <c r="CW35" i="2" a="1"/>
  <c r="CW35" i="2" s="1"/>
  <c r="CW38" i="2" a="1"/>
  <c r="CW38" i="2" s="1"/>
  <c r="CW28" i="2" a="1"/>
  <c r="CW28" i="2" s="1"/>
  <c r="CW32" i="2" a="1"/>
  <c r="CW32" i="2" s="1"/>
  <c r="CW27" i="2" a="1"/>
  <c r="CW27" i="2" s="1"/>
  <c r="CW26" i="2" a="1"/>
  <c r="CW26" i="2" s="1"/>
  <c r="CW33" i="2" a="1"/>
  <c r="CW33" i="2" s="1"/>
  <c r="CW31" i="2" a="1"/>
  <c r="CW31" i="2" s="1"/>
  <c r="CW30" i="2" a="1"/>
  <c r="CW30" i="2" s="1"/>
  <c r="CW29" i="2" a="1"/>
  <c r="CW29" i="2" s="1"/>
  <c r="CW25" i="2" a="1"/>
  <c r="CW25" i="2" s="1"/>
  <c r="CW16" i="2" a="1"/>
  <c r="CW16" i="2" s="1"/>
  <c r="CW17" i="2" a="1"/>
  <c r="CW17" i="2" s="1"/>
  <c r="CW24" i="2" a="1"/>
  <c r="CW24" i="2" s="1"/>
  <c r="CW23" i="2" a="1"/>
  <c r="CW23" i="2" s="1"/>
  <c r="CW22" i="2" a="1"/>
  <c r="CW22" i="2" s="1"/>
  <c r="CW21" i="2" a="1"/>
  <c r="CW21" i="2" s="1"/>
  <c r="CW20" i="2" a="1"/>
  <c r="CW20" i="2" s="1"/>
  <c r="CW19" i="2" a="1"/>
  <c r="CW19" i="2" s="1"/>
  <c r="CW18" i="2" a="1"/>
  <c r="CW18" i="2" s="1"/>
  <c r="CW15" i="2" a="1"/>
  <c r="CW15" i="2" s="1"/>
  <c r="CW11" i="2" a="1"/>
  <c r="CW11" i="2" s="1"/>
  <c r="CW9" i="2" a="1"/>
  <c r="CW9" i="2" s="1"/>
  <c r="CW10" i="2" a="1"/>
  <c r="CW10" i="2" s="1"/>
  <c r="CW14" i="2" a="1"/>
  <c r="CW14" i="2" s="1"/>
  <c r="CW13" i="2" a="1"/>
  <c r="CW13" i="2" s="1"/>
  <c r="CW8" i="2" a="1"/>
  <c r="CW8" i="2" s="1"/>
  <c r="CW12" i="2" a="1"/>
  <c r="CW12" i="2" s="1"/>
  <c r="CW4" i="2" a="1"/>
  <c r="CW4" i="2" s="1"/>
  <c r="CW7" i="2" a="1"/>
  <c r="CW7" i="2" s="1"/>
  <c r="CW5" i="2" a="1"/>
  <c r="CW5" i="2" s="1"/>
  <c r="CW6" i="2" a="1"/>
  <c r="CW6" i="2" s="1"/>
  <c r="CV103" i="2" a="1"/>
  <c r="CV103" i="2" s="1"/>
  <c r="CV102" i="2" a="1"/>
  <c r="CV102" i="2" s="1"/>
  <c r="CV101" i="2" a="1"/>
  <c r="CV101" i="2" s="1"/>
  <c r="CV100" i="2" a="1"/>
  <c r="CV100" i="2" s="1"/>
  <c r="CV99" i="2" a="1"/>
  <c r="CV99" i="2" s="1"/>
  <c r="CV98" i="2" a="1"/>
  <c r="CV98" i="2" s="1"/>
  <c r="CV97" i="2" a="1"/>
  <c r="CV97" i="2" s="1"/>
  <c r="CV96" i="2" a="1"/>
  <c r="CV96" i="2" s="1"/>
  <c r="CV94" i="2" a="1"/>
  <c r="CV94" i="2" s="1"/>
  <c r="CV93" i="2" a="1"/>
  <c r="CV93" i="2" s="1"/>
  <c r="CV95" i="2" a="1"/>
  <c r="CV95" i="2" s="1"/>
  <c r="CV92" i="2" a="1"/>
  <c r="CV92" i="2" s="1"/>
  <c r="CV90" i="2" a="1"/>
  <c r="CV90" i="2" s="1"/>
  <c r="CV89" i="2" a="1"/>
  <c r="CV89" i="2" s="1"/>
  <c r="CV91" i="2" a="1"/>
  <c r="CV91" i="2" s="1"/>
  <c r="CV88" i="2" a="1"/>
  <c r="CV88" i="2" s="1"/>
  <c r="CV84" i="2" a="1"/>
  <c r="CV84" i="2" s="1"/>
  <c r="CV87" i="2" a="1"/>
  <c r="CV87" i="2" s="1"/>
  <c r="CV85" i="2" a="1"/>
  <c r="CV85" i="2" s="1"/>
  <c r="CV86" i="2" a="1"/>
  <c r="CV86" i="2" s="1"/>
  <c r="CV83" i="2" a="1"/>
  <c r="CV83" i="2" s="1"/>
  <c r="CV82" i="2" a="1"/>
  <c r="CV82" i="2" s="1"/>
  <c r="CV81" i="2" a="1"/>
  <c r="CV81" i="2" s="1"/>
  <c r="CV80" i="2" a="1"/>
  <c r="CV80" i="2" s="1"/>
  <c r="CV79" i="2" a="1"/>
  <c r="CV79" i="2" s="1"/>
  <c r="CV77" i="2" a="1"/>
  <c r="CV77" i="2" s="1"/>
  <c r="CV78" i="2" a="1"/>
  <c r="CV78" i="2" s="1"/>
  <c r="CV76" i="2" a="1"/>
  <c r="CV76" i="2" s="1"/>
  <c r="CV75" i="2" a="1"/>
  <c r="CV75" i="2" s="1"/>
  <c r="CV74" i="2" a="1"/>
  <c r="CV74" i="2" s="1"/>
  <c r="CV72" i="2" a="1"/>
  <c r="CV72" i="2" s="1"/>
  <c r="CV73" i="2" a="1"/>
  <c r="CV73" i="2" s="1"/>
  <c r="CV70" i="2" a="1"/>
  <c r="CV70" i="2" s="1"/>
  <c r="CV71" i="2" a="1"/>
  <c r="CV71" i="2" s="1"/>
  <c r="CV69" i="2" a="1"/>
  <c r="CV69" i="2" s="1"/>
  <c r="CV68" i="2" a="1"/>
  <c r="CV68" i="2" s="1"/>
  <c r="CV64" i="2" a="1"/>
  <c r="CV64" i="2" s="1"/>
  <c r="CV66" i="2" a="1"/>
  <c r="CV66" i="2" s="1"/>
  <c r="CV67" i="2" a="1"/>
  <c r="CV67" i="2" s="1"/>
  <c r="CV65" i="2" a="1"/>
  <c r="CV65" i="2" s="1"/>
  <c r="CV61" i="2" a="1"/>
  <c r="CV61" i="2" s="1"/>
  <c r="CV60" i="2" a="1"/>
  <c r="CV60" i="2" s="1"/>
  <c r="CV63" i="2" a="1"/>
  <c r="CV63" i="2" s="1"/>
  <c r="CV62" i="2" a="1"/>
  <c r="CV62" i="2" s="1"/>
  <c r="CV56" i="2" a="1"/>
  <c r="CV56" i="2" s="1"/>
  <c r="CV58" i="2" a="1"/>
  <c r="CV58" i="2" s="1"/>
  <c r="CV59" i="2" a="1"/>
  <c r="CV59" i="2" s="1"/>
  <c r="CV57" i="2" a="1"/>
  <c r="CV57" i="2" s="1"/>
  <c r="CV50" i="2" a="1"/>
  <c r="CV50" i="2" s="1"/>
  <c r="CV52" i="2" a="1"/>
  <c r="CV52" i="2" s="1"/>
  <c r="CV49" i="2" a="1"/>
  <c r="CV49" i="2" s="1"/>
  <c r="CV53" i="2" a="1"/>
  <c r="CV53" i="2" s="1"/>
  <c r="CV48" i="2" a="1"/>
  <c r="CV48" i="2" s="1"/>
  <c r="CV54" i="2" a="1"/>
  <c r="CV54" i="2" s="1"/>
  <c r="CV55" i="2" a="1"/>
  <c r="CV55" i="2" s="1"/>
  <c r="CV51" i="2" a="1"/>
  <c r="CV51" i="2" s="1"/>
  <c r="CV44" i="2" a="1"/>
  <c r="CV44" i="2" s="1"/>
  <c r="CV46" i="2" a="1"/>
  <c r="CV46" i="2" s="1"/>
  <c r="CV43" i="2" a="1"/>
  <c r="CV43" i="2" s="1"/>
  <c r="CV42" i="2" a="1"/>
  <c r="CV42" i="2" s="1"/>
  <c r="CV45" i="2" a="1"/>
  <c r="CV45" i="2" s="1"/>
  <c r="CV47" i="2" a="1"/>
  <c r="CV47" i="2" s="1"/>
  <c r="CV41" i="2" a="1"/>
  <c r="CV41" i="2" s="1"/>
  <c r="CV40" i="2" a="1"/>
  <c r="CV40" i="2" s="1"/>
  <c r="CV38" i="2" a="1"/>
  <c r="CV38" i="2" s="1"/>
  <c r="CV37" i="2" a="1"/>
  <c r="CV37" i="2" s="1"/>
  <c r="CV36" i="2" a="1"/>
  <c r="CV36" i="2" s="1"/>
  <c r="CV34" i="2" a="1"/>
  <c r="CV34" i="2" s="1"/>
  <c r="CV39" i="2" a="1"/>
  <c r="CV39" i="2" s="1"/>
  <c r="CV35" i="2" a="1"/>
  <c r="CV35" i="2" s="1"/>
  <c r="CV28" i="2" a="1"/>
  <c r="CV28" i="2" s="1"/>
  <c r="CV32" i="2" a="1"/>
  <c r="CV32" i="2" s="1"/>
  <c r="CV27" i="2" a="1"/>
  <c r="CV27" i="2" s="1"/>
  <c r="CV26" i="2" a="1"/>
  <c r="CV26" i="2" s="1"/>
  <c r="CV33" i="2" a="1"/>
  <c r="CV33" i="2" s="1"/>
  <c r="CV30" i="2" a="1"/>
  <c r="CV30" i="2" s="1"/>
  <c r="CV31" i="2" a="1"/>
  <c r="CV31" i="2" s="1"/>
  <c r="CV29" i="2" a="1"/>
  <c r="CV29" i="2" s="1"/>
  <c r="CV25" i="2" a="1"/>
  <c r="CV25" i="2" s="1"/>
  <c r="CV16" i="2" a="1"/>
  <c r="CV16" i="2" s="1"/>
  <c r="CV17" i="2" a="1"/>
  <c r="CV17" i="2" s="1"/>
  <c r="CV15" i="2" a="1"/>
  <c r="CV15" i="2" s="1"/>
  <c r="CV24" i="2" a="1"/>
  <c r="CV24" i="2" s="1"/>
  <c r="CV23" i="2" a="1"/>
  <c r="CV23" i="2" s="1"/>
  <c r="CV22" i="2" a="1"/>
  <c r="CV22" i="2" s="1"/>
  <c r="CV21" i="2" a="1"/>
  <c r="CV21" i="2" s="1"/>
  <c r="CV20" i="2" a="1"/>
  <c r="CV20" i="2" s="1"/>
  <c r="CV19" i="2" a="1"/>
  <c r="CV19" i="2" s="1"/>
  <c r="CV18" i="2" a="1"/>
  <c r="CV18" i="2" s="1"/>
  <c r="CV8" i="2" a="1"/>
  <c r="CV8" i="2" s="1"/>
  <c r="CV12" i="2" a="1"/>
  <c r="CV12" i="2" s="1"/>
  <c r="CV11" i="2" a="1"/>
  <c r="CV11" i="2" s="1"/>
  <c r="CV7" i="2" a="1"/>
  <c r="CV7" i="2" s="1"/>
  <c r="CV9" i="2" a="1"/>
  <c r="CV9" i="2" s="1"/>
  <c r="CV10" i="2" a="1"/>
  <c r="CV10" i="2" s="1"/>
  <c r="CV14" i="2" a="1"/>
  <c r="CV14" i="2" s="1"/>
  <c r="CV13" i="2" a="1"/>
  <c r="CV13" i="2" s="1"/>
  <c r="CV6" i="2" a="1"/>
  <c r="CV6" i="2" s="1"/>
  <c r="CV4" i="2" a="1"/>
  <c r="CV4" i="2" s="1"/>
  <c r="CV5" i="2" a="1"/>
  <c r="CV5" i="2" s="1"/>
  <c r="CX103" i="2" a="1"/>
  <c r="CX103" i="2" s="1"/>
  <c r="CX102" i="2" a="1"/>
  <c r="CX102" i="2" s="1"/>
  <c r="CX101" i="2" a="1"/>
  <c r="CX101" i="2" s="1"/>
  <c r="CX100" i="2" a="1"/>
  <c r="CX100" i="2" s="1"/>
  <c r="CX99" i="2" a="1"/>
  <c r="CX99" i="2" s="1"/>
  <c r="CX98" i="2" a="1"/>
  <c r="CX98" i="2" s="1"/>
  <c r="CX97" i="2" a="1"/>
  <c r="CX97" i="2" s="1"/>
  <c r="CX96" i="2" a="1"/>
  <c r="CX96" i="2" s="1"/>
  <c r="CX95" i="2" a="1"/>
  <c r="CX95" i="2" s="1"/>
  <c r="CX94" i="2" a="1"/>
  <c r="CX94" i="2" s="1"/>
  <c r="CX93" i="2" a="1"/>
  <c r="CX93" i="2" s="1"/>
  <c r="CX92" i="2" a="1"/>
  <c r="CX92" i="2" s="1"/>
  <c r="CX91" i="2" a="1"/>
  <c r="CX91" i="2" s="1"/>
  <c r="CX88" i="2" a="1"/>
  <c r="CX88" i="2" s="1"/>
  <c r="CX90" i="2" a="1"/>
  <c r="CX90" i="2" s="1"/>
  <c r="CX89" i="2" a="1"/>
  <c r="CX89" i="2" s="1"/>
  <c r="CX85" i="2" a="1"/>
  <c r="CX85" i="2" s="1"/>
  <c r="CX84" i="2" a="1"/>
  <c r="CX84" i="2" s="1"/>
  <c r="CX87" i="2" a="1"/>
  <c r="CX87" i="2" s="1"/>
  <c r="CX86" i="2" a="1"/>
  <c r="CX86" i="2" s="1"/>
  <c r="CX82" i="2" a="1"/>
  <c r="CX82" i="2" s="1"/>
  <c r="CX81" i="2" a="1"/>
  <c r="CX81" i="2" s="1"/>
  <c r="CX80" i="2" a="1"/>
  <c r="CX80" i="2" s="1"/>
  <c r="CX83" i="2" a="1"/>
  <c r="CX83" i="2" s="1"/>
  <c r="CX78" i="2" a="1"/>
  <c r="CX78" i="2" s="1"/>
  <c r="CX76" i="2" a="1"/>
  <c r="CX76" i="2" s="1"/>
  <c r="CX79" i="2" a="1"/>
  <c r="CX79" i="2" s="1"/>
  <c r="CX77" i="2" a="1"/>
  <c r="CX77" i="2" s="1"/>
  <c r="CX75" i="2" a="1"/>
  <c r="CX75" i="2" s="1"/>
  <c r="CX72" i="2" a="1"/>
  <c r="CX72" i="2" s="1"/>
  <c r="CX74" i="2" a="1"/>
  <c r="CX74" i="2" s="1"/>
  <c r="CX73" i="2" a="1"/>
  <c r="CX73" i="2" s="1"/>
  <c r="CX71" i="2" a="1"/>
  <c r="CX71" i="2" s="1"/>
  <c r="CX69" i="2" a="1"/>
  <c r="CX69" i="2" s="1"/>
  <c r="CX68" i="2" a="1"/>
  <c r="CX68" i="2" s="1"/>
  <c r="CX70" i="2" a="1"/>
  <c r="CX70" i="2" s="1"/>
  <c r="CX67" i="2" a="1"/>
  <c r="CX67" i="2" s="1"/>
  <c r="CX65" i="2" a="1"/>
  <c r="CX65" i="2" s="1"/>
  <c r="CX64" i="2" a="1"/>
  <c r="CX64" i="2" s="1"/>
  <c r="CX63" i="2" a="1"/>
  <c r="CX63" i="2" s="1"/>
  <c r="CX66" i="2" a="1"/>
  <c r="CX66" i="2" s="1"/>
  <c r="CX60" i="2" a="1"/>
  <c r="CX60" i="2" s="1"/>
  <c r="CX62" i="2" a="1"/>
  <c r="CX62" i="2" s="1"/>
  <c r="CX61" i="2" a="1"/>
  <c r="CX61" i="2" s="1"/>
  <c r="CX59" i="2" a="1"/>
  <c r="CX59" i="2" s="1"/>
  <c r="CX57" i="2" a="1"/>
  <c r="CX57" i="2" s="1"/>
  <c r="CX56" i="2" a="1"/>
  <c r="CX56" i="2" s="1"/>
  <c r="CX58" i="2" a="1"/>
  <c r="CX58" i="2" s="1"/>
  <c r="CX52" i="2" a="1"/>
  <c r="CX52" i="2" s="1"/>
  <c r="CX49" i="2" a="1"/>
  <c r="CX49" i="2" s="1"/>
  <c r="CX54" i="2" a="1"/>
  <c r="CX54" i="2" s="1"/>
  <c r="CX53" i="2" a="1"/>
  <c r="CX53" i="2" s="1"/>
  <c r="CX48" i="2" a="1"/>
  <c r="CX48" i="2" s="1"/>
  <c r="CX55" i="2" a="1"/>
  <c r="CX55" i="2" s="1"/>
  <c r="CX51" i="2" a="1"/>
  <c r="CX51" i="2" s="1"/>
  <c r="CX50" i="2" a="1"/>
  <c r="CX50" i="2" s="1"/>
  <c r="CX43" i="2" a="1"/>
  <c r="CX43" i="2" s="1"/>
  <c r="CX46" i="2" a="1"/>
  <c r="CX46" i="2" s="1"/>
  <c r="CX45" i="2" a="1"/>
  <c r="CX45" i="2" s="1"/>
  <c r="CX42" i="2" a="1"/>
  <c r="CX42" i="2" s="1"/>
  <c r="CX47" i="2" a="1"/>
  <c r="CX47" i="2" s="1"/>
  <c r="CX41" i="2" a="1"/>
  <c r="CX41" i="2" s="1"/>
  <c r="CX40" i="2" a="1"/>
  <c r="CX40" i="2" s="1"/>
  <c r="CX44" i="2" a="1"/>
  <c r="CX44" i="2" s="1"/>
  <c r="CX37" i="2" a="1"/>
  <c r="CX37" i="2" s="1"/>
  <c r="CX36" i="2" a="1"/>
  <c r="CX36" i="2" s="1"/>
  <c r="CX34" i="2" a="1"/>
  <c r="CX34" i="2" s="1"/>
  <c r="CX39" i="2" a="1"/>
  <c r="CX39" i="2" s="1"/>
  <c r="CX35" i="2" a="1"/>
  <c r="CX35" i="2" s="1"/>
  <c r="CX38" i="2" a="1"/>
  <c r="CX38" i="2" s="1"/>
  <c r="CX32" i="2" a="1"/>
  <c r="CX32" i="2" s="1"/>
  <c r="CX27" i="2" a="1"/>
  <c r="CX27" i="2" s="1"/>
  <c r="CX26" i="2" a="1"/>
  <c r="CX26" i="2" s="1"/>
  <c r="CX33" i="2" a="1"/>
  <c r="CX33" i="2" s="1"/>
  <c r="CX31" i="2" a="1"/>
  <c r="CX31" i="2" s="1"/>
  <c r="CX30" i="2" a="1"/>
  <c r="CX30" i="2" s="1"/>
  <c r="CX29" i="2" a="1"/>
  <c r="CX29" i="2" s="1"/>
  <c r="CX25" i="2" a="1"/>
  <c r="CX25" i="2" s="1"/>
  <c r="CX28" i="2" a="1"/>
  <c r="CX28" i="2" s="1"/>
  <c r="CX16" i="2" a="1"/>
  <c r="CX16" i="2" s="1"/>
  <c r="CX15" i="2" a="1"/>
  <c r="CX15" i="2" s="1"/>
  <c r="CX17" i="2" a="1"/>
  <c r="CX17" i="2" s="1"/>
  <c r="CX24" i="2" a="1"/>
  <c r="CX24" i="2" s="1"/>
  <c r="CX23" i="2" a="1"/>
  <c r="CX23" i="2" s="1"/>
  <c r="CX22" i="2" a="1"/>
  <c r="CX22" i="2" s="1"/>
  <c r="CX21" i="2" a="1"/>
  <c r="CX21" i="2" s="1"/>
  <c r="CX20" i="2" a="1"/>
  <c r="CX20" i="2" s="1"/>
  <c r="CX19" i="2" a="1"/>
  <c r="CX19" i="2" s="1"/>
  <c r="CX18" i="2" a="1"/>
  <c r="CX18" i="2" s="1"/>
  <c r="CX11" i="2" a="1"/>
  <c r="CX11" i="2" s="1"/>
  <c r="CX9" i="2" a="1"/>
  <c r="CX9" i="2" s="1"/>
  <c r="CX10" i="2" a="1"/>
  <c r="CX10" i="2" s="1"/>
  <c r="CX14" i="2" a="1"/>
  <c r="CX14" i="2" s="1"/>
  <c r="CX13" i="2" a="1"/>
  <c r="CX13" i="2" s="1"/>
  <c r="CX8" i="2" a="1"/>
  <c r="CX8" i="2" s="1"/>
  <c r="CX12" i="2" a="1"/>
  <c r="CX12" i="2" s="1"/>
  <c r="CX7" i="2" a="1"/>
  <c r="CX7" i="2" s="1"/>
  <c r="CX5" i="2" a="1"/>
  <c r="CX5" i="2" s="1"/>
  <c r="CX6" i="2" a="1"/>
  <c r="CX6" i="2" s="1"/>
  <c r="CX4" i="2" a="1"/>
  <c r="CX4" i="2" s="1"/>
  <c r="BS120" i="2"/>
  <c r="GM9" i="2" s="1"/>
  <c r="GQ9" i="2" s="1"/>
  <c r="AJ120" i="2"/>
  <c r="GN6" i="2" s="1"/>
  <c r="CR120" i="2"/>
  <c r="GN11" i="2" s="1"/>
  <c r="CT99" i="2" a="1"/>
  <c r="CT99" i="2" s="1"/>
  <c r="CT103" i="2" a="1"/>
  <c r="CT103" i="2" s="1"/>
  <c r="CT102" i="2" a="1"/>
  <c r="CT102" i="2" s="1"/>
  <c r="CT101" i="2" a="1"/>
  <c r="CT101" i="2" s="1"/>
  <c r="CT100" i="2" a="1"/>
  <c r="CT100" i="2" s="1"/>
  <c r="CT98" i="2" a="1"/>
  <c r="CT98" i="2" s="1"/>
  <c r="CT97" i="2" a="1"/>
  <c r="CT97" i="2" s="1"/>
  <c r="CT96" i="2" a="1"/>
  <c r="CT96" i="2" s="1"/>
  <c r="CT95" i="2" a="1"/>
  <c r="CT95" i="2" s="1"/>
  <c r="CT92" i="2" a="1"/>
  <c r="CT92" i="2" s="1"/>
  <c r="CT94" i="2" a="1"/>
  <c r="CT94" i="2" s="1"/>
  <c r="CT93" i="2" a="1"/>
  <c r="CT93" i="2" s="1"/>
  <c r="CT90" i="2" a="1"/>
  <c r="CT90" i="2" s="1"/>
  <c r="CT91" i="2" a="1"/>
  <c r="CT91" i="2" s="1"/>
  <c r="CT89" i="2" a="1"/>
  <c r="CT89" i="2" s="1"/>
  <c r="CT88" i="2" a="1"/>
  <c r="CT88" i="2" s="1"/>
  <c r="CT84" i="2" a="1"/>
  <c r="CT84" i="2" s="1"/>
  <c r="CT85" i="2" a="1"/>
  <c r="CT85" i="2" s="1"/>
  <c r="CT87" i="2" a="1"/>
  <c r="CT87" i="2" s="1"/>
  <c r="CT86" i="2" a="1"/>
  <c r="CT86" i="2" s="1"/>
  <c r="CT83" i="2" a="1"/>
  <c r="CT83" i="2" s="1"/>
  <c r="CT82" i="2" a="1"/>
  <c r="CT82" i="2" s="1"/>
  <c r="CT81" i="2" a="1"/>
  <c r="CT81" i="2" s="1"/>
  <c r="CT80" i="2" a="1"/>
  <c r="CT80" i="2" s="1"/>
  <c r="CT76" i="2" a="1"/>
  <c r="CT76" i="2" s="1"/>
  <c r="CT79" i="2" a="1"/>
  <c r="CT79" i="2" s="1"/>
  <c r="CT77" i="2" a="1"/>
  <c r="CT77" i="2" s="1"/>
  <c r="CT78" i="2" a="1"/>
  <c r="CT78" i="2" s="1"/>
  <c r="CT75" i="2" a="1"/>
  <c r="CT75" i="2" s="1"/>
  <c r="CT71" i="2" a="1"/>
  <c r="CT71" i="2" s="1"/>
  <c r="CT74" i="2" a="1"/>
  <c r="CT74" i="2" s="1"/>
  <c r="CT73" i="2" a="1"/>
  <c r="CT73" i="2" s="1"/>
  <c r="CT72" i="2" a="1"/>
  <c r="CT72" i="2" s="1"/>
  <c r="CT68" i="2" a="1"/>
  <c r="CT68" i="2" s="1"/>
  <c r="CT70" i="2" a="1"/>
  <c r="CT70" i="2" s="1"/>
  <c r="CT69" i="2" a="1"/>
  <c r="CT69" i="2" s="1"/>
  <c r="CT64" i="2" a="1"/>
  <c r="CT64" i="2" s="1"/>
  <c r="CT63" i="2" a="1"/>
  <c r="CT63" i="2" s="1"/>
  <c r="CT66" i="2" a="1"/>
  <c r="CT66" i="2" s="1"/>
  <c r="CT67" i="2" a="1"/>
  <c r="CT67" i="2" s="1"/>
  <c r="CT65" i="2" a="1"/>
  <c r="CT65" i="2" s="1"/>
  <c r="CT62" i="2" a="1"/>
  <c r="CT62" i="2" s="1"/>
  <c r="CT61" i="2" a="1"/>
  <c r="CT61" i="2" s="1"/>
  <c r="CT60" i="2" a="1"/>
  <c r="CT60" i="2" s="1"/>
  <c r="CT56" i="2" a="1"/>
  <c r="CT56" i="2" s="1"/>
  <c r="CT59" i="2" a="1"/>
  <c r="CT59" i="2" s="1"/>
  <c r="CT58" i="2" a="1"/>
  <c r="CT58" i="2" s="1"/>
  <c r="CT57" i="2" a="1"/>
  <c r="CT57" i="2" s="1"/>
  <c r="CT55" i="2" a="1"/>
  <c r="CT55" i="2" s="1"/>
  <c r="CT51" i="2" a="1"/>
  <c r="CT51" i="2" s="1"/>
  <c r="CT50" i="2" a="1"/>
  <c r="CT50" i="2" s="1"/>
  <c r="CT52" i="2" a="1"/>
  <c r="CT52" i="2" s="1"/>
  <c r="CT49" i="2" a="1"/>
  <c r="CT49" i="2" s="1"/>
  <c r="CT54" i="2" a="1"/>
  <c r="CT54" i="2" s="1"/>
  <c r="CT53" i="2" a="1"/>
  <c r="CT53" i="2" s="1"/>
  <c r="CT48" i="2" a="1"/>
  <c r="CT48" i="2" s="1"/>
  <c r="CT44" i="2" a="1"/>
  <c r="CT44" i="2" s="1"/>
  <c r="CT43" i="2" a="1"/>
  <c r="CT43" i="2" s="1"/>
  <c r="CT46" i="2" a="1"/>
  <c r="CT46" i="2" s="1"/>
  <c r="CT42" i="2" a="1"/>
  <c r="CT42" i="2" s="1"/>
  <c r="CT45" i="2" a="1"/>
  <c r="CT45" i="2" s="1"/>
  <c r="CT47" i="2" a="1"/>
  <c r="CT47" i="2" s="1"/>
  <c r="CT41" i="2" a="1"/>
  <c r="CT41" i="2" s="1"/>
  <c r="CT35" i="2" a="1"/>
  <c r="CT35" i="2" s="1"/>
  <c r="CT38" i="2" a="1"/>
  <c r="CT38" i="2" s="1"/>
  <c r="CT37" i="2" a="1"/>
  <c r="CT37" i="2" s="1"/>
  <c r="CT36" i="2" a="1"/>
  <c r="CT36" i="2" s="1"/>
  <c r="CT34" i="2" a="1"/>
  <c r="CT34" i="2" s="1"/>
  <c r="CT40" i="2" a="1"/>
  <c r="CT40" i="2" s="1"/>
  <c r="CT39" i="2" a="1"/>
  <c r="CT39" i="2" s="1"/>
  <c r="CT31" i="2" a="1"/>
  <c r="CT31" i="2" s="1"/>
  <c r="CT25" i="2" a="1"/>
  <c r="CT25" i="2" s="1"/>
  <c r="CT29" i="2" a="1"/>
  <c r="CT29" i="2" s="1"/>
  <c r="CT28" i="2" a="1"/>
  <c r="CT28" i="2" s="1"/>
  <c r="CT32" i="2" a="1"/>
  <c r="CT32" i="2" s="1"/>
  <c r="CT33" i="2" a="1"/>
  <c r="CT33" i="2" s="1"/>
  <c r="CT27" i="2" a="1"/>
  <c r="CT27" i="2" s="1"/>
  <c r="CT26" i="2" a="1"/>
  <c r="CT26" i="2" s="1"/>
  <c r="CT30" i="2" a="1"/>
  <c r="CT30" i="2" s="1"/>
  <c r="CT24" i="2" a="1"/>
  <c r="CT24" i="2" s="1"/>
  <c r="CT23" i="2" a="1"/>
  <c r="CT23" i="2" s="1"/>
  <c r="CT22" i="2" a="1"/>
  <c r="CT22" i="2" s="1"/>
  <c r="CT21" i="2" a="1"/>
  <c r="CT21" i="2" s="1"/>
  <c r="CT20" i="2" a="1"/>
  <c r="CT20" i="2" s="1"/>
  <c r="CT19" i="2" a="1"/>
  <c r="CT19" i="2" s="1"/>
  <c r="CT18" i="2" a="1"/>
  <c r="CT18" i="2" s="1"/>
  <c r="CT16" i="2" a="1"/>
  <c r="CT16" i="2" s="1"/>
  <c r="CT17" i="2" a="1"/>
  <c r="CT17" i="2" s="1"/>
  <c r="CT13" i="2" a="1"/>
  <c r="CT13" i="2" s="1"/>
  <c r="CT8" i="2" a="1"/>
  <c r="CT8" i="2" s="1"/>
  <c r="CT12" i="2" a="1"/>
  <c r="CT12" i="2" s="1"/>
  <c r="CT15" i="2" a="1"/>
  <c r="CT15" i="2" s="1"/>
  <c r="CT11" i="2" a="1"/>
  <c r="CT11" i="2" s="1"/>
  <c r="CT7" i="2" a="1"/>
  <c r="CT7" i="2" s="1"/>
  <c r="CT10" i="2" a="1"/>
  <c r="CT10" i="2" s="1"/>
  <c r="CT9" i="2" a="1"/>
  <c r="CT9" i="2" s="1"/>
  <c r="CT14" i="2" a="1"/>
  <c r="CT14" i="2" s="1"/>
  <c r="CT6" i="2" a="1"/>
  <c r="CT6" i="2" s="1"/>
  <c r="CT4" i="2" a="1"/>
  <c r="CT4" i="2" s="1"/>
  <c r="CT5" i="2" a="1"/>
  <c r="CT5" i="2" s="1"/>
  <c r="BI120" i="2"/>
  <c r="GO8" i="2" s="1"/>
  <c r="DB120" i="2"/>
  <c r="GL12" i="2" s="1"/>
  <c r="DE103" i="2" a="1"/>
  <c r="DE103" i="2" s="1"/>
  <c r="DE102" i="2" a="1"/>
  <c r="DE102" i="2" s="1"/>
  <c r="DE101" i="2" a="1"/>
  <c r="DE101" i="2" s="1"/>
  <c r="DE100" i="2" a="1"/>
  <c r="DE100" i="2" s="1"/>
  <c r="DE99" i="2" a="1"/>
  <c r="DE99" i="2" s="1"/>
  <c r="DE98" i="2" a="1"/>
  <c r="DE98" i="2" s="1"/>
  <c r="DE96" i="2" a="1"/>
  <c r="DE96" i="2" s="1"/>
  <c r="DE97" i="2" a="1"/>
  <c r="DE97" i="2" s="1"/>
  <c r="DE94" i="2" a="1"/>
  <c r="DE94" i="2" s="1"/>
  <c r="DE95" i="2" a="1"/>
  <c r="DE95" i="2" s="1"/>
  <c r="DE93" i="2" a="1"/>
  <c r="DE93" i="2" s="1"/>
  <c r="DE92" i="2" a="1"/>
  <c r="DE92" i="2" s="1"/>
  <c r="DE90" i="2" a="1"/>
  <c r="DE90" i="2" s="1"/>
  <c r="DE91" i="2" a="1"/>
  <c r="DE91" i="2" s="1"/>
  <c r="DE89" i="2" a="1"/>
  <c r="DE89" i="2" s="1"/>
  <c r="DE88" i="2" a="1"/>
  <c r="DE88" i="2" s="1"/>
  <c r="DE86" i="2" a="1"/>
  <c r="DE86" i="2" s="1"/>
  <c r="DE85" i="2" a="1"/>
  <c r="DE85" i="2" s="1"/>
  <c r="DE84" i="2" a="1"/>
  <c r="DE84" i="2" s="1"/>
  <c r="DE87" i="2" a="1"/>
  <c r="DE87" i="2" s="1"/>
  <c r="DE83" i="2" a="1"/>
  <c r="DE83" i="2" s="1"/>
  <c r="DE82" i="2" a="1"/>
  <c r="DE82" i="2" s="1"/>
  <c r="DE81" i="2" a="1"/>
  <c r="DE81" i="2" s="1"/>
  <c r="DE80" i="2" a="1"/>
  <c r="DE80" i="2" s="1"/>
  <c r="DE78" i="2" a="1"/>
  <c r="DE78" i="2" s="1"/>
  <c r="DE79" i="2" a="1"/>
  <c r="DE79" i="2" s="1"/>
  <c r="DE76" i="2" a="1"/>
  <c r="DE76" i="2" s="1"/>
  <c r="DE77" i="2" a="1"/>
  <c r="DE77" i="2" s="1"/>
  <c r="DE75" i="2" a="1"/>
  <c r="DE75" i="2" s="1"/>
  <c r="DE74" i="2" a="1"/>
  <c r="DE74" i="2" s="1"/>
  <c r="DE72" i="2" a="1"/>
  <c r="DE72" i="2" s="1"/>
  <c r="DE73" i="2" a="1"/>
  <c r="DE73" i="2" s="1"/>
  <c r="DE70" i="2" a="1"/>
  <c r="DE70" i="2" s="1"/>
  <c r="DE71" i="2" a="1"/>
  <c r="DE71" i="2" s="1"/>
  <c r="DE69" i="2" a="1"/>
  <c r="DE69" i="2" s="1"/>
  <c r="DE68" i="2" a="1"/>
  <c r="DE68" i="2" s="1"/>
  <c r="DE64" i="2" a="1"/>
  <c r="DE64" i="2" s="1"/>
  <c r="DE66" i="2" a="1"/>
  <c r="DE66" i="2" s="1"/>
  <c r="DE67" i="2" a="1"/>
  <c r="DE67" i="2" s="1"/>
  <c r="DE65" i="2" a="1"/>
  <c r="DE65" i="2" s="1"/>
  <c r="DE61" i="2" a="1"/>
  <c r="DE61" i="2" s="1"/>
  <c r="DE63" i="2" a="1"/>
  <c r="DE63" i="2" s="1"/>
  <c r="DE60" i="2" a="1"/>
  <c r="DE60" i="2" s="1"/>
  <c r="DE59" i="2" a="1"/>
  <c r="DE59" i="2" s="1"/>
  <c r="DE62" i="2" a="1"/>
  <c r="DE62" i="2" s="1"/>
  <c r="DE56" i="2" a="1"/>
  <c r="DE56" i="2" s="1"/>
  <c r="DE58" i="2" a="1"/>
  <c r="DE58" i="2" s="1"/>
  <c r="DE57" i="2" a="1"/>
  <c r="DE57" i="2" s="1"/>
  <c r="DE50" i="2" a="1"/>
  <c r="DE50" i="2" s="1"/>
  <c r="DE52" i="2" a="1"/>
  <c r="DE52" i="2" s="1"/>
  <c r="DE49" i="2" a="1"/>
  <c r="DE49" i="2" s="1"/>
  <c r="DE53" i="2" a="1"/>
  <c r="DE53" i="2" s="1"/>
  <c r="DE54" i="2" a="1"/>
  <c r="DE54" i="2" s="1"/>
  <c r="DE48" i="2" a="1"/>
  <c r="DE48" i="2" s="1"/>
  <c r="DE55" i="2" a="1"/>
  <c r="DE55" i="2" s="1"/>
  <c r="DE51" i="2" a="1"/>
  <c r="DE51" i="2" s="1"/>
  <c r="DE43" i="2" a="1"/>
  <c r="DE43" i="2" s="1"/>
  <c r="DE46" i="2" a="1"/>
  <c r="DE46" i="2" s="1"/>
  <c r="DE45" i="2" a="1"/>
  <c r="DE45" i="2" s="1"/>
  <c r="DE42" i="2" a="1"/>
  <c r="DE42" i="2" s="1"/>
  <c r="DE40" i="2" a="1"/>
  <c r="DE40" i="2" s="1"/>
  <c r="DE47" i="2" a="1"/>
  <c r="DE47" i="2" s="1"/>
  <c r="DE41" i="2" a="1"/>
  <c r="DE41" i="2" s="1"/>
  <c r="DE44" i="2" a="1"/>
  <c r="DE44" i="2" s="1"/>
  <c r="DE37" i="2" a="1"/>
  <c r="DE37" i="2" s="1"/>
  <c r="DE33" i="2" a="1"/>
  <c r="DE33" i="2" s="1"/>
  <c r="DE36" i="2" a="1"/>
  <c r="DE36" i="2" s="1"/>
  <c r="DE34" i="2" a="1"/>
  <c r="DE34" i="2" s="1"/>
  <c r="DE39" i="2" a="1"/>
  <c r="DE39" i="2" s="1"/>
  <c r="DE38" i="2" a="1"/>
  <c r="DE38" i="2" s="1"/>
  <c r="DE35" i="2" a="1"/>
  <c r="DE35" i="2" s="1"/>
  <c r="DE28" i="2" a="1"/>
  <c r="DE28" i="2" s="1"/>
  <c r="DE27" i="2" a="1"/>
  <c r="DE27" i="2" s="1"/>
  <c r="DE32" i="2" a="1"/>
  <c r="DE32" i="2" s="1"/>
  <c r="DE26" i="2" a="1"/>
  <c r="DE26" i="2" s="1"/>
  <c r="DE30" i="2" a="1"/>
  <c r="DE30" i="2" s="1"/>
  <c r="DE31" i="2" a="1"/>
  <c r="DE31" i="2" s="1"/>
  <c r="DE29" i="2" a="1"/>
  <c r="DE29" i="2" s="1"/>
  <c r="DE25" i="2" a="1"/>
  <c r="DE25" i="2" s="1"/>
  <c r="DE24" i="2" a="1"/>
  <c r="DE24" i="2" s="1"/>
  <c r="DE23" i="2" a="1"/>
  <c r="DE23" i="2" s="1"/>
  <c r="DE22" i="2" a="1"/>
  <c r="DE22" i="2" s="1"/>
  <c r="DE21" i="2" a="1"/>
  <c r="DE21" i="2" s="1"/>
  <c r="DE20" i="2" a="1"/>
  <c r="DE20" i="2" s="1"/>
  <c r="DE19" i="2" a="1"/>
  <c r="DE19" i="2" s="1"/>
  <c r="DE18" i="2" a="1"/>
  <c r="DE18" i="2" s="1"/>
  <c r="DE16" i="2" a="1"/>
  <c r="DE16" i="2" s="1"/>
  <c r="DE15" i="2" a="1"/>
  <c r="DE15" i="2" s="1"/>
  <c r="DE17" i="2" a="1"/>
  <c r="DE17" i="2" s="1"/>
  <c r="DE12" i="2" a="1"/>
  <c r="DE12" i="2" s="1"/>
  <c r="DE8" i="2" a="1"/>
  <c r="DE8" i="2" s="1"/>
  <c r="DE11" i="2" a="1"/>
  <c r="DE11" i="2" s="1"/>
  <c r="DE9" i="2" a="1"/>
  <c r="DE9" i="2" s="1"/>
  <c r="DE10" i="2" a="1"/>
  <c r="DE10" i="2" s="1"/>
  <c r="DE14" i="2" a="1"/>
  <c r="DE14" i="2" s="1"/>
  <c r="DE13" i="2" a="1"/>
  <c r="DE13" i="2" s="1"/>
  <c r="DE6" i="2" a="1"/>
  <c r="DE6" i="2" s="1"/>
  <c r="DE4" i="2" a="1"/>
  <c r="DE4" i="2" s="1"/>
  <c r="DE5" i="2" a="1"/>
  <c r="DE5" i="2" s="1"/>
  <c r="DE7" i="2" a="1"/>
  <c r="DE7" i="2" s="1"/>
  <c r="BG120" i="2"/>
  <c r="GM8" i="2" s="1"/>
  <c r="W120" i="2"/>
  <c r="GM5" i="2" s="1"/>
  <c r="Y120" i="2"/>
  <c r="GO5" i="2" s="1"/>
  <c r="DB100" i="2" a="1"/>
  <c r="DB100" i="2" s="1"/>
  <c r="DB99" i="2" a="1"/>
  <c r="DB99" i="2" s="1"/>
  <c r="DB103" i="2" a="1"/>
  <c r="DB103" i="2" s="1"/>
  <c r="DB102" i="2" a="1"/>
  <c r="DB102" i="2" s="1"/>
  <c r="DB101" i="2" a="1"/>
  <c r="DB101" i="2" s="1"/>
  <c r="DB98" i="2" a="1"/>
  <c r="DB98" i="2" s="1"/>
  <c r="DB97" i="2" a="1"/>
  <c r="DB97" i="2" s="1"/>
  <c r="DB96" i="2" a="1"/>
  <c r="DB96" i="2" s="1"/>
  <c r="DB95" i="2" a="1"/>
  <c r="DB95" i="2" s="1"/>
  <c r="DB92" i="2" a="1"/>
  <c r="DB92" i="2" s="1"/>
  <c r="DB94" i="2" a="1"/>
  <c r="DB94" i="2" s="1"/>
  <c r="DB93" i="2" a="1"/>
  <c r="DB93" i="2" s="1"/>
  <c r="DB90" i="2" a="1"/>
  <c r="DB90" i="2" s="1"/>
  <c r="DB89" i="2" a="1"/>
  <c r="DB89" i="2" s="1"/>
  <c r="DB91" i="2" a="1"/>
  <c r="DB91" i="2" s="1"/>
  <c r="DB88" i="2" a="1"/>
  <c r="DB88" i="2" s="1"/>
  <c r="DB87" i="2" a="1"/>
  <c r="DB87" i="2" s="1"/>
  <c r="DB86" i="2" a="1"/>
  <c r="DB86" i="2" s="1"/>
  <c r="DB85" i="2" a="1"/>
  <c r="DB85" i="2" s="1"/>
  <c r="DB84" i="2" a="1"/>
  <c r="DB84" i="2" s="1"/>
  <c r="DB80" i="2" a="1"/>
  <c r="DB80" i="2" s="1"/>
  <c r="DB83" i="2" a="1"/>
  <c r="DB83" i="2" s="1"/>
  <c r="DB82" i="2" a="1"/>
  <c r="DB82" i="2" s="1"/>
  <c r="DB81" i="2" a="1"/>
  <c r="DB81" i="2" s="1"/>
  <c r="DB79" i="2" a="1"/>
  <c r="DB79" i="2" s="1"/>
  <c r="DB76" i="2" a="1"/>
  <c r="DB76" i="2" s="1"/>
  <c r="DB77" i="2" a="1"/>
  <c r="DB77" i="2" s="1"/>
  <c r="DB78" i="2" a="1"/>
  <c r="DB78" i="2" s="1"/>
  <c r="DB75" i="2" a="1"/>
  <c r="DB75" i="2" s="1"/>
  <c r="DB72" i="2" a="1"/>
  <c r="DB72" i="2" s="1"/>
  <c r="DB74" i="2" a="1"/>
  <c r="DB74" i="2" s="1"/>
  <c r="DB73" i="2" a="1"/>
  <c r="DB73" i="2" s="1"/>
  <c r="DB68" i="2" a="1"/>
  <c r="DB68" i="2" s="1"/>
  <c r="DB70" i="2" a="1"/>
  <c r="DB70" i="2" s="1"/>
  <c r="DB71" i="2" a="1"/>
  <c r="DB71" i="2" s="1"/>
  <c r="DB69" i="2" a="1"/>
  <c r="DB69" i="2" s="1"/>
  <c r="DB65" i="2" a="1"/>
  <c r="DB65" i="2" s="1"/>
  <c r="DB64" i="2" a="1"/>
  <c r="DB64" i="2" s="1"/>
  <c r="DB66" i="2" a="1"/>
  <c r="DB66" i="2" s="1"/>
  <c r="DB67" i="2" a="1"/>
  <c r="DB67" i="2" s="1"/>
  <c r="DB62" i="2" a="1"/>
  <c r="DB62" i="2" s="1"/>
  <c r="DB63" i="2" a="1"/>
  <c r="DB63" i="2" s="1"/>
  <c r="DB61" i="2" a="1"/>
  <c r="DB61" i="2" s="1"/>
  <c r="DB60" i="2" a="1"/>
  <c r="DB60" i="2" s="1"/>
  <c r="DB57" i="2" a="1"/>
  <c r="DB57" i="2" s="1"/>
  <c r="DB58" i="2" a="1"/>
  <c r="DB58" i="2" s="1"/>
  <c r="DB59" i="2" a="1"/>
  <c r="DB59" i="2" s="1"/>
  <c r="DB55" i="2" a="1"/>
  <c r="DB55" i="2" s="1"/>
  <c r="DB51" i="2" a="1"/>
  <c r="DB51" i="2" s="1"/>
  <c r="DB50" i="2" a="1"/>
  <c r="DB50" i="2" s="1"/>
  <c r="DB52" i="2" a="1"/>
  <c r="DB52" i="2" s="1"/>
  <c r="DB49" i="2" a="1"/>
  <c r="DB49" i="2" s="1"/>
  <c r="DB53" i="2" a="1"/>
  <c r="DB53" i="2" s="1"/>
  <c r="DB56" i="2" a="1"/>
  <c r="DB56" i="2" s="1"/>
  <c r="DB54" i="2" a="1"/>
  <c r="DB54" i="2" s="1"/>
  <c r="DB48" i="2" a="1"/>
  <c r="DB48" i="2" s="1"/>
  <c r="DB47" i="2" a="1"/>
  <c r="DB47" i="2" s="1"/>
  <c r="DB41" i="2" a="1"/>
  <c r="DB41" i="2" s="1"/>
  <c r="DB44" i="2" a="1"/>
  <c r="DB44" i="2" s="1"/>
  <c r="DB43" i="2" a="1"/>
  <c r="DB43" i="2" s="1"/>
  <c r="DB46" i="2" a="1"/>
  <c r="DB46" i="2" s="1"/>
  <c r="DB45" i="2" a="1"/>
  <c r="DB45" i="2" s="1"/>
  <c r="DB42" i="2" a="1"/>
  <c r="DB42" i="2" s="1"/>
  <c r="DB39" i="2" a="1"/>
  <c r="DB39" i="2" s="1"/>
  <c r="DB35" i="2" a="1"/>
  <c r="DB35" i="2" s="1"/>
  <c r="DB38" i="2" a="1"/>
  <c r="DB38" i="2" s="1"/>
  <c r="DB40" i="2" a="1"/>
  <c r="DB40" i="2" s="1"/>
  <c r="DB37" i="2" a="1"/>
  <c r="DB37" i="2" s="1"/>
  <c r="DB36" i="2" a="1"/>
  <c r="DB36" i="2" s="1"/>
  <c r="DB34" i="2" a="1"/>
  <c r="DB34" i="2" s="1"/>
  <c r="DB26" i="2" a="1"/>
  <c r="DB26" i="2" s="1"/>
  <c r="DB31" i="2" a="1"/>
  <c r="DB31" i="2" s="1"/>
  <c r="DB30" i="2" a="1"/>
  <c r="DB30" i="2" s="1"/>
  <c r="DB33" i="2" a="1"/>
  <c r="DB33" i="2" s="1"/>
  <c r="DB29" i="2" a="1"/>
  <c r="DB29" i="2" s="1"/>
  <c r="DB25" i="2" a="1"/>
  <c r="DB25" i="2" s="1"/>
  <c r="DB28" i="2" a="1"/>
  <c r="DB28" i="2" s="1"/>
  <c r="DB32" i="2" a="1"/>
  <c r="DB32" i="2" s="1"/>
  <c r="DB27" i="2" a="1"/>
  <c r="DB27" i="2" s="1"/>
  <c r="DB17" i="2" a="1"/>
  <c r="DB17" i="2" s="1"/>
  <c r="DB24" i="2" a="1"/>
  <c r="DB24" i="2" s="1"/>
  <c r="DB23" i="2" a="1"/>
  <c r="DB23" i="2" s="1"/>
  <c r="DB22" i="2" a="1"/>
  <c r="DB22" i="2" s="1"/>
  <c r="DB21" i="2" a="1"/>
  <c r="DB21" i="2" s="1"/>
  <c r="DB20" i="2" a="1"/>
  <c r="DB20" i="2" s="1"/>
  <c r="DB19" i="2" a="1"/>
  <c r="DB19" i="2" s="1"/>
  <c r="DB18" i="2" a="1"/>
  <c r="DB18" i="2" s="1"/>
  <c r="DB16" i="2" a="1"/>
  <c r="DB16" i="2" s="1"/>
  <c r="DB15" i="2" a="1"/>
  <c r="DB15" i="2" s="1"/>
  <c r="DB13" i="2" a="1"/>
  <c r="DB13" i="2" s="1"/>
  <c r="DB12" i="2" a="1"/>
  <c r="DB12" i="2" s="1"/>
  <c r="DB8" i="2" a="1"/>
  <c r="DB8" i="2" s="1"/>
  <c r="DB11" i="2" a="1"/>
  <c r="DB11" i="2" s="1"/>
  <c r="DB7" i="2" a="1"/>
  <c r="DB7" i="2" s="1"/>
  <c r="DB9" i="2" a="1"/>
  <c r="DB9" i="2" s="1"/>
  <c r="DB14" i="2" a="1"/>
  <c r="DB14" i="2" s="1"/>
  <c r="DB10" i="2" a="1"/>
  <c r="DB10" i="2" s="1"/>
  <c r="DB4" i="2" a="1"/>
  <c r="DB4" i="2" s="1"/>
  <c r="DB6" i="2" a="1"/>
  <c r="DB6" i="2" s="1"/>
  <c r="DB5" i="2" a="1"/>
  <c r="DB5" i="2" s="1"/>
  <c r="DD99" i="2" a="1"/>
  <c r="DD99" i="2" s="1"/>
  <c r="DD103" i="2" a="1"/>
  <c r="DD103" i="2" s="1"/>
  <c r="DD102" i="2" a="1"/>
  <c r="DD102" i="2" s="1"/>
  <c r="DD101" i="2" a="1"/>
  <c r="DD101" i="2" s="1"/>
  <c r="DD100" i="2" a="1"/>
  <c r="DD100" i="2" s="1"/>
  <c r="DD97" i="2" a="1"/>
  <c r="DD97" i="2" s="1"/>
  <c r="DD95" i="2" a="1"/>
  <c r="DD95" i="2" s="1"/>
  <c r="DD98" i="2" a="1"/>
  <c r="DD98" i="2" s="1"/>
  <c r="DD96" i="2" a="1"/>
  <c r="DD96" i="2" s="1"/>
  <c r="DD94" i="2" a="1"/>
  <c r="DD94" i="2" s="1"/>
  <c r="DD93" i="2" a="1"/>
  <c r="DD93" i="2" s="1"/>
  <c r="DD92" i="2" a="1"/>
  <c r="DD92" i="2" s="1"/>
  <c r="DD90" i="2" a="1"/>
  <c r="DD90" i="2" s="1"/>
  <c r="DD89" i="2" a="1"/>
  <c r="DD89" i="2" s="1"/>
  <c r="DD91" i="2" a="1"/>
  <c r="DD91" i="2" s="1"/>
  <c r="DD88" i="2" a="1"/>
  <c r="DD88" i="2" s="1"/>
  <c r="DD86" i="2" a="1"/>
  <c r="DD86" i="2" s="1"/>
  <c r="DD85" i="2" a="1"/>
  <c r="DD85" i="2" s="1"/>
  <c r="DD84" i="2" a="1"/>
  <c r="DD84" i="2" s="1"/>
  <c r="DD87" i="2" a="1"/>
  <c r="DD87" i="2" s="1"/>
  <c r="DD83" i="2" a="1"/>
  <c r="DD83" i="2" s="1"/>
  <c r="DD82" i="2" a="1"/>
  <c r="DD82" i="2" s="1"/>
  <c r="DD81" i="2" a="1"/>
  <c r="DD81" i="2" s="1"/>
  <c r="DD80" i="2" a="1"/>
  <c r="DD80" i="2" s="1"/>
  <c r="DD76" i="2" a="1"/>
  <c r="DD76" i="2" s="1"/>
  <c r="DD77" i="2" a="1"/>
  <c r="DD77" i="2" s="1"/>
  <c r="DD78" i="2" a="1"/>
  <c r="DD78" i="2" s="1"/>
  <c r="DD79" i="2" a="1"/>
  <c r="DD79" i="2" s="1"/>
  <c r="DD74" i="2" a="1"/>
  <c r="DD74" i="2" s="1"/>
  <c r="DD71" i="2" a="1"/>
  <c r="DD71" i="2" s="1"/>
  <c r="DD73" i="2" a="1"/>
  <c r="DD73" i="2" s="1"/>
  <c r="DD75" i="2" a="1"/>
  <c r="DD75" i="2" s="1"/>
  <c r="DD72" i="2" a="1"/>
  <c r="DD72" i="2" s="1"/>
  <c r="DD70" i="2" a="1"/>
  <c r="DD70" i="2" s="1"/>
  <c r="DD69" i="2" a="1"/>
  <c r="DD69" i="2" s="1"/>
  <c r="DD68" i="2" a="1"/>
  <c r="DD68" i="2" s="1"/>
  <c r="DD64" i="2" a="1"/>
  <c r="DD64" i="2" s="1"/>
  <c r="DD63" i="2" a="1"/>
  <c r="DD63" i="2" s="1"/>
  <c r="DD66" i="2" a="1"/>
  <c r="DD66" i="2" s="1"/>
  <c r="DD67" i="2" a="1"/>
  <c r="DD67" i="2" s="1"/>
  <c r="DD65" i="2" a="1"/>
  <c r="DD65" i="2" s="1"/>
  <c r="DD62" i="2" a="1"/>
  <c r="DD62" i="2" s="1"/>
  <c r="DD61" i="2" a="1"/>
  <c r="DD61" i="2" s="1"/>
  <c r="DD60" i="2" a="1"/>
  <c r="DD60" i="2" s="1"/>
  <c r="DD59" i="2" a="1"/>
  <c r="DD59" i="2" s="1"/>
  <c r="DD58" i="2" a="1"/>
  <c r="DD58" i="2" s="1"/>
  <c r="DD57" i="2" a="1"/>
  <c r="DD57" i="2" s="1"/>
  <c r="DD51" i="2" a="1"/>
  <c r="DD51" i="2" s="1"/>
  <c r="DD50" i="2" a="1"/>
  <c r="DD50" i="2" s="1"/>
  <c r="DD52" i="2" a="1"/>
  <c r="DD52" i="2" s="1"/>
  <c r="DD49" i="2" a="1"/>
  <c r="DD49" i="2" s="1"/>
  <c r="DD54" i="2" a="1"/>
  <c r="DD54" i="2" s="1"/>
  <c r="DD53" i="2" a="1"/>
  <c r="DD53" i="2" s="1"/>
  <c r="DD48" i="2" a="1"/>
  <c r="DD48" i="2" s="1"/>
  <c r="DD56" i="2" a="1"/>
  <c r="DD56" i="2" s="1"/>
  <c r="DD55" i="2" a="1"/>
  <c r="DD55" i="2" s="1"/>
  <c r="DD44" i="2" a="1"/>
  <c r="DD44" i="2" s="1"/>
  <c r="DD43" i="2" a="1"/>
  <c r="DD43" i="2" s="1"/>
  <c r="DD46" i="2" a="1"/>
  <c r="DD46" i="2" s="1"/>
  <c r="DD45" i="2" a="1"/>
  <c r="DD45" i="2" s="1"/>
  <c r="DD42" i="2" a="1"/>
  <c r="DD42" i="2" s="1"/>
  <c r="DD40" i="2" a="1"/>
  <c r="DD40" i="2" s="1"/>
  <c r="DD47" i="2" a="1"/>
  <c r="DD47" i="2" s="1"/>
  <c r="DD41" i="2" a="1"/>
  <c r="DD41" i="2" s="1"/>
  <c r="DD38" i="2" a="1"/>
  <c r="DD38" i="2" s="1"/>
  <c r="DD37" i="2" a="1"/>
  <c r="DD37" i="2" s="1"/>
  <c r="DD36" i="2" a="1"/>
  <c r="DD36" i="2" s="1"/>
  <c r="DD34" i="2" a="1"/>
  <c r="DD34" i="2" s="1"/>
  <c r="DD39" i="2" a="1"/>
  <c r="DD39" i="2" s="1"/>
  <c r="DD35" i="2" a="1"/>
  <c r="DD35" i="2" s="1"/>
  <c r="DD29" i="2" a="1"/>
  <c r="DD29" i="2" s="1"/>
  <c r="DD33" i="2" a="1"/>
  <c r="DD33" i="2" s="1"/>
  <c r="DD25" i="2" a="1"/>
  <c r="DD25" i="2" s="1"/>
  <c r="DD28" i="2" a="1"/>
  <c r="DD28" i="2" s="1"/>
  <c r="DD32" i="2" a="1"/>
  <c r="DD32" i="2" s="1"/>
  <c r="DD27" i="2" a="1"/>
  <c r="DD27" i="2" s="1"/>
  <c r="DD26" i="2" a="1"/>
  <c r="DD26" i="2" s="1"/>
  <c r="DD31" i="2" a="1"/>
  <c r="DD31" i="2" s="1"/>
  <c r="DD30" i="2" a="1"/>
  <c r="DD30" i="2" s="1"/>
  <c r="DD24" i="2" a="1"/>
  <c r="DD24" i="2" s="1"/>
  <c r="DD23" i="2" a="1"/>
  <c r="DD23" i="2" s="1"/>
  <c r="DD22" i="2" a="1"/>
  <c r="DD22" i="2" s="1"/>
  <c r="DD21" i="2" a="1"/>
  <c r="DD21" i="2" s="1"/>
  <c r="DD20" i="2" a="1"/>
  <c r="DD20" i="2" s="1"/>
  <c r="DD19" i="2" a="1"/>
  <c r="DD19" i="2" s="1"/>
  <c r="DD18" i="2" a="1"/>
  <c r="DD18" i="2" s="1"/>
  <c r="DD16" i="2" a="1"/>
  <c r="DD16" i="2" s="1"/>
  <c r="DD15" i="2" a="1"/>
  <c r="DD15" i="2" s="1"/>
  <c r="DD17" i="2" a="1"/>
  <c r="DD17" i="2" s="1"/>
  <c r="DD12" i="2" a="1"/>
  <c r="DD12" i="2" s="1"/>
  <c r="DD8" i="2" a="1"/>
  <c r="DD8" i="2" s="1"/>
  <c r="DD11" i="2" a="1"/>
  <c r="DD11" i="2" s="1"/>
  <c r="DD10" i="2" a="1"/>
  <c r="DD10" i="2" s="1"/>
  <c r="DD9" i="2" a="1"/>
  <c r="DD9" i="2" s="1"/>
  <c r="DD14" i="2" a="1"/>
  <c r="DD14" i="2" s="1"/>
  <c r="DD13" i="2" a="1"/>
  <c r="DD13" i="2" s="1"/>
  <c r="DD6" i="2" a="1"/>
  <c r="DD6" i="2" s="1"/>
  <c r="DD4" i="2" a="1"/>
  <c r="DD4" i="2" s="1"/>
  <c r="DD5" i="2" a="1"/>
  <c r="DD5" i="2" s="1"/>
  <c r="DD7" i="2" a="1"/>
  <c r="DD7" i="2" s="1"/>
  <c r="DA100" i="2" a="1"/>
  <c r="DA100" i="2" s="1"/>
  <c r="DA99" i="2" a="1"/>
  <c r="DA99" i="2" s="1"/>
  <c r="DA103" i="2" a="1"/>
  <c r="DA103" i="2" s="1"/>
  <c r="DA102" i="2" a="1"/>
  <c r="DA102" i="2" s="1"/>
  <c r="DA101" i="2" a="1"/>
  <c r="DA101" i="2" s="1"/>
  <c r="DA98" i="2" a="1"/>
  <c r="DA98" i="2" s="1"/>
  <c r="DA97" i="2" a="1"/>
  <c r="DA97" i="2" s="1"/>
  <c r="DA96" i="2" a="1"/>
  <c r="DA96" i="2" s="1"/>
  <c r="DA95" i="2" a="1"/>
  <c r="DA95" i="2" s="1"/>
  <c r="DA92" i="2" a="1"/>
  <c r="DA92" i="2" s="1"/>
  <c r="DA94" i="2" a="1"/>
  <c r="DA94" i="2" s="1"/>
  <c r="DA93" i="2" a="1"/>
  <c r="DA93" i="2" s="1"/>
  <c r="DA90" i="2" a="1"/>
  <c r="DA90" i="2" s="1"/>
  <c r="DA89" i="2" a="1"/>
  <c r="DA89" i="2" s="1"/>
  <c r="DA91" i="2" a="1"/>
  <c r="DA91" i="2" s="1"/>
  <c r="DA88" i="2" a="1"/>
  <c r="DA88" i="2" s="1"/>
  <c r="DA85" i="2" a="1"/>
  <c r="DA85" i="2" s="1"/>
  <c r="DA84" i="2" a="1"/>
  <c r="DA84" i="2" s="1"/>
  <c r="DA87" i="2" a="1"/>
  <c r="DA87" i="2" s="1"/>
  <c r="DA86" i="2" a="1"/>
  <c r="DA86" i="2" s="1"/>
  <c r="DA81" i="2" a="1"/>
  <c r="DA81" i="2" s="1"/>
  <c r="DA80" i="2" a="1"/>
  <c r="DA80" i="2" s="1"/>
  <c r="DA83" i="2" a="1"/>
  <c r="DA83" i="2" s="1"/>
  <c r="DA82" i="2" a="1"/>
  <c r="DA82" i="2" s="1"/>
  <c r="DA79" i="2" a="1"/>
  <c r="DA79" i="2" s="1"/>
  <c r="DA76" i="2" a="1"/>
  <c r="DA76" i="2" s="1"/>
  <c r="DA77" i="2" a="1"/>
  <c r="DA77" i="2" s="1"/>
  <c r="DA78" i="2" a="1"/>
  <c r="DA78" i="2" s="1"/>
  <c r="DA75" i="2" a="1"/>
  <c r="DA75" i="2" s="1"/>
  <c r="DA72" i="2" a="1"/>
  <c r="DA72" i="2" s="1"/>
  <c r="DA74" i="2" a="1"/>
  <c r="DA74" i="2" s="1"/>
  <c r="DA73" i="2" a="1"/>
  <c r="DA73" i="2" s="1"/>
  <c r="DA69" i="2" a="1"/>
  <c r="DA69" i="2" s="1"/>
  <c r="DA68" i="2" a="1"/>
  <c r="DA68" i="2" s="1"/>
  <c r="DA70" i="2" a="1"/>
  <c r="DA70" i="2" s="1"/>
  <c r="DA71" i="2" a="1"/>
  <c r="DA71" i="2" s="1"/>
  <c r="DA65" i="2" a="1"/>
  <c r="DA65" i="2" s="1"/>
  <c r="DA64" i="2" a="1"/>
  <c r="DA64" i="2" s="1"/>
  <c r="DA66" i="2" a="1"/>
  <c r="DA66" i="2" s="1"/>
  <c r="DA63" i="2" a="1"/>
  <c r="DA63" i="2" s="1"/>
  <c r="DA67" i="2" a="1"/>
  <c r="DA67" i="2" s="1"/>
  <c r="DA62" i="2" a="1"/>
  <c r="DA62" i="2" s="1"/>
  <c r="DA61" i="2" a="1"/>
  <c r="DA61" i="2" s="1"/>
  <c r="DA60" i="2" a="1"/>
  <c r="DA60" i="2" s="1"/>
  <c r="DA59" i="2" a="1"/>
  <c r="DA59" i="2" s="1"/>
  <c r="DA57" i="2" a="1"/>
  <c r="DA57" i="2" s="1"/>
  <c r="DA56" i="2" a="1"/>
  <c r="DA56" i="2" s="1"/>
  <c r="DA58" i="2" a="1"/>
  <c r="DA58" i="2" s="1"/>
  <c r="DA55" i="2" a="1"/>
  <c r="DA55" i="2" s="1"/>
  <c r="DA51" i="2" a="1"/>
  <c r="DA51" i="2" s="1"/>
  <c r="DA50" i="2" a="1"/>
  <c r="DA50" i="2" s="1"/>
  <c r="DA49" i="2" a="1"/>
  <c r="DA49" i="2" s="1"/>
  <c r="DA53" i="2" a="1"/>
  <c r="DA53" i="2" s="1"/>
  <c r="DA52" i="2" a="1"/>
  <c r="DA52" i="2" s="1"/>
  <c r="DA54" i="2" a="1"/>
  <c r="DA54" i="2" s="1"/>
  <c r="DA48" i="2" a="1"/>
  <c r="DA48" i="2" s="1"/>
  <c r="DA47" i="2" a="1"/>
  <c r="DA47" i="2" s="1"/>
  <c r="DA40" i="2" a="1"/>
  <c r="DA40" i="2" s="1"/>
  <c r="DA41" i="2" a="1"/>
  <c r="DA41" i="2" s="1"/>
  <c r="DA44" i="2" a="1"/>
  <c r="DA44" i="2" s="1"/>
  <c r="DA46" i="2" a="1"/>
  <c r="DA46" i="2" s="1"/>
  <c r="DA43" i="2" a="1"/>
  <c r="DA43" i="2" s="1"/>
  <c r="DA42" i="2" a="1"/>
  <c r="DA42" i="2" s="1"/>
  <c r="DA45" i="2" a="1"/>
  <c r="DA45" i="2" s="1"/>
  <c r="DA36" i="2" a="1"/>
  <c r="DA36" i="2" s="1"/>
  <c r="DA34" i="2" a="1"/>
  <c r="DA34" i="2" s="1"/>
  <c r="DA39" i="2" a="1"/>
  <c r="DA39" i="2" s="1"/>
  <c r="DA35" i="2" a="1"/>
  <c r="DA35" i="2" s="1"/>
  <c r="DA38" i="2" a="1"/>
  <c r="DA38" i="2" s="1"/>
  <c r="DA33" i="2" a="1"/>
  <c r="DA33" i="2" s="1"/>
  <c r="DA37" i="2" a="1"/>
  <c r="DA37" i="2" s="1"/>
  <c r="DA26" i="2" a="1"/>
  <c r="DA26" i="2" s="1"/>
  <c r="DA31" i="2" a="1"/>
  <c r="DA31" i="2" s="1"/>
  <c r="DA30" i="2" a="1"/>
  <c r="DA30" i="2" s="1"/>
  <c r="DA29" i="2" a="1"/>
  <c r="DA29" i="2" s="1"/>
  <c r="DA25" i="2" a="1"/>
  <c r="DA25" i="2" s="1"/>
  <c r="DA28" i="2" a="1"/>
  <c r="DA28" i="2" s="1"/>
  <c r="DA32" i="2" a="1"/>
  <c r="DA32" i="2" s="1"/>
  <c r="DA27" i="2" a="1"/>
  <c r="DA27" i="2" s="1"/>
  <c r="DA17" i="2" a="1"/>
  <c r="DA17" i="2" s="1"/>
  <c r="DA24" i="2" a="1"/>
  <c r="DA24" i="2" s="1"/>
  <c r="DA23" i="2" a="1"/>
  <c r="DA23" i="2" s="1"/>
  <c r="DA22" i="2" a="1"/>
  <c r="DA22" i="2" s="1"/>
  <c r="DA21" i="2" a="1"/>
  <c r="DA21" i="2" s="1"/>
  <c r="DA20" i="2" a="1"/>
  <c r="DA20" i="2" s="1"/>
  <c r="DA19" i="2" a="1"/>
  <c r="DA19" i="2" s="1"/>
  <c r="DA18" i="2" a="1"/>
  <c r="DA18" i="2" s="1"/>
  <c r="DA16" i="2" a="1"/>
  <c r="DA16" i="2" s="1"/>
  <c r="DA15" i="2" a="1"/>
  <c r="DA15" i="2" s="1"/>
  <c r="DA13" i="2" a="1"/>
  <c r="DA13" i="2" s="1"/>
  <c r="DA12" i="2" a="1"/>
  <c r="DA12" i="2" s="1"/>
  <c r="DA8" i="2" a="1"/>
  <c r="DA8" i="2" s="1"/>
  <c r="DA11" i="2" a="1"/>
  <c r="DA11" i="2" s="1"/>
  <c r="DA9" i="2" a="1"/>
  <c r="DA9" i="2" s="1"/>
  <c r="DA14" i="2" a="1"/>
  <c r="DA14" i="2" s="1"/>
  <c r="DA10" i="2" a="1"/>
  <c r="DA10" i="2" s="1"/>
  <c r="DA4" i="2" a="1"/>
  <c r="DA4" i="2" s="1"/>
  <c r="DE115" i="2" s="1"/>
  <c r="DA6" i="2" a="1"/>
  <c r="DA6" i="2" s="1"/>
  <c r="DA7" i="2" a="1"/>
  <c r="DA7" i="2" s="1"/>
  <c r="DA5" i="2" a="1"/>
  <c r="DA5" i="2" s="1"/>
  <c r="BH120" i="2"/>
  <c r="GN8" i="2" s="1"/>
  <c r="X120" i="2"/>
  <c r="GN5" i="2" s="1"/>
  <c r="CG117" i="2"/>
  <c r="CS115" i="2"/>
  <c r="CS117" i="2"/>
  <c r="CG116" i="2"/>
  <c r="CS116" i="2"/>
  <c r="CG115" i="2"/>
  <c r="N104" i="2"/>
  <c r="F104" i="2"/>
  <c r="H104" i="2"/>
  <c r="D104" i="2"/>
  <c r="J104" i="2"/>
  <c r="R104" i="2"/>
  <c r="P104" i="2"/>
  <c r="V104" i="2"/>
  <c r="L104" i="2"/>
  <c r="T104" i="2"/>
  <c r="Z104" i="2"/>
  <c r="CO104" i="2"/>
  <c r="CG104" i="2"/>
  <c r="BY104" i="2"/>
  <c r="BQ104" i="2"/>
  <c r="BI104" i="2"/>
  <c r="BA104" i="2"/>
  <c r="AS104" i="2"/>
  <c r="AK104" i="2"/>
  <c r="AC104" i="2"/>
  <c r="U104" i="2"/>
  <c r="M104" i="2"/>
  <c r="GB10" i="2"/>
  <c r="CR104" i="2"/>
  <c r="CJ104" i="2"/>
  <c r="CB104" i="2"/>
  <c r="BT104" i="2"/>
  <c r="BL104" i="2"/>
  <c r="BD104" i="2"/>
  <c r="AV104" i="2"/>
  <c r="AN104" i="2"/>
  <c r="AF104" i="2"/>
  <c r="DG1" i="2"/>
  <c r="GB7" i="2"/>
  <c r="GB23" i="2"/>
  <c r="GB18" i="2"/>
  <c r="GB13" i="2"/>
  <c r="GB29" i="2"/>
  <c r="GB24" i="2"/>
  <c r="GB36" i="2"/>
  <c r="GB39" i="2"/>
  <c r="GB42" i="2"/>
  <c r="GB49" i="2"/>
  <c r="GB51" i="2"/>
  <c r="GB52" i="2"/>
  <c r="DF1" i="2"/>
  <c r="CM104" i="2"/>
  <c r="CE104" i="2"/>
  <c r="BW104" i="2"/>
  <c r="BO104" i="2"/>
  <c r="BG104" i="2"/>
  <c r="AY104" i="2"/>
  <c r="AQ104" i="2"/>
  <c r="AI104" i="2"/>
  <c r="AA104" i="2"/>
  <c r="S104" i="2"/>
  <c r="K104" i="2"/>
  <c r="DP1" i="2"/>
  <c r="CP104" i="2"/>
  <c r="CH104" i="2"/>
  <c r="BZ104" i="2"/>
  <c r="BR104" i="2"/>
  <c r="BJ104" i="2"/>
  <c r="BB104" i="2"/>
  <c r="AT104" i="2"/>
  <c r="AL104" i="2"/>
  <c r="AD104" i="2"/>
  <c r="GB27" i="2"/>
  <c r="GB22" i="2"/>
  <c r="GB17" i="2"/>
  <c r="GB12" i="2"/>
  <c r="GB28" i="2"/>
  <c r="GB40" i="2"/>
  <c r="GB43" i="2"/>
  <c r="GB37" i="2"/>
  <c r="GB53" i="2"/>
  <c r="GB46" i="2"/>
  <c r="I104" i="2"/>
  <c r="DQ1" i="2"/>
  <c r="CS104" i="2"/>
  <c r="CK104" i="2"/>
  <c r="CC104" i="2"/>
  <c r="BU104" i="2"/>
  <c r="BM104" i="2"/>
  <c r="BE104" i="2"/>
  <c r="AW104" i="2"/>
  <c r="AO104" i="2"/>
  <c r="AG104" i="2"/>
  <c r="Y104" i="2"/>
  <c r="Q104" i="2"/>
  <c r="G104" i="2"/>
  <c r="DL1" i="2"/>
  <c r="GB6" i="2"/>
  <c r="CN104" i="2"/>
  <c r="CF104" i="2"/>
  <c r="BX104" i="2"/>
  <c r="BP104" i="2"/>
  <c r="BH104" i="2"/>
  <c r="AZ104" i="2"/>
  <c r="AR104" i="2"/>
  <c r="AJ104" i="2"/>
  <c r="AB104" i="2"/>
  <c r="DO1" i="2"/>
  <c r="GB15" i="2"/>
  <c r="GB31" i="2"/>
  <c r="GB26" i="2"/>
  <c r="GB21" i="2"/>
  <c r="GB16" i="2"/>
  <c r="GB32" i="2"/>
  <c r="GB44" i="2"/>
  <c r="GB34" i="2"/>
  <c r="GB41" i="2"/>
  <c r="GB48" i="2"/>
  <c r="GB50" i="2"/>
  <c r="DN1" i="2"/>
  <c r="E104" i="2"/>
  <c r="DM1" i="2"/>
  <c r="CQ104" i="2"/>
  <c r="CI104" i="2"/>
  <c r="CA104" i="2"/>
  <c r="BS104" i="2"/>
  <c r="BK104" i="2"/>
  <c r="BC104" i="2"/>
  <c r="AU104" i="2"/>
  <c r="AM104" i="2"/>
  <c r="AE104" i="2"/>
  <c r="W104" i="2"/>
  <c r="O104" i="2"/>
  <c r="C104" i="2"/>
  <c r="DH1" i="2"/>
  <c r="CL104" i="2"/>
  <c r="CD104" i="2"/>
  <c r="BV104" i="2"/>
  <c r="BN104" i="2"/>
  <c r="BF104" i="2"/>
  <c r="AX104" i="2"/>
  <c r="AP104" i="2"/>
  <c r="AH104" i="2"/>
  <c r="X104" i="2"/>
  <c r="DK1" i="2"/>
  <c r="GB19" i="2"/>
  <c r="GB14" i="2"/>
  <c r="GB30" i="2"/>
  <c r="GB25" i="2"/>
  <c r="GB20" i="2"/>
  <c r="GB33" i="2"/>
  <c r="GB35" i="2"/>
  <c r="GB38" i="2"/>
  <c r="GB45" i="2"/>
  <c r="GB47" i="2"/>
  <c r="GB54" i="2"/>
  <c r="DJ1" i="2"/>
  <c r="DI1" i="2"/>
  <c r="B104" i="2"/>
  <c r="GQ5" i="2" l="1"/>
  <c r="GQ8" i="2"/>
  <c r="GQ10" i="2"/>
  <c r="GR10" i="2" s="1"/>
  <c r="GQ11" i="2"/>
  <c r="GR11" i="2" s="1"/>
  <c r="GQ6" i="2"/>
  <c r="DI100" i="2" a="1"/>
  <c r="DI100" i="2" s="1"/>
  <c r="DI103" i="2" a="1"/>
  <c r="DI103" i="2" s="1"/>
  <c r="DI102" i="2" a="1"/>
  <c r="DI102" i="2" s="1"/>
  <c r="DI101" i="2" a="1"/>
  <c r="DI101" i="2" s="1"/>
  <c r="DI99" i="2" a="1"/>
  <c r="DI99" i="2" s="1"/>
  <c r="DI98" i="2" a="1"/>
  <c r="DI98" i="2" s="1"/>
  <c r="DI97" i="2" a="1"/>
  <c r="DI97" i="2" s="1"/>
  <c r="DI96" i="2" a="1"/>
  <c r="DI96" i="2" s="1"/>
  <c r="DI93" i="2" a="1"/>
  <c r="DI93" i="2" s="1"/>
  <c r="DI92" i="2" a="1"/>
  <c r="DI92" i="2" s="1"/>
  <c r="DI95" i="2" a="1"/>
  <c r="DI95" i="2" s="1"/>
  <c r="DI94" i="2" a="1"/>
  <c r="DI94" i="2" s="1"/>
  <c r="DI90" i="2" a="1"/>
  <c r="DI90" i="2" s="1"/>
  <c r="DI89" i="2" a="1"/>
  <c r="DI89" i="2" s="1"/>
  <c r="DI91" i="2" a="1"/>
  <c r="DI91" i="2" s="1"/>
  <c r="DI88" i="2" a="1"/>
  <c r="DI88" i="2" s="1"/>
  <c r="DI86" i="2" a="1"/>
  <c r="DI86" i="2" s="1"/>
  <c r="DI87" i="2" a="1"/>
  <c r="DI87" i="2" s="1"/>
  <c r="DI84" i="2" a="1"/>
  <c r="DI84" i="2" s="1"/>
  <c r="DI85" i="2" a="1"/>
  <c r="DI85" i="2" s="1"/>
  <c r="DI83" i="2" a="1"/>
  <c r="DI83" i="2" s="1"/>
  <c r="DI82" i="2" a="1"/>
  <c r="DI82" i="2" s="1"/>
  <c r="DI81" i="2" a="1"/>
  <c r="DI81" i="2" s="1"/>
  <c r="DI80" i="2" a="1"/>
  <c r="DI80" i="2" s="1"/>
  <c r="DI76" i="2" a="1"/>
  <c r="DI76" i="2" s="1"/>
  <c r="DI79" i="2" a="1"/>
  <c r="DI79" i="2" s="1"/>
  <c r="DI77" i="2" a="1"/>
  <c r="DI77" i="2" s="1"/>
  <c r="DI78" i="2" a="1"/>
  <c r="DI78" i="2" s="1"/>
  <c r="DI75" i="2" a="1"/>
  <c r="DI75" i="2" s="1"/>
  <c r="DI74" i="2" a="1"/>
  <c r="DI74" i="2" s="1"/>
  <c r="DI72" i="2" a="1"/>
  <c r="DI72" i="2" s="1"/>
  <c r="DI73" i="2" a="1"/>
  <c r="DI73" i="2" s="1"/>
  <c r="DI69" i="2" a="1"/>
  <c r="DI69" i="2" s="1"/>
  <c r="DI68" i="2" a="1"/>
  <c r="DI68" i="2" s="1"/>
  <c r="DI70" i="2" a="1"/>
  <c r="DI70" i="2" s="1"/>
  <c r="DI71" i="2" a="1"/>
  <c r="DI71" i="2" s="1"/>
  <c r="DI65" i="2" a="1"/>
  <c r="DI65" i="2" s="1"/>
  <c r="DI66" i="2" a="1"/>
  <c r="DI66" i="2" s="1"/>
  <c r="DI64" i="2" a="1"/>
  <c r="DI64" i="2" s="1"/>
  <c r="DI67" i="2" a="1"/>
  <c r="DI67" i="2" s="1"/>
  <c r="DI62" i="2" a="1"/>
  <c r="DI62" i="2" s="1"/>
  <c r="DI61" i="2" a="1"/>
  <c r="DI61" i="2" s="1"/>
  <c r="DI60" i="2" a="1"/>
  <c r="DI60" i="2" s="1"/>
  <c r="DI63" i="2" a="1"/>
  <c r="DI63" i="2" s="1"/>
  <c r="DI57" i="2" a="1"/>
  <c r="DI57" i="2" s="1"/>
  <c r="DI59" i="2" a="1"/>
  <c r="DI59" i="2" s="1"/>
  <c r="DI56" i="2" a="1"/>
  <c r="DI56" i="2" s="1"/>
  <c r="DI58" i="2" a="1"/>
  <c r="DI58" i="2" s="1"/>
  <c r="DI54" i="2" a="1"/>
  <c r="DI54" i="2" s="1"/>
  <c r="DI55" i="2" a="1"/>
  <c r="DI55" i="2" s="1"/>
  <c r="DI51" i="2" a="1"/>
  <c r="DI51" i="2" s="1"/>
  <c r="DI50" i="2" a="1"/>
  <c r="DI50" i="2" s="1"/>
  <c r="DI52" i="2" a="1"/>
  <c r="DI52" i="2" s="1"/>
  <c r="DI49" i="2" a="1"/>
  <c r="DI49" i="2" s="1"/>
  <c r="DI53" i="2" a="1"/>
  <c r="DI53" i="2" s="1"/>
  <c r="DI48" i="2" a="1"/>
  <c r="DI48" i="2" s="1"/>
  <c r="DI40" i="2" a="1"/>
  <c r="DI40" i="2" s="1"/>
  <c r="DI47" i="2" a="1"/>
  <c r="DI47" i="2" s="1"/>
  <c r="DI41" i="2" a="1"/>
  <c r="DI41" i="2" s="1"/>
  <c r="DI44" i="2" a="1"/>
  <c r="DI44" i="2" s="1"/>
  <c r="DI43" i="2" a="1"/>
  <c r="DI43" i="2" s="1"/>
  <c r="DI46" i="2" a="1"/>
  <c r="DI46" i="2" s="1"/>
  <c r="DI45" i="2" a="1"/>
  <c r="DI45" i="2" s="1"/>
  <c r="DI42" i="2" a="1"/>
  <c r="DI42" i="2" s="1"/>
  <c r="DI36" i="2" a="1"/>
  <c r="DI36" i="2" s="1"/>
  <c r="DI39" i="2" a="1"/>
  <c r="DI39" i="2" s="1"/>
  <c r="DI34" i="2" a="1"/>
  <c r="DI34" i="2" s="1"/>
  <c r="DI35" i="2" a="1"/>
  <c r="DI35" i="2" s="1"/>
  <c r="DI38" i="2" a="1"/>
  <c r="DI38" i="2" s="1"/>
  <c r="DI37" i="2" a="1"/>
  <c r="DI37" i="2" s="1"/>
  <c r="DI33" i="2" a="1"/>
  <c r="DI33" i="2" s="1"/>
  <c r="DI26" i="2" a="1"/>
  <c r="DI26" i="2" s="1"/>
  <c r="DI30" i="2" a="1"/>
  <c r="DI30" i="2" s="1"/>
  <c r="DI31" i="2" a="1"/>
  <c r="DI31" i="2" s="1"/>
  <c r="DI29" i="2" a="1"/>
  <c r="DI29" i="2" s="1"/>
  <c r="DI28" i="2" a="1"/>
  <c r="DI28" i="2" s="1"/>
  <c r="DI32" i="2" a="1"/>
  <c r="DI32" i="2" s="1"/>
  <c r="DI27" i="2" a="1"/>
  <c r="DI27" i="2" s="1"/>
  <c r="DI15" i="2" a="1"/>
  <c r="DI15" i="2" s="1"/>
  <c r="DI17" i="2" a="1"/>
  <c r="DI17" i="2" s="1"/>
  <c r="DI25" i="2" a="1"/>
  <c r="DI25" i="2" s="1"/>
  <c r="DI24" i="2" a="1"/>
  <c r="DI24" i="2" s="1"/>
  <c r="DI23" i="2" a="1"/>
  <c r="DI23" i="2" s="1"/>
  <c r="DI22" i="2" a="1"/>
  <c r="DI22" i="2" s="1"/>
  <c r="DI21" i="2" a="1"/>
  <c r="DI21" i="2" s="1"/>
  <c r="DI20" i="2" a="1"/>
  <c r="DI20" i="2" s="1"/>
  <c r="DI19" i="2" a="1"/>
  <c r="DI19" i="2" s="1"/>
  <c r="DI18" i="2" a="1"/>
  <c r="DI18" i="2" s="1"/>
  <c r="DI16" i="2" a="1"/>
  <c r="DI16" i="2" s="1"/>
  <c r="DI14" i="2" a="1"/>
  <c r="DI14" i="2" s="1"/>
  <c r="DI13" i="2" a="1"/>
  <c r="DI13" i="2" s="1"/>
  <c r="DI12" i="2" a="1"/>
  <c r="DI12" i="2" s="1"/>
  <c r="DI8" i="2" a="1"/>
  <c r="DI8" i="2" s="1"/>
  <c r="DI11" i="2" a="1"/>
  <c r="DI11" i="2" s="1"/>
  <c r="DI9" i="2" a="1"/>
  <c r="DI9" i="2" s="1"/>
  <c r="DI10" i="2" a="1"/>
  <c r="DI10" i="2" s="1"/>
  <c r="DI5" i="2" a="1"/>
  <c r="DI5" i="2" s="1"/>
  <c r="DI7" i="2" a="1"/>
  <c r="DI7" i="2" s="1"/>
  <c r="DI6" i="2" a="1"/>
  <c r="DI6" i="2" s="1"/>
  <c r="DI4" i="2" a="1"/>
  <c r="DI4" i="2" s="1"/>
  <c r="DU1" i="2"/>
  <c r="DM100" i="2" a="1"/>
  <c r="DM100" i="2" s="1"/>
  <c r="DM103" i="2" a="1"/>
  <c r="DM103" i="2" s="1"/>
  <c r="DM102" i="2" a="1"/>
  <c r="DM102" i="2" s="1"/>
  <c r="DM101" i="2" a="1"/>
  <c r="DM101" i="2" s="1"/>
  <c r="DM99" i="2" a="1"/>
  <c r="DM99" i="2" s="1"/>
  <c r="DM95" i="2" a="1"/>
  <c r="DM95" i="2" s="1"/>
  <c r="DM98" i="2" a="1"/>
  <c r="DM98" i="2" s="1"/>
  <c r="DM96" i="2" a="1"/>
  <c r="DM96" i="2" s="1"/>
  <c r="DM97" i="2" a="1"/>
  <c r="DM97" i="2" s="1"/>
  <c r="DM94" i="2" a="1"/>
  <c r="DM94" i="2" s="1"/>
  <c r="DM93" i="2" a="1"/>
  <c r="DM93" i="2" s="1"/>
  <c r="DM92" i="2" a="1"/>
  <c r="DM92" i="2" s="1"/>
  <c r="DM90" i="2" a="1"/>
  <c r="DM90" i="2" s="1"/>
  <c r="DM89" i="2" a="1"/>
  <c r="DM89" i="2" s="1"/>
  <c r="DM91" i="2" a="1"/>
  <c r="DM91" i="2" s="1"/>
  <c r="DM88" i="2" a="1"/>
  <c r="DM88" i="2" s="1"/>
  <c r="DM87" i="2" a="1"/>
  <c r="DM87" i="2" s="1"/>
  <c r="DM86" i="2" a="1"/>
  <c r="DM86" i="2" s="1"/>
  <c r="DM85" i="2" a="1"/>
  <c r="DM85" i="2" s="1"/>
  <c r="DM84" i="2" a="1"/>
  <c r="DM84" i="2" s="1"/>
  <c r="DM83" i="2" a="1"/>
  <c r="DM83" i="2" s="1"/>
  <c r="DM82" i="2" a="1"/>
  <c r="DM82" i="2" s="1"/>
  <c r="DM80" i="2" a="1"/>
  <c r="DM80" i="2" s="1"/>
  <c r="DM81" i="2" a="1"/>
  <c r="DM81" i="2" s="1"/>
  <c r="DM79" i="2" a="1"/>
  <c r="DM79" i="2" s="1"/>
  <c r="DM77" i="2" a="1"/>
  <c r="DM77" i="2" s="1"/>
  <c r="DM78" i="2" a="1"/>
  <c r="DM78" i="2" s="1"/>
  <c r="DM76" i="2" a="1"/>
  <c r="DM76" i="2" s="1"/>
  <c r="DM74" i="2" a="1"/>
  <c r="DM74" i="2" s="1"/>
  <c r="DM72" i="2" a="1"/>
  <c r="DM72" i="2" s="1"/>
  <c r="DM73" i="2" a="1"/>
  <c r="DM73" i="2" s="1"/>
  <c r="DM75" i="2" a="1"/>
  <c r="DM75" i="2" s="1"/>
  <c r="DM70" i="2" a="1"/>
  <c r="DM70" i="2" s="1"/>
  <c r="DM71" i="2" a="1"/>
  <c r="DM71" i="2" s="1"/>
  <c r="DM69" i="2" a="1"/>
  <c r="DM69" i="2" s="1"/>
  <c r="DM68" i="2" a="1"/>
  <c r="DM68" i="2" s="1"/>
  <c r="DM66" i="2" a="1"/>
  <c r="DM66" i="2" s="1"/>
  <c r="DM64" i="2" a="1"/>
  <c r="DM64" i="2" s="1"/>
  <c r="DM67" i="2" a="1"/>
  <c r="DM67" i="2" s="1"/>
  <c r="DM65" i="2" a="1"/>
  <c r="DM65" i="2" s="1"/>
  <c r="DM62" i="2" a="1"/>
  <c r="DM62" i="2" s="1"/>
  <c r="DM61" i="2" a="1"/>
  <c r="DM61" i="2" s="1"/>
  <c r="DM60" i="2" a="1"/>
  <c r="DM60" i="2" s="1"/>
  <c r="DM59" i="2" a="1"/>
  <c r="DM59" i="2" s="1"/>
  <c r="DM63" i="2" a="1"/>
  <c r="DM63" i="2" s="1"/>
  <c r="DM56" i="2" a="1"/>
  <c r="DM56" i="2" s="1"/>
  <c r="DM58" i="2" a="1"/>
  <c r="DM58" i="2" s="1"/>
  <c r="DM57" i="2" a="1"/>
  <c r="DM57" i="2" s="1"/>
  <c r="DM51" i="2" a="1"/>
  <c r="DM51" i="2" s="1"/>
  <c r="DM50" i="2" a="1"/>
  <c r="DM50" i="2" s="1"/>
  <c r="DM52" i="2" a="1"/>
  <c r="DM52" i="2" s="1"/>
  <c r="DM53" i="2" a="1"/>
  <c r="DM53" i="2" s="1"/>
  <c r="DM49" i="2" a="1"/>
  <c r="DM49" i="2" s="1"/>
  <c r="DM54" i="2" a="1"/>
  <c r="DM54" i="2" s="1"/>
  <c r="DM48" i="2" a="1"/>
  <c r="DM48" i="2" s="1"/>
  <c r="DM55" i="2" a="1"/>
  <c r="DM55" i="2" s="1"/>
  <c r="DM44" i="2" a="1"/>
  <c r="DM44" i="2" s="1"/>
  <c r="DM43" i="2" a="1"/>
  <c r="DM43" i="2" s="1"/>
  <c r="DM46" i="2" a="1"/>
  <c r="DM46" i="2" s="1"/>
  <c r="DM45" i="2" a="1"/>
  <c r="DM45" i="2" s="1"/>
  <c r="DM42" i="2" a="1"/>
  <c r="DM42" i="2" s="1"/>
  <c r="DM47" i="2" a="1"/>
  <c r="DM47" i="2" s="1"/>
  <c r="DM40" i="2" a="1"/>
  <c r="DM40" i="2" s="1"/>
  <c r="DM41" i="2" a="1"/>
  <c r="DM41" i="2" s="1"/>
  <c r="DM37" i="2" a="1"/>
  <c r="DM37" i="2" s="1"/>
  <c r="DM33" i="2" a="1"/>
  <c r="DM33" i="2" s="1"/>
  <c r="DM36" i="2" a="1"/>
  <c r="DM36" i="2" s="1"/>
  <c r="DM39" i="2" a="1"/>
  <c r="DM39" i="2" s="1"/>
  <c r="DM34" i="2" a="1"/>
  <c r="DM34" i="2" s="1"/>
  <c r="DM35" i="2" a="1"/>
  <c r="DM35" i="2" s="1"/>
  <c r="DM38" i="2" a="1"/>
  <c r="DM38" i="2" s="1"/>
  <c r="DM29" i="2" a="1"/>
  <c r="DM29" i="2" s="1"/>
  <c r="DM28" i="2" a="1"/>
  <c r="DM28" i="2" s="1"/>
  <c r="DM32" i="2" a="1"/>
  <c r="DM32" i="2" s="1"/>
  <c r="DM27" i="2" a="1"/>
  <c r="DM27" i="2" s="1"/>
  <c r="DM25" i="2" a="1"/>
  <c r="DM25" i="2" s="1"/>
  <c r="DM26" i="2" a="1"/>
  <c r="DM26" i="2" s="1"/>
  <c r="DM30" i="2" a="1"/>
  <c r="DM30" i="2" s="1"/>
  <c r="DM31" i="2" a="1"/>
  <c r="DM31" i="2" s="1"/>
  <c r="DM17" i="2" a="1"/>
  <c r="DM17" i="2" s="1"/>
  <c r="DM16" i="2" a="1"/>
  <c r="DM16" i="2" s="1"/>
  <c r="DM24" i="2" a="1"/>
  <c r="DM24" i="2" s="1"/>
  <c r="DM23" i="2" a="1"/>
  <c r="DM23" i="2" s="1"/>
  <c r="DM22" i="2" a="1"/>
  <c r="DM22" i="2" s="1"/>
  <c r="DM21" i="2" a="1"/>
  <c r="DM21" i="2" s="1"/>
  <c r="DM20" i="2" a="1"/>
  <c r="DM20" i="2" s="1"/>
  <c r="DM19" i="2" a="1"/>
  <c r="DM19" i="2" s="1"/>
  <c r="DM18" i="2" a="1"/>
  <c r="DM18" i="2" s="1"/>
  <c r="DM15" i="2" a="1"/>
  <c r="DM15" i="2" s="1"/>
  <c r="DM8" i="2" a="1"/>
  <c r="DM8" i="2" s="1"/>
  <c r="DM11" i="2" a="1"/>
  <c r="DM11" i="2" s="1"/>
  <c r="DM10" i="2" a="1"/>
  <c r="DM10" i="2" s="1"/>
  <c r="DM14" i="2" a="1"/>
  <c r="DM14" i="2" s="1"/>
  <c r="DM9" i="2" a="1"/>
  <c r="DM9" i="2" s="1"/>
  <c r="DM13" i="2" a="1"/>
  <c r="DM13" i="2" s="1"/>
  <c r="DM12" i="2" a="1"/>
  <c r="DM12" i="2" s="1"/>
  <c r="DM7" i="2" a="1"/>
  <c r="DM7" i="2" s="1"/>
  <c r="DM6" i="2" a="1"/>
  <c r="DM6" i="2" s="1"/>
  <c r="DM4" i="2" a="1"/>
  <c r="DM4" i="2" s="1"/>
  <c r="DM5" i="2" a="1"/>
  <c r="DM5" i="2" s="1"/>
  <c r="DY1" i="2"/>
  <c r="DG103" i="2" a="1"/>
  <c r="DG103" i="2" s="1"/>
  <c r="DG102" i="2" a="1"/>
  <c r="DG102" i="2" s="1"/>
  <c r="DG101" i="2" a="1"/>
  <c r="DG101" i="2" s="1"/>
  <c r="DG100" i="2" a="1"/>
  <c r="DG100" i="2" s="1"/>
  <c r="DG99" i="2" a="1"/>
  <c r="DG99" i="2" s="1"/>
  <c r="DG98" i="2" a="1"/>
  <c r="DG98" i="2" s="1"/>
  <c r="DG96" i="2" a="1"/>
  <c r="DG96" i="2" s="1"/>
  <c r="DG97" i="2" a="1"/>
  <c r="DG97" i="2" s="1"/>
  <c r="DG95" i="2" a="1"/>
  <c r="DG95" i="2" s="1"/>
  <c r="DG94" i="2" a="1"/>
  <c r="DG94" i="2" s="1"/>
  <c r="DG93" i="2" a="1"/>
  <c r="DG93" i="2" s="1"/>
  <c r="DG92" i="2" a="1"/>
  <c r="DG92" i="2" s="1"/>
  <c r="DG91" i="2" a="1"/>
  <c r="DG91" i="2" s="1"/>
  <c r="DG89" i="2" a="1"/>
  <c r="DG89" i="2" s="1"/>
  <c r="DG88" i="2" a="1"/>
  <c r="DG88" i="2" s="1"/>
  <c r="DG90" i="2" a="1"/>
  <c r="DG90" i="2" s="1"/>
  <c r="DG86" i="2" a="1"/>
  <c r="DG86" i="2" s="1"/>
  <c r="DG84" i="2" a="1"/>
  <c r="DG84" i="2" s="1"/>
  <c r="DG87" i="2" a="1"/>
  <c r="DG87" i="2" s="1"/>
  <c r="DG85" i="2" a="1"/>
  <c r="DG85" i="2" s="1"/>
  <c r="DG83" i="2" a="1"/>
  <c r="DG83" i="2" s="1"/>
  <c r="DG82" i="2" a="1"/>
  <c r="DG82" i="2" s="1"/>
  <c r="DG81" i="2" a="1"/>
  <c r="DG81" i="2" s="1"/>
  <c r="DG80" i="2" a="1"/>
  <c r="DG80" i="2" s="1"/>
  <c r="DG75" i="2" a="1"/>
  <c r="DG75" i="2" s="1"/>
  <c r="DG76" i="2" a="1"/>
  <c r="DG76" i="2" s="1"/>
  <c r="DG79" i="2" a="1"/>
  <c r="DG79" i="2" s="1"/>
  <c r="DG77" i="2" a="1"/>
  <c r="DG77" i="2" s="1"/>
  <c r="DG78" i="2" a="1"/>
  <c r="DG78" i="2" s="1"/>
  <c r="DG74" i="2" a="1"/>
  <c r="DG74" i="2" s="1"/>
  <c r="DG73" i="2" a="1"/>
  <c r="DG73" i="2" s="1"/>
  <c r="DG72" i="2" a="1"/>
  <c r="DG72" i="2" s="1"/>
  <c r="DG71" i="2" a="1"/>
  <c r="DG71" i="2" s="1"/>
  <c r="DG69" i="2" a="1"/>
  <c r="DG69" i="2" s="1"/>
  <c r="DG68" i="2" a="1"/>
  <c r="DG68" i="2" s="1"/>
  <c r="DG70" i="2" a="1"/>
  <c r="DG70" i="2" s="1"/>
  <c r="DG67" i="2" a="1"/>
  <c r="DG67" i="2" s="1"/>
  <c r="DG65" i="2" a="1"/>
  <c r="DG65" i="2" s="1"/>
  <c r="DG64" i="2" a="1"/>
  <c r="DG64" i="2" s="1"/>
  <c r="DG66" i="2" a="1"/>
  <c r="DG66" i="2" s="1"/>
  <c r="DG63" i="2" a="1"/>
  <c r="DG63" i="2" s="1"/>
  <c r="DG59" i="2" a="1"/>
  <c r="DG59" i="2" s="1"/>
  <c r="DG62" i="2" a="1"/>
  <c r="DG62" i="2" s="1"/>
  <c r="DG61" i="2" a="1"/>
  <c r="DG61" i="2" s="1"/>
  <c r="DG57" i="2" a="1"/>
  <c r="DG57" i="2" s="1"/>
  <c r="DG60" i="2" a="1"/>
  <c r="DG60" i="2" s="1"/>
  <c r="DG56" i="2" a="1"/>
  <c r="DG56" i="2" s="1"/>
  <c r="DG58" i="2" a="1"/>
  <c r="DG58" i="2" s="1"/>
  <c r="DG52" i="2" a="1"/>
  <c r="DG52" i="2" s="1"/>
  <c r="DG53" i="2" a="1"/>
  <c r="DG53" i="2" s="1"/>
  <c r="DG49" i="2" a="1"/>
  <c r="DG49" i="2" s="1"/>
  <c r="DG48" i="2" a="1"/>
  <c r="DG48" i="2" s="1"/>
  <c r="DG54" i="2" a="1"/>
  <c r="DG54" i="2" s="1"/>
  <c r="DG55" i="2" a="1"/>
  <c r="DG55" i="2" s="1"/>
  <c r="DG51" i="2" a="1"/>
  <c r="DG51" i="2" s="1"/>
  <c r="DG50" i="2" a="1"/>
  <c r="DG50" i="2" s="1"/>
  <c r="DG46" i="2" a="1"/>
  <c r="DG46" i="2" s="1"/>
  <c r="DG45" i="2" a="1"/>
  <c r="DG45" i="2" s="1"/>
  <c r="DG42" i="2" a="1"/>
  <c r="DG42" i="2" s="1"/>
  <c r="DG40" i="2" a="1"/>
  <c r="DG40" i="2" s="1"/>
  <c r="DG47" i="2" a="1"/>
  <c r="DG47" i="2" s="1"/>
  <c r="DG41" i="2" a="1"/>
  <c r="DG41" i="2" s="1"/>
  <c r="DG44" i="2" a="1"/>
  <c r="DG44" i="2" s="1"/>
  <c r="DG43" i="2" a="1"/>
  <c r="DG43" i="2" s="1"/>
  <c r="DG33" i="2" a="1"/>
  <c r="DG33" i="2" s="1"/>
  <c r="DG36" i="2" a="1"/>
  <c r="DG36" i="2" s="1"/>
  <c r="DG34" i="2" a="1"/>
  <c r="DG34" i="2" s="1"/>
  <c r="DG39" i="2" a="1"/>
  <c r="DG39" i="2" s="1"/>
  <c r="DG35" i="2" a="1"/>
  <c r="DG35" i="2" s="1"/>
  <c r="DG38" i="2" a="1"/>
  <c r="DG38" i="2" s="1"/>
  <c r="DG37" i="2" a="1"/>
  <c r="DG37" i="2" s="1"/>
  <c r="DG25" i="2" a="1"/>
  <c r="DG25" i="2" s="1"/>
  <c r="DG32" i="2" a="1"/>
  <c r="DG32" i="2" s="1"/>
  <c r="DG27" i="2" a="1"/>
  <c r="DG27" i="2" s="1"/>
  <c r="DG26" i="2" a="1"/>
  <c r="DG26" i="2" s="1"/>
  <c r="DG30" i="2" a="1"/>
  <c r="DG30" i="2" s="1"/>
  <c r="DG31" i="2" a="1"/>
  <c r="DG31" i="2" s="1"/>
  <c r="DG29" i="2" a="1"/>
  <c r="DG29" i="2" s="1"/>
  <c r="DG28" i="2" a="1"/>
  <c r="DG28" i="2" s="1"/>
  <c r="DG24" i="2" a="1"/>
  <c r="DG24" i="2" s="1"/>
  <c r="DG23" i="2" a="1"/>
  <c r="DG23" i="2" s="1"/>
  <c r="DG22" i="2" a="1"/>
  <c r="DG22" i="2" s="1"/>
  <c r="DG21" i="2" a="1"/>
  <c r="DG21" i="2" s="1"/>
  <c r="DG20" i="2" a="1"/>
  <c r="DG20" i="2" s="1"/>
  <c r="DG19" i="2" a="1"/>
  <c r="DG19" i="2" s="1"/>
  <c r="DG18" i="2" a="1"/>
  <c r="DG18" i="2" s="1"/>
  <c r="DG16" i="2" a="1"/>
  <c r="DG16" i="2" s="1"/>
  <c r="DG15" i="2" a="1"/>
  <c r="DG15" i="2" s="1"/>
  <c r="DG17" i="2" a="1"/>
  <c r="DG17" i="2" s="1"/>
  <c r="DG11" i="2" a="1"/>
  <c r="DG11" i="2" s="1"/>
  <c r="DG9" i="2" a="1"/>
  <c r="DG9" i="2" s="1"/>
  <c r="DG7" i="2" a="1"/>
  <c r="DG7" i="2" s="1"/>
  <c r="DG10" i="2" a="1"/>
  <c r="DG10" i="2" s="1"/>
  <c r="DG14" i="2" a="1"/>
  <c r="DG14" i="2" s="1"/>
  <c r="DG13" i="2" a="1"/>
  <c r="DG13" i="2" s="1"/>
  <c r="DG12" i="2" a="1"/>
  <c r="DG12" i="2" s="1"/>
  <c r="DG8" i="2" a="1"/>
  <c r="DG8" i="2" s="1"/>
  <c r="DG5" i="2" a="1"/>
  <c r="DG5" i="2" s="1"/>
  <c r="DG6" i="2" a="1"/>
  <c r="DG6" i="2" s="1"/>
  <c r="DG4" i="2" a="1"/>
  <c r="DG4" i="2" s="1"/>
  <c r="DS1" i="2"/>
  <c r="DH103" i="2" a="1"/>
  <c r="DH103" i="2" s="1"/>
  <c r="DH102" i="2" a="1"/>
  <c r="DH102" i="2" s="1"/>
  <c r="DH101" i="2" a="1"/>
  <c r="DH101" i="2" s="1"/>
  <c r="DH100" i="2" a="1"/>
  <c r="DH100" i="2" s="1"/>
  <c r="DH99" i="2" a="1"/>
  <c r="DH99" i="2" s="1"/>
  <c r="DH98" i="2" a="1"/>
  <c r="DH98" i="2" s="1"/>
  <c r="DH96" i="2" a="1"/>
  <c r="DH96" i="2" s="1"/>
  <c r="DH97" i="2" a="1"/>
  <c r="DH97" i="2" s="1"/>
  <c r="DH93" i="2" a="1"/>
  <c r="DH93" i="2" s="1"/>
  <c r="DH92" i="2" a="1"/>
  <c r="DH92" i="2" s="1"/>
  <c r="DH95" i="2" a="1"/>
  <c r="DH95" i="2" s="1"/>
  <c r="DH91" i="2" a="1"/>
  <c r="DH91" i="2" s="1"/>
  <c r="DH94" i="2" a="1"/>
  <c r="DH94" i="2" s="1"/>
  <c r="DH88" i="2" a="1"/>
  <c r="DH88" i="2" s="1"/>
  <c r="DH90" i="2" a="1"/>
  <c r="DH90" i="2" s="1"/>
  <c r="DH89" i="2" a="1"/>
  <c r="DH89" i="2" s="1"/>
  <c r="DH87" i="2" a="1"/>
  <c r="DH87" i="2" s="1"/>
  <c r="DH86" i="2" a="1"/>
  <c r="DH86" i="2" s="1"/>
  <c r="DH84" i="2" a="1"/>
  <c r="DH84" i="2" s="1"/>
  <c r="DH85" i="2" a="1"/>
  <c r="DH85" i="2" s="1"/>
  <c r="DH83" i="2" a="1"/>
  <c r="DH83" i="2" s="1"/>
  <c r="DH82" i="2" a="1"/>
  <c r="DH82" i="2" s="1"/>
  <c r="DH81" i="2" a="1"/>
  <c r="DH81" i="2" s="1"/>
  <c r="DH80" i="2" a="1"/>
  <c r="DH80" i="2" s="1"/>
  <c r="DH79" i="2" a="1"/>
  <c r="DH79" i="2" s="1"/>
  <c r="DH76" i="2" a="1"/>
  <c r="DH76" i="2" s="1"/>
  <c r="DH77" i="2" a="1"/>
  <c r="DH77" i="2" s="1"/>
  <c r="DH78" i="2" a="1"/>
  <c r="DH78" i="2" s="1"/>
  <c r="DH75" i="2" a="1"/>
  <c r="DH75" i="2" s="1"/>
  <c r="DH72" i="2" a="1"/>
  <c r="DH72" i="2" s="1"/>
  <c r="DH74" i="2" a="1"/>
  <c r="DH74" i="2" s="1"/>
  <c r="DH73" i="2" a="1"/>
  <c r="DH73" i="2" s="1"/>
  <c r="DH71" i="2" a="1"/>
  <c r="DH71" i="2" s="1"/>
  <c r="DH69" i="2" a="1"/>
  <c r="DH69" i="2" s="1"/>
  <c r="DH68" i="2" a="1"/>
  <c r="DH68" i="2" s="1"/>
  <c r="DH70" i="2" a="1"/>
  <c r="DH70" i="2" s="1"/>
  <c r="DH67" i="2" a="1"/>
  <c r="DH67" i="2" s="1"/>
  <c r="DH65" i="2" a="1"/>
  <c r="DH65" i="2" s="1"/>
  <c r="DH66" i="2" a="1"/>
  <c r="DH66" i="2" s="1"/>
  <c r="DH64" i="2" a="1"/>
  <c r="DH64" i="2" s="1"/>
  <c r="DH63" i="2" a="1"/>
  <c r="DH63" i="2" s="1"/>
  <c r="DH62" i="2" a="1"/>
  <c r="DH62" i="2" s="1"/>
  <c r="DH61" i="2" a="1"/>
  <c r="DH61" i="2" s="1"/>
  <c r="DH60" i="2" a="1"/>
  <c r="DH60" i="2" s="1"/>
  <c r="DH57" i="2" a="1"/>
  <c r="DH57" i="2" s="1"/>
  <c r="DH59" i="2" a="1"/>
  <c r="DH59" i="2" s="1"/>
  <c r="DH56" i="2" a="1"/>
  <c r="DH56" i="2" s="1"/>
  <c r="DH58" i="2" a="1"/>
  <c r="DH58" i="2" s="1"/>
  <c r="DH53" i="2" a="1"/>
  <c r="DH53" i="2" s="1"/>
  <c r="DH48" i="2" a="1"/>
  <c r="DH48" i="2" s="1"/>
  <c r="DH54" i="2" a="1"/>
  <c r="DH54" i="2" s="1"/>
  <c r="DH55" i="2" a="1"/>
  <c r="DH55" i="2" s="1"/>
  <c r="DH51" i="2" a="1"/>
  <c r="DH51" i="2" s="1"/>
  <c r="DH50" i="2" a="1"/>
  <c r="DH50" i="2" s="1"/>
  <c r="DH52" i="2" a="1"/>
  <c r="DH52" i="2" s="1"/>
  <c r="DH49" i="2" a="1"/>
  <c r="DH49" i="2" s="1"/>
  <c r="DH45" i="2" a="1"/>
  <c r="DH45" i="2" s="1"/>
  <c r="DH42" i="2" a="1"/>
  <c r="DH42" i="2" s="1"/>
  <c r="DH47" i="2" a="1"/>
  <c r="DH47" i="2" s="1"/>
  <c r="DH41" i="2" a="1"/>
  <c r="DH41" i="2" s="1"/>
  <c r="DH44" i="2" a="1"/>
  <c r="DH44" i="2" s="1"/>
  <c r="DH43" i="2" a="1"/>
  <c r="DH43" i="2" s="1"/>
  <c r="DH46" i="2" a="1"/>
  <c r="DH46" i="2" s="1"/>
  <c r="DH36" i="2" a="1"/>
  <c r="DH36" i="2" s="1"/>
  <c r="DH40" i="2" a="1"/>
  <c r="DH40" i="2" s="1"/>
  <c r="DH39" i="2" a="1"/>
  <c r="DH39" i="2" s="1"/>
  <c r="DH34" i="2" a="1"/>
  <c r="DH34" i="2" s="1"/>
  <c r="DH35" i="2" a="1"/>
  <c r="DH35" i="2" s="1"/>
  <c r="DH38" i="2" a="1"/>
  <c r="DH38" i="2" s="1"/>
  <c r="DH37" i="2" a="1"/>
  <c r="DH37" i="2" s="1"/>
  <c r="DH33" i="2" a="1"/>
  <c r="DH33" i="2" s="1"/>
  <c r="DH32" i="2" a="1"/>
  <c r="DH32" i="2" s="1"/>
  <c r="DH27" i="2" a="1"/>
  <c r="DH27" i="2" s="1"/>
  <c r="DH26" i="2" a="1"/>
  <c r="DH26" i="2" s="1"/>
  <c r="DH30" i="2" a="1"/>
  <c r="DH30" i="2" s="1"/>
  <c r="DH31" i="2" a="1"/>
  <c r="DH31" i="2" s="1"/>
  <c r="DH29" i="2" a="1"/>
  <c r="DH29" i="2" s="1"/>
  <c r="DH28" i="2" a="1"/>
  <c r="DH28" i="2" s="1"/>
  <c r="DH16" i="2" a="1"/>
  <c r="DH16" i="2" s="1"/>
  <c r="DH15" i="2" a="1"/>
  <c r="DH15" i="2" s="1"/>
  <c r="DH17" i="2" a="1"/>
  <c r="DH17" i="2" s="1"/>
  <c r="DH25" i="2" a="1"/>
  <c r="DH25" i="2" s="1"/>
  <c r="DH24" i="2" a="1"/>
  <c r="DH24" i="2" s="1"/>
  <c r="DH23" i="2" a="1"/>
  <c r="DH23" i="2" s="1"/>
  <c r="DH22" i="2" a="1"/>
  <c r="DH22" i="2" s="1"/>
  <c r="DH21" i="2" a="1"/>
  <c r="DH21" i="2" s="1"/>
  <c r="DH20" i="2" a="1"/>
  <c r="DH20" i="2" s="1"/>
  <c r="DH19" i="2" a="1"/>
  <c r="DH19" i="2" s="1"/>
  <c r="DH18" i="2" a="1"/>
  <c r="DH18" i="2" s="1"/>
  <c r="DH10" i="2" a="1"/>
  <c r="DH10" i="2" s="1"/>
  <c r="DH14" i="2" a="1"/>
  <c r="DH14" i="2" s="1"/>
  <c r="DH13" i="2" a="1"/>
  <c r="DH13" i="2" s="1"/>
  <c r="DH12" i="2" a="1"/>
  <c r="DH12" i="2" s="1"/>
  <c r="DH8" i="2" a="1"/>
  <c r="DH8" i="2" s="1"/>
  <c r="DH11" i="2" a="1"/>
  <c r="DH11" i="2" s="1"/>
  <c r="DH9" i="2" a="1"/>
  <c r="DH9" i="2" s="1"/>
  <c r="DH5" i="2" a="1"/>
  <c r="DH5" i="2" s="1"/>
  <c r="DH7" i="2" a="1"/>
  <c r="DH7" i="2" s="1"/>
  <c r="DH6" i="2" a="1"/>
  <c r="DH6" i="2" s="1"/>
  <c r="DH4" i="2" a="1"/>
  <c r="DH4" i="2" s="1"/>
  <c r="DT1" i="2"/>
  <c r="DP100" i="2" a="1"/>
  <c r="DP100" i="2" s="1"/>
  <c r="DP103" i="2" a="1"/>
  <c r="DP103" i="2" s="1"/>
  <c r="DP102" i="2" a="1"/>
  <c r="DP102" i="2" s="1"/>
  <c r="DP101" i="2" a="1"/>
  <c r="DP101" i="2" s="1"/>
  <c r="DP99" i="2" a="1"/>
  <c r="DP99" i="2" s="1"/>
  <c r="DP98" i="2" a="1"/>
  <c r="DP98" i="2" s="1"/>
  <c r="DP96" i="2" a="1"/>
  <c r="DP96" i="2" s="1"/>
  <c r="DP97" i="2" a="1"/>
  <c r="DP97" i="2" s="1"/>
  <c r="DP94" i="2" a="1"/>
  <c r="DP94" i="2" s="1"/>
  <c r="DP95" i="2" a="1"/>
  <c r="DP95" i="2" s="1"/>
  <c r="DP93" i="2" a="1"/>
  <c r="DP93" i="2" s="1"/>
  <c r="DP92" i="2" a="1"/>
  <c r="DP92" i="2" s="1"/>
  <c r="DP91" i="2" a="1"/>
  <c r="DP91" i="2" s="1"/>
  <c r="DP88" i="2" a="1"/>
  <c r="DP88" i="2" s="1"/>
  <c r="DP90" i="2" a="1"/>
  <c r="DP90" i="2" s="1"/>
  <c r="DP89" i="2" a="1"/>
  <c r="DP89" i="2" s="1"/>
  <c r="DP87" i="2" a="1"/>
  <c r="DP87" i="2" s="1"/>
  <c r="DP86" i="2" a="1"/>
  <c r="DP86" i="2" s="1"/>
  <c r="DP84" i="2" a="1"/>
  <c r="DP84" i="2" s="1"/>
  <c r="DP85" i="2" a="1"/>
  <c r="DP85" i="2" s="1"/>
  <c r="DP83" i="2" a="1"/>
  <c r="DP83" i="2" s="1"/>
  <c r="DP82" i="2" a="1"/>
  <c r="DP82" i="2" s="1"/>
  <c r="DP81" i="2" a="1"/>
  <c r="DP81" i="2" s="1"/>
  <c r="DP80" i="2" a="1"/>
  <c r="DP80" i="2" s="1"/>
  <c r="DP78" i="2" a="1"/>
  <c r="DP78" i="2" s="1"/>
  <c r="DP76" i="2" a="1"/>
  <c r="DP76" i="2" s="1"/>
  <c r="DP79" i="2" a="1"/>
  <c r="DP79" i="2" s="1"/>
  <c r="DP77" i="2" a="1"/>
  <c r="DP77" i="2" s="1"/>
  <c r="DP75" i="2" a="1"/>
  <c r="DP75" i="2" s="1"/>
  <c r="DP74" i="2" a="1"/>
  <c r="DP74" i="2" s="1"/>
  <c r="DP72" i="2" a="1"/>
  <c r="DP72" i="2" s="1"/>
  <c r="DP73" i="2" a="1"/>
  <c r="DP73" i="2" s="1"/>
  <c r="DP71" i="2" a="1"/>
  <c r="DP71" i="2" s="1"/>
  <c r="DP69" i="2" a="1"/>
  <c r="DP69" i="2" s="1"/>
  <c r="DP68" i="2" a="1"/>
  <c r="DP68" i="2" s="1"/>
  <c r="DP70" i="2" a="1"/>
  <c r="DP70" i="2" s="1"/>
  <c r="DP63" i="2" a="1"/>
  <c r="DP63" i="2" s="1"/>
  <c r="DP67" i="2" a="1"/>
  <c r="DP67" i="2" s="1"/>
  <c r="DP65" i="2" a="1"/>
  <c r="DP65" i="2" s="1"/>
  <c r="DP66" i="2" a="1"/>
  <c r="DP66" i="2" s="1"/>
  <c r="DP64" i="2" a="1"/>
  <c r="DP64" i="2" s="1"/>
  <c r="DP60" i="2" a="1"/>
  <c r="DP60" i="2" s="1"/>
  <c r="DP59" i="2" a="1"/>
  <c r="DP59" i="2" s="1"/>
  <c r="DP62" i="2" a="1"/>
  <c r="DP62" i="2" s="1"/>
  <c r="DP61" i="2" a="1"/>
  <c r="DP61" i="2" s="1"/>
  <c r="DP57" i="2" a="1"/>
  <c r="DP57" i="2" s="1"/>
  <c r="DP56" i="2" a="1"/>
  <c r="DP56" i="2" s="1"/>
  <c r="DP58" i="2" a="1"/>
  <c r="DP58" i="2" s="1"/>
  <c r="DP52" i="2" a="1"/>
  <c r="DP52" i="2" s="1"/>
  <c r="DP50" i="2" a="1"/>
  <c r="DP50" i="2" s="1"/>
  <c r="DP53" i="2" a="1"/>
  <c r="DP53" i="2" s="1"/>
  <c r="DP49" i="2" a="1"/>
  <c r="DP49" i="2" s="1"/>
  <c r="DP54" i="2" a="1"/>
  <c r="DP54" i="2" s="1"/>
  <c r="DP48" i="2" a="1"/>
  <c r="DP48" i="2" s="1"/>
  <c r="DP55" i="2" a="1"/>
  <c r="DP55" i="2" s="1"/>
  <c r="DP51" i="2" a="1"/>
  <c r="DP51" i="2" s="1"/>
  <c r="DP46" i="2" a="1"/>
  <c r="DP46" i="2" s="1"/>
  <c r="DP43" i="2" a="1"/>
  <c r="DP43" i="2" s="1"/>
  <c r="DP42" i="2" a="1"/>
  <c r="DP42" i="2" s="1"/>
  <c r="DP45" i="2" a="1"/>
  <c r="DP45" i="2" s="1"/>
  <c r="DP40" i="2" a="1"/>
  <c r="DP40" i="2" s="1"/>
  <c r="DP47" i="2" a="1"/>
  <c r="DP47" i="2" s="1"/>
  <c r="DP41" i="2" a="1"/>
  <c r="DP41" i="2" s="1"/>
  <c r="DP44" i="2" a="1"/>
  <c r="DP44" i="2" s="1"/>
  <c r="DP33" i="2" a="1"/>
  <c r="DP33" i="2" s="1"/>
  <c r="DP36" i="2" a="1"/>
  <c r="DP36" i="2" s="1"/>
  <c r="DP34" i="2" a="1"/>
  <c r="DP34" i="2" s="1"/>
  <c r="DP39" i="2" a="1"/>
  <c r="DP39" i="2" s="1"/>
  <c r="DP35" i="2" a="1"/>
  <c r="DP35" i="2" s="1"/>
  <c r="DP38" i="2" a="1"/>
  <c r="DP38" i="2" s="1"/>
  <c r="DP37" i="2" a="1"/>
  <c r="DP37" i="2" s="1"/>
  <c r="DP28" i="2" a="1"/>
  <c r="DP28" i="2" s="1"/>
  <c r="DP32" i="2" a="1"/>
  <c r="DP32" i="2" s="1"/>
  <c r="DP27" i="2" a="1"/>
  <c r="DP27" i="2" s="1"/>
  <c r="DP25" i="2" a="1"/>
  <c r="DP25" i="2" s="1"/>
  <c r="DP26" i="2" a="1"/>
  <c r="DP26" i="2" s="1"/>
  <c r="DP30" i="2" a="1"/>
  <c r="DP30" i="2" s="1"/>
  <c r="DP31" i="2" a="1"/>
  <c r="DP31" i="2" s="1"/>
  <c r="DP29" i="2" a="1"/>
  <c r="DP29" i="2" s="1"/>
  <c r="DP16" i="2" a="1"/>
  <c r="DP16" i="2" s="1"/>
  <c r="DP24" i="2" a="1"/>
  <c r="DP24" i="2" s="1"/>
  <c r="DP23" i="2" a="1"/>
  <c r="DP23" i="2" s="1"/>
  <c r="DP22" i="2" a="1"/>
  <c r="DP22" i="2" s="1"/>
  <c r="DP21" i="2" a="1"/>
  <c r="DP21" i="2" s="1"/>
  <c r="DP20" i="2" a="1"/>
  <c r="DP20" i="2" s="1"/>
  <c r="DP19" i="2" a="1"/>
  <c r="DP19" i="2" s="1"/>
  <c r="DP18" i="2" a="1"/>
  <c r="DP18" i="2" s="1"/>
  <c r="DP15" i="2" a="1"/>
  <c r="DP15" i="2" s="1"/>
  <c r="DP17" i="2" a="1"/>
  <c r="DP17" i="2" s="1"/>
  <c r="DP14" i="2" a="1"/>
  <c r="DP14" i="2" s="1"/>
  <c r="DP9" i="2" a="1"/>
  <c r="DP9" i="2" s="1"/>
  <c r="DP13" i="2" a="1"/>
  <c r="DP13" i="2" s="1"/>
  <c r="DP12" i="2" a="1"/>
  <c r="DP12" i="2" s="1"/>
  <c r="DP8" i="2" a="1"/>
  <c r="DP8" i="2" s="1"/>
  <c r="DP11" i="2" a="1"/>
  <c r="DP11" i="2" s="1"/>
  <c r="DP10" i="2" a="1"/>
  <c r="DP10" i="2" s="1"/>
  <c r="DP5" i="2" a="1"/>
  <c r="DP5" i="2" s="1"/>
  <c r="DP6" i="2" a="1"/>
  <c r="DP6" i="2" s="1"/>
  <c r="DP4" i="2" a="1"/>
  <c r="DP4" i="2" s="1"/>
  <c r="DP7" i="2" a="1"/>
  <c r="DP7" i="2" s="1"/>
  <c r="EB1" i="2"/>
  <c r="DF103" i="2" a="1"/>
  <c r="DF103" i="2" s="1"/>
  <c r="DF102" i="2" a="1"/>
  <c r="DF102" i="2" s="1"/>
  <c r="DF101" i="2" a="1"/>
  <c r="DF101" i="2" s="1"/>
  <c r="DF100" i="2" a="1"/>
  <c r="DF100" i="2" s="1"/>
  <c r="DF99" i="2" a="1"/>
  <c r="DF99" i="2" s="1"/>
  <c r="DF98" i="2" a="1"/>
  <c r="DF98" i="2" s="1"/>
  <c r="DF96" i="2" a="1"/>
  <c r="DF96" i="2" s="1"/>
  <c r="DF97" i="2" a="1"/>
  <c r="DF97" i="2" s="1"/>
  <c r="DF95" i="2" a="1"/>
  <c r="DF95" i="2" s="1"/>
  <c r="DF94" i="2" a="1"/>
  <c r="DF94" i="2" s="1"/>
  <c r="DF93" i="2" a="1"/>
  <c r="DF93" i="2" s="1"/>
  <c r="DF92" i="2" a="1"/>
  <c r="DF92" i="2" s="1"/>
  <c r="DF91" i="2" a="1"/>
  <c r="DF91" i="2" s="1"/>
  <c r="DF89" i="2" a="1"/>
  <c r="DF89" i="2" s="1"/>
  <c r="DF88" i="2" a="1"/>
  <c r="DF88" i="2" s="1"/>
  <c r="DF90" i="2" a="1"/>
  <c r="DF90" i="2" s="1"/>
  <c r="DF86" i="2" a="1"/>
  <c r="DF86" i="2" s="1"/>
  <c r="DF84" i="2" a="1"/>
  <c r="DF84" i="2" s="1"/>
  <c r="DF85" i="2" a="1"/>
  <c r="DF85" i="2" s="1"/>
  <c r="DF87" i="2" a="1"/>
  <c r="DF87" i="2" s="1"/>
  <c r="DF83" i="2" a="1"/>
  <c r="DF83" i="2" s="1"/>
  <c r="DF82" i="2" a="1"/>
  <c r="DF82" i="2" s="1"/>
  <c r="DF81" i="2" a="1"/>
  <c r="DF81" i="2" s="1"/>
  <c r="DF80" i="2" a="1"/>
  <c r="DF80" i="2" s="1"/>
  <c r="DF78" i="2" a="1"/>
  <c r="DF78" i="2" s="1"/>
  <c r="DF76" i="2" a="1"/>
  <c r="DF76" i="2" s="1"/>
  <c r="DF79" i="2" a="1"/>
  <c r="DF79" i="2" s="1"/>
  <c r="DF77" i="2" a="1"/>
  <c r="DF77" i="2" s="1"/>
  <c r="DF75" i="2" a="1"/>
  <c r="DF75" i="2" s="1"/>
  <c r="DF74" i="2" a="1"/>
  <c r="DF74" i="2" s="1"/>
  <c r="DF72" i="2" a="1"/>
  <c r="DF72" i="2" s="1"/>
  <c r="DF73" i="2" a="1"/>
  <c r="DF73" i="2" s="1"/>
  <c r="DF70" i="2" a="1"/>
  <c r="DF70" i="2" s="1"/>
  <c r="DF71" i="2" a="1"/>
  <c r="DF71" i="2" s="1"/>
  <c r="DF69" i="2" a="1"/>
  <c r="DF69" i="2" s="1"/>
  <c r="DF68" i="2" a="1"/>
  <c r="DF68" i="2" s="1"/>
  <c r="DF66" i="2" a="1"/>
  <c r="DF66" i="2" s="1"/>
  <c r="DF67" i="2" a="1"/>
  <c r="DF67" i="2" s="1"/>
  <c r="DF65" i="2" a="1"/>
  <c r="DF65" i="2" s="1"/>
  <c r="DF64" i="2" a="1"/>
  <c r="DF64" i="2" s="1"/>
  <c r="DF61" i="2" a="1"/>
  <c r="DF61" i="2" s="1"/>
  <c r="DF60" i="2" a="1"/>
  <c r="DF60" i="2" s="1"/>
  <c r="DF63" i="2" a="1"/>
  <c r="DF63" i="2" s="1"/>
  <c r="DF62" i="2" a="1"/>
  <c r="DF62" i="2" s="1"/>
  <c r="DF58" i="2" a="1"/>
  <c r="DF58" i="2" s="1"/>
  <c r="DF57" i="2" a="1"/>
  <c r="DF57" i="2" s="1"/>
  <c r="DF59" i="2" a="1"/>
  <c r="DF59" i="2" s="1"/>
  <c r="DF56" i="2" a="1"/>
  <c r="DF56" i="2" s="1"/>
  <c r="DF52" i="2" a="1"/>
  <c r="DF52" i="2" s="1"/>
  <c r="DF53" i="2" a="1"/>
  <c r="DF53" i="2" s="1"/>
  <c r="DF49" i="2" a="1"/>
  <c r="DF49" i="2" s="1"/>
  <c r="DF48" i="2" a="1"/>
  <c r="DF48" i="2" s="1"/>
  <c r="DF54" i="2" a="1"/>
  <c r="DF54" i="2" s="1"/>
  <c r="DF55" i="2" a="1"/>
  <c r="DF55" i="2" s="1"/>
  <c r="DF51" i="2" a="1"/>
  <c r="DF51" i="2" s="1"/>
  <c r="DF50" i="2" a="1"/>
  <c r="DF50" i="2" s="1"/>
  <c r="DF43" i="2" a="1"/>
  <c r="DF43" i="2" s="1"/>
  <c r="DF46" i="2" a="1"/>
  <c r="DF46" i="2" s="1"/>
  <c r="DF45" i="2" a="1"/>
  <c r="DF45" i="2" s="1"/>
  <c r="DF42" i="2" a="1"/>
  <c r="DF42" i="2" s="1"/>
  <c r="DF47" i="2" a="1"/>
  <c r="DF47" i="2" s="1"/>
  <c r="DF41" i="2" a="1"/>
  <c r="DF41" i="2" s="1"/>
  <c r="DF44" i="2" a="1"/>
  <c r="DF44" i="2" s="1"/>
  <c r="DF37" i="2" a="1"/>
  <c r="DF37" i="2" s="1"/>
  <c r="DF40" i="2" a="1"/>
  <c r="DF40" i="2" s="1"/>
  <c r="DF33" i="2" a="1"/>
  <c r="DF33" i="2" s="1"/>
  <c r="DF36" i="2" a="1"/>
  <c r="DF36" i="2" s="1"/>
  <c r="DF34" i="2" a="1"/>
  <c r="DF34" i="2" s="1"/>
  <c r="DF39" i="2" a="1"/>
  <c r="DF39" i="2" s="1"/>
  <c r="DF35" i="2" a="1"/>
  <c r="DF35" i="2" s="1"/>
  <c r="DF38" i="2" a="1"/>
  <c r="DF38" i="2" s="1"/>
  <c r="DF28" i="2" a="1"/>
  <c r="DF28" i="2" s="1"/>
  <c r="DF25" i="2" a="1"/>
  <c r="DF25" i="2" s="1"/>
  <c r="DF32" i="2" a="1"/>
  <c r="DF32" i="2" s="1"/>
  <c r="DF27" i="2" a="1"/>
  <c r="DF27" i="2" s="1"/>
  <c r="DF26" i="2" a="1"/>
  <c r="DF26" i="2" s="1"/>
  <c r="DF30" i="2" a="1"/>
  <c r="DF30" i="2" s="1"/>
  <c r="DF31" i="2" a="1"/>
  <c r="DF31" i="2" s="1"/>
  <c r="DF29" i="2" a="1"/>
  <c r="DF29" i="2" s="1"/>
  <c r="DF24" i="2" a="1"/>
  <c r="DF24" i="2" s="1"/>
  <c r="DF23" i="2" a="1"/>
  <c r="DF23" i="2" s="1"/>
  <c r="DF22" i="2" a="1"/>
  <c r="DF22" i="2" s="1"/>
  <c r="DF21" i="2" a="1"/>
  <c r="DF21" i="2" s="1"/>
  <c r="DF20" i="2" a="1"/>
  <c r="DF20" i="2" s="1"/>
  <c r="DF19" i="2" a="1"/>
  <c r="DF19" i="2" s="1"/>
  <c r="DF18" i="2" a="1"/>
  <c r="DF18" i="2" s="1"/>
  <c r="DF16" i="2" a="1"/>
  <c r="DF16" i="2" s="1"/>
  <c r="DF17" i="2" a="1"/>
  <c r="DF17" i="2" s="1"/>
  <c r="DF11" i="2" a="1"/>
  <c r="DF11" i="2" s="1"/>
  <c r="DF9" i="2" a="1"/>
  <c r="DF9" i="2" s="1"/>
  <c r="DF10" i="2" a="1"/>
  <c r="DF10" i="2" s="1"/>
  <c r="DF14" i="2" a="1"/>
  <c r="DF14" i="2" s="1"/>
  <c r="DF13" i="2" a="1"/>
  <c r="DF13" i="2" s="1"/>
  <c r="DF15" i="2" a="1"/>
  <c r="DF15" i="2" s="1"/>
  <c r="DF12" i="2" a="1"/>
  <c r="DF12" i="2" s="1"/>
  <c r="DF8" i="2" a="1"/>
  <c r="DF8" i="2" s="1"/>
  <c r="DF6" i="2" a="1"/>
  <c r="DF6" i="2" s="1"/>
  <c r="DF4" i="2" a="1"/>
  <c r="DF4" i="2" s="1"/>
  <c r="DF5" i="2" a="1"/>
  <c r="DF5" i="2" s="1"/>
  <c r="DF7" i="2" a="1"/>
  <c r="DF7" i="2" s="1"/>
  <c r="DR1" i="2"/>
  <c r="DJ100" i="2" a="1"/>
  <c r="DJ100" i="2" s="1"/>
  <c r="DJ103" i="2" a="1"/>
  <c r="DJ103" i="2" s="1"/>
  <c r="DJ102" i="2" a="1"/>
  <c r="DJ102" i="2" s="1"/>
  <c r="DJ101" i="2" a="1"/>
  <c r="DJ101" i="2" s="1"/>
  <c r="DJ99" i="2" a="1"/>
  <c r="DJ99" i="2" s="1"/>
  <c r="DJ98" i="2" a="1"/>
  <c r="DJ98" i="2" s="1"/>
  <c r="DJ97" i="2" a="1"/>
  <c r="DJ97" i="2" s="1"/>
  <c r="DJ96" i="2" a="1"/>
  <c r="DJ96" i="2" s="1"/>
  <c r="DJ95" i="2" a="1"/>
  <c r="DJ95" i="2" s="1"/>
  <c r="DJ92" i="2" a="1"/>
  <c r="DJ92" i="2" s="1"/>
  <c r="DJ91" i="2" a="1"/>
  <c r="DJ91" i="2" s="1"/>
  <c r="DJ94" i="2" a="1"/>
  <c r="DJ94" i="2" s="1"/>
  <c r="DJ93" i="2" a="1"/>
  <c r="DJ93" i="2" s="1"/>
  <c r="DJ90" i="2" a="1"/>
  <c r="DJ90" i="2" s="1"/>
  <c r="DJ89" i="2" a="1"/>
  <c r="DJ89" i="2" s="1"/>
  <c r="DJ88" i="2" a="1"/>
  <c r="DJ88" i="2" s="1"/>
  <c r="DJ87" i="2" a="1"/>
  <c r="DJ87" i="2" s="1"/>
  <c r="DJ86" i="2" a="1"/>
  <c r="DJ86" i="2" s="1"/>
  <c r="DJ84" i="2" a="1"/>
  <c r="DJ84" i="2" s="1"/>
  <c r="DJ85" i="2" a="1"/>
  <c r="DJ85" i="2" s="1"/>
  <c r="DJ82" i="2" a="1"/>
  <c r="DJ82" i="2" s="1"/>
  <c r="DJ81" i="2" a="1"/>
  <c r="DJ81" i="2" s="1"/>
  <c r="DJ80" i="2" a="1"/>
  <c r="DJ80" i="2" s="1"/>
  <c r="DJ83" i="2" a="1"/>
  <c r="DJ83" i="2" s="1"/>
  <c r="DJ76" i="2" a="1"/>
  <c r="DJ76" i="2" s="1"/>
  <c r="DJ79" i="2" a="1"/>
  <c r="DJ79" i="2" s="1"/>
  <c r="DJ77" i="2" a="1"/>
  <c r="DJ77" i="2" s="1"/>
  <c r="DJ78" i="2" a="1"/>
  <c r="DJ78" i="2" s="1"/>
  <c r="DJ75" i="2" a="1"/>
  <c r="DJ75" i="2" s="1"/>
  <c r="DJ74" i="2" a="1"/>
  <c r="DJ74" i="2" s="1"/>
  <c r="DJ72" i="2" a="1"/>
  <c r="DJ72" i="2" s="1"/>
  <c r="DJ73" i="2" a="1"/>
  <c r="DJ73" i="2" s="1"/>
  <c r="DJ69" i="2" a="1"/>
  <c r="DJ69" i="2" s="1"/>
  <c r="DJ68" i="2" a="1"/>
  <c r="DJ68" i="2" s="1"/>
  <c r="DJ70" i="2" a="1"/>
  <c r="DJ70" i="2" s="1"/>
  <c r="DJ71" i="2" a="1"/>
  <c r="DJ71" i="2" s="1"/>
  <c r="DJ65" i="2" a="1"/>
  <c r="DJ65" i="2" s="1"/>
  <c r="DJ66" i="2" a="1"/>
  <c r="DJ66" i="2" s="1"/>
  <c r="DJ64" i="2" a="1"/>
  <c r="DJ64" i="2" s="1"/>
  <c r="DJ67" i="2" a="1"/>
  <c r="DJ67" i="2" s="1"/>
  <c r="DJ62" i="2" a="1"/>
  <c r="DJ62" i="2" s="1"/>
  <c r="DJ61" i="2" a="1"/>
  <c r="DJ61" i="2" s="1"/>
  <c r="DJ60" i="2" a="1"/>
  <c r="DJ60" i="2" s="1"/>
  <c r="DJ63" i="2" a="1"/>
  <c r="DJ63" i="2" s="1"/>
  <c r="DJ59" i="2" a="1"/>
  <c r="DJ59" i="2" s="1"/>
  <c r="DJ57" i="2" a="1"/>
  <c r="DJ57" i="2" s="1"/>
  <c r="DJ56" i="2" a="1"/>
  <c r="DJ56" i="2" s="1"/>
  <c r="DJ58" i="2" a="1"/>
  <c r="DJ58" i="2" s="1"/>
  <c r="DJ54" i="2" a="1"/>
  <c r="DJ54" i="2" s="1"/>
  <c r="DJ55" i="2" a="1"/>
  <c r="DJ55" i="2" s="1"/>
  <c r="DJ51" i="2" a="1"/>
  <c r="DJ51" i="2" s="1"/>
  <c r="DJ50" i="2" a="1"/>
  <c r="DJ50" i="2" s="1"/>
  <c r="DJ52" i="2" a="1"/>
  <c r="DJ52" i="2" s="1"/>
  <c r="DJ49" i="2" a="1"/>
  <c r="DJ49" i="2" s="1"/>
  <c r="DJ53" i="2" a="1"/>
  <c r="DJ53" i="2" s="1"/>
  <c r="DJ48" i="2" a="1"/>
  <c r="DJ48" i="2" s="1"/>
  <c r="DJ47" i="2" a="1"/>
  <c r="DJ47" i="2" s="1"/>
  <c r="DJ40" i="2" a="1"/>
  <c r="DJ40" i="2" s="1"/>
  <c r="DJ41" i="2" a="1"/>
  <c r="DJ41" i="2" s="1"/>
  <c r="DJ44" i="2" a="1"/>
  <c r="DJ44" i="2" s="1"/>
  <c r="DJ43" i="2" a="1"/>
  <c r="DJ43" i="2" s="1"/>
  <c r="DJ46" i="2" a="1"/>
  <c r="DJ46" i="2" s="1"/>
  <c r="DJ45" i="2" a="1"/>
  <c r="DJ45" i="2" s="1"/>
  <c r="DJ42" i="2" a="1"/>
  <c r="DJ42" i="2" s="1"/>
  <c r="DJ34" i="2" a="1"/>
  <c r="DJ34" i="2" s="1"/>
  <c r="DJ35" i="2" a="1"/>
  <c r="DJ35" i="2" s="1"/>
  <c r="DJ38" i="2" a="1"/>
  <c r="DJ38" i="2" s="1"/>
  <c r="DJ37" i="2" a="1"/>
  <c r="DJ37" i="2" s="1"/>
  <c r="DJ33" i="2" a="1"/>
  <c r="DJ33" i="2" s="1"/>
  <c r="DJ39" i="2" a="1"/>
  <c r="DJ39" i="2" s="1"/>
  <c r="DJ36" i="2" a="1"/>
  <c r="DJ36" i="2" s="1"/>
  <c r="DJ30" i="2" a="1"/>
  <c r="DJ30" i="2" s="1"/>
  <c r="DJ31" i="2" a="1"/>
  <c r="DJ31" i="2" s="1"/>
  <c r="DJ29" i="2" a="1"/>
  <c r="DJ29" i="2" s="1"/>
  <c r="DJ28" i="2" a="1"/>
  <c r="DJ28" i="2" s="1"/>
  <c r="DJ32" i="2" a="1"/>
  <c r="DJ32" i="2" s="1"/>
  <c r="DJ25" i="2" a="1"/>
  <c r="DJ25" i="2" s="1"/>
  <c r="DJ27" i="2" a="1"/>
  <c r="DJ27" i="2" s="1"/>
  <c r="DJ26" i="2" a="1"/>
  <c r="DJ26" i="2" s="1"/>
  <c r="DJ17" i="2" a="1"/>
  <c r="DJ17" i="2" s="1"/>
  <c r="DJ16" i="2" a="1"/>
  <c r="DJ16" i="2" s="1"/>
  <c r="DJ24" i="2" a="1"/>
  <c r="DJ24" i="2" s="1"/>
  <c r="DJ23" i="2" a="1"/>
  <c r="DJ23" i="2" s="1"/>
  <c r="DJ22" i="2" a="1"/>
  <c r="DJ22" i="2" s="1"/>
  <c r="DJ21" i="2" a="1"/>
  <c r="DJ21" i="2" s="1"/>
  <c r="DJ20" i="2" a="1"/>
  <c r="DJ20" i="2" s="1"/>
  <c r="DJ19" i="2" a="1"/>
  <c r="DJ19" i="2" s="1"/>
  <c r="DJ18" i="2" a="1"/>
  <c r="DJ18" i="2" s="1"/>
  <c r="DJ13" i="2" a="1"/>
  <c r="DJ13" i="2" s="1"/>
  <c r="DJ12" i="2" a="1"/>
  <c r="DJ12" i="2" s="1"/>
  <c r="DJ8" i="2" a="1"/>
  <c r="DJ8" i="2" s="1"/>
  <c r="DJ11" i="2" a="1"/>
  <c r="DJ11" i="2" s="1"/>
  <c r="DJ10" i="2" a="1"/>
  <c r="DJ10" i="2" s="1"/>
  <c r="DJ9" i="2" a="1"/>
  <c r="DJ9" i="2" s="1"/>
  <c r="DJ7" i="2" a="1"/>
  <c r="DJ7" i="2" s="1"/>
  <c r="DJ15" i="2" a="1"/>
  <c r="DJ15" i="2" s="1"/>
  <c r="DJ14" i="2" a="1"/>
  <c r="DJ14" i="2" s="1"/>
  <c r="DJ5" i="2" a="1"/>
  <c r="DJ5" i="2" s="1"/>
  <c r="DJ6" i="2" a="1"/>
  <c r="DJ6" i="2" s="1"/>
  <c r="DJ4" i="2" a="1"/>
  <c r="DJ4" i="2" s="1"/>
  <c r="DV1" i="2"/>
  <c r="DK103" i="2" a="1"/>
  <c r="DK103" i="2" s="1"/>
  <c r="DK102" i="2" a="1"/>
  <c r="DK102" i="2" s="1"/>
  <c r="DK101" i="2" a="1"/>
  <c r="DK101" i="2" s="1"/>
  <c r="DK99" i="2" a="1"/>
  <c r="DK99" i="2" s="1"/>
  <c r="DK100" i="2" a="1"/>
  <c r="DK100" i="2" s="1"/>
  <c r="DK98" i="2" a="1"/>
  <c r="DK98" i="2" s="1"/>
  <c r="DK97" i="2" a="1"/>
  <c r="DK97" i="2" s="1"/>
  <c r="DK96" i="2" a="1"/>
  <c r="DK96" i="2" s="1"/>
  <c r="DK95" i="2" a="1"/>
  <c r="DK95" i="2" s="1"/>
  <c r="DK92" i="2" a="1"/>
  <c r="DK92" i="2" s="1"/>
  <c r="DK94" i="2" a="1"/>
  <c r="DK94" i="2" s="1"/>
  <c r="DK93" i="2" a="1"/>
  <c r="DK93" i="2" s="1"/>
  <c r="DK90" i="2" a="1"/>
  <c r="DK90" i="2" s="1"/>
  <c r="DK89" i="2" a="1"/>
  <c r="DK89" i="2" s="1"/>
  <c r="DK91" i="2" a="1"/>
  <c r="DK91" i="2" s="1"/>
  <c r="DK88" i="2" a="1"/>
  <c r="DK88" i="2" s="1"/>
  <c r="DK87" i="2" a="1"/>
  <c r="DK87" i="2" s="1"/>
  <c r="DK86" i="2" a="1"/>
  <c r="DK86" i="2" s="1"/>
  <c r="DK84" i="2" a="1"/>
  <c r="DK84" i="2" s="1"/>
  <c r="DK85" i="2" a="1"/>
  <c r="DK85" i="2" s="1"/>
  <c r="DK81" i="2" a="1"/>
  <c r="DK81" i="2" s="1"/>
  <c r="DK80" i="2" a="1"/>
  <c r="DK80" i="2" s="1"/>
  <c r="DK83" i="2" a="1"/>
  <c r="DK83" i="2" s="1"/>
  <c r="DK82" i="2" a="1"/>
  <c r="DK82" i="2" s="1"/>
  <c r="DK76" i="2" a="1"/>
  <c r="DK76" i="2" s="1"/>
  <c r="DK79" i="2" a="1"/>
  <c r="DK79" i="2" s="1"/>
  <c r="DK77" i="2" a="1"/>
  <c r="DK77" i="2" s="1"/>
  <c r="DK78" i="2" a="1"/>
  <c r="DK78" i="2" s="1"/>
  <c r="DK75" i="2" a="1"/>
  <c r="DK75" i="2" s="1"/>
  <c r="DK74" i="2" a="1"/>
  <c r="DK74" i="2" s="1"/>
  <c r="DK72" i="2" a="1"/>
  <c r="DK72" i="2" s="1"/>
  <c r="DK73" i="2" a="1"/>
  <c r="DK73" i="2" s="1"/>
  <c r="DK68" i="2" a="1"/>
  <c r="DK68" i="2" s="1"/>
  <c r="DK70" i="2" a="1"/>
  <c r="DK70" i="2" s="1"/>
  <c r="DK71" i="2" a="1"/>
  <c r="DK71" i="2" s="1"/>
  <c r="DK69" i="2" a="1"/>
  <c r="DK69" i="2" s="1"/>
  <c r="DK66" i="2" a="1"/>
  <c r="DK66" i="2" s="1"/>
  <c r="DK64" i="2" a="1"/>
  <c r="DK64" i="2" s="1"/>
  <c r="DK67" i="2" a="1"/>
  <c r="DK67" i="2" s="1"/>
  <c r="DK65" i="2" a="1"/>
  <c r="DK65" i="2" s="1"/>
  <c r="DK62" i="2" a="1"/>
  <c r="DK62" i="2" s="1"/>
  <c r="DK61" i="2" a="1"/>
  <c r="DK61" i="2" s="1"/>
  <c r="DK60" i="2" a="1"/>
  <c r="DK60" i="2" s="1"/>
  <c r="DK63" i="2" a="1"/>
  <c r="DK63" i="2" s="1"/>
  <c r="DK59" i="2" a="1"/>
  <c r="DK59" i="2" s="1"/>
  <c r="DK56" i="2" a="1"/>
  <c r="DK56" i="2" s="1"/>
  <c r="DK58" i="2" a="1"/>
  <c r="DK58" i="2" s="1"/>
  <c r="DK57" i="2" a="1"/>
  <c r="DK57" i="2" s="1"/>
  <c r="DK55" i="2" a="1"/>
  <c r="DK55" i="2" s="1"/>
  <c r="DK51" i="2" a="1"/>
  <c r="DK51" i="2" s="1"/>
  <c r="DK50" i="2" a="1"/>
  <c r="DK50" i="2" s="1"/>
  <c r="DK52" i="2" a="1"/>
  <c r="DK52" i="2" s="1"/>
  <c r="DK49" i="2" a="1"/>
  <c r="DK49" i="2" s="1"/>
  <c r="DK53" i="2" a="1"/>
  <c r="DK53" i="2" s="1"/>
  <c r="DK48" i="2" a="1"/>
  <c r="DK48" i="2" s="1"/>
  <c r="DK54" i="2" a="1"/>
  <c r="DK54" i="2" s="1"/>
  <c r="DK47" i="2" a="1"/>
  <c r="DK47" i="2" s="1"/>
  <c r="DK41" i="2" a="1"/>
  <c r="DK41" i="2" s="1"/>
  <c r="DK44" i="2" a="1"/>
  <c r="DK44" i="2" s="1"/>
  <c r="DK43" i="2" a="1"/>
  <c r="DK43" i="2" s="1"/>
  <c r="DK46" i="2" a="1"/>
  <c r="DK46" i="2" s="1"/>
  <c r="DK45" i="2" a="1"/>
  <c r="DK45" i="2" s="1"/>
  <c r="DK42" i="2" a="1"/>
  <c r="DK42" i="2" s="1"/>
  <c r="DK35" i="2" a="1"/>
  <c r="DK35" i="2" s="1"/>
  <c r="DK40" i="2" a="1"/>
  <c r="DK40" i="2" s="1"/>
  <c r="DK38" i="2" a="1"/>
  <c r="DK38" i="2" s="1"/>
  <c r="DK37" i="2" a="1"/>
  <c r="DK37" i="2" s="1"/>
  <c r="DK39" i="2" a="1"/>
  <c r="DK39" i="2" s="1"/>
  <c r="DK36" i="2" a="1"/>
  <c r="DK36" i="2" s="1"/>
  <c r="DK34" i="2" a="1"/>
  <c r="DK34" i="2" s="1"/>
  <c r="DK30" i="2" a="1"/>
  <c r="DK30" i="2" s="1"/>
  <c r="DK31" i="2" a="1"/>
  <c r="DK31" i="2" s="1"/>
  <c r="DK29" i="2" a="1"/>
  <c r="DK29" i="2" s="1"/>
  <c r="DK28" i="2" a="1"/>
  <c r="DK28" i="2" s="1"/>
  <c r="DK32" i="2" a="1"/>
  <c r="DK32" i="2" s="1"/>
  <c r="DK25" i="2" a="1"/>
  <c r="DK25" i="2" s="1"/>
  <c r="DK33" i="2" a="1"/>
  <c r="DK33" i="2" s="1"/>
  <c r="DK27" i="2" a="1"/>
  <c r="DK27" i="2" s="1"/>
  <c r="DK26" i="2" a="1"/>
  <c r="DK26" i="2" s="1"/>
  <c r="DK17" i="2" a="1"/>
  <c r="DK17" i="2" s="1"/>
  <c r="DK16" i="2" a="1"/>
  <c r="DK16" i="2" s="1"/>
  <c r="DK24" i="2" a="1"/>
  <c r="DK24" i="2" s="1"/>
  <c r="DK23" i="2" a="1"/>
  <c r="DK23" i="2" s="1"/>
  <c r="DK22" i="2" a="1"/>
  <c r="DK22" i="2" s="1"/>
  <c r="DK21" i="2" a="1"/>
  <c r="DK21" i="2" s="1"/>
  <c r="DK20" i="2" a="1"/>
  <c r="DK20" i="2" s="1"/>
  <c r="DK19" i="2" a="1"/>
  <c r="DK19" i="2" s="1"/>
  <c r="DK18" i="2" a="1"/>
  <c r="DK18" i="2" s="1"/>
  <c r="DK12" i="2" a="1"/>
  <c r="DK12" i="2" s="1"/>
  <c r="DK8" i="2" a="1"/>
  <c r="DK8" i="2" s="1"/>
  <c r="DK11" i="2" a="1"/>
  <c r="DK11" i="2" s="1"/>
  <c r="DK10" i="2" a="1"/>
  <c r="DK10" i="2" s="1"/>
  <c r="DK9" i="2" a="1"/>
  <c r="DK9" i="2" s="1"/>
  <c r="DK7" i="2" a="1"/>
  <c r="DK7" i="2" s="1"/>
  <c r="DK14" i="2" a="1"/>
  <c r="DK14" i="2" s="1"/>
  <c r="DK15" i="2" a="1"/>
  <c r="DK15" i="2" s="1"/>
  <c r="DK13" i="2" a="1"/>
  <c r="DK13" i="2" s="1"/>
  <c r="DK6" i="2" a="1"/>
  <c r="DK6" i="2" s="1"/>
  <c r="DK4" i="2" a="1"/>
  <c r="DK4" i="2" s="1"/>
  <c r="DK5" i="2" a="1"/>
  <c r="DK5" i="2" s="1"/>
  <c r="DW1" i="2"/>
  <c r="DL99" i="2" a="1"/>
  <c r="DL99" i="2" s="1"/>
  <c r="DL100" i="2" a="1"/>
  <c r="DL100" i="2" s="1"/>
  <c r="DL103" i="2" a="1"/>
  <c r="DL103" i="2" s="1"/>
  <c r="DL102" i="2" a="1"/>
  <c r="DL102" i="2" s="1"/>
  <c r="DL101" i="2" a="1"/>
  <c r="DL101" i="2" s="1"/>
  <c r="DL97" i="2" a="1"/>
  <c r="DL97" i="2" s="1"/>
  <c r="DL96" i="2" a="1"/>
  <c r="DL96" i="2" s="1"/>
  <c r="DL95" i="2" a="1"/>
  <c r="DL95" i="2" s="1"/>
  <c r="DL98" i="2" a="1"/>
  <c r="DL98" i="2" s="1"/>
  <c r="DL94" i="2" a="1"/>
  <c r="DL94" i="2" s="1"/>
  <c r="DL93" i="2" a="1"/>
  <c r="DL93" i="2" s="1"/>
  <c r="DL92" i="2" a="1"/>
  <c r="DL92" i="2" s="1"/>
  <c r="DL90" i="2" a="1"/>
  <c r="DL90" i="2" s="1"/>
  <c r="DL89" i="2" a="1"/>
  <c r="DL89" i="2" s="1"/>
  <c r="DL91" i="2" a="1"/>
  <c r="DL91" i="2" s="1"/>
  <c r="DL88" i="2" a="1"/>
  <c r="DL88" i="2" s="1"/>
  <c r="DL85" i="2" a="1"/>
  <c r="DL85" i="2" s="1"/>
  <c r="DL87" i="2" a="1"/>
  <c r="DL87" i="2" s="1"/>
  <c r="DL86" i="2" a="1"/>
  <c r="DL86" i="2" s="1"/>
  <c r="DL84" i="2" a="1"/>
  <c r="DL84" i="2" s="1"/>
  <c r="DL83" i="2" a="1"/>
  <c r="DL83" i="2" s="1"/>
  <c r="DL82" i="2" a="1"/>
  <c r="DL82" i="2" s="1"/>
  <c r="DL80" i="2" a="1"/>
  <c r="DL80" i="2" s="1"/>
  <c r="DL81" i="2" a="1"/>
  <c r="DL81" i="2" s="1"/>
  <c r="DL79" i="2" a="1"/>
  <c r="DL79" i="2" s="1"/>
  <c r="DL76" i="2" a="1"/>
  <c r="DL76" i="2" s="1"/>
  <c r="DL77" i="2" a="1"/>
  <c r="DL77" i="2" s="1"/>
  <c r="DL78" i="2" a="1"/>
  <c r="DL78" i="2" s="1"/>
  <c r="DL75" i="2" a="1"/>
  <c r="DL75" i="2" s="1"/>
  <c r="DL71" i="2" a="1"/>
  <c r="DL71" i="2" s="1"/>
  <c r="DL74" i="2" a="1"/>
  <c r="DL74" i="2" s="1"/>
  <c r="DL73" i="2" a="1"/>
  <c r="DL73" i="2" s="1"/>
  <c r="DL72" i="2" a="1"/>
  <c r="DL72" i="2" s="1"/>
  <c r="DL68" i="2" a="1"/>
  <c r="DL68" i="2" s="1"/>
  <c r="DL70" i="2" a="1"/>
  <c r="DL70" i="2" s="1"/>
  <c r="DL69" i="2" a="1"/>
  <c r="DL69" i="2" s="1"/>
  <c r="DL66" i="2" a="1"/>
  <c r="DL66" i="2" s="1"/>
  <c r="DL64" i="2" a="1"/>
  <c r="DL64" i="2" s="1"/>
  <c r="DL67" i="2" a="1"/>
  <c r="DL67" i="2" s="1"/>
  <c r="DL65" i="2" a="1"/>
  <c r="DL65" i="2" s="1"/>
  <c r="DL62" i="2" a="1"/>
  <c r="DL62" i="2" s="1"/>
  <c r="DL61" i="2" a="1"/>
  <c r="DL61" i="2" s="1"/>
  <c r="DL60" i="2" a="1"/>
  <c r="DL60" i="2" s="1"/>
  <c r="DL59" i="2" a="1"/>
  <c r="DL59" i="2" s="1"/>
  <c r="DL63" i="2" a="1"/>
  <c r="DL63" i="2" s="1"/>
  <c r="DL56" i="2" a="1"/>
  <c r="DL56" i="2" s="1"/>
  <c r="DL58" i="2" a="1"/>
  <c r="DL58" i="2" s="1"/>
  <c r="DL57" i="2" a="1"/>
  <c r="DL57" i="2" s="1"/>
  <c r="DL51" i="2" a="1"/>
  <c r="DL51" i="2" s="1"/>
  <c r="DL50" i="2" a="1"/>
  <c r="DL50" i="2" s="1"/>
  <c r="DL52" i="2" a="1"/>
  <c r="DL52" i="2" s="1"/>
  <c r="DL49" i="2" a="1"/>
  <c r="DL49" i="2" s="1"/>
  <c r="DL53" i="2" a="1"/>
  <c r="DL53" i="2" s="1"/>
  <c r="DL48" i="2" a="1"/>
  <c r="DL48" i="2" s="1"/>
  <c r="DL54" i="2" a="1"/>
  <c r="DL54" i="2" s="1"/>
  <c r="DL55" i="2" a="1"/>
  <c r="DL55" i="2" s="1"/>
  <c r="DL41" i="2" a="1"/>
  <c r="DL41" i="2" s="1"/>
  <c r="DL44" i="2" a="1"/>
  <c r="DL44" i="2" s="1"/>
  <c r="DL43" i="2" a="1"/>
  <c r="DL43" i="2" s="1"/>
  <c r="DL46" i="2" a="1"/>
  <c r="DL46" i="2" s="1"/>
  <c r="DL45" i="2" a="1"/>
  <c r="DL45" i="2" s="1"/>
  <c r="DL42" i="2" a="1"/>
  <c r="DL42" i="2" s="1"/>
  <c r="DL47" i="2" a="1"/>
  <c r="DL47" i="2" s="1"/>
  <c r="DL38" i="2" a="1"/>
  <c r="DL38" i="2" s="1"/>
  <c r="DL37" i="2" a="1"/>
  <c r="DL37" i="2" s="1"/>
  <c r="DL39" i="2" a="1"/>
  <c r="DL39" i="2" s="1"/>
  <c r="DL36" i="2" a="1"/>
  <c r="DL36" i="2" s="1"/>
  <c r="DL34" i="2" a="1"/>
  <c r="DL34" i="2" s="1"/>
  <c r="DL35" i="2" a="1"/>
  <c r="DL35" i="2" s="1"/>
  <c r="DL40" i="2" a="1"/>
  <c r="DL40" i="2" s="1"/>
  <c r="DL29" i="2" a="1"/>
  <c r="DL29" i="2" s="1"/>
  <c r="DL28" i="2" a="1"/>
  <c r="DL28" i="2" s="1"/>
  <c r="DL32" i="2" a="1"/>
  <c r="DL32" i="2" s="1"/>
  <c r="DL25" i="2" a="1"/>
  <c r="DL25" i="2" s="1"/>
  <c r="DL33" i="2" a="1"/>
  <c r="DL33" i="2" s="1"/>
  <c r="DL27" i="2" a="1"/>
  <c r="DL27" i="2" s="1"/>
  <c r="DL26" i="2" a="1"/>
  <c r="DL26" i="2" s="1"/>
  <c r="DL31" i="2" a="1"/>
  <c r="DL31" i="2" s="1"/>
  <c r="DL30" i="2" a="1"/>
  <c r="DL30" i="2" s="1"/>
  <c r="DL17" i="2" a="1"/>
  <c r="DL17" i="2" s="1"/>
  <c r="DL16" i="2" a="1"/>
  <c r="DL16" i="2" s="1"/>
  <c r="DL24" i="2" a="1"/>
  <c r="DL24" i="2" s="1"/>
  <c r="DL23" i="2" a="1"/>
  <c r="DL23" i="2" s="1"/>
  <c r="DL22" i="2" a="1"/>
  <c r="DL22" i="2" s="1"/>
  <c r="DL21" i="2" a="1"/>
  <c r="DL21" i="2" s="1"/>
  <c r="DL20" i="2" a="1"/>
  <c r="DL20" i="2" s="1"/>
  <c r="DL19" i="2" a="1"/>
  <c r="DL19" i="2" s="1"/>
  <c r="DL18" i="2" a="1"/>
  <c r="DL18" i="2" s="1"/>
  <c r="DL15" i="2" a="1"/>
  <c r="DL15" i="2" s="1"/>
  <c r="DL12" i="2" a="1"/>
  <c r="DL12" i="2" s="1"/>
  <c r="DL8" i="2" a="1"/>
  <c r="DL8" i="2" s="1"/>
  <c r="DL11" i="2" a="1"/>
  <c r="DL11" i="2" s="1"/>
  <c r="DL10" i="2" a="1"/>
  <c r="DL10" i="2" s="1"/>
  <c r="DL14" i="2" a="1"/>
  <c r="DL14" i="2" s="1"/>
  <c r="DL9" i="2" a="1"/>
  <c r="DL9" i="2" s="1"/>
  <c r="DL13" i="2" a="1"/>
  <c r="DL13" i="2" s="1"/>
  <c r="DL7" i="2" a="1"/>
  <c r="DL7" i="2" s="1"/>
  <c r="DL6" i="2" a="1"/>
  <c r="DL6" i="2" s="1"/>
  <c r="DL4" i="2" a="1"/>
  <c r="DL4" i="2" s="1"/>
  <c r="DL5" i="2" a="1"/>
  <c r="DL5" i="2" s="1"/>
  <c r="DX1" i="2"/>
  <c r="DN100" i="2" a="1"/>
  <c r="DN100" i="2" s="1"/>
  <c r="DN103" i="2" a="1"/>
  <c r="DN103" i="2" s="1"/>
  <c r="DN102" i="2" a="1"/>
  <c r="DN102" i="2" s="1"/>
  <c r="DN101" i="2" a="1"/>
  <c r="DN101" i="2" s="1"/>
  <c r="DN99" i="2" a="1"/>
  <c r="DN99" i="2" s="1"/>
  <c r="DN98" i="2" a="1"/>
  <c r="DN98" i="2" s="1"/>
  <c r="DN96" i="2" a="1"/>
  <c r="DN96" i="2" s="1"/>
  <c r="DN97" i="2" a="1"/>
  <c r="DN97" i="2" s="1"/>
  <c r="DN95" i="2" a="1"/>
  <c r="DN95" i="2" s="1"/>
  <c r="DN94" i="2" a="1"/>
  <c r="DN94" i="2" s="1"/>
  <c r="DN93" i="2" a="1"/>
  <c r="DN93" i="2" s="1"/>
  <c r="DN92" i="2" a="1"/>
  <c r="DN92" i="2" s="1"/>
  <c r="DN91" i="2" a="1"/>
  <c r="DN91" i="2" s="1"/>
  <c r="DN90" i="2" a="1"/>
  <c r="DN90" i="2" s="1"/>
  <c r="DN89" i="2" a="1"/>
  <c r="DN89" i="2" s="1"/>
  <c r="DN88" i="2" a="1"/>
  <c r="DN88" i="2" s="1"/>
  <c r="DN87" i="2" a="1"/>
  <c r="DN87" i="2" s="1"/>
  <c r="DN86" i="2" a="1"/>
  <c r="DN86" i="2" s="1"/>
  <c r="DN84" i="2" a="1"/>
  <c r="DN84" i="2" s="1"/>
  <c r="DN85" i="2" a="1"/>
  <c r="DN85" i="2" s="1"/>
  <c r="DN82" i="2" a="1"/>
  <c r="DN82" i="2" s="1"/>
  <c r="DN83" i="2" a="1"/>
  <c r="DN83" i="2" s="1"/>
  <c r="DN80" i="2" a="1"/>
  <c r="DN80" i="2" s="1"/>
  <c r="DN81" i="2" a="1"/>
  <c r="DN81" i="2" s="1"/>
  <c r="DN77" i="2" a="1"/>
  <c r="DN77" i="2" s="1"/>
  <c r="DN78" i="2" a="1"/>
  <c r="DN78" i="2" s="1"/>
  <c r="DN76" i="2" a="1"/>
  <c r="DN76" i="2" s="1"/>
  <c r="DN79" i="2" a="1"/>
  <c r="DN79" i="2" s="1"/>
  <c r="DN73" i="2" a="1"/>
  <c r="DN73" i="2" s="1"/>
  <c r="DN75" i="2" a="1"/>
  <c r="DN75" i="2" s="1"/>
  <c r="DN74" i="2" a="1"/>
  <c r="DN74" i="2" s="1"/>
  <c r="DN72" i="2" a="1"/>
  <c r="DN72" i="2" s="1"/>
  <c r="DN70" i="2" a="1"/>
  <c r="DN70" i="2" s="1"/>
  <c r="DN71" i="2" a="1"/>
  <c r="DN71" i="2" s="1"/>
  <c r="DN69" i="2" a="1"/>
  <c r="DN69" i="2" s="1"/>
  <c r="DN68" i="2" a="1"/>
  <c r="DN68" i="2" s="1"/>
  <c r="DN66" i="2" a="1"/>
  <c r="DN66" i="2" s="1"/>
  <c r="DN64" i="2" a="1"/>
  <c r="DN64" i="2" s="1"/>
  <c r="DN63" i="2" a="1"/>
  <c r="DN63" i="2" s="1"/>
  <c r="DN67" i="2" a="1"/>
  <c r="DN67" i="2" s="1"/>
  <c r="DN65" i="2" a="1"/>
  <c r="DN65" i="2" s="1"/>
  <c r="DN62" i="2" a="1"/>
  <c r="DN62" i="2" s="1"/>
  <c r="DN61" i="2" a="1"/>
  <c r="DN61" i="2" s="1"/>
  <c r="DN60" i="2" a="1"/>
  <c r="DN60" i="2" s="1"/>
  <c r="DN59" i="2" a="1"/>
  <c r="DN59" i="2" s="1"/>
  <c r="DN58" i="2" a="1"/>
  <c r="DN58" i="2" s="1"/>
  <c r="DN57" i="2" a="1"/>
  <c r="DN57" i="2" s="1"/>
  <c r="DN56" i="2" a="1"/>
  <c r="DN56" i="2" s="1"/>
  <c r="DN51" i="2" a="1"/>
  <c r="DN51" i="2" s="1"/>
  <c r="DN50" i="2" a="1"/>
  <c r="DN50" i="2" s="1"/>
  <c r="DN52" i="2" a="1"/>
  <c r="DN52" i="2" s="1"/>
  <c r="DN53" i="2" a="1"/>
  <c r="DN53" i="2" s="1"/>
  <c r="DN49" i="2" a="1"/>
  <c r="DN49" i="2" s="1"/>
  <c r="DN54" i="2" a="1"/>
  <c r="DN54" i="2" s="1"/>
  <c r="DN55" i="2" a="1"/>
  <c r="DN55" i="2" s="1"/>
  <c r="DN43" i="2" a="1"/>
  <c r="DN43" i="2" s="1"/>
  <c r="DN46" i="2" a="1"/>
  <c r="DN46" i="2" s="1"/>
  <c r="DN42" i="2" a="1"/>
  <c r="DN42" i="2" s="1"/>
  <c r="DN45" i="2" a="1"/>
  <c r="DN45" i="2" s="1"/>
  <c r="DN40" i="2" a="1"/>
  <c r="DN40" i="2" s="1"/>
  <c r="DN47" i="2" a="1"/>
  <c r="DN47" i="2" s="1"/>
  <c r="DN48" i="2" a="1"/>
  <c r="DN48" i="2" s="1"/>
  <c r="DN41" i="2" a="1"/>
  <c r="DN41" i="2" s="1"/>
  <c r="DN44" i="2" a="1"/>
  <c r="DN44" i="2" s="1"/>
  <c r="DN37" i="2" a="1"/>
  <c r="DN37" i="2" s="1"/>
  <c r="DN33" i="2" a="1"/>
  <c r="DN33" i="2" s="1"/>
  <c r="DN36" i="2" a="1"/>
  <c r="DN36" i="2" s="1"/>
  <c r="DN39" i="2" a="1"/>
  <c r="DN39" i="2" s="1"/>
  <c r="DN34" i="2" a="1"/>
  <c r="DN34" i="2" s="1"/>
  <c r="DN35" i="2" a="1"/>
  <c r="DN35" i="2" s="1"/>
  <c r="DN38" i="2" a="1"/>
  <c r="DN38" i="2" s="1"/>
  <c r="DN28" i="2" a="1"/>
  <c r="DN28" i="2" s="1"/>
  <c r="DN32" i="2" a="1"/>
  <c r="DN32" i="2" s="1"/>
  <c r="DN27" i="2" a="1"/>
  <c r="DN27" i="2" s="1"/>
  <c r="DN25" i="2" a="1"/>
  <c r="DN25" i="2" s="1"/>
  <c r="DN26" i="2" a="1"/>
  <c r="DN26" i="2" s="1"/>
  <c r="DN30" i="2" a="1"/>
  <c r="DN30" i="2" s="1"/>
  <c r="DN31" i="2" a="1"/>
  <c r="DN31" i="2" s="1"/>
  <c r="DN29" i="2" a="1"/>
  <c r="DN29" i="2" s="1"/>
  <c r="DN17" i="2" a="1"/>
  <c r="DN17" i="2" s="1"/>
  <c r="DN16" i="2" a="1"/>
  <c r="DN16" i="2" s="1"/>
  <c r="DN24" i="2" a="1"/>
  <c r="DN24" i="2" s="1"/>
  <c r="DN23" i="2" a="1"/>
  <c r="DN23" i="2" s="1"/>
  <c r="DN22" i="2" a="1"/>
  <c r="DN22" i="2" s="1"/>
  <c r="DN21" i="2" a="1"/>
  <c r="DN21" i="2" s="1"/>
  <c r="DN20" i="2" a="1"/>
  <c r="DN20" i="2" s="1"/>
  <c r="DN19" i="2" a="1"/>
  <c r="DN19" i="2" s="1"/>
  <c r="DN18" i="2" a="1"/>
  <c r="DN18" i="2" s="1"/>
  <c r="DN15" i="2" a="1"/>
  <c r="DN15" i="2" s="1"/>
  <c r="DN11" i="2" a="1"/>
  <c r="DN11" i="2" s="1"/>
  <c r="DN10" i="2" a="1"/>
  <c r="DN10" i="2" s="1"/>
  <c r="DN14" i="2" a="1"/>
  <c r="DN14" i="2" s="1"/>
  <c r="DN9" i="2" a="1"/>
  <c r="DN9" i="2" s="1"/>
  <c r="DN7" i="2" a="1"/>
  <c r="DN7" i="2" s="1"/>
  <c r="DN13" i="2" a="1"/>
  <c r="DN13" i="2" s="1"/>
  <c r="DN12" i="2" a="1"/>
  <c r="DN12" i="2" s="1"/>
  <c r="DN8" i="2" a="1"/>
  <c r="DN8" i="2" s="1"/>
  <c r="DN6" i="2" a="1"/>
  <c r="DN6" i="2" s="1"/>
  <c r="DN4" i="2" a="1"/>
  <c r="DN4" i="2" s="1"/>
  <c r="DN5" i="2" a="1"/>
  <c r="DN5" i="2" s="1"/>
  <c r="DZ1" i="2"/>
  <c r="DO100" i="2" a="1"/>
  <c r="DO100" i="2" s="1"/>
  <c r="DO103" i="2" a="1"/>
  <c r="DO103" i="2" s="1"/>
  <c r="DO102" i="2" a="1"/>
  <c r="DO102" i="2" s="1"/>
  <c r="DO101" i="2" a="1"/>
  <c r="DO101" i="2" s="1"/>
  <c r="DO99" i="2" a="1"/>
  <c r="DO99" i="2" s="1"/>
  <c r="DO98" i="2" a="1"/>
  <c r="DO98" i="2" s="1"/>
  <c r="DO96" i="2" a="1"/>
  <c r="DO96" i="2" s="1"/>
  <c r="DO97" i="2" a="1"/>
  <c r="DO97" i="2" s="1"/>
  <c r="DO95" i="2" a="1"/>
  <c r="DO95" i="2" s="1"/>
  <c r="DO94" i="2" a="1"/>
  <c r="DO94" i="2" s="1"/>
  <c r="DO93" i="2" a="1"/>
  <c r="DO93" i="2" s="1"/>
  <c r="DO92" i="2" a="1"/>
  <c r="DO92" i="2" s="1"/>
  <c r="DO89" i="2" a="1"/>
  <c r="DO89" i="2" s="1"/>
  <c r="DO91" i="2" a="1"/>
  <c r="DO91" i="2" s="1"/>
  <c r="DO88" i="2" a="1"/>
  <c r="DO88" i="2" s="1"/>
  <c r="DO90" i="2" a="1"/>
  <c r="DO90" i="2" s="1"/>
  <c r="DO87" i="2" a="1"/>
  <c r="DO87" i="2" s="1"/>
  <c r="DO86" i="2" a="1"/>
  <c r="DO86" i="2" s="1"/>
  <c r="DO84" i="2" a="1"/>
  <c r="DO84" i="2" s="1"/>
  <c r="DO85" i="2" a="1"/>
  <c r="DO85" i="2" s="1"/>
  <c r="DO82" i="2" a="1"/>
  <c r="DO82" i="2" s="1"/>
  <c r="DO83" i="2" a="1"/>
  <c r="DO83" i="2" s="1"/>
  <c r="DO80" i="2" a="1"/>
  <c r="DO80" i="2" s="1"/>
  <c r="DO81" i="2" a="1"/>
  <c r="DO81" i="2" s="1"/>
  <c r="DO78" i="2" a="1"/>
  <c r="DO78" i="2" s="1"/>
  <c r="DO76" i="2" a="1"/>
  <c r="DO76" i="2" s="1"/>
  <c r="DO79" i="2" a="1"/>
  <c r="DO79" i="2" s="1"/>
  <c r="DO77" i="2" a="1"/>
  <c r="DO77" i="2" s="1"/>
  <c r="DO75" i="2" a="1"/>
  <c r="DO75" i="2" s="1"/>
  <c r="DO74" i="2" a="1"/>
  <c r="DO74" i="2" s="1"/>
  <c r="DO72" i="2" a="1"/>
  <c r="DO72" i="2" s="1"/>
  <c r="DO73" i="2" a="1"/>
  <c r="DO73" i="2" s="1"/>
  <c r="DO70" i="2" a="1"/>
  <c r="DO70" i="2" s="1"/>
  <c r="DO71" i="2" a="1"/>
  <c r="DO71" i="2" s="1"/>
  <c r="DO69" i="2" a="1"/>
  <c r="DO69" i="2" s="1"/>
  <c r="DO68" i="2" a="1"/>
  <c r="DO68" i="2" s="1"/>
  <c r="DO64" i="2" a="1"/>
  <c r="DO64" i="2" s="1"/>
  <c r="DO67" i="2" a="1"/>
  <c r="DO67" i="2" s="1"/>
  <c r="DO65" i="2" a="1"/>
  <c r="DO65" i="2" s="1"/>
  <c r="DO66" i="2" a="1"/>
  <c r="DO66" i="2" s="1"/>
  <c r="DO61" i="2" a="1"/>
  <c r="DO61" i="2" s="1"/>
  <c r="DO60" i="2" a="1"/>
  <c r="DO60" i="2" s="1"/>
  <c r="DO63" i="2" a="1"/>
  <c r="DO63" i="2" s="1"/>
  <c r="DO62" i="2" a="1"/>
  <c r="DO62" i="2" s="1"/>
  <c r="DO59" i="2" a="1"/>
  <c r="DO59" i="2" s="1"/>
  <c r="DO57" i="2" a="1"/>
  <c r="DO57" i="2" s="1"/>
  <c r="DO56" i="2" a="1"/>
  <c r="DO56" i="2" s="1"/>
  <c r="DO58" i="2" a="1"/>
  <c r="DO58" i="2" s="1"/>
  <c r="DO50" i="2" a="1"/>
  <c r="DO50" i="2" s="1"/>
  <c r="DO52" i="2" a="1"/>
  <c r="DO52" i="2" s="1"/>
  <c r="DO53" i="2" a="1"/>
  <c r="DO53" i="2" s="1"/>
  <c r="DO49" i="2" a="1"/>
  <c r="DO49" i="2" s="1"/>
  <c r="DO54" i="2" a="1"/>
  <c r="DO54" i="2" s="1"/>
  <c r="DO48" i="2" a="1"/>
  <c r="DO48" i="2" s="1"/>
  <c r="DO55" i="2" a="1"/>
  <c r="DO55" i="2" s="1"/>
  <c r="DO51" i="2" a="1"/>
  <c r="DO51" i="2" s="1"/>
  <c r="DO43" i="2" a="1"/>
  <c r="DO43" i="2" s="1"/>
  <c r="DO46" i="2" a="1"/>
  <c r="DO46" i="2" s="1"/>
  <c r="DO42" i="2" a="1"/>
  <c r="DO42" i="2" s="1"/>
  <c r="DO45" i="2" a="1"/>
  <c r="DO45" i="2" s="1"/>
  <c r="DO47" i="2" a="1"/>
  <c r="DO47" i="2" s="1"/>
  <c r="DO41" i="2" a="1"/>
  <c r="DO41" i="2" s="1"/>
  <c r="DO44" i="2" a="1"/>
  <c r="DO44" i="2" s="1"/>
  <c r="DO37" i="2" a="1"/>
  <c r="DO37" i="2" s="1"/>
  <c r="DO36" i="2" a="1"/>
  <c r="DO36" i="2" s="1"/>
  <c r="DO39" i="2" a="1"/>
  <c r="DO39" i="2" s="1"/>
  <c r="DO34" i="2" a="1"/>
  <c r="DO34" i="2" s="1"/>
  <c r="DO35" i="2" a="1"/>
  <c r="DO35" i="2" s="1"/>
  <c r="DO38" i="2" a="1"/>
  <c r="DO38" i="2" s="1"/>
  <c r="DO40" i="2" a="1"/>
  <c r="DO40" i="2" s="1"/>
  <c r="DO28" i="2" a="1"/>
  <c r="DO28" i="2" s="1"/>
  <c r="DO32" i="2" a="1"/>
  <c r="DO32" i="2" s="1"/>
  <c r="DO27" i="2" a="1"/>
  <c r="DO27" i="2" s="1"/>
  <c r="DO25" i="2" a="1"/>
  <c r="DO25" i="2" s="1"/>
  <c r="DO26" i="2" a="1"/>
  <c r="DO26" i="2" s="1"/>
  <c r="DO33" i="2" a="1"/>
  <c r="DO33" i="2" s="1"/>
  <c r="DO30" i="2" a="1"/>
  <c r="DO30" i="2" s="1"/>
  <c r="DO31" i="2" a="1"/>
  <c r="DO31" i="2" s="1"/>
  <c r="DO29" i="2" a="1"/>
  <c r="DO29" i="2" s="1"/>
  <c r="DO17" i="2" a="1"/>
  <c r="DO17" i="2" s="1"/>
  <c r="DO16" i="2" a="1"/>
  <c r="DO16" i="2" s="1"/>
  <c r="DO24" i="2" a="1"/>
  <c r="DO24" i="2" s="1"/>
  <c r="DO23" i="2" a="1"/>
  <c r="DO23" i="2" s="1"/>
  <c r="DO22" i="2" a="1"/>
  <c r="DO22" i="2" s="1"/>
  <c r="DO21" i="2" a="1"/>
  <c r="DO21" i="2" s="1"/>
  <c r="DO20" i="2" a="1"/>
  <c r="DO20" i="2" s="1"/>
  <c r="DO19" i="2" a="1"/>
  <c r="DO19" i="2" s="1"/>
  <c r="DO18" i="2" a="1"/>
  <c r="DO18" i="2" s="1"/>
  <c r="DO15" i="2" a="1"/>
  <c r="DO15" i="2" s="1"/>
  <c r="DO11" i="2" a="1"/>
  <c r="DO11" i="2" s="1"/>
  <c r="DO10" i="2" a="1"/>
  <c r="DO10" i="2" s="1"/>
  <c r="DO14" i="2" a="1"/>
  <c r="DO14" i="2" s="1"/>
  <c r="DO9" i="2" a="1"/>
  <c r="DO9" i="2" s="1"/>
  <c r="DO13" i="2" a="1"/>
  <c r="DO13" i="2" s="1"/>
  <c r="DO12" i="2" a="1"/>
  <c r="DO12" i="2" s="1"/>
  <c r="DO8" i="2" a="1"/>
  <c r="DO8" i="2" s="1"/>
  <c r="DO7" i="2" a="1"/>
  <c r="DO7" i="2" s="1"/>
  <c r="DO5" i="2" a="1"/>
  <c r="DO5" i="2" s="1"/>
  <c r="DO6" i="2" a="1"/>
  <c r="DO6" i="2" s="1"/>
  <c r="DO4" i="2" a="1"/>
  <c r="DO4" i="2" s="1"/>
  <c r="EA1" i="2"/>
  <c r="DN120" i="2"/>
  <c r="GL13" i="2" s="1"/>
  <c r="DQ100" i="2" a="1"/>
  <c r="DQ100" i="2" s="1"/>
  <c r="DQ103" i="2" a="1"/>
  <c r="DQ103" i="2" s="1"/>
  <c r="DQ102" i="2" a="1"/>
  <c r="DQ102" i="2" s="1"/>
  <c r="DQ101" i="2" a="1"/>
  <c r="DQ101" i="2" s="1"/>
  <c r="DQ99" i="2" a="1"/>
  <c r="DQ99" i="2" s="1"/>
  <c r="DQ98" i="2" a="1"/>
  <c r="DQ98" i="2" s="1"/>
  <c r="DQ96" i="2" a="1"/>
  <c r="DQ96" i="2" s="1"/>
  <c r="DQ97" i="2" a="1"/>
  <c r="DQ97" i="2" s="1"/>
  <c r="DQ95" i="2" a="1"/>
  <c r="DQ95" i="2" s="1"/>
  <c r="DQ93" i="2" a="1"/>
  <c r="DQ93" i="2" s="1"/>
  <c r="DQ92" i="2" a="1"/>
  <c r="DQ92" i="2" s="1"/>
  <c r="DQ94" i="2" a="1"/>
  <c r="DQ94" i="2" s="1"/>
  <c r="DQ88" i="2" a="1"/>
  <c r="DQ88" i="2" s="1"/>
  <c r="DQ91" i="2" a="1"/>
  <c r="DQ91" i="2" s="1"/>
  <c r="DQ87" i="2" a="1"/>
  <c r="DQ87" i="2" s="1"/>
  <c r="DQ90" i="2" a="1"/>
  <c r="DQ90" i="2" s="1"/>
  <c r="DQ89" i="2" a="1"/>
  <c r="DQ89" i="2" s="1"/>
  <c r="DQ86" i="2" a="1"/>
  <c r="DQ86" i="2" s="1"/>
  <c r="DQ84" i="2" a="1"/>
  <c r="DQ84" i="2" s="1"/>
  <c r="DQ85" i="2" a="1"/>
  <c r="DQ85" i="2" s="1"/>
  <c r="DQ83" i="2" a="1"/>
  <c r="DQ83" i="2" s="1"/>
  <c r="DQ82" i="2" a="1"/>
  <c r="DQ82" i="2" s="1"/>
  <c r="DQ81" i="2" a="1"/>
  <c r="DQ81" i="2" s="1"/>
  <c r="DQ80" i="2" a="1"/>
  <c r="DQ80" i="2" s="1"/>
  <c r="DQ76" i="2" a="1"/>
  <c r="DQ76" i="2" s="1"/>
  <c r="DQ79" i="2" a="1"/>
  <c r="DQ79" i="2" s="1"/>
  <c r="DQ77" i="2" a="1"/>
  <c r="DQ77" i="2" s="1"/>
  <c r="DQ78" i="2" a="1"/>
  <c r="DQ78" i="2" s="1"/>
  <c r="DQ75" i="2" a="1"/>
  <c r="DQ75" i="2" s="1"/>
  <c r="DQ74" i="2" a="1"/>
  <c r="DQ74" i="2" s="1"/>
  <c r="DQ72" i="2" a="1"/>
  <c r="DQ72" i="2" s="1"/>
  <c r="DQ73" i="2" a="1"/>
  <c r="DQ73" i="2" s="1"/>
  <c r="DQ71" i="2" a="1"/>
  <c r="DQ71" i="2" s="1"/>
  <c r="DQ69" i="2" a="1"/>
  <c r="DQ69" i="2" s="1"/>
  <c r="DQ68" i="2" a="1"/>
  <c r="DQ68" i="2" s="1"/>
  <c r="DQ70" i="2" a="1"/>
  <c r="DQ70" i="2" s="1"/>
  <c r="DQ67" i="2" a="1"/>
  <c r="DQ67" i="2" s="1"/>
  <c r="DQ65" i="2" a="1"/>
  <c r="DQ65" i="2" s="1"/>
  <c r="DQ66" i="2" a="1"/>
  <c r="DQ66" i="2" s="1"/>
  <c r="DQ64" i="2" a="1"/>
  <c r="DQ64" i="2" s="1"/>
  <c r="DQ60" i="2" a="1"/>
  <c r="DQ60" i="2" s="1"/>
  <c r="DQ63" i="2" a="1"/>
  <c r="DQ63" i="2" s="1"/>
  <c r="DQ62" i="2" a="1"/>
  <c r="DQ62" i="2" s="1"/>
  <c r="DQ61" i="2" a="1"/>
  <c r="DQ61" i="2" s="1"/>
  <c r="DQ57" i="2" a="1"/>
  <c r="DQ57" i="2" s="1"/>
  <c r="DQ56" i="2" a="1"/>
  <c r="DQ56" i="2" s="1"/>
  <c r="DQ58" i="2" a="1"/>
  <c r="DQ58" i="2" s="1"/>
  <c r="DQ59" i="2" a="1"/>
  <c r="DQ59" i="2" s="1"/>
  <c r="DQ53" i="2" a="1"/>
  <c r="DQ53" i="2" s="1"/>
  <c r="DQ49" i="2" a="1"/>
  <c r="DQ49" i="2" s="1"/>
  <c r="DQ54" i="2" a="1"/>
  <c r="DQ54" i="2" s="1"/>
  <c r="DQ48" i="2" a="1"/>
  <c r="DQ48" i="2" s="1"/>
  <c r="DQ55" i="2" a="1"/>
  <c r="DQ55" i="2" s="1"/>
  <c r="DQ51" i="2" a="1"/>
  <c r="DQ51" i="2" s="1"/>
  <c r="DQ52" i="2" a="1"/>
  <c r="DQ52" i="2" s="1"/>
  <c r="DQ50" i="2" a="1"/>
  <c r="DQ50" i="2" s="1"/>
  <c r="DQ42" i="2" a="1"/>
  <c r="DQ42" i="2" s="1"/>
  <c r="DQ45" i="2" a="1"/>
  <c r="DQ45" i="2" s="1"/>
  <c r="DQ40" i="2" a="1"/>
  <c r="DQ40" i="2" s="1"/>
  <c r="DQ47" i="2" a="1"/>
  <c r="DQ47" i="2" s="1"/>
  <c r="DQ41" i="2" a="1"/>
  <c r="DQ41" i="2" s="1"/>
  <c r="DQ44" i="2" a="1"/>
  <c r="DQ44" i="2" s="1"/>
  <c r="DQ46" i="2" a="1"/>
  <c r="DQ46" i="2" s="1"/>
  <c r="DQ43" i="2" a="1"/>
  <c r="DQ43" i="2" s="1"/>
  <c r="DQ36" i="2" a="1"/>
  <c r="DQ36" i="2" s="1"/>
  <c r="DQ34" i="2" a="1"/>
  <c r="DQ34" i="2" s="1"/>
  <c r="DQ39" i="2" a="1"/>
  <c r="DQ39" i="2" s="1"/>
  <c r="DQ35" i="2" a="1"/>
  <c r="DQ35" i="2" s="1"/>
  <c r="DQ38" i="2" a="1"/>
  <c r="DQ38" i="2" s="1"/>
  <c r="DQ37" i="2" a="1"/>
  <c r="DQ37" i="2" s="1"/>
  <c r="DQ27" i="2" a="1"/>
  <c r="DQ27" i="2" s="1"/>
  <c r="DQ32" i="2" a="1"/>
  <c r="DQ32" i="2" s="1"/>
  <c r="DQ26" i="2" a="1"/>
  <c r="DQ26" i="2" s="1"/>
  <c r="DQ30" i="2" a="1"/>
  <c r="DQ30" i="2" s="1"/>
  <c r="DQ33" i="2" a="1"/>
  <c r="DQ33" i="2" s="1"/>
  <c r="DQ31" i="2" a="1"/>
  <c r="DQ31" i="2" s="1"/>
  <c r="DQ29" i="2" a="1"/>
  <c r="DQ29" i="2" s="1"/>
  <c r="DQ28" i="2" a="1"/>
  <c r="DQ28" i="2" s="1"/>
  <c r="DQ24" i="2" a="1"/>
  <c r="DQ24" i="2" s="1"/>
  <c r="DQ23" i="2" a="1"/>
  <c r="DQ23" i="2" s="1"/>
  <c r="DQ22" i="2" a="1"/>
  <c r="DQ22" i="2" s="1"/>
  <c r="DQ21" i="2" a="1"/>
  <c r="DQ21" i="2" s="1"/>
  <c r="DQ20" i="2" a="1"/>
  <c r="DQ20" i="2" s="1"/>
  <c r="DQ19" i="2" a="1"/>
  <c r="DQ19" i="2" s="1"/>
  <c r="DQ18" i="2" a="1"/>
  <c r="DQ18" i="2" s="1"/>
  <c r="DQ15" i="2" a="1"/>
  <c r="DQ15" i="2" s="1"/>
  <c r="DQ25" i="2" a="1"/>
  <c r="DQ25" i="2" s="1"/>
  <c r="DQ17" i="2" a="1"/>
  <c r="DQ17" i="2" s="1"/>
  <c r="DQ16" i="2" a="1"/>
  <c r="DQ16" i="2" s="1"/>
  <c r="DQ14" i="2" a="1"/>
  <c r="DQ14" i="2" s="1"/>
  <c r="DQ9" i="2" a="1"/>
  <c r="DQ9" i="2" s="1"/>
  <c r="DQ7" i="2" a="1"/>
  <c r="DQ7" i="2" s="1"/>
  <c r="DQ13" i="2" a="1"/>
  <c r="DQ13" i="2" s="1"/>
  <c r="DQ12" i="2" a="1"/>
  <c r="DQ12" i="2" s="1"/>
  <c r="DQ8" i="2" a="1"/>
  <c r="DQ8" i="2" s="1"/>
  <c r="DQ11" i="2" a="1"/>
  <c r="DQ11" i="2" s="1"/>
  <c r="DQ10" i="2" a="1"/>
  <c r="DQ10" i="2" s="1"/>
  <c r="DQ5" i="2" a="1"/>
  <c r="DQ5" i="2" s="1"/>
  <c r="DQ6" i="2" a="1"/>
  <c r="DQ6" i="2" s="1"/>
  <c r="DQ4" i="2" a="1"/>
  <c r="DQ4" i="2" s="1"/>
  <c r="DQ115" i="2" s="1"/>
  <c r="EC1" i="2"/>
  <c r="DD120" i="2"/>
  <c r="GN12" i="2" s="1"/>
  <c r="DE120" i="2"/>
  <c r="GO12" i="2" s="1"/>
  <c r="DC120" i="2"/>
  <c r="GM12" i="2" s="1"/>
  <c r="DE117" i="2"/>
  <c r="DE116" i="2"/>
  <c r="GB104" i="2"/>
  <c r="M105" i="2"/>
  <c r="CW104" i="2"/>
  <c r="CY104" i="2"/>
  <c r="CG105" i="2"/>
  <c r="AW105" i="2"/>
  <c r="DD104" i="2"/>
  <c r="Y105" i="2"/>
  <c r="CX104" i="2"/>
  <c r="BI105" i="2"/>
  <c r="DA104" i="2"/>
  <c r="DC104" i="2"/>
  <c r="DE104" i="2"/>
  <c r="CS105" i="2"/>
  <c r="AK105" i="2"/>
  <c r="CV104" i="2"/>
  <c r="DB104" i="2"/>
  <c r="CZ104" i="2"/>
  <c r="BU105" i="2"/>
  <c r="CT104" i="2"/>
  <c r="CU104" i="2"/>
  <c r="EA100" i="2" l="1" a="1"/>
  <c r="EA100" i="2" s="1"/>
  <c r="EA99" i="2" a="1"/>
  <c r="EA99" i="2" s="1"/>
  <c r="EA103" i="2" a="1"/>
  <c r="EA103" i="2" s="1"/>
  <c r="EA102" i="2" a="1"/>
  <c r="EA102" i="2" s="1"/>
  <c r="EA101" i="2" a="1"/>
  <c r="EA101" i="2" s="1"/>
  <c r="EA98" i="2" a="1"/>
  <c r="EA98" i="2" s="1"/>
  <c r="EA96" i="2" a="1"/>
  <c r="EA96" i="2" s="1"/>
  <c r="EA95" i="2" a="1"/>
  <c r="EA95" i="2" s="1"/>
  <c r="EA97" i="2" a="1"/>
  <c r="EA97" i="2" s="1"/>
  <c r="EA92" i="2" a="1"/>
  <c r="EA92" i="2" s="1"/>
  <c r="EA91" i="2" a="1"/>
  <c r="EA91" i="2" s="1"/>
  <c r="EA94" i="2" a="1"/>
  <c r="EA94" i="2" s="1"/>
  <c r="EA93" i="2" a="1"/>
  <c r="EA93" i="2" s="1"/>
  <c r="EA90" i="2" a="1"/>
  <c r="EA90" i="2" s="1"/>
  <c r="EA89" i="2" a="1"/>
  <c r="EA89" i="2" s="1"/>
  <c r="EA88" i="2" a="1"/>
  <c r="EA88" i="2" s="1"/>
  <c r="EA86" i="2" a="1"/>
  <c r="EA86" i="2" s="1"/>
  <c r="EA85" i="2" a="1"/>
  <c r="EA85" i="2" s="1"/>
  <c r="EA84" i="2" a="1"/>
  <c r="EA84" i="2" s="1"/>
  <c r="EA87" i="2" a="1"/>
  <c r="EA87" i="2" s="1"/>
  <c r="EA83" i="2" a="1"/>
  <c r="EA83" i="2" s="1"/>
  <c r="EA82" i="2" a="1"/>
  <c r="EA82" i="2" s="1"/>
  <c r="EA80" i="2" a="1"/>
  <c r="EA80" i="2" s="1"/>
  <c r="EA81" i="2" a="1"/>
  <c r="EA81" i="2" s="1"/>
  <c r="EA76" i="2" a="1"/>
  <c r="EA76" i="2" s="1"/>
  <c r="EA79" i="2" a="1"/>
  <c r="EA79" i="2" s="1"/>
  <c r="EA77" i="2" a="1"/>
  <c r="EA77" i="2" s="1"/>
  <c r="EA78" i="2" a="1"/>
  <c r="EA78" i="2" s="1"/>
  <c r="EA75" i="2" a="1"/>
  <c r="EA75" i="2" s="1"/>
  <c r="EA74" i="2" a="1"/>
  <c r="EA74" i="2" s="1"/>
  <c r="EA72" i="2" a="1"/>
  <c r="EA72" i="2" s="1"/>
  <c r="EA73" i="2" a="1"/>
  <c r="EA73" i="2" s="1"/>
  <c r="EA69" i="2" a="1"/>
  <c r="EA69" i="2" s="1"/>
  <c r="EA71" i="2" a="1"/>
  <c r="EA71" i="2" s="1"/>
  <c r="EA68" i="2" a="1"/>
  <c r="EA68" i="2" s="1"/>
  <c r="EA67" i="2" a="1"/>
  <c r="EA67" i="2" s="1"/>
  <c r="EA70" i="2" a="1"/>
  <c r="EA70" i="2" s="1"/>
  <c r="EA65" i="2" a="1"/>
  <c r="EA65" i="2" s="1"/>
  <c r="EA66" i="2" a="1"/>
  <c r="EA66" i="2" s="1"/>
  <c r="EA64" i="2" a="1"/>
  <c r="EA64" i="2" s="1"/>
  <c r="EA63" i="2" a="1"/>
  <c r="EA63" i="2" s="1"/>
  <c r="EA62" i="2" a="1"/>
  <c r="EA62" i="2" s="1"/>
  <c r="EA61" i="2" a="1"/>
  <c r="EA61" i="2" s="1"/>
  <c r="EA59" i="2" a="1"/>
  <c r="EA59" i="2" s="1"/>
  <c r="EA57" i="2" a="1"/>
  <c r="EA57" i="2" s="1"/>
  <c r="EA60" i="2" a="1"/>
  <c r="EA60" i="2" s="1"/>
  <c r="EA56" i="2" a="1"/>
  <c r="EA56" i="2" s="1"/>
  <c r="EA58" i="2" a="1"/>
  <c r="EA58" i="2" s="1"/>
  <c r="EA49" i="2" a="1"/>
  <c r="EA49" i="2" s="1"/>
  <c r="EA55" i="2" a="1"/>
  <c r="EA55" i="2" s="1"/>
  <c r="EA54" i="2" a="1"/>
  <c r="EA54" i="2" s="1"/>
  <c r="EA48" i="2" a="1"/>
  <c r="EA48" i="2" s="1"/>
  <c r="EA51" i="2" a="1"/>
  <c r="EA51" i="2" s="1"/>
  <c r="EA52" i="2" a="1"/>
  <c r="EA52" i="2" s="1"/>
  <c r="EA53" i="2" a="1"/>
  <c r="EA53" i="2" s="1"/>
  <c r="EA50" i="2" a="1"/>
  <c r="EA50" i="2" s="1"/>
  <c r="EA40" i="2" a="1"/>
  <c r="EA40" i="2" s="1"/>
  <c r="EA47" i="2" a="1"/>
  <c r="EA47" i="2" s="1"/>
  <c r="EA41" i="2" a="1"/>
  <c r="EA41" i="2" s="1"/>
  <c r="EA44" i="2" a="1"/>
  <c r="EA44" i="2" s="1"/>
  <c r="EA43" i="2" a="1"/>
  <c r="EA43" i="2" s="1"/>
  <c r="EA46" i="2" a="1"/>
  <c r="EA46" i="2" s="1"/>
  <c r="EA45" i="2" a="1"/>
  <c r="EA45" i="2" s="1"/>
  <c r="EA42" i="2" a="1"/>
  <c r="EA42" i="2" s="1"/>
  <c r="EA35" i="2" a="1"/>
  <c r="EA35" i="2" s="1"/>
  <c r="EA38" i="2" a="1"/>
  <c r="EA38" i="2" s="1"/>
  <c r="EA37" i="2" a="1"/>
  <c r="EA37" i="2" s="1"/>
  <c r="EA36" i="2" a="1"/>
  <c r="EA36" i="2" s="1"/>
  <c r="EA39" i="2" a="1"/>
  <c r="EA39" i="2" s="1"/>
  <c r="EA34" i="2" a="1"/>
  <c r="EA34" i="2" s="1"/>
  <c r="EA27" i="2" a="1"/>
  <c r="EA27" i="2" s="1"/>
  <c r="EA32" i="2" a="1"/>
  <c r="EA32" i="2" s="1"/>
  <c r="EA26" i="2" a="1"/>
  <c r="EA26" i="2" s="1"/>
  <c r="EA30" i="2" a="1"/>
  <c r="EA30" i="2" s="1"/>
  <c r="EA31" i="2" a="1"/>
  <c r="EA31" i="2" s="1"/>
  <c r="EA25" i="2" a="1"/>
  <c r="EA25" i="2" s="1"/>
  <c r="EA29" i="2" a="1"/>
  <c r="EA29" i="2" s="1"/>
  <c r="EA28" i="2" a="1"/>
  <c r="EA28" i="2" s="1"/>
  <c r="EA33" i="2" a="1"/>
  <c r="EA33" i="2" s="1"/>
  <c r="EA17" i="2" a="1"/>
  <c r="EA17" i="2" s="1"/>
  <c r="EA24" i="2" a="1"/>
  <c r="EA24" i="2" s="1"/>
  <c r="EA23" i="2" a="1"/>
  <c r="EA23" i="2" s="1"/>
  <c r="EA22" i="2" a="1"/>
  <c r="EA22" i="2" s="1"/>
  <c r="EA21" i="2" a="1"/>
  <c r="EA21" i="2" s="1"/>
  <c r="EA20" i="2" a="1"/>
  <c r="EA20" i="2" s="1"/>
  <c r="EA19" i="2" a="1"/>
  <c r="EA19" i="2" s="1"/>
  <c r="EA18" i="2" a="1"/>
  <c r="EA18" i="2" s="1"/>
  <c r="EA16" i="2" a="1"/>
  <c r="EA16" i="2" s="1"/>
  <c r="EA13" i="2" a="1"/>
  <c r="EA13" i="2" s="1"/>
  <c r="EA8" i="2" a="1"/>
  <c r="EA8" i="2" s="1"/>
  <c r="EA12" i="2" a="1"/>
  <c r="EA12" i="2" s="1"/>
  <c r="EA15" i="2" a="1"/>
  <c r="EA15" i="2" s="1"/>
  <c r="EA11" i="2" a="1"/>
  <c r="EA11" i="2" s="1"/>
  <c r="EA10" i="2" a="1"/>
  <c r="EA10" i="2" s="1"/>
  <c r="EA14" i="2" a="1"/>
  <c r="EA14" i="2" s="1"/>
  <c r="EA9" i="2" a="1"/>
  <c r="EA9" i="2" s="1"/>
  <c r="EA7" i="2" a="1"/>
  <c r="EA7" i="2" s="1"/>
  <c r="EA5" i="2" a="1"/>
  <c r="EA5" i="2" s="1"/>
  <c r="EA6" i="2" a="1"/>
  <c r="EA6" i="2" s="1"/>
  <c r="EA4" i="2" a="1"/>
  <c r="EA4" i="2" s="1"/>
  <c r="EM1" i="2"/>
  <c r="DR100" i="2" a="1"/>
  <c r="DR100" i="2" s="1"/>
  <c r="DR103" i="2" a="1"/>
  <c r="DR103" i="2" s="1"/>
  <c r="DR102" i="2" a="1"/>
  <c r="DR102" i="2" s="1"/>
  <c r="DR101" i="2" a="1"/>
  <c r="DR101" i="2" s="1"/>
  <c r="DR99" i="2" a="1"/>
  <c r="DR99" i="2" s="1"/>
  <c r="DR98" i="2" a="1"/>
  <c r="DR98" i="2" s="1"/>
  <c r="DR96" i="2" a="1"/>
  <c r="DR96" i="2" s="1"/>
  <c r="DR97" i="2" a="1"/>
  <c r="DR97" i="2" s="1"/>
  <c r="DR95" i="2" a="1"/>
  <c r="DR95" i="2" s="1"/>
  <c r="DR92" i="2" a="1"/>
  <c r="DR92" i="2" s="1"/>
  <c r="DR91" i="2" a="1"/>
  <c r="DR91" i="2" s="1"/>
  <c r="DR94" i="2" a="1"/>
  <c r="DR94" i="2" s="1"/>
  <c r="DR93" i="2" a="1"/>
  <c r="DR93" i="2" s="1"/>
  <c r="DR90" i="2" a="1"/>
  <c r="DR90" i="2" s="1"/>
  <c r="DR89" i="2" a="1"/>
  <c r="DR89" i="2" s="1"/>
  <c r="DR88" i="2" a="1"/>
  <c r="DR88" i="2" s="1"/>
  <c r="DR86" i="2" a="1"/>
  <c r="DR86" i="2" s="1"/>
  <c r="DR84" i="2" a="1"/>
  <c r="DR84" i="2" s="1"/>
  <c r="DR87" i="2" a="1"/>
  <c r="DR87" i="2" s="1"/>
  <c r="DR85" i="2" a="1"/>
  <c r="DR85" i="2" s="1"/>
  <c r="DR82" i="2" a="1"/>
  <c r="DR82" i="2" s="1"/>
  <c r="DR80" i="2" a="1"/>
  <c r="DR80" i="2" s="1"/>
  <c r="DR81" i="2" a="1"/>
  <c r="DR81" i="2" s="1"/>
  <c r="DR83" i="2" a="1"/>
  <c r="DR83" i="2" s="1"/>
  <c r="DR76" i="2" a="1"/>
  <c r="DR76" i="2" s="1"/>
  <c r="DR79" i="2" a="1"/>
  <c r="DR79" i="2" s="1"/>
  <c r="DR77" i="2" a="1"/>
  <c r="DR77" i="2" s="1"/>
  <c r="DR78" i="2" a="1"/>
  <c r="DR78" i="2" s="1"/>
  <c r="DR75" i="2" a="1"/>
  <c r="DR75" i="2" s="1"/>
  <c r="DR74" i="2" a="1"/>
  <c r="DR74" i="2" s="1"/>
  <c r="DR72" i="2" a="1"/>
  <c r="DR72" i="2" s="1"/>
  <c r="DR73" i="2" a="1"/>
  <c r="DR73" i="2" s="1"/>
  <c r="DR71" i="2" a="1"/>
  <c r="DR71" i="2" s="1"/>
  <c r="DR69" i="2" a="1"/>
  <c r="DR69" i="2" s="1"/>
  <c r="DR68" i="2" a="1"/>
  <c r="DR68" i="2" s="1"/>
  <c r="DR70" i="2" a="1"/>
  <c r="DR70" i="2" s="1"/>
  <c r="DR67" i="2" a="1"/>
  <c r="DR67" i="2" s="1"/>
  <c r="DR65" i="2" a="1"/>
  <c r="DR65" i="2" s="1"/>
  <c r="DR66" i="2" a="1"/>
  <c r="DR66" i="2" s="1"/>
  <c r="DR64" i="2" a="1"/>
  <c r="DR64" i="2" s="1"/>
  <c r="DR63" i="2" a="1"/>
  <c r="DR63" i="2" s="1"/>
  <c r="DR62" i="2" a="1"/>
  <c r="DR62" i="2" s="1"/>
  <c r="DR61" i="2" a="1"/>
  <c r="DR61" i="2" s="1"/>
  <c r="DR60" i="2" a="1"/>
  <c r="DR60" i="2" s="1"/>
  <c r="DR57" i="2" a="1"/>
  <c r="DR57" i="2" s="1"/>
  <c r="DR56" i="2" a="1"/>
  <c r="DR56" i="2" s="1"/>
  <c r="DR58" i="2" a="1"/>
  <c r="DR58" i="2" s="1"/>
  <c r="DR59" i="2" a="1"/>
  <c r="DR59" i="2" s="1"/>
  <c r="DR54" i="2" a="1"/>
  <c r="DR54" i="2" s="1"/>
  <c r="DR48" i="2" a="1"/>
  <c r="DR48" i="2" s="1"/>
  <c r="DR55" i="2" a="1"/>
  <c r="DR55" i="2" s="1"/>
  <c r="DR51" i="2" a="1"/>
  <c r="DR51" i="2" s="1"/>
  <c r="DR52" i="2" a="1"/>
  <c r="DR52" i="2" s="1"/>
  <c r="DR50" i="2" a="1"/>
  <c r="DR50" i="2" s="1"/>
  <c r="DR53" i="2" a="1"/>
  <c r="DR53" i="2" s="1"/>
  <c r="DR49" i="2" a="1"/>
  <c r="DR49" i="2" s="1"/>
  <c r="DR45" i="2" a="1"/>
  <c r="DR45" i="2" s="1"/>
  <c r="DR40" i="2" a="1"/>
  <c r="DR40" i="2" s="1"/>
  <c r="DR47" i="2" a="1"/>
  <c r="DR47" i="2" s="1"/>
  <c r="DR41" i="2" a="1"/>
  <c r="DR41" i="2" s="1"/>
  <c r="DR44" i="2" a="1"/>
  <c r="DR44" i="2" s="1"/>
  <c r="DR46" i="2" a="1"/>
  <c r="DR46" i="2" s="1"/>
  <c r="DR43" i="2" a="1"/>
  <c r="DR43" i="2" s="1"/>
  <c r="DR42" i="2" a="1"/>
  <c r="DR42" i="2" s="1"/>
  <c r="DR34" i="2" a="1"/>
  <c r="DR34" i="2" s="1"/>
  <c r="DR39" i="2" a="1"/>
  <c r="DR39" i="2" s="1"/>
  <c r="DR38" i="2" a="1"/>
  <c r="DR38" i="2" s="1"/>
  <c r="DR35" i="2" a="1"/>
  <c r="DR35" i="2" s="1"/>
  <c r="DR37" i="2" a="1"/>
  <c r="DR37" i="2" s="1"/>
  <c r="DR36" i="2" a="1"/>
  <c r="DR36" i="2" s="1"/>
  <c r="DR32" i="2" a="1"/>
  <c r="DR32" i="2" s="1"/>
  <c r="DR25" i="2" a="1"/>
  <c r="DR25" i="2" s="1"/>
  <c r="DR26" i="2" a="1"/>
  <c r="DR26" i="2" s="1"/>
  <c r="DR30" i="2" a="1"/>
  <c r="DR30" i="2" s="1"/>
  <c r="DR31" i="2" a="1"/>
  <c r="DR31" i="2" s="1"/>
  <c r="DR33" i="2" a="1"/>
  <c r="DR33" i="2" s="1"/>
  <c r="DR29" i="2" a="1"/>
  <c r="DR29" i="2" s="1"/>
  <c r="DR28" i="2" a="1"/>
  <c r="DR28" i="2" s="1"/>
  <c r="DR27" i="2" a="1"/>
  <c r="DR27" i="2" s="1"/>
  <c r="DR24" i="2" a="1"/>
  <c r="DR24" i="2" s="1"/>
  <c r="DR23" i="2" a="1"/>
  <c r="DR23" i="2" s="1"/>
  <c r="DR22" i="2" a="1"/>
  <c r="DR22" i="2" s="1"/>
  <c r="DR21" i="2" a="1"/>
  <c r="DR21" i="2" s="1"/>
  <c r="DR20" i="2" a="1"/>
  <c r="DR20" i="2" s="1"/>
  <c r="DR19" i="2" a="1"/>
  <c r="DR19" i="2" s="1"/>
  <c r="DR18" i="2" a="1"/>
  <c r="DR18" i="2" s="1"/>
  <c r="DR15" i="2" a="1"/>
  <c r="DR15" i="2" s="1"/>
  <c r="DR17" i="2" a="1"/>
  <c r="DR17" i="2" s="1"/>
  <c r="DR16" i="2" a="1"/>
  <c r="DR16" i="2" s="1"/>
  <c r="DR14" i="2" a="1"/>
  <c r="DR14" i="2" s="1"/>
  <c r="DR13" i="2" a="1"/>
  <c r="DR13" i="2" s="1"/>
  <c r="DR8" i="2" a="1"/>
  <c r="DR8" i="2" s="1"/>
  <c r="DR12" i="2" a="1"/>
  <c r="DR12" i="2" s="1"/>
  <c r="DR11" i="2" a="1"/>
  <c r="DR11" i="2" s="1"/>
  <c r="DR10" i="2" a="1"/>
  <c r="DR10" i="2" s="1"/>
  <c r="DR9" i="2" a="1"/>
  <c r="DR9" i="2" s="1"/>
  <c r="DR5" i="2" a="1"/>
  <c r="DR5" i="2" s="1"/>
  <c r="DR6" i="2" a="1"/>
  <c r="DR6" i="2" s="1"/>
  <c r="DR4" i="2" a="1"/>
  <c r="DR4" i="2" s="1"/>
  <c r="DR7" i="2" a="1"/>
  <c r="DR7" i="2" s="1"/>
  <c r="ED1" i="2"/>
  <c r="DQ120" i="2"/>
  <c r="GO13" i="2" s="1"/>
  <c r="DU99" i="2" a="1"/>
  <c r="DU99" i="2" s="1"/>
  <c r="DU103" i="2" a="1"/>
  <c r="DU103" i="2" s="1"/>
  <c r="DU102" i="2" a="1"/>
  <c r="DU102" i="2" s="1"/>
  <c r="DU101" i="2" a="1"/>
  <c r="DU101" i="2" s="1"/>
  <c r="DU100" i="2" a="1"/>
  <c r="DU100" i="2" s="1"/>
  <c r="DU97" i="2" a="1"/>
  <c r="DU97" i="2" s="1"/>
  <c r="DU95" i="2" a="1"/>
  <c r="DU95" i="2" s="1"/>
  <c r="DU98" i="2" a="1"/>
  <c r="DU98" i="2" s="1"/>
  <c r="DU96" i="2" a="1"/>
  <c r="DU96" i="2" s="1"/>
  <c r="DU94" i="2" a="1"/>
  <c r="DU94" i="2" s="1"/>
  <c r="DU93" i="2" a="1"/>
  <c r="DU93" i="2" s="1"/>
  <c r="DU92" i="2" a="1"/>
  <c r="DU92" i="2" s="1"/>
  <c r="DU90" i="2" a="1"/>
  <c r="DU90" i="2" s="1"/>
  <c r="DU89" i="2" a="1"/>
  <c r="DU89" i="2" s="1"/>
  <c r="DU88" i="2" a="1"/>
  <c r="DU88" i="2" s="1"/>
  <c r="DU91" i="2" a="1"/>
  <c r="DU91" i="2" s="1"/>
  <c r="DU87" i="2" a="1"/>
  <c r="DU87" i="2" s="1"/>
  <c r="DU85" i="2" a="1"/>
  <c r="DU85" i="2" s="1"/>
  <c r="DU86" i="2" a="1"/>
  <c r="DU86" i="2" s="1"/>
  <c r="DU84" i="2" a="1"/>
  <c r="DU84" i="2" s="1"/>
  <c r="DU83" i="2" a="1"/>
  <c r="DU83" i="2" s="1"/>
  <c r="DU79" i="2" a="1"/>
  <c r="DU79" i="2" s="1"/>
  <c r="DU82" i="2" a="1"/>
  <c r="DU82" i="2" s="1"/>
  <c r="DU80" i="2" a="1"/>
  <c r="DU80" i="2" s="1"/>
  <c r="DU81" i="2" a="1"/>
  <c r="DU81" i="2" s="1"/>
  <c r="DU77" i="2" a="1"/>
  <c r="DU77" i="2" s="1"/>
  <c r="DU78" i="2" a="1"/>
  <c r="DU78" i="2" s="1"/>
  <c r="DU76" i="2" a="1"/>
  <c r="DU76" i="2" s="1"/>
  <c r="DU74" i="2" a="1"/>
  <c r="DU74" i="2" s="1"/>
  <c r="DU72" i="2" a="1"/>
  <c r="DU72" i="2" s="1"/>
  <c r="DU75" i="2" a="1"/>
  <c r="DU75" i="2" s="1"/>
  <c r="DU73" i="2" a="1"/>
  <c r="DU73" i="2" s="1"/>
  <c r="DU70" i="2" a="1"/>
  <c r="DU70" i="2" s="1"/>
  <c r="DU71" i="2" a="1"/>
  <c r="DU71" i="2" s="1"/>
  <c r="DU69" i="2" a="1"/>
  <c r="DU69" i="2" s="1"/>
  <c r="DU68" i="2" a="1"/>
  <c r="DU68" i="2" s="1"/>
  <c r="DU66" i="2" a="1"/>
  <c r="DU66" i="2" s="1"/>
  <c r="DU64" i="2" a="1"/>
  <c r="DU64" i="2" s="1"/>
  <c r="DU63" i="2" a="1"/>
  <c r="DU63" i="2" s="1"/>
  <c r="DU67" i="2" a="1"/>
  <c r="DU67" i="2" s="1"/>
  <c r="DU65" i="2" a="1"/>
  <c r="DU65" i="2" s="1"/>
  <c r="DU62" i="2" a="1"/>
  <c r="DU62" i="2" s="1"/>
  <c r="DU61" i="2" a="1"/>
  <c r="DU61" i="2" s="1"/>
  <c r="DU60" i="2" a="1"/>
  <c r="DU60" i="2" s="1"/>
  <c r="DU59" i="2" a="1"/>
  <c r="DU59" i="2" s="1"/>
  <c r="DU56" i="2" a="1"/>
  <c r="DU56" i="2" s="1"/>
  <c r="DU58" i="2" a="1"/>
  <c r="DU58" i="2" s="1"/>
  <c r="DU57" i="2" a="1"/>
  <c r="DU57" i="2" s="1"/>
  <c r="DU51" i="2" a="1"/>
  <c r="DU51" i="2" s="1"/>
  <c r="DU52" i="2" a="1"/>
  <c r="DU52" i="2" s="1"/>
  <c r="DU50" i="2" a="1"/>
  <c r="DU50" i="2" s="1"/>
  <c r="DU53" i="2" a="1"/>
  <c r="DU53" i="2" s="1"/>
  <c r="DU49" i="2" a="1"/>
  <c r="DU49" i="2" s="1"/>
  <c r="DU54" i="2" a="1"/>
  <c r="DU54" i="2" s="1"/>
  <c r="DU48" i="2" a="1"/>
  <c r="DU48" i="2" s="1"/>
  <c r="DU55" i="2" a="1"/>
  <c r="DU55" i="2" s="1"/>
  <c r="DU41" i="2" a="1"/>
  <c r="DU41" i="2" s="1"/>
  <c r="DU44" i="2" a="1"/>
  <c r="DU44" i="2" s="1"/>
  <c r="DU43" i="2" a="1"/>
  <c r="DU43" i="2" s="1"/>
  <c r="DU46" i="2" a="1"/>
  <c r="DU46" i="2" s="1"/>
  <c r="DU42" i="2" a="1"/>
  <c r="DU42" i="2" s="1"/>
  <c r="DU45" i="2" a="1"/>
  <c r="DU45" i="2" s="1"/>
  <c r="DU40" i="2" a="1"/>
  <c r="DU40" i="2" s="1"/>
  <c r="DU47" i="2" a="1"/>
  <c r="DU47" i="2" s="1"/>
  <c r="DU37" i="2" a="1"/>
  <c r="DU37" i="2" s="1"/>
  <c r="DU36" i="2" a="1"/>
  <c r="DU36" i="2" s="1"/>
  <c r="DU39" i="2" a="1"/>
  <c r="DU39" i="2" s="1"/>
  <c r="DU34" i="2" a="1"/>
  <c r="DU34" i="2" s="1"/>
  <c r="DU35" i="2" a="1"/>
  <c r="DU35" i="2" s="1"/>
  <c r="DU38" i="2" a="1"/>
  <c r="DU38" i="2" s="1"/>
  <c r="DU31" i="2" a="1"/>
  <c r="DU31" i="2" s="1"/>
  <c r="DU29" i="2" a="1"/>
  <c r="DU29" i="2" s="1"/>
  <c r="DU33" i="2" a="1"/>
  <c r="DU33" i="2" s="1"/>
  <c r="DU28" i="2" a="1"/>
  <c r="DU28" i="2" s="1"/>
  <c r="DU32" i="2" a="1"/>
  <c r="DU32" i="2" s="1"/>
  <c r="DU27" i="2" a="1"/>
  <c r="DU27" i="2" s="1"/>
  <c r="DU26" i="2" a="1"/>
  <c r="DU26" i="2" s="1"/>
  <c r="DU30" i="2" a="1"/>
  <c r="DU30" i="2" s="1"/>
  <c r="DU16" i="2" a="1"/>
  <c r="DU16" i="2" s="1"/>
  <c r="DU17" i="2" a="1"/>
  <c r="DU17" i="2" s="1"/>
  <c r="DU25" i="2" a="1"/>
  <c r="DU25" i="2" s="1"/>
  <c r="DU15" i="2" a="1"/>
  <c r="DU15" i="2" s="1"/>
  <c r="DU24" i="2" a="1"/>
  <c r="DU24" i="2" s="1"/>
  <c r="DU23" i="2" a="1"/>
  <c r="DU23" i="2" s="1"/>
  <c r="DU22" i="2" a="1"/>
  <c r="DU22" i="2" s="1"/>
  <c r="DU21" i="2" a="1"/>
  <c r="DU21" i="2" s="1"/>
  <c r="DU20" i="2" a="1"/>
  <c r="DU20" i="2" s="1"/>
  <c r="DU19" i="2" a="1"/>
  <c r="DU19" i="2" s="1"/>
  <c r="DU18" i="2" a="1"/>
  <c r="DU18" i="2" s="1"/>
  <c r="DU8" i="2" a="1"/>
  <c r="DU8" i="2" s="1"/>
  <c r="DU12" i="2" a="1"/>
  <c r="DU12" i="2" s="1"/>
  <c r="DU11" i="2" a="1"/>
  <c r="DU11" i="2" s="1"/>
  <c r="DU10" i="2" a="1"/>
  <c r="DU10" i="2" s="1"/>
  <c r="DU14" i="2" a="1"/>
  <c r="DU14" i="2" s="1"/>
  <c r="DU9" i="2" a="1"/>
  <c r="DU9" i="2" s="1"/>
  <c r="DU13" i="2" a="1"/>
  <c r="DU13" i="2" s="1"/>
  <c r="DU6" i="2" a="1"/>
  <c r="DU6" i="2" s="1"/>
  <c r="DU4" i="2" a="1"/>
  <c r="DU4" i="2" s="1"/>
  <c r="DU7" i="2" a="1"/>
  <c r="DU7" i="2" s="1"/>
  <c r="DU5" i="2" a="1"/>
  <c r="DU5" i="2" s="1"/>
  <c r="EG1" i="2"/>
  <c r="GQ12" i="2"/>
  <c r="GR12" i="2" s="1"/>
  <c r="DW103" i="2" a="1"/>
  <c r="DW103" i="2" s="1"/>
  <c r="DW102" i="2" a="1"/>
  <c r="DW102" i="2" s="1"/>
  <c r="DW101" i="2" a="1"/>
  <c r="DW101" i="2" s="1"/>
  <c r="DW100" i="2" a="1"/>
  <c r="DW100" i="2" s="1"/>
  <c r="DW99" i="2" a="1"/>
  <c r="DW99" i="2" s="1"/>
  <c r="DW98" i="2" a="1"/>
  <c r="DW98" i="2" s="1"/>
  <c r="DW96" i="2" a="1"/>
  <c r="DW96" i="2" s="1"/>
  <c r="DW97" i="2" a="1"/>
  <c r="DW97" i="2" s="1"/>
  <c r="DW95" i="2" a="1"/>
  <c r="DW95" i="2" s="1"/>
  <c r="DW94" i="2" a="1"/>
  <c r="DW94" i="2" s="1"/>
  <c r="DW93" i="2" a="1"/>
  <c r="DW93" i="2" s="1"/>
  <c r="DW92" i="2" a="1"/>
  <c r="DW92" i="2" s="1"/>
  <c r="DW90" i="2" a="1"/>
  <c r="DW90" i="2" s="1"/>
  <c r="DW89" i="2" a="1"/>
  <c r="DW89" i="2" s="1"/>
  <c r="DW88" i="2" a="1"/>
  <c r="DW88" i="2" s="1"/>
  <c r="DW91" i="2" a="1"/>
  <c r="DW91" i="2" s="1"/>
  <c r="DW86" i="2" a="1"/>
  <c r="DW86" i="2" s="1"/>
  <c r="DW84" i="2" a="1"/>
  <c r="DW84" i="2" s="1"/>
  <c r="DW87" i="2" a="1"/>
  <c r="DW87" i="2" s="1"/>
  <c r="DW85" i="2" a="1"/>
  <c r="DW85" i="2" s="1"/>
  <c r="DW80" i="2" a="1"/>
  <c r="DW80" i="2" s="1"/>
  <c r="DW82" i="2" a="1"/>
  <c r="DW82" i="2" s="1"/>
  <c r="DW81" i="2" a="1"/>
  <c r="DW81" i="2" s="1"/>
  <c r="DW83" i="2" a="1"/>
  <c r="DW83" i="2" s="1"/>
  <c r="DW78" i="2" a="1"/>
  <c r="DW78" i="2" s="1"/>
  <c r="DW76" i="2" a="1"/>
  <c r="DW76" i="2" s="1"/>
  <c r="DW79" i="2" a="1"/>
  <c r="DW79" i="2" s="1"/>
  <c r="DW77" i="2" a="1"/>
  <c r="DW77" i="2" s="1"/>
  <c r="DW73" i="2" a="1"/>
  <c r="DW73" i="2" s="1"/>
  <c r="DW74" i="2" a="1"/>
  <c r="DW74" i="2" s="1"/>
  <c r="DW75" i="2" a="1"/>
  <c r="DW75" i="2" s="1"/>
  <c r="DW72" i="2" a="1"/>
  <c r="DW72" i="2" s="1"/>
  <c r="DW70" i="2" a="1"/>
  <c r="DW70" i="2" s="1"/>
  <c r="DW71" i="2" a="1"/>
  <c r="DW71" i="2" s="1"/>
  <c r="DW69" i="2" a="1"/>
  <c r="DW69" i="2" s="1"/>
  <c r="DW68" i="2" a="1"/>
  <c r="DW68" i="2" s="1"/>
  <c r="DW64" i="2" a="1"/>
  <c r="DW64" i="2" s="1"/>
  <c r="DW67" i="2" a="1"/>
  <c r="DW67" i="2" s="1"/>
  <c r="DW65" i="2" a="1"/>
  <c r="DW65" i="2" s="1"/>
  <c r="DW66" i="2" a="1"/>
  <c r="DW66" i="2" s="1"/>
  <c r="DW61" i="2" a="1"/>
  <c r="DW61" i="2" s="1"/>
  <c r="DW60" i="2" a="1"/>
  <c r="DW60" i="2" s="1"/>
  <c r="DW63" i="2" a="1"/>
  <c r="DW63" i="2" s="1"/>
  <c r="DW62" i="2" a="1"/>
  <c r="DW62" i="2" s="1"/>
  <c r="DW59" i="2" a="1"/>
  <c r="DW59" i="2" s="1"/>
  <c r="DW57" i="2" a="1"/>
  <c r="DW57" i="2" s="1"/>
  <c r="DW56" i="2" a="1"/>
  <c r="DW56" i="2" s="1"/>
  <c r="DW58" i="2" a="1"/>
  <c r="DW58" i="2" s="1"/>
  <c r="DW52" i="2" a="1"/>
  <c r="DW52" i="2" s="1"/>
  <c r="DW51" i="2" a="1"/>
  <c r="DW51" i="2" s="1"/>
  <c r="DW50" i="2" a="1"/>
  <c r="DW50" i="2" s="1"/>
  <c r="DW53" i="2" a="1"/>
  <c r="DW53" i="2" s="1"/>
  <c r="DW49" i="2" a="1"/>
  <c r="DW49" i="2" s="1"/>
  <c r="DW54" i="2" a="1"/>
  <c r="DW54" i="2" s="1"/>
  <c r="DW55" i="2" a="1"/>
  <c r="DW55" i="2" s="1"/>
  <c r="DW44" i="2" a="1"/>
  <c r="DW44" i="2" s="1"/>
  <c r="DW43" i="2" a="1"/>
  <c r="DW43" i="2" s="1"/>
  <c r="DW46" i="2" a="1"/>
  <c r="DW46" i="2" s="1"/>
  <c r="DW42" i="2" a="1"/>
  <c r="DW42" i="2" s="1"/>
  <c r="DW45" i="2" a="1"/>
  <c r="DW45" i="2" s="1"/>
  <c r="DW48" i="2" a="1"/>
  <c r="DW48" i="2" s="1"/>
  <c r="DW47" i="2" a="1"/>
  <c r="DW47" i="2" s="1"/>
  <c r="DW41" i="2" a="1"/>
  <c r="DW41" i="2" s="1"/>
  <c r="DW36" i="2" a="1"/>
  <c r="DW36" i="2" s="1"/>
  <c r="DW39" i="2" a="1"/>
  <c r="DW39" i="2" s="1"/>
  <c r="DW33" i="2" a="1"/>
  <c r="DW33" i="2" s="1"/>
  <c r="DW40" i="2" a="1"/>
  <c r="DW40" i="2" s="1"/>
  <c r="DW34" i="2" a="1"/>
  <c r="DW34" i="2" s="1"/>
  <c r="DW35" i="2" a="1"/>
  <c r="DW35" i="2" s="1"/>
  <c r="DW38" i="2" a="1"/>
  <c r="DW38" i="2" s="1"/>
  <c r="DW37" i="2" a="1"/>
  <c r="DW37" i="2" s="1"/>
  <c r="DW28" i="2" a="1"/>
  <c r="DW28" i="2" s="1"/>
  <c r="DW32" i="2" a="1"/>
  <c r="DW32" i="2" s="1"/>
  <c r="DW27" i="2" a="1"/>
  <c r="DW27" i="2" s="1"/>
  <c r="DW26" i="2" a="1"/>
  <c r="DW26" i="2" s="1"/>
  <c r="DW30" i="2" a="1"/>
  <c r="DW30" i="2" s="1"/>
  <c r="DW25" i="2" a="1"/>
  <c r="DW25" i="2" s="1"/>
  <c r="DW31" i="2" a="1"/>
  <c r="DW31" i="2" s="1"/>
  <c r="DW29" i="2" a="1"/>
  <c r="DW29" i="2" s="1"/>
  <c r="DW16" i="2" a="1"/>
  <c r="DW16" i="2" s="1"/>
  <c r="DW17" i="2" a="1"/>
  <c r="DW17" i="2" s="1"/>
  <c r="DW15" i="2" a="1"/>
  <c r="DW15" i="2" s="1"/>
  <c r="DW24" i="2" a="1"/>
  <c r="DW24" i="2" s="1"/>
  <c r="DW23" i="2" a="1"/>
  <c r="DW23" i="2" s="1"/>
  <c r="DW22" i="2" a="1"/>
  <c r="DW22" i="2" s="1"/>
  <c r="DW21" i="2" a="1"/>
  <c r="DW21" i="2" s="1"/>
  <c r="DW20" i="2" a="1"/>
  <c r="DW20" i="2" s="1"/>
  <c r="DW19" i="2" a="1"/>
  <c r="DW19" i="2" s="1"/>
  <c r="DW18" i="2" a="1"/>
  <c r="DW18" i="2" s="1"/>
  <c r="DW11" i="2" a="1"/>
  <c r="DW11" i="2" s="1"/>
  <c r="DW10" i="2" a="1"/>
  <c r="DW10" i="2" s="1"/>
  <c r="DW14" i="2" a="1"/>
  <c r="DW14" i="2" s="1"/>
  <c r="DW7" i="2" a="1"/>
  <c r="DW7" i="2" s="1"/>
  <c r="DW9" i="2" a="1"/>
  <c r="DW9" i="2" s="1"/>
  <c r="DW13" i="2" a="1"/>
  <c r="DW13" i="2" s="1"/>
  <c r="DW8" i="2" a="1"/>
  <c r="DW8" i="2" s="1"/>
  <c r="DW12" i="2" a="1"/>
  <c r="DW12" i="2" s="1"/>
  <c r="DW4" i="2" a="1"/>
  <c r="DW4" i="2" s="1"/>
  <c r="DW5" i="2" a="1"/>
  <c r="DW5" i="2" s="1"/>
  <c r="DW6" i="2" a="1"/>
  <c r="DW6" i="2" s="1"/>
  <c r="EI1" i="2"/>
  <c r="DP120" i="2"/>
  <c r="GN13" i="2" s="1"/>
  <c r="DO120" i="2"/>
  <c r="GM13" i="2" s="1"/>
  <c r="DS100" i="2" a="1"/>
  <c r="DS100" i="2" s="1"/>
  <c r="DS99" i="2" a="1"/>
  <c r="DS99" i="2" s="1"/>
  <c r="DS103" i="2" a="1"/>
  <c r="DS103" i="2" s="1"/>
  <c r="DS102" i="2" a="1"/>
  <c r="DS102" i="2" s="1"/>
  <c r="DS101" i="2" a="1"/>
  <c r="DS101" i="2" s="1"/>
  <c r="DS98" i="2" a="1"/>
  <c r="DS98" i="2" s="1"/>
  <c r="DS96" i="2" a="1"/>
  <c r="DS96" i="2" s="1"/>
  <c r="DS97" i="2" a="1"/>
  <c r="DS97" i="2" s="1"/>
  <c r="DS95" i="2" a="1"/>
  <c r="DS95" i="2" s="1"/>
  <c r="DS92" i="2" a="1"/>
  <c r="DS92" i="2" s="1"/>
  <c r="DS94" i="2" a="1"/>
  <c r="DS94" i="2" s="1"/>
  <c r="DS93" i="2" a="1"/>
  <c r="DS93" i="2" s="1"/>
  <c r="DS91" i="2" a="1"/>
  <c r="DS91" i="2" s="1"/>
  <c r="DS90" i="2" a="1"/>
  <c r="DS90" i="2" s="1"/>
  <c r="DS89" i="2" a="1"/>
  <c r="DS89" i="2" s="1"/>
  <c r="DS88" i="2" a="1"/>
  <c r="DS88" i="2" s="1"/>
  <c r="DS86" i="2" a="1"/>
  <c r="DS86" i="2" s="1"/>
  <c r="DS84" i="2" a="1"/>
  <c r="DS84" i="2" s="1"/>
  <c r="DS87" i="2" a="1"/>
  <c r="DS87" i="2" s="1"/>
  <c r="DS85" i="2" a="1"/>
  <c r="DS85" i="2" s="1"/>
  <c r="DS80" i="2" a="1"/>
  <c r="DS80" i="2" s="1"/>
  <c r="DS81" i="2" a="1"/>
  <c r="DS81" i="2" s="1"/>
  <c r="DS83" i="2" a="1"/>
  <c r="DS83" i="2" s="1"/>
  <c r="DS82" i="2" a="1"/>
  <c r="DS82" i="2" s="1"/>
  <c r="DS76" i="2" a="1"/>
  <c r="DS76" i="2" s="1"/>
  <c r="DS79" i="2" a="1"/>
  <c r="DS79" i="2" s="1"/>
  <c r="DS77" i="2" a="1"/>
  <c r="DS77" i="2" s="1"/>
  <c r="DS78" i="2" a="1"/>
  <c r="DS78" i="2" s="1"/>
  <c r="DS75" i="2" a="1"/>
  <c r="DS75" i="2" s="1"/>
  <c r="DS74" i="2" a="1"/>
  <c r="DS74" i="2" s="1"/>
  <c r="DS72" i="2" a="1"/>
  <c r="DS72" i="2" s="1"/>
  <c r="DS73" i="2" a="1"/>
  <c r="DS73" i="2" s="1"/>
  <c r="DS69" i="2" a="1"/>
  <c r="DS69" i="2" s="1"/>
  <c r="DS68" i="2" a="1"/>
  <c r="DS68" i="2" s="1"/>
  <c r="DS70" i="2" a="1"/>
  <c r="DS70" i="2" s="1"/>
  <c r="DS71" i="2" a="1"/>
  <c r="DS71" i="2" s="1"/>
  <c r="DS65" i="2" a="1"/>
  <c r="DS65" i="2" s="1"/>
  <c r="DS66" i="2" a="1"/>
  <c r="DS66" i="2" s="1"/>
  <c r="DS64" i="2" a="1"/>
  <c r="DS64" i="2" s="1"/>
  <c r="DS67" i="2" a="1"/>
  <c r="DS67" i="2" s="1"/>
  <c r="DS63" i="2" a="1"/>
  <c r="DS63" i="2" s="1"/>
  <c r="DS62" i="2" a="1"/>
  <c r="DS62" i="2" s="1"/>
  <c r="DS61" i="2" a="1"/>
  <c r="DS61" i="2" s="1"/>
  <c r="DS60" i="2" a="1"/>
  <c r="DS60" i="2" s="1"/>
  <c r="DS59" i="2" a="1"/>
  <c r="DS59" i="2" s="1"/>
  <c r="DS57" i="2" a="1"/>
  <c r="DS57" i="2" s="1"/>
  <c r="DS56" i="2" a="1"/>
  <c r="DS56" i="2" s="1"/>
  <c r="DS58" i="2" a="1"/>
  <c r="DS58" i="2" s="1"/>
  <c r="DS55" i="2" a="1"/>
  <c r="DS55" i="2" s="1"/>
  <c r="DS51" i="2" a="1"/>
  <c r="DS51" i="2" s="1"/>
  <c r="DS52" i="2" a="1"/>
  <c r="DS52" i="2" s="1"/>
  <c r="DS50" i="2" a="1"/>
  <c r="DS50" i="2" s="1"/>
  <c r="DS53" i="2" a="1"/>
  <c r="DS53" i="2" s="1"/>
  <c r="DS49" i="2" a="1"/>
  <c r="DS49" i="2" s="1"/>
  <c r="DS54" i="2" a="1"/>
  <c r="DS54" i="2" s="1"/>
  <c r="DS48" i="2" a="1"/>
  <c r="DS48" i="2" s="1"/>
  <c r="DS47" i="2" a="1"/>
  <c r="DS47" i="2" s="1"/>
  <c r="DS41" i="2" a="1"/>
  <c r="DS41" i="2" s="1"/>
  <c r="DS44" i="2" a="1"/>
  <c r="DS44" i="2" s="1"/>
  <c r="DS46" i="2" a="1"/>
  <c r="DS46" i="2" s="1"/>
  <c r="DS43" i="2" a="1"/>
  <c r="DS43" i="2" s="1"/>
  <c r="DS42" i="2" a="1"/>
  <c r="DS42" i="2" s="1"/>
  <c r="DS45" i="2" a="1"/>
  <c r="DS45" i="2" s="1"/>
  <c r="DS35" i="2" a="1"/>
  <c r="DS35" i="2" s="1"/>
  <c r="DS38" i="2" a="1"/>
  <c r="DS38" i="2" s="1"/>
  <c r="DS37" i="2" a="1"/>
  <c r="DS37" i="2" s="1"/>
  <c r="DS40" i="2" a="1"/>
  <c r="DS40" i="2" s="1"/>
  <c r="DS36" i="2" a="1"/>
  <c r="DS36" i="2" s="1"/>
  <c r="DS33" i="2" a="1"/>
  <c r="DS33" i="2" s="1"/>
  <c r="DS39" i="2" a="1"/>
  <c r="DS39" i="2" s="1"/>
  <c r="DS34" i="2" a="1"/>
  <c r="DS34" i="2" s="1"/>
  <c r="DS26" i="2" a="1"/>
  <c r="DS26" i="2" s="1"/>
  <c r="DS25" i="2" a="1"/>
  <c r="DS25" i="2" s="1"/>
  <c r="DS30" i="2" a="1"/>
  <c r="DS30" i="2" s="1"/>
  <c r="DS31" i="2" a="1"/>
  <c r="DS31" i="2" s="1"/>
  <c r="DS29" i="2" a="1"/>
  <c r="DS29" i="2" s="1"/>
  <c r="DS28" i="2" a="1"/>
  <c r="DS28" i="2" s="1"/>
  <c r="DS27" i="2" a="1"/>
  <c r="DS27" i="2" s="1"/>
  <c r="DS32" i="2" a="1"/>
  <c r="DS32" i="2" s="1"/>
  <c r="DS24" i="2" a="1"/>
  <c r="DS24" i="2" s="1"/>
  <c r="DS23" i="2" a="1"/>
  <c r="DS23" i="2" s="1"/>
  <c r="DS22" i="2" a="1"/>
  <c r="DS22" i="2" s="1"/>
  <c r="DS21" i="2" a="1"/>
  <c r="DS21" i="2" s="1"/>
  <c r="DS20" i="2" a="1"/>
  <c r="DS20" i="2" s="1"/>
  <c r="DS19" i="2" a="1"/>
  <c r="DS19" i="2" s="1"/>
  <c r="DS18" i="2" a="1"/>
  <c r="DS18" i="2" s="1"/>
  <c r="DS15" i="2" a="1"/>
  <c r="DS15" i="2" s="1"/>
  <c r="DS17" i="2" a="1"/>
  <c r="DS17" i="2" s="1"/>
  <c r="DS16" i="2" a="1"/>
  <c r="DS16" i="2" s="1"/>
  <c r="DS13" i="2" a="1"/>
  <c r="DS13" i="2" s="1"/>
  <c r="DS8" i="2" a="1"/>
  <c r="DS8" i="2" s="1"/>
  <c r="DS12" i="2" a="1"/>
  <c r="DS12" i="2" s="1"/>
  <c r="DS11" i="2" a="1"/>
  <c r="DS11" i="2" s="1"/>
  <c r="DS10" i="2" a="1"/>
  <c r="DS10" i="2" s="1"/>
  <c r="DS9" i="2" a="1"/>
  <c r="DS9" i="2" s="1"/>
  <c r="DS14" i="2" a="1"/>
  <c r="DS14" i="2" s="1"/>
  <c r="DS5" i="2" a="1"/>
  <c r="DS5" i="2" s="1"/>
  <c r="DS6" i="2" a="1"/>
  <c r="DS6" i="2" s="1"/>
  <c r="DS4" i="2" a="1"/>
  <c r="DS4" i="2" s="1"/>
  <c r="DS7" i="2" a="1"/>
  <c r="DS7" i="2" s="1"/>
  <c r="EE1" i="2"/>
  <c r="DZ100" i="2" a="1"/>
  <c r="DZ100" i="2" s="1"/>
  <c r="DZ99" i="2" a="1"/>
  <c r="DZ99" i="2" s="1"/>
  <c r="DZ103" i="2" a="1"/>
  <c r="DZ103" i="2" s="1"/>
  <c r="DZ102" i="2" a="1"/>
  <c r="DZ102" i="2" s="1"/>
  <c r="DZ101" i="2" a="1"/>
  <c r="DZ101" i="2" s="1"/>
  <c r="DZ98" i="2" a="1"/>
  <c r="DZ98" i="2" s="1"/>
  <c r="DZ96" i="2" a="1"/>
  <c r="DZ96" i="2" s="1"/>
  <c r="DZ95" i="2" a="1"/>
  <c r="DZ95" i="2" s="1"/>
  <c r="DZ97" i="2" a="1"/>
  <c r="DZ97" i="2" s="1"/>
  <c r="DZ93" i="2" a="1"/>
  <c r="DZ93" i="2" s="1"/>
  <c r="DZ92" i="2" a="1"/>
  <c r="DZ92" i="2" s="1"/>
  <c r="DZ94" i="2" a="1"/>
  <c r="DZ94" i="2" s="1"/>
  <c r="DZ88" i="2" a="1"/>
  <c r="DZ88" i="2" s="1"/>
  <c r="DZ87" i="2" a="1"/>
  <c r="DZ87" i="2" s="1"/>
  <c r="DZ91" i="2" a="1"/>
  <c r="DZ91" i="2" s="1"/>
  <c r="DZ90" i="2" a="1"/>
  <c r="DZ90" i="2" s="1"/>
  <c r="DZ89" i="2" a="1"/>
  <c r="DZ89" i="2" s="1"/>
  <c r="DZ86" i="2" a="1"/>
  <c r="DZ86" i="2" s="1"/>
  <c r="DZ85" i="2" a="1"/>
  <c r="DZ85" i="2" s="1"/>
  <c r="DZ84" i="2" a="1"/>
  <c r="DZ84" i="2" s="1"/>
  <c r="DZ83" i="2" a="1"/>
  <c r="DZ83" i="2" s="1"/>
  <c r="DZ80" i="2" a="1"/>
  <c r="DZ80" i="2" s="1"/>
  <c r="DZ82" i="2" a="1"/>
  <c r="DZ82" i="2" s="1"/>
  <c r="DZ81" i="2" a="1"/>
  <c r="DZ81" i="2" s="1"/>
  <c r="DZ78" i="2" a="1"/>
  <c r="DZ78" i="2" s="1"/>
  <c r="DZ76" i="2" a="1"/>
  <c r="DZ76" i="2" s="1"/>
  <c r="DZ79" i="2" a="1"/>
  <c r="DZ79" i="2" s="1"/>
  <c r="DZ77" i="2" a="1"/>
  <c r="DZ77" i="2" s="1"/>
  <c r="DZ71" i="2" a="1"/>
  <c r="DZ71" i="2" s="1"/>
  <c r="DZ74" i="2" a="1"/>
  <c r="DZ74" i="2" s="1"/>
  <c r="DZ72" i="2" a="1"/>
  <c r="DZ72" i="2" s="1"/>
  <c r="DZ75" i="2" a="1"/>
  <c r="DZ75" i="2" s="1"/>
  <c r="DZ73" i="2" a="1"/>
  <c r="DZ73" i="2" s="1"/>
  <c r="DZ69" i="2" a="1"/>
  <c r="DZ69" i="2" s="1"/>
  <c r="DZ68" i="2" a="1"/>
  <c r="DZ68" i="2" s="1"/>
  <c r="DZ70" i="2" a="1"/>
  <c r="DZ70" i="2" s="1"/>
  <c r="DZ63" i="2" a="1"/>
  <c r="DZ63" i="2" s="1"/>
  <c r="DZ67" i="2" a="1"/>
  <c r="DZ67" i="2" s="1"/>
  <c r="DZ65" i="2" a="1"/>
  <c r="DZ65" i="2" s="1"/>
  <c r="DZ66" i="2" a="1"/>
  <c r="DZ66" i="2" s="1"/>
  <c r="DZ64" i="2" a="1"/>
  <c r="DZ64" i="2" s="1"/>
  <c r="DZ60" i="2" a="1"/>
  <c r="DZ60" i="2" s="1"/>
  <c r="DZ62" i="2" a="1"/>
  <c r="DZ62" i="2" s="1"/>
  <c r="DZ61" i="2" a="1"/>
  <c r="DZ61" i="2" s="1"/>
  <c r="DZ57" i="2" a="1"/>
  <c r="DZ57" i="2" s="1"/>
  <c r="DZ59" i="2" a="1"/>
  <c r="DZ59" i="2" s="1"/>
  <c r="DZ56" i="2" a="1"/>
  <c r="DZ56" i="2" s="1"/>
  <c r="DZ58" i="2" a="1"/>
  <c r="DZ58" i="2" s="1"/>
  <c r="DZ49" i="2" a="1"/>
  <c r="DZ49" i="2" s="1"/>
  <c r="DZ55" i="2" a="1"/>
  <c r="DZ55" i="2" s="1"/>
  <c r="DZ54" i="2" a="1"/>
  <c r="DZ54" i="2" s="1"/>
  <c r="DZ48" i="2" a="1"/>
  <c r="DZ48" i="2" s="1"/>
  <c r="DZ51" i="2" a="1"/>
  <c r="DZ51" i="2" s="1"/>
  <c r="DZ52" i="2" a="1"/>
  <c r="DZ52" i="2" s="1"/>
  <c r="DZ53" i="2" a="1"/>
  <c r="DZ53" i="2" s="1"/>
  <c r="DZ50" i="2" a="1"/>
  <c r="DZ50" i="2" s="1"/>
  <c r="DZ46" i="2" a="1"/>
  <c r="DZ46" i="2" s="1"/>
  <c r="DZ45" i="2" a="1"/>
  <c r="DZ45" i="2" s="1"/>
  <c r="DZ42" i="2" a="1"/>
  <c r="DZ42" i="2" s="1"/>
  <c r="DZ40" i="2" a="1"/>
  <c r="DZ40" i="2" s="1"/>
  <c r="DZ47" i="2" a="1"/>
  <c r="DZ47" i="2" s="1"/>
  <c r="DZ41" i="2" a="1"/>
  <c r="DZ41" i="2" s="1"/>
  <c r="DZ44" i="2" a="1"/>
  <c r="DZ44" i="2" s="1"/>
  <c r="DZ43" i="2" a="1"/>
  <c r="DZ43" i="2" s="1"/>
  <c r="DZ39" i="2" a="1"/>
  <c r="DZ39" i="2" s="1"/>
  <c r="DZ34" i="2" a="1"/>
  <c r="DZ34" i="2" s="1"/>
  <c r="DZ35" i="2" a="1"/>
  <c r="DZ35" i="2" s="1"/>
  <c r="DZ38" i="2" a="1"/>
  <c r="DZ38" i="2" s="1"/>
  <c r="DZ37" i="2" a="1"/>
  <c r="DZ37" i="2" s="1"/>
  <c r="DZ36" i="2" a="1"/>
  <c r="DZ36" i="2" s="1"/>
  <c r="DZ33" i="2" a="1"/>
  <c r="DZ33" i="2" s="1"/>
  <c r="DZ27" i="2" a="1"/>
  <c r="DZ27" i="2" s="1"/>
  <c r="DZ32" i="2" a="1"/>
  <c r="DZ32" i="2" s="1"/>
  <c r="DZ26" i="2" a="1"/>
  <c r="DZ26" i="2" s="1"/>
  <c r="DZ30" i="2" a="1"/>
  <c r="DZ30" i="2" s="1"/>
  <c r="DZ31" i="2" a="1"/>
  <c r="DZ31" i="2" s="1"/>
  <c r="DZ25" i="2" a="1"/>
  <c r="DZ25" i="2" s="1"/>
  <c r="DZ29" i="2" a="1"/>
  <c r="DZ29" i="2" s="1"/>
  <c r="DZ28" i="2" a="1"/>
  <c r="DZ28" i="2" s="1"/>
  <c r="DZ15" i="2" a="1"/>
  <c r="DZ15" i="2" s="1"/>
  <c r="DZ17" i="2" a="1"/>
  <c r="DZ17" i="2" s="1"/>
  <c r="DZ24" i="2" a="1"/>
  <c r="DZ24" i="2" s="1"/>
  <c r="DZ23" i="2" a="1"/>
  <c r="DZ23" i="2" s="1"/>
  <c r="DZ22" i="2" a="1"/>
  <c r="DZ22" i="2" s="1"/>
  <c r="DZ21" i="2" a="1"/>
  <c r="DZ21" i="2" s="1"/>
  <c r="DZ20" i="2" a="1"/>
  <c r="DZ20" i="2" s="1"/>
  <c r="DZ19" i="2" a="1"/>
  <c r="DZ19" i="2" s="1"/>
  <c r="DZ18" i="2" a="1"/>
  <c r="DZ18" i="2" s="1"/>
  <c r="DZ16" i="2" a="1"/>
  <c r="DZ16" i="2" s="1"/>
  <c r="DZ9" i="2" a="1"/>
  <c r="DZ9" i="2" s="1"/>
  <c r="DZ13" i="2" a="1"/>
  <c r="DZ13" i="2" s="1"/>
  <c r="DZ8" i="2" a="1"/>
  <c r="DZ8" i="2" s="1"/>
  <c r="DZ12" i="2" a="1"/>
  <c r="DZ12" i="2" s="1"/>
  <c r="DZ11" i="2" a="1"/>
  <c r="DZ11" i="2" s="1"/>
  <c r="DZ10" i="2" a="1"/>
  <c r="DZ10" i="2" s="1"/>
  <c r="DZ14" i="2" a="1"/>
  <c r="DZ14" i="2" s="1"/>
  <c r="DZ7" i="2" a="1"/>
  <c r="DZ7" i="2" s="1"/>
  <c r="DZ5" i="2" a="1"/>
  <c r="DZ5" i="2" s="1"/>
  <c r="DZ6" i="2" a="1"/>
  <c r="DZ6" i="2" s="1"/>
  <c r="DZ4" i="2" a="1"/>
  <c r="DZ4" i="2" s="1"/>
  <c r="EL1" i="2"/>
  <c r="DZ120" i="2"/>
  <c r="GL14" i="2" s="1"/>
  <c r="EC99" i="2" a="1"/>
  <c r="EC99" i="2" s="1"/>
  <c r="EC103" i="2" a="1"/>
  <c r="EC103" i="2" s="1"/>
  <c r="EC102" i="2" a="1"/>
  <c r="EC102" i="2" s="1"/>
  <c r="EC101" i="2" a="1"/>
  <c r="EC101" i="2" s="1"/>
  <c r="EC100" i="2" a="1"/>
  <c r="EC100" i="2" s="1"/>
  <c r="EC98" i="2" a="1"/>
  <c r="EC98" i="2" s="1"/>
  <c r="EC96" i="2" a="1"/>
  <c r="EC96" i="2" s="1"/>
  <c r="EC95" i="2" a="1"/>
  <c r="EC95" i="2" s="1"/>
  <c r="EC97" i="2" a="1"/>
  <c r="EC97" i="2" s="1"/>
  <c r="EC94" i="2" a="1"/>
  <c r="EC94" i="2" s="1"/>
  <c r="EC93" i="2" a="1"/>
  <c r="EC93" i="2" s="1"/>
  <c r="EC92" i="2" a="1"/>
  <c r="EC92" i="2" s="1"/>
  <c r="EC91" i="2" a="1"/>
  <c r="EC91" i="2" s="1"/>
  <c r="EC90" i="2" a="1"/>
  <c r="EC90" i="2" s="1"/>
  <c r="EC89" i="2" a="1"/>
  <c r="EC89" i="2" s="1"/>
  <c r="EC88" i="2" a="1"/>
  <c r="EC88" i="2" s="1"/>
  <c r="EC86" i="2" a="1"/>
  <c r="EC86" i="2" s="1"/>
  <c r="EC87" i="2" a="1"/>
  <c r="EC87" i="2" s="1"/>
  <c r="EC85" i="2" a="1"/>
  <c r="EC85" i="2" s="1"/>
  <c r="EC84" i="2" a="1"/>
  <c r="EC84" i="2" s="1"/>
  <c r="EC81" i="2" a="1"/>
  <c r="EC81" i="2" s="1"/>
  <c r="EC83" i="2" a="1"/>
  <c r="EC83" i="2" s="1"/>
  <c r="EC82" i="2" a="1"/>
  <c r="EC82" i="2" s="1"/>
  <c r="EC80" i="2" a="1"/>
  <c r="EC80" i="2" s="1"/>
  <c r="EC76" i="2" a="1"/>
  <c r="EC76" i="2" s="1"/>
  <c r="EC77" i="2" a="1"/>
  <c r="EC77" i="2" s="1"/>
  <c r="EC79" i="2" a="1"/>
  <c r="EC79" i="2" s="1"/>
  <c r="EC78" i="2" a="1"/>
  <c r="EC78" i="2" s="1"/>
  <c r="EC75" i="2" a="1"/>
  <c r="EC75" i="2" s="1"/>
  <c r="EC74" i="2" a="1"/>
  <c r="EC74" i="2" s="1"/>
  <c r="EC72" i="2" a="1"/>
  <c r="EC72" i="2" s="1"/>
  <c r="EC73" i="2" a="1"/>
  <c r="EC73" i="2" s="1"/>
  <c r="EC71" i="2" a="1"/>
  <c r="EC71" i="2" s="1"/>
  <c r="EC68" i="2" a="1"/>
  <c r="EC68" i="2" s="1"/>
  <c r="EC70" i="2" a="1"/>
  <c r="EC70" i="2" s="1"/>
  <c r="EC69" i="2" a="1"/>
  <c r="EC69" i="2" s="1"/>
  <c r="EC65" i="2" a="1"/>
  <c r="EC65" i="2" s="1"/>
  <c r="EC66" i="2" a="1"/>
  <c r="EC66" i="2" s="1"/>
  <c r="EC64" i="2" a="1"/>
  <c r="EC64" i="2" s="1"/>
  <c r="EC63" i="2" a="1"/>
  <c r="EC63" i="2" s="1"/>
  <c r="EC67" i="2" a="1"/>
  <c r="EC67" i="2" s="1"/>
  <c r="EC62" i="2" a="1"/>
  <c r="EC62" i="2" s="1"/>
  <c r="EC61" i="2" a="1"/>
  <c r="EC61" i="2" s="1"/>
  <c r="EC59" i="2" a="1"/>
  <c r="EC59" i="2" s="1"/>
  <c r="EC60" i="2" a="1"/>
  <c r="EC60" i="2" s="1"/>
  <c r="EC58" i="2" a="1"/>
  <c r="EC58" i="2" s="1"/>
  <c r="EC57" i="2" a="1"/>
  <c r="EC57" i="2" s="1"/>
  <c r="EC56" i="2" a="1"/>
  <c r="EC56" i="2" s="1"/>
  <c r="EC51" i="2" a="1"/>
  <c r="EC51" i="2" s="1"/>
  <c r="EC52" i="2" a="1"/>
  <c r="EC52" i="2" s="1"/>
  <c r="EC53" i="2" a="1"/>
  <c r="EC53" i="2" s="1"/>
  <c r="EC50" i="2" a="1"/>
  <c r="EC50" i="2" s="1"/>
  <c r="EC49" i="2" a="1"/>
  <c r="EC49" i="2" s="1"/>
  <c r="EC54" i="2" a="1"/>
  <c r="EC54" i="2" s="1"/>
  <c r="EC55" i="2" a="1"/>
  <c r="EC55" i="2" s="1"/>
  <c r="EC48" i="2" a="1"/>
  <c r="EC48" i="2" s="1"/>
  <c r="EC47" i="2" a="1"/>
  <c r="EC47" i="2" s="1"/>
  <c r="EC41" i="2" a="1"/>
  <c r="EC41" i="2" s="1"/>
  <c r="EC44" i="2" a="1"/>
  <c r="EC44" i="2" s="1"/>
  <c r="EC43" i="2" a="1"/>
  <c r="EC43" i="2" s="1"/>
  <c r="EC46" i="2" a="1"/>
  <c r="EC46" i="2" s="1"/>
  <c r="EC45" i="2" a="1"/>
  <c r="EC45" i="2" s="1"/>
  <c r="EC42" i="2" a="1"/>
  <c r="EC42" i="2" s="1"/>
  <c r="EC40" i="2" a="1"/>
  <c r="EC40" i="2" s="1"/>
  <c r="EC37" i="2" a="1"/>
  <c r="EC37" i="2" s="1"/>
  <c r="EC36" i="2" a="1"/>
  <c r="EC36" i="2" s="1"/>
  <c r="EC39" i="2" a="1"/>
  <c r="EC39" i="2" s="1"/>
  <c r="EC34" i="2" a="1"/>
  <c r="EC34" i="2" s="1"/>
  <c r="EC35" i="2" a="1"/>
  <c r="EC35" i="2" s="1"/>
  <c r="EC38" i="2" a="1"/>
  <c r="EC38" i="2" s="1"/>
  <c r="EC30" i="2" a="1"/>
  <c r="EC30" i="2" s="1"/>
  <c r="EC31" i="2" a="1"/>
  <c r="EC31" i="2" s="1"/>
  <c r="EC29" i="2" a="1"/>
  <c r="EC29" i="2" s="1"/>
  <c r="EC28" i="2" a="1"/>
  <c r="EC28" i="2" s="1"/>
  <c r="EC27" i="2" a="1"/>
  <c r="EC27" i="2" s="1"/>
  <c r="EC33" i="2" a="1"/>
  <c r="EC33" i="2" s="1"/>
  <c r="EC32" i="2" a="1"/>
  <c r="EC32" i="2" s="1"/>
  <c r="EC26" i="2" a="1"/>
  <c r="EC26" i="2" s="1"/>
  <c r="EC24" i="2" a="1"/>
  <c r="EC24" i="2" s="1"/>
  <c r="EC23" i="2" a="1"/>
  <c r="EC23" i="2" s="1"/>
  <c r="EC22" i="2" a="1"/>
  <c r="EC22" i="2" s="1"/>
  <c r="EC21" i="2" a="1"/>
  <c r="EC21" i="2" s="1"/>
  <c r="EC20" i="2" a="1"/>
  <c r="EC20" i="2" s="1"/>
  <c r="EC19" i="2" a="1"/>
  <c r="EC19" i="2" s="1"/>
  <c r="EC18" i="2" a="1"/>
  <c r="EC18" i="2" s="1"/>
  <c r="EC25" i="2" a="1"/>
  <c r="EC25" i="2" s="1"/>
  <c r="EC16" i="2" a="1"/>
  <c r="EC16" i="2" s="1"/>
  <c r="EC15" i="2" a="1"/>
  <c r="EC15" i="2" s="1"/>
  <c r="EC17" i="2" a="1"/>
  <c r="EC17" i="2" s="1"/>
  <c r="EC12" i="2" a="1"/>
  <c r="EC12" i="2" s="1"/>
  <c r="EC11" i="2" a="1"/>
  <c r="EC11" i="2" s="1"/>
  <c r="EC10" i="2" a="1"/>
  <c r="EC10" i="2" s="1"/>
  <c r="EC14" i="2" a="1"/>
  <c r="EC14" i="2" s="1"/>
  <c r="EC9" i="2" a="1"/>
  <c r="EC9" i="2" s="1"/>
  <c r="EC13" i="2" a="1"/>
  <c r="EC13" i="2" s="1"/>
  <c r="EC8" i="2" a="1"/>
  <c r="EC8" i="2" s="1"/>
  <c r="EC7" i="2" a="1"/>
  <c r="EC7" i="2" s="1"/>
  <c r="EC6" i="2" a="1"/>
  <c r="EC6" i="2" s="1"/>
  <c r="EC4" i="2" a="1"/>
  <c r="EC4" i="2" s="1"/>
  <c r="EC5" i="2" a="1"/>
  <c r="EC5" i="2" s="1"/>
  <c r="EO1" i="2"/>
  <c r="EB100" i="2" a="1"/>
  <c r="EB100" i="2" s="1"/>
  <c r="EB99" i="2" a="1"/>
  <c r="EB99" i="2" s="1"/>
  <c r="EB103" i="2" a="1"/>
  <c r="EB103" i="2" s="1"/>
  <c r="EB102" i="2" a="1"/>
  <c r="EB102" i="2" s="1"/>
  <c r="EB101" i="2" a="1"/>
  <c r="EB101" i="2" s="1"/>
  <c r="EB98" i="2" a="1"/>
  <c r="EB98" i="2" s="1"/>
  <c r="EB96" i="2" a="1"/>
  <c r="EB96" i="2" s="1"/>
  <c r="EB95" i="2" a="1"/>
  <c r="EB95" i="2" s="1"/>
  <c r="EB97" i="2" a="1"/>
  <c r="EB97" i="2" s="1"/>
  <c r="EB92" i="2" a="1"/>
  <c r="EB92" i="2" s="1"/>
  <c r="EB94" i="2" a="1"/>
  <c r="EB94" i="2" s="1"/>
  <c r="EB93" i="2" a="1"/>
  <c r="EB93" i="2" s="1"/>
  <c r="EB91" i="2" a="1"/>
  <c r="EB91" i="2" s="1"/>
  <c r="EB90" i="2" a="1"/>
  <c r="EB90" i="2" s="1"/>
  <c r="EB89" i="2" a="1"/>
  <c r="EB89" i="2" s="1"/>
  <c r="EB88" i="2" a="1"/>
  <c r="EB88" i="2" s="1"/>
  <c r="EB86" i="2" a="1"/>
  <c r="EB86" i="2" s="1"/>
  <c r="EB87" i="2" a="1"/>
  <c r="EB87" i="2" s="1"/>
  <c r="EB85" i="2" a="1"/>
  <c r="EB85" i="2" s="1"/>
  <c r="EB84" i="2" a="1"/>
  <c r="EB84" i="2" s="1"/>
  <c r="EB81" i="2" a="1"/>
  <c r="EB81" i="2" s="1"/>
  <c r="EB83" i="2" a="1"/>
  <c r="EB83" i="2" s="1"/>
  <c r="EB82" i="2" a="1"/>
  <c r="EB82" i="2" s="1"/>
  <c r="EB80" i="2" a="1"/>
  <c r="EB80" i="2" s="1"/>
  <c r="EB76" i="2" a="1"/>
  <c r="EB76" i="2" s="1"/>
  <c r="EB79" i="2" a="1"/>
  <c r="EB79" i="2" s="1"/>
  <c r="EB77" i="2" a="1"/>
  <c r="EB77" i="2" s="1"/>
  <c r="EB78" i="2" a="1"/>
  <c r="EB78" i="2" s="1"/>
  <c r="EB74" i="2" a="1"/>
  <c r="EB74" i="2" s="1"/>
  <c r="EB75" i="2" a="1"/>
  <c r="EB75" i="2" s="1"/>
  <c r="EB72" i="2" a="1"/>
  <c r="EB72" i="2" s="1"/>
  <c r="EB73" i="2" a="1"/>
  <c r="EB73" i="2" s="1"/>
  <c r="EB69" i="2" a="1"/>
  <c r="EB69" i="2" s="1"/>
  <c r="EB71" i="2" a="1"/>
  <c r="EB71" i="2" s="1"/>
  <c r="EB68" i="2" a="1"/>
  <c r="EB68" i="2" s="1"/>
  <c r="EB70" i="2" a="1"/>
  <c r="EB70" i="2" s="1"/>
  <c r="EB67" i="2" a="1"/>
  <c r="EB67" i="2" s="1"/>
  <c r="EB65" i="2" a="1"/>
  <c r="EB65" i="2" s="1"/>
  <c r="EB66" i="2" a="1"/>
  <c r="EB66" i="2" s="1"/>
  <c r="EB64" i="2" a="1"/>
  <c r="EB64" i="2" s="1"/>
  <c r="EB63" i="2" a="1"/>
  <c r="EB63" i="2" s="1"/>
  <c r="EB62" i="2" a="1"/>
  <c r="EB62" i="2" s="1"/>
  <c r="EB61" i="2" a="1"/>
  <c r="EB61" i="2" s="1"/>
  <c r="EB60" i="2" a="1"/>
  <c r="EB60" i="2" s="1"/>
  <c r="EB56" i="2" a="1"/>
  <c r="EB56" i="2" s="1"/>
  <c r="EB59" i="2" a="1"/>
  <c r="EB59" i="2" s="1"/>
  <c r="EB58" i="2" a="1"/>
  <c r="EB58" i="2" s="1"/>
  <c r="EB57" i="2" a="1"/>
  <c r="EB57" i="2" s="1"/>
  <c r="EB54" i="2" a="1"/>
  <c r="EB54" i="2" s="1"/>
  <c r="EB48" i="2" a="1"/>
  <c r="EB48" i="2" s="1"/>
  <c r="EB55" i="2" a="1"/>
  <c r="EB55" i="2" s="1"/>
  <c r="EB51" i="2" a="1"/>
  <c r="EB51" i="2" s="1"/>
  <c r="EB52" i="2" a="1"/>
  <c r="EB52" i="2" s="1"/>
  <c r="EB50" i="2" a="1"/>
  <c r="EB50" i="2" s="1"/>
  <c r="EB53" i="2" a="1"/>
  <c r="EB53" i="2" s="1"/>
  <c r="EB49" i="2" a="1"/>
  <c r="EB49" i="2" s="1"/>
  <c r="EB47" i="2" a="1"/>
  <c r="EB47" i="2" s="1"/>
  <c r="EB41" i="2" a="1"/>
  <c r="EB41" i="2" s="1"/>
  <c r="EB44" i="2" a="1"/>
  <c r="EB44" i="2" s="1"/>
  <c r="EB43" i="2" a="1"/>
  <c r="EB43" i="2" s="1"/>
  <c r="EB46" i="2" a="1"/>
  <c r="EB46" i="2" s="1"/>
  <c r="EB45" i="2" a="1"/>
  <c r="EB45" i="2" s="1"/>
  <c r="EB42" i="2" a="1"/>
  <c r="EB42" i="2" s="1"/>
  <c r="EB38" i="2" a="1"/>
  <c r="EB38" i="2" s="1"/>
  <c r="EB40" i="2" a="1"/>
  <c r="EB40" i="2" s="1"/>
  <c r="EB37" i="2" a="1"/>
  <c r="EB37" i="2" s="1"/>
  <c r="EB36" i="2" a="1"/>
  <c r="EB36" i="2" s="1"/>
  <c r="EB39" i="2" a="1"/>
  <c r="EB39" i="2" s="1"/>
  <c r="EB34" i="2" a="1"/>
  <c r="EB34" i="2" s="1"/>
  <c r="EB33" i="2" a="1"/>
  <c r="EB33" i="2" s="1"/>
  <c r="EB35" i="2" a="1"/>
  <c r="EB35" i="2" s="1"/>
  <c r="EB26" i="2" a="1"/>
  <c r="EB26" i="2" s="1"/>
  <c r="EB30" i="2" a="1"/>
  <c r="EB30" i="2" s="1"/>
  <c r="EB31" i="2" a="1"/>
  <c r="EB31" i="2" s="1"/>
  <c r="EB25" i="2" a="1"/>
  <c r="EB25" i="2" s="1"/>
  <c r="EB29" i="2" a="1"/>
  <c r="EB29" i="2" s="1"/>
  <c r="EB28" i="2" a="1"/>
  <c r="EB28" i="2" s="1"/>
  <c r="EB27" i="2" a="1"/>
  <c r="EB27" i="2" s="1"/>
  <c r="EB32" i="2" a="1"/>
  <c r="EB32" i="2" s="1"/>
  <c r="EB24" i="2" a="1"/>
  <c r="EB24" i="2" s="1"/>
  <c r="EB23" i="2" a="1"/>
  <c r="EB23" i="2" s="1"/>
  <c r="EB22" i="2" a="1"/>
  <c r="EB22" i="2" s="1"/>
  <c r="EB21" i="2" a="1"/>
  <c r="EB21" i="2" s="1"/>
  <c r="EB20" i="2" a="1"/>
  <c r="EB20" i="2" s="1"/>
  <c r="EB19" i="2" a="1"/>
  <c r="EB19" i="2" s="1"/>
  <c r="EB18" i="2" a="1"/>
  <c r="EB18" i="2" s="1"/>
  <c r="EB16" i="2" a="1"/>
  <c r="EB16" i="2" s="1"/>
  <c r="EB15" i="2" a="1"/>
  <c r="EB15" i="2" s="1"/>
  <c r="EB17" i="2" a="1"/>
  <c r="EB17" i="2" s="1"/>
  <c r="EB13" i="2" a="1"/>
  <c r="EB13" i="2" s="1"/>
  <c r="EB8" i="2" a="1"/>
  <c r="EB8" i="2" s="1"/>
  <c r="EB12" i="2" a="1"/>
  <c r="EB12" i="2" s="1"/>
  <c r="EB11" i="2" a="1"/>
  <c r="EB11" i="2" s="1"/>
  <c r="EB10" i="2" a="1"/>
  <c r="EB10" i="2" s="1"/>
  <c r="EB14" i="2" a="1"/>
  <c r="EB14" i="2" s="1"/>
  <c r="EB7" i="2" a="1"/>
  <c r="EB7" i="2" s="1"/>
  <c r="EB9" i="2" a="1"/>
  <c r="EB9" i="2" s="1"/>
  <c r="EB5" i="2" a="1"/>
  <c r="EB5" i="2" s="1"/>
  <c r="EB6" i="2" a="1"/>
  <c r="EB6" i="2" s="1"/>
  <c r="EB4" i="2" a="1"/>
  <c r="EB4" i="2" s="1"/>
  <c r="EN1" i="2"/>
  <c r="DV103" i="2" a="1"/>
  <c r="DV103" i="2" s="1"/>
  <c r="DV102" i="2" a="1"/>
  <c r="DV102" i="2" s="1"/>
  <c r="DV101" i="2" a="1"/>
  <c r="DV101" i="2" s="1"/>
  <c r="DV100" i="2" a="1"/>
  <c r="DV100" i="2" s="1"/>
  <c r="DV99" i="2" a="1"/>
  <c r="DV99" i="2" s="1"/>
  <c r="DV98" i="2" a="1"/>
  <c r="DV98" i="2" s="1"/>
  <c r="DV96" i="2" a="1"/>
  <c r="DV96" i="2" s="1"/>
  <c r="DV97" i="2" a="1"/>
  <c r="DV97" i="2" s="1"/>
  <c r="DV95" i="2" a="1"/>
  <c r="DV95" i="2" s="1"/>
  <c r="DV94" i="2" a="1"/>
  <c r="DV94" i="2" s="1"/>
  <c r="DV93" i="2" a="1"/>
  <c r="DV93" i="2" s="1"/>
  <c r="DV92" i="2" a="1"/>
  <c r="DV92" i="2" s="1"/>
  <c r="DV90" i="2" a="1"/>
  <c r="DV90" i="2" s="1"/>
  <c r="DV89" i="2" a="1"/>
  <c r="DV89" i="2" s="1"/>
  <c r="DV88" i="2" a="1"/>
  <c r="DV88" i="2" s="1"/>
  <c r="DV91" i="2" a="1"/>
  <c r="DV91" i="2" s="1"/>
  <c r="DV86" i="2" a="1"/>
  <c r="DV86" i="2" s="1"/>
  <c r="DV84" i="2" a="1"/>
  <c r="DV84" i="2" s="1"/>
  <c r="DV87" i="2" a="1"/>
  <c r="DV87" i="2" s="1"/>
  <c r="DV85" i="2" a="1"/>
  <c r="DV85" i="2" s="1"/>
  <c r="DV82" i="2" a="1"/>
  <c r="DV82" i="2" s="1"/>
  <c r="DV80" i="2" a="1"/>
  <c r="DV80" i="2" s="1"/>
  <c r="DV81" i="2" a="1"/>
  <c r="DV81" i="2" s="1"/>
  <c r="DV83" i="2" a="1"/>
  <c r="DV83" i="2" s="1"/>
  <c r="DV79" i="2" a="1"/>
  <c r="DV79" i="2" s="1"/>
  <c r="DV77" i="2" a="1"/>
  <c r="DV77" i="2" s="1"/>
  <c r="DV78" i="2" a="1"/>
  <c r="DV78" i="2" s="1"/>
  <c r="DV76" i="2" a="1"/>
  <c r="DV76" i="2" s="1"/>
  <c r="DV72" i="2" a="1"/>
  <c r="DV72" i="2" s="1"/>
  <c r="DV71" i="2" a="1"/>
  <c r="DV71" i="2" s="1"/>
  <c r="DV75" i="2" a="1"/>
  <c r="DV75" i="2" s="1"/>
  <c r="DV73" i="2" a="1"/>
  <c r="DV73" i="2" s="1"/>
  <c r="DV74" i="2" a="1"/>
  <c r="DV74" i="2" s="1"/>
  <c r="DV70" i="2" a="1"/>
  <c r="DV70" i="2" s="1"/>
  <c r="DV69" i="2" a="1"/>
  <c r="DV69" i="2" s="1"/>
  <c r="DV68" i="2" a="1"/>
  <c r="DV68" i="2" s="1"/>
  <c r="DV66" i="2" a="1"/>
  <c r="DV66" i="2" s="1"/>
  <c r="DV64" i="2" a="1"/>
  <c r="DV64" i="2" s="1"/>
  <c r="DV67" i="2" a="1"/>
  <c r="DV67" i="2" s="1"/>
  <c r="DV65" i="2" a="1"/>
  <c r="DV65" i="2" s="1"/>
  <c r="DV63" i="2" a="1"/>
  <c r="DV63" i="2" s="1"/>
  <c r="DV62" i="2" a="1"/>
  <c r="DV62" i="2" s="1"/>
  <c r="DV61" i="2" a="1"/>
  <c r="DV61" i="2" s="1"/>
  <c r="DV60" i="2" a="1"/>
  <c r="DV60" i="2" s="1"/>
  <c r="DV59" i="2" a="1"/>
  <c r="DV59" i="2" s="1"/>
  <c r="DV58" i="2" a="1"/>
  <c r="DV58" i="2" s="1"/>
  <c r="DV57" i="2" a="1"/>
  <c r="DV57" i="2" s="1"/>
  <c r="DV56" i="2" a="1"/>
  <c r="DV56" i="2" s="1"/>
  <c r="DV51" i="2" a="1"/>
  <c r="DV51" i="2" s="1"/>
  <c r="DV52" i="2" a="1"/>
  <c r="DV52" i="2" s="1"/>
  <c r="DV50" i="2" a="1"/>
  <c r="DV50" i="2" s="1"/>
  <c r="DV53" i="2" a="1"/>
  <c r="DV53" i="2" s="1"/>
  <c r="DV49" i="2" a="1"/>
  <c r="DV49" i="2" s="1"/>
  <c r="DV48" i="2" a="1"/>
  <c r="DV48" i="2" s="1"/>
  <c r="DV54" i="2" a="1"/>
  <c r="DV54" i="2" s="1"/>
  <c r="DV55" i="2" a="1"/>
  <c r="DV55" i="2" s="1"/>
  <c r="DV44" i="2" a="1"/>
  <c r="DV44" i="2" s="1"/>
  <c r="DV43" i="2" a="1"/>
  <c r="DV43" i="2" s="1"/>
  <c r="DV46" i="2" a="1"/>
  <c r="DV46" i="2" s="1"/>
  <c r="DV42" i="2" a="1"/>
  <c r="DV42" i="2" s="1"/>
  <c r="DV45" i="2" a="1"/>
  <c r="DV45" i="2" s="1"/>
  <c r="DV40" i="2" a="1"/>
  <c r="DV40" i="2" s="1"/>
  <c r="DV47" i="2" a="1"/>
  <c r="DV47" i="2" s="1"/>
  <c r="DV41" i="2" a="1"/>
  <c r="DV41" i="2" s="1"/>
  <c r="DV37" i="2" a="1"/>
  <c r="DV37" i="2" s="1"/>
  <c r="DV36" i="2" a="1"/>
  <c r="DV36" i="2" s="1"/>
  <c r="DV39" i="2" a="1"/>
  <c r="DV39" i="2" s="1"/>
  <c r="DV34" i="2" a="1"/>
  <c r="DV34" i="2" s="1"/>
  <c r="DV35" i="2" a="1"/>
  <c r="DV35" i="2" s="1"/>
  <c r="DV38" i="2" a="1"/>
  <c r="DV38" i="2" s="1"/>
  <c r="DV29" i="2" a="1"/>
  <c r="DV29" i="2" s="1"/>
  <c r="DV33" i="2" a="1"/>
  <c r="DV33" i="2" s="1"/>
  <c r="DV28" i="2" a="1"/>
  <c r="DV28" i="2" s="1"/>
  <c r="DV32" i="2" a="1"/>
  <c r="DV32" i="2" s="1"/>
  <c r="DV27" i="2" a="1"/>
  <c r="DV27" i="2" s="1"/>
  <c r="DV26" i="2" a="1"/>
  <c r="DV26" i="2" s="1"/>
  <c r="DV25" i="2" a="1"/>
  <c r="DV25" i="2" s="1"/>
  <c r="DV31" i="2" a="1"/>
  <c r="DV31" i="2" s="1"/>
  <c r="DV30" i="2" a="1"/>
  <c r="DV30" i="2" s="1"/>
  <c r="DV16" i="2" a="1"/>
  <c r="DV16" i="2" s="1"/>
  <c r="DV17" i="2" a="1"/>
  <c r="DV17" i="2" s="1"/>
  <c r="DV15" i="2" a="1"/>
  <c r="DV15" i="2" s="1"/>
  <c r="DV24" i="2" a="1"/>
  <c r="DV24" i="2" s="1"/>
  <c r="DV23" i="2" a="1"/>
  <c r="DV23" i="2" s="1"/>
  <c r="DV22" i="2" a="1"/>
  <c r="DV22" i="2" s="1"/>
  <c r="DV21" i="2" a="1"/>
  <c r="DV21" i="2" s="1"/>
  <c r="DV20" i="2" a="1"/>
  <c r="DV20" i="2" s="1"/>
  <c r="DV19" i="2" a="1"/>
  <c r="DV19" i="2" s="1"/>
  <c r="DV18" i="2" a="1"/>
  <c r="DV18" i="2" s="1"/>
  <c r="DV11" i="2" a="1"/>
  <c r="DV11" i="2" s="1"/>
  <c r="DV10" i="2" a="1"/>
  <c r="DV10" i="2" s="1"/>
  <c r="DV14" i="2" a="1"/>
  <c r="DV14" i="2" s="1"/>
  <c r="DV7" i="2" a="1"/>
  <c r="DV7" i="2" s="1"/>
  <c r="DV9" i="2" a="1"/>
  <c r="DV9" i="2" s="1"/>
  <c r="DV13" i="2" a="1"/>
  <c r="DV13" i="2" s="1"/>
  <c r="DV8" i="2" a="1"/>
  <c r="DV8" i="2" s="1"/>
  <c r="DV12" i="2" a="1"/>
  <c r="DV12" i="2" s="1"/>
  <c r="DV6" i="2" a="1"/>
  <c r="DV6" i="2" s="1"/>
  <c r="DV4" i="2" a="1"/>
  <c r="DV4" i="2" s="1"/>
  <c r="DV5" i="2" a="1"/>
  <c r="DV5" i="2" s="1"/>
  <c r="EH1" i="2"/>
  <c r="DY100" i="2" a="1"/>
  <c r="DY100" i="2" s="1"/>
  <c r="DY99" i="2" a="1"/>
  <c r="DY99" i="2" s="1"/>
  <c r="DY103" i="2" a="1"/>
  <c r="DY103" i="2" s="1"/>
  <c r="DY102" i="2" a="1"/>
  <c r="DY102" i="2" s="1"/>
  <c r="DY101" i="2" a="1"/>
  <c r="DY101" i="2" s="1"/>
  <c r="DY98" i="2" a="1"/>
  <c r="DY98" i="2" s="1"/>
  <c r="DY96" i="2" a="1"/>
  <c r="DY96" i="2" s="1"/>
  <c r="DY97" i="2" a="1"/>
  <c r="DY97" i="2" s="1"/>
  <c r="DY93" i="2" a="1"/>
  <c r="DY93" i="2" s="1"/>
  <c r="DY92" i="2" a="1"/>
  <c r="DY92" i="2" s="1"/>
  <c r="DY95" i="2" a="1"/>
  <c r="DY95" i="2" s="1"/>
  <c r="DY94" i="2" a="1"/>
  <c r="DY94" i="2" s="1"/>
  <c r="DY88" i="2" a="1"/>
  <c r="DY88" i="2" s="1"/>
  <c r="DY91" i="2" a="1"/>
  <c r="DY91" i="2" s="1"/>
  <c r="DY90" i="2" a="1"/>
  <c r="DY90" i="2" s="1"/>
  <c r="DY89" i="2" a="1"/>
  <c r="DY89" i="2" s="1"/>
  <c r="DY86" i="2" a="1"/>
  <c r="DY86" i="2" s="1"/>
  <c r="DY87" i="2" a="1"/>
  <c r="DY87" i="2" s="1"/>
  <c r="DY84" i="2" a="1"/>
  <c r="DY84" i="2" s="1"/>
  <c r="DY85" i="2" a="1"/>
  <c r="DY85" i="2" s="1"/>
  <c r="DY80" i="2" a="1"/>
  <c r="DY80" i="2" s="1"/>
  <c r="DY82" i="2" a="1"/>
  <c r="DY82" i="2" s="1"/>
  <c r="DY81" i="2" a="1"/>
  <c r="DY81" i="2" s="1"/>
  <c r="DY83" i="2" a="1"/>
  <c r="DY83" i="2" s="1"/>
  <c r="DY78" i="2" a="1"/>
  <c r="DY78" i="2" s="1"/>
  <c r="DY76" i="2" a="1"/>
  <c r="DY76" i="2" s="1"/>
  <c r="DY79" i="2" a="1"/>
  <c r="DY79" i="2" s="1"/>
  <c r="DY77" i="2" a="1"/>
  <c r="DY77" i="2" s="1"/>
  <c r="DY74" i="2" a="1"/>
  <c r="DY74" i="2" s="1"/>
  <c r="DY75" i="2" a="1"/>
  <c r="DY75" i="2" s="1"/>
  <c r="DY72" i="2" a="1"/>
  <c r="DY72" i="2" s="1"/>
  <c r="DY73" i="2" a="1"/>
  <c r="DY73" i="2" s="1"/>
  <c r="DY71" i="2" a="1"/>
  <c r="DY71" i="2" s="1"/>
  <c r="DY69" i="2" a="1"/>
  <c r="DY69" i="2" s="1"/>
  <c r="DY68" i="2" a="1"/>
  <c r="DY68" i="2" s="1"/>
  <c r="DY70" i="2" a="1"/>
  <c r="DY70" i="2" s="1"/>
  <c r="DY67" i="2" a="1"/>
  <c r="DY67" i="2" s="1"/>
  <c r="DY65" i="2" a="1"/>
  <c r="DY65" i="2" s="1"/>
  <c r="DY66" i="2" a="1"/>
  <c r="DY66" i="2" s="1"/>
  <c r="DY64" i="2" a="1"/>
  <c r="DY64" i="2" s="1"/>
  <c r="DY61" i="2" a="1"/>
  <c r="DY61" i="2" s="1"/>
  <c r="DY59" i="2" a="1"/>
  <c r="DY59" i="2" s="1"/>
  <c r="DY60" i="2" a="1"/>
  <c r="DY60" i="2" s="1"/>
  <c r="DY63" i="2" a="1"/>
  <c r="DY63" i="2" s="1"/>
  <c r="DY62" i="2" a="1"/>
  <c r="DY62" i="2" s="1"/>
  <c r="DY57" i="2" a="1"/>
  <c r="DY57" i="2" s="1"/>
  <c r="DY56" i="2" a="1"/>
  <c r="DY56" i="2" s="1"/>
  <c r="DY58" i="2" a="1"/>
  <c r="DY58" i="2" s="1"/>
  <c r="DY50" i="2" a="1"/>
  <c r="DY50" i="2" s="1"/>
  <c r="DY53" i="2" a="1"/>
  <c r="DY53" i="2" s="1"/>
  <c r="DY49" i="2" a="1"/>
  <c r="DY49" i="2" s="1"/>
  <c r="DY48" i="2" a="1"/>
  <c r="DY48" i="2" s="1"/>
  <c r="DY55" i="2" a="1"/>
  <c r="DY55" i="2" s="1"/>
  <c r="DY54" i="2" a="1"/>
  <c r="DY54" i="2" s="1"/>
  <c r="DY51" i="2" a="1"/>
  <c r="DY51" i="2" s="1"/>
  <c r="DY52" i="2" a="1"/>
  <c r="DY52" i="2" s="1"/>
  <c r="DY46" i="2" a="1"/>
  <c r="DY46" i="2" s="1"/>
  <c r="DY45" i="2" a="1"/>
  <c r="DY45" i="2" s="1"/>
  <c r="DY42" i="2" a="1"/>
  <c r="DY42" i="2" s="1"/>
  <c r="DY47" i="2" a="1"/>
  <c r="DY47" i="2" s="1"/>
  <c r="DY41" i="2" a="1"/>
  <c r="DY41" i="2" s="1"/>
  <c r="DY44" i="2" a="1"/>
  <c r="DY44" i="2" s="1"/>
  <c r="DY43" i="2" a="1"/>
  <c r="DY43" i="2" s="1"/>
  <c r="DY36" i="2" a="1"/>
  <c r="DY36" i="2" s="1"/>
  <c r="DY39" i="2" a="1"/>
  <c r="DY39" i="2" s="1"/>
  <c r="DY33" i="2" a="1"/>
  <c r="DY33" i="2" s="1"/>
  <c r="DY34" i="2" a="1"/>
  <c r="DY34" i="2" s="1"/>
  <c r="DY35" i="2" a="1"/>
  <c r="DY35" i="2" s="1"/>
  <c r="DY40" i="2" a="1"/>
  <c r="DY40" i="2" s="1"/>
  <c r="DY38" i="2" a="1"/>
  <c r="DY38" i="2" s="1"/>
  <c r="DY37" i="2" a="1"/>
  <c r="DY37" i="2" s="1"/>
  <c r="DY32" i="2" a="1"/>
  <c r="DY32" i="2" s="1"/>
  <c r="DY27" i="2" a="1"/>
  <c r="DY27" i="2" s="1"/>
  <c r="DY26" i="2" a="1"/>
  <c r="DY26" i="2" s="1"/>
  <c r="DY31" i="2" a="1"/>
  <c r="DY31" i="2" s="1"/>
  <c r="DY30" i="2" a="1"/>
  <c r="DY30" i="2" s="1"/>
  <c r="DY25" i="2" a="1"/>
  <c r="DY25" i="2" s="1"/>
  <c r="DY29" i="2" a="1"/>
  <c r="DY29" i="2" s="1"/>
  <c r="DY28" i="2" a="1"/>
  <c r="DY28" i="2" s="1"/>
  <c r="DY15" i="2" a="1"/>
  <c r="DY15" i="2" s="1"/>
  <c r="DY17" i="2" a="1"/>
  <c r="DY17" i="2" s="1"/>
  <c r="DY24" i="2" a="1"/>
  <c r="DY24" i="2" s="1"/>
  <c r="DY23" i="2" a="1"/>
  <c r="DY23" i="2" s="1"/>
  <c r="DY22" i="2" a="1"/>
  <c r="DY22" i="2" s="1"/>
  <c r="DY21" i="2" a="1"/>
  <c r="DY21" i="2" s="1"/>
  <c r="DY20" i="2" a="1"/>
  <c r="DY20" i="2" s="1"/>
  <c r="DY19" i="2" a="1"/>
  <c r="DY19" i="2" s="1"/>
  <c r="DY18" i="2" a="1"/>
  <c r="DY18" i="2" s="1"/>
  <c r="DY16" i="2" a="1"/>
  <c r="DY16" i="2" s="1"/>
  <c r="DY14" i="2" a="1"/>
  <c r="DY14" i="2" s="1"/>
  <c r="DY7" i="2" a="1"/>
  <c r="DY7" i="2" s="1"/>
  <c r="DY9" i="2" a="1"/>
  <c r="DY9" i="2" s="1"/>
  <c r="DY13" i="2" a="1"/>
  <c r="DY13" i="2" s="1"/>
  <c r="DY8" i="2" a="1"/>
  <c r="DY8" i="2" s="1"/>
  <c r="DY12" i="2" a="1"/>
  <c r="DY12" i="2" s="1"/>
  <c r="DY11" i="2" a="1"/>
  <c r="DY11" i="2" s="1"/>
  <c r="DY10" i="2" a="1"/>
  <c r="DY10" i="2" s="1"/>
  <c r="DY5" i="2" a="1"/>
  <c r="DY5" i="2" s="1"/>
  <c r="DY6" i="2" a="1"/>
  <c r="DY6" i="2" s="1"/>
  <c r="DY4" i="2" a="1"/>
  <c r="DY4" i="2" s="1"/>
  <c r="EK1" i="2"/>
  <c r="DX100" i="2" a="1"/>
  <c r="DX100" i="2" s="1"/>
  <c r="DX99" i="2" a="1"/>
  <c r="DX99" i="2" s="1"/>
  <c r="DX103" i="2" a="1"/>
  <c r="DX103" i="2" s="1"/>
  <c r="DX102" i="2" a="1"/>
  <c r="DX102" i="2" s="1"/>
  <c r="DX101" i="2" a="1"/>
  <c r="DX101" i="2" s="1"/>
  <c r="DX98" i="2" a="1"/>
  <c r="DX98" i="2" s="1"/>
  <c r="DX96" i="2" a="1"/>
  <c r="DX96" i="2" s="1"/>
  <c r="DX97" i="2" a="1"/>
  <c r="DX97" i="2" s="1"/>
  <c r="DX95" i="2" a="1"/>
  <c r="DX95" i="2" s="1"/>
  <c r="DX94" i="2" a="1"/>
  <c r="DX94" i="2" s="1"/>
  <c r="DX93" i="2" a="1"/>
  <c r="DX93" i="2" s="1"/>
  <c r="DX92" i="2" a="1"/>
  <c r="DX92" i="2" s="1"/>
  <c r="DX89" i="2" a="1"/>
  <c r="DX89" i="2" s="1"/>
  <c r="DX88" i="2" a="1"/>
  <c r="DX88" i="2" s="1"/>
  <c r="DX91" i="2" a="1"/>
  <c r="DX91" i="2" s="1"/>
  <c r="DX90" i="2" a="1"/>
  <c r="DX90" i="2" s="1"/>
  <c r="DX86" i="2" a="1"/>
  <c r="DX86" i="2" s="1"/>
  <c r="DX84" i="2" a="1"/>
  <c r="DX84" i="2" s="1"/>
  <c r="DX87" i="2" a="1"/>
  <c r="DX87" i="2" s="1"/>
  <c r="DX85" i="2" a="1"/>
  <c r="DX85" i="2" s="1"/>
  <c r="DX80" i="2" a="1"/>
  <c r="DX80" i="2" s="1"/>
  <c r="DX82" i="2" a="1"/>
  <c r="DX82" i="2" s="1"/>
  <c r="DX81" i="2" a="1"/>
  <c r="DX81" i="2" s="1"/>
  <c r="DX83" i="2" a="1"/>
  <c r="DX83" i="2" s="1"/>
  <c r="DX78" i="2" a="1"/>
  <c r="DX78" i="2" s="1"/>
  <c r="DX76" i="2" a="1"/>
  <c r="DX76" i="2" s="1"/>
  <c r="DX79" i="2" a="1"/>
  <c r="DX79" i="2" s="1"/>
  <c r="DX77" i="2" a="1"/>
  <c r="DX77" i="2" s="1"/>
  <c r="DX73" i="2" a="1"/>
  <c r="DX73" i="2" s="1"/>
  <c r="DX74" i="2" a="1"/>
  <c r="DX74" i="2" s="1"/>
  <c r="DX75" i="2" a="1"/>
  <c r="DX75" i="2" s="1"/>
  <c r="DX72" i="2" a="1"/>
  <c r="DX72" i="2" s="1"/>
  <c r="DX70" i="2" a="1"/>
  <c r="DX70" i="2" s="1"/>
  <c r="DX71" i="2" a="1"/>
  <c r="DX71" i="2" s="1"/>
  <c r="DX69" i="2" a="1"/>
  <c r="DX69" i="2" s="1"/>
  <c r="DX68" i="2" a="1"/>
  <c r="DX68" i="2" s="1"/>
  <c r="DX64" i="2" a="1"/>
  <c r="DX64" i="2" s="1"/>
  <c r="DX67" i="2" a="1"/>
  <c r="DX67" i="2" s="1"/>
  <c r="DX65" i="2" a="1"/>
  <c r="DX65" i="2" s="1"/>
  <c r="DX66" i="2" a="1"/>
  <c r="DX66" i="2" s="1"/>
  <c r="DX61" i="2" a="1"/>
  <c r="DX61" i="2" s="1"/>
  <c r="DX60" i="2" a="1"/>
  <c r="DX60" i="2" s="1"/>
  <c r="DX59" i="2" a="1"/>
  <c r="DX59" i="2" s="1"/>
  <c r="DX63" i="2" a="1"/>
  <c r="DX63" i="2" s="1"/>
  <c r="DX62" i="2" a="1"/>
  <c r="DX62" i="2" s="1"/>
  <c r="DX57" i="2" a="1"/>
  <c r="DX57" i="2" s="1"/>
  <c r="DX56" i="2" a="1"/>
  <c r="DX56" i="2" s="1"/>
  <c r="DX58" i="2" a="1"/>
  <c r="DX58" i="2" s="1"/>
  <c r="DX52" i="2" a="1"/>
  <c r="DX52" i="2" s="1"/>
  <c r="DX51" i="2" a="1"/>
  <c r="DX51" i="2" s="1"/>
  <c r="DX50" i="2" a="1"/>
  <c r="DX50" i="2" s="1"/>
  <c r="DX53" i="2" a="1"/>
  <c r="DX53" i="2" s="1"/>
  <c r="DX49" i="2" a="1"/>
  <c r="DX49" i="2" s="1"/>
  <c r="DX48" i="2" a="1"/>
  <c r="DX48" i="2" s="1"/>
  <c r="DX54" i="2" a="1"/>
  <c r="DX54" i="2" s="1"/>
  <c r="DX55" i="2" a="1"/>
  <c r="DX55" i="2" s="1"/>
  <c r="DX43" i="2" a="1"/>
  <c r="DX43" i="2" s="1"/>
  <c r="DX46" i="2" a="1"/>
  <c r="DX46" i="2" s="1"/>
  <c r="DX45" i="2" a="1"/>
  <c r="DX45" i="2" s="1"/>
  <c r="DX42" i="2" a="1"/>
  <c r="DX42" i="2" s="1"/>
  <c r="DX40" i="2" a="1"/>
  <c r="DX40" i="2" s="1"/>
  <c r="DX47" i="2" a="1"/>
  <c r="DX47" i="2" s="1"/>
  <c r="DX41" i="2" a="1"/>
  <c r="DX41" i="2" s="1"/>
  <c r="DX44" i="2" a="1"/>
  <c r="DX44" i="2" s="1"/>
  <c r="DX36" i="2" a="1"/>
  <c r="DX36" i="2" s="1"/>
  <c r="DX39" i="2" a="1"/>
  <c r="DX39" i="2" s="1"/>
  <c r="DX33" i="2" a="1"/>
  <c r="DX33" i="2" s="1"/>
  <c r="DX34" i="2" a="1"/>
  <c r="DX34" i="2" s="1"/>
  <c r="DX35" i="2" a="1"/>
  <c r="DX35" i="2" s="1"/>
  <c r="DX38" i="2" a="1"/>
  <c r="DX38" i="2" s="1"/>
  <c r="DX37" i="2" a="1"/>
  <c r="DX37" i="2" s="1"/>
  <c r="DX28" i="2" a="1"/>
  <c r="DX28" i="2" s="1"/>
  <c r="DX32" i="2" a="1"/>
  <c r="DX32" i="2" s="1"/>
  <c r="DX27" i="2" a="1"/>
  <c r="DX27" i="2" s="1"/>
  <c r="DX26" i="2" a="1"/>
  <c r="DX26" i="2" s="1"/>
  <c r="DX30" i="2" a="1"/>
  <c r="DX30" i="2" s="1"/>
  <c r="DX25" i="2" a="1"/>
  <c r="DX25" i="2" s="1"/>
  <c r="DX31" i="2" a="1"/>
  <c r="DX31" i="2" s="1"/>
  <c r="DX29" i="2" a="1"/>
  <c r="DX29" i="2" s="1"/>
  <c r="DX15" i="2" a="1"/>
  <c r="DX15" i="2" s="1"/>
  <c r="DX17" i="2" a="1"/>
  <c r="DX17" i="2" s="1"/>
  <c r="DX24" i="2" a="1"/>
  <c r="DX24" i="2" s="1"/>
  <c r="DX23" i="2" a="1"/>
  <c r="DX23" i="2" s="1"/>
  <c r="DX22" i="2" a="1"/>
  <c r="DX22" i="2" s="1"/>
  <c r="DX21" i="2" a="1"/>
  <c r="DX21" i="2" s="1"/>
  <c r="DX20" i="2" a="1"/>
  <c r="DX20" i="2" s="1"/>
  <c r="DX19" i="2" a="1"/>
  <c r="DX19" i="2" s="1"/>
  <c r="DX18" i="2" a="1"/>
  <c r="DX18" i="2" s="1"/>
  <c r="DX16" i="2" a="1"/>
  <c r="DX16" i="2" s="1"/>
  <c r="DX10" i="2" a="1"/>
  <c r="DX10" i="2" s="1"/>
  <c r="DX14" i="2" a="1"/>
  <c r="DX14" i="2" s="1"/>
  <c r="DX9" i="2" a="1"/>
  <c r="DX9" i="2" s="1"/>
  <c r="DX13" i="2" a="1"/>
  <c r="DX13" i="2" s="1"/>
  <c r="DX8" i="2" a="1"/>
  <c r="DX8" i="2" s="1"/>
  <c r="DX12" i="2" a="1"/>
  <c r="DX12" i="2" s="1"/>
  <c r="DX11" i="2" a="1"/>
  <c r="DX11" i="2" s="1"/>
  <c r="DX7" i="2" a="1"/>
  <c r="DX7" i="2" s="1"/>
  <c r="DX5" i="2" a="1"/>
  <c r="DX5" i="2" s="1"/>
  <c r="DX6" i="2" a="1"/>
  <c r="DX6" i="2" s="1"/>
  <c r="DX4" i="2" a="1"/>
  <c r="DX4" i="2" s="1"/>
  <c r="EJ1" i="2"/>
  <c r="DT99" i="2" a="1"/>
  <c r="DT99" i="2" s="1"/>
  <c r="DT103" i="2" a="1"/>
  <c r="DT103" i="2" s="1"/>
  <c r="DT102" i="2" a="1"/>
  <c r="DT102" i="2" s="1"/>
  <c r="DT101" i="2" a="1"/>
  <c r="DT101" i="2" s="1"/>
  <c r="DT100" i="2" a="1"/>
  <c r="DT100" i="2" s="1"/>
  <c r="DT98" i="2" a="1"/>
  <c r="DT98" i="2" s="1"/>
  <c r="DT97" i="2" a="1"/>
  <c r="DT97" i="2" s="1"/>
  <c r="DT95" i="2" a="1"/>
  <c r="DT95" i="2" s="1"/>
  <c r="DT96" i="2" a="1"/>
  <c r="DT96" i="2" s="1"/>
  <c r="DT92" i="2" a="1"/>
  <c r="DT92" i="2" s="1"/>
  <c r="DT94" i="2" a="1"/>
  <c r="DT94" i="2" s="1"/>
  <c r="DT93" i="2" a="1"/>
  <c r="DT93" i="2" s="1"/>
  <c r="DT90" i="2" a="1"/>
  <c r="DT90" i="2" s="1"/>
  <c r="DT89" i="2" a="1"/>
  <c r="DT89" i="2" s="1"/>
  <c r="DT88" i="2" a="1"/>
  <c r="DT88" i="2" s="1"/>
  <c r="DT91" i="2" a="1"/>
  <c r="DT91" i="2" s="1"/>
  <c r="DT84" i="2" a="1"/>
  <c r="DT84" i="2" s="1"/>
  <c r="DT87" i="2" a="1"/>
  <c r="DT87" i="2" s="1"/>
  <c r="DT85" i="2" a="1"/>
  <c r="DT85" i="2" s="1"/>
  <c r="DT86" i="2" a="1"/>
  <c r="DT86" i="2" s="1"/>
  <c r="DT81" i="2" a="1"/>
  <c r="DT81" i="2" s="1"/>
  <c r="DT83" i="2" a="1"/>
  <c r="DT83" i="2" s="1"/>
  <c r="DT82" i="2" a="1"/>
  <c r="DT82" i="2" s="1"/>
  <c r="DT80" i="2" a="1"/>
  <c r="DT80" i="2" s="1"/>
  <c r="DT76" i="2" a="1"/>
  <c r="DT76" i="2" s="1"/>
  <c r="DT79" i="2" a="1"/>
  <c r="DT79" i="2" s="1"/>
  <c r="DT77" i="2" a="1"/>
  <c r="DT77" i="2" s="1"/>
  <c r="DT78" i="2" a="1"/>
  <c r="DT78" i="2" s="1"/>
  <c r="DT74" i="2" a="1"/>
  <c r="DT74" i="2" s="1"/>
  <c r="DT75" i="2" a="1"/>
  <c r="DT75" i="2" s="1"/>
  <c r="DT72" i="2" a="1"/>
  <c r="DT72" i="2" s="1"/>
  <c r="DT73" i="2" a="1"/>
  <c r="DT73" i="2" s="1"/>
  <c r="DT68" i="2" a="1"/>
  <c r="DT68" i="2" s="1"/>
  <c r="DT70" i="2" a="1"/>
  <c r="DT70" i="2" s="1"/>
  <c r="DT71" i="2" a="1"/>
  <c r="DT71" i="2" s="1"/>
  <c r="DT69" i="2" a="1"/>
  <c r="DT69" i="2" s="1"/>
  <c r="DT65" i="2" a="1"/>
  <c r="DT65" i="2" s="1"/>
  <c r="DT66" i="2" a="1"/>
  <c r="DT66" i="2" s="1"/>
  <c r="DT64" i="2" a="1"/>
  <c r="DT64" i="2" s="1"/>
  <c r="DT67" i="2" a="1"/>
  <c r="DT67" i="2" s="1"/>
  <c r="DT63" i="2" a="1"/>
  <c r="DT63" i="2" s="1"/>
  <c r="DT62" i="2" a="1"/>
  <c r="DT62" i="2" s="1"/>
  <c r="DT61" i="2" a="1"/>
  <c r="DT61" i="2" s="1"/>
  <c r="DT60" i="2" a="1"/>
  <c r="DT60" i="2" s="1"/>
  <c r="DT56" i="2" a="1"/>
  <c r="DT56" i="2" s="1"/>
  <c r="DT58" i="2" a="1"/>
  <c r="DT58" i="2" s="1"/>
  <c r="DT59" i="2" a="1"/>
  <c r="DT59" i="2" s="1"/>
  <c r="DT57" i="2" a="1"/>
  <c r="DT57" i="2" s="1"/>
  <c r="DT55" i="2" a="1"/>
  <c r="DT55" i="2" s="1"/>
  <c r="DT51" i="2" a="1"/>
  <c r="DT51" i="2" s="1"/>
  <c r="DT52" i="2" a="1"/>
  <c r="DT52" i="2" s="1"/>
  <c r="DT50" i="2" a="1"/>
  <c r="DT50" i="2" s="1"/>
  <c r="DT53" i="2" a="1"/>
  <c r="DT53" i="2" s="1"/>
  <c r="DT49" i="2" a="1"/>
  <c r="DT49" i="2" s="1"/>
  <c r="DT54" i="2" a="1"/>
  <c r="DT54" i="2" s="1"/>
  <c r="DT48" i="2" a="1"/>
  <c r="DT48" i="2" s="1"/>
  <c r="DT47" i="2" a="1"/>
  <c r="DT47" i="2" s="1"/>
  <c r="DT41" i="2" a="1"/>
  <c r="DT41" i="2" s="1"/>
  <c r="DT44" i="2" a="1"/>
  <c r="DT44" i="2" s="1"/>
  <c r="DT43" i="2" a="1"/>
  <c r="DT43" i="2" s="1"/>
  <c r="DT46" i="2" a="1"/>
  <c r="DT46" i="2" s="1"/>
  <c r="DT42" i="2" a="1"/>
  <c r="DT42" i="2" s="1"/>
  <c r="DT45" i="2" a="1"/>
  <c r="DT45" i="2" s="1"/>
  <c r="DT40" i="2" a="1"/>
  <c r="DT40" i="2" s="1"/>
  <c r="DT38" i="2" a="1"/>
  <c r="DT38" i="2" s="1"/>
  <c r="DT37" i="2" a="1"/>
  <c r="DT37" i="2" s="1"/>
  <c r="DT36" i="2" a="1"/>
  <c r="DT36" i="2" s="1"/>
  <c r="DT33" i="2" a="1"/>
  <c r="DT33" i="2" s="1"/>
  <c r="DT39" i="2" a="1"/>
  <c r="DT39" i="2" s="1"/>
  <c r="DT34" i="2" a="1"/>
  <c r="DT34" i="2" s="1"/>
  <c r="DT35" i="2" a="1"/>
  <c r="DT35" i="2" s="1"/>
  <c r="DT30" i="2" a="1"/>
  <c r="DT30" i="2" s="1"/>
  <c r="DT31" i="2" a="1"/>
  <c r="DT31" i="2" s="1"/>
  <c r="DT29" i="2" a="1"/>
  <c r="DT29" i="2" s="1"/>
  <c r="DT28" i="2" a="1"/>
  <c r="DT28" i="2" s="1"/>
  <c r="DT32" i="2" a="1"/>
  <c r="DT32" i="2" s="1"/>
  <c r="DT27" i="2" a="1"/>
  <c r="DT27" i="2" s="1"/>
  <c r="DT26" i="2" a="1"/>
  <c r="DT26" i="2" s="1"/>
  <c r="DT17" i="2" a="1"/>
  <c r="DT17" i="2" s="1"/>
  <c r="DT16" i="2" a="1"/>
  <c r="DT16" i="2" s="1"/>
  <c r="DT25" i="2" a="1"/>
  <c r="DT25" i="2" s="1"/>
  <c r="DT15" i="2" a="1"/>
  <c r="DT15" i="2" s="1"/>
  <c r="DT24" i="2" a="1"/>
  <c r="DT24" i="2" s="1"/>
  <c r="DT23" i="2" a="1"/>
  <c r="DT23" i="2" s="1"/>
  <c r="DT22" i="2" a="1"/>
  <c r="DT22" i="2" s="1"/>
  <c r="DT21" i="2" a="1"/>
  <c r="DT21" i="2" s="1"/>
  <c r="DT20" i="2" a="1"/>
  <c r="DT20" i="2" s="1"/>
  <c r="DT19" i="2" a="1"/>
  <c r="DT19" i="2" s="1"/>
  <c r="DT18" i="2" a="1"/>
  <c r="DT18" i="2" s="1"/>
  <c r="DT13" i="2" a="1"/>
  <c r="DT13" i="2" s="1"/>
  <c r="DT8" i="2" a="1"/>
  <c r="DT8" i="2" s="1"/>
  <c r="DT12" i="2" a="1"/>
  <c r="DT12" i="2" s="1"/>
  <c r="DT11" i="2" a="1"/>
  <c r="DT11" i="2" s="1"/>
  <c r="DT10" i="2" a="1"/>
  <c r="DT10" i="2" s="1"/>
  <c r="DT14" i="2" a="1"/>
  <c r="DT14" i="2" s="1"/>
  <c r="DT9" i="2" a="1"/>
  <c r="DT9" i="2" s="1"/>
  <c r="DT6" i="2" a="1"/>
  <c r="DT6" i="2" s="1"/>
  <c r="DT4" i="2" a="1"/>
  <c r="DT4" i="2" s="1"/>
  <c r="DT7" i="2" a="1"/>
  <c r="DT7" i="2" s="1"/>
  <c r="DT5" i="2" a="1"/>
  <c r="DT5" i="2" s="1"/>
  <c r="EF1" i="2"/>
  <c r="DQ117" i="2"/>
  <c r="DQ116" i="2"/>
  <c r="DN104" i="2"/>
  <c r="DL104" i="2"/>
  <c r="DG104" i="2"/>
  <c r="DE105" i="2"/>
  <c r="DI104" i="2"/>
  <c r="DO104" i="2"/>
  <c r="DQ104" i="2"/>
  <c r="DH104" i="2"/>
  <c r="DF104" i="2"/>
  <c r="DP104" i="2"/>
  <c r="DK104" i="2"/>
  <c r="DM104" i="2"/>
  <c r="DJ104" i="2"/>
  <c r="GQ13" i="2" l="1"/>
  <c r="GR13" i="2" s="1"/>
  <c r="DV104" i="2"/>
  <c r="DZ104" i="2"/>
  <c r="EJ100" i="2" a="1"/>
  <c r="EJ100" i="2" s="1"/>
  <c r="EJ99" i="2" a="1"/>
  <c r="EJ99" i="2" s="1"/>
  <c r="EJ103" i="2" a="1"/>
  <c r="EJ103" i="2" s="1"/>
  <c r="EJ102" i="2" a="1"/>
  <c r="EJ102" i="2" s="1"/>
  <c r="EJ101" i="2" a="1"/>
  <c r="EJ101" i="2" s="1"/>
  <c r="EJ98" i="2" a="1"/>
  <c r="EJ98" i="2" s="1"/>
  <c r="EJ96" i="2" a="1"/>
  <c r="EJ96" i="2" s="1"/>
  <c r="EJ95" i="2" a="1"/>
  <c r="EJ95" i="2" s="1"/>
  <c r="EJ97" i="2" a="1"/>
  <c r="EJ97" i="2" s="1"/>
  <c r="EJ92" i="2" a="1"/>
  <c r="EJ92" i="2" s="1"/>
  <c r="EJ94" i="2" a="1"/>
  <c r="EJ94" i="2" s="1"/>
  <c r="EJ93" i="2" a="1"/>
  <c r="EJ93" i="2" s="1"/>
  <c r="EJ91" i="2" a="1"/>
  <c r="EJ91" i="2" s="1"/>
  <c r="EJ90" i="2" a="1"/>
  <c r="EJ90" i="2" s="1"/>
  <c r="EJ89" i="2" a="1"/>
  <c r="EJ89" i="2" s="1"/>
  <c r="EJ88" i="2" a="1"/>
  <c r="EJ88" i="2" s="1"/>
  <c r="EJ86" i="2" a="1"/>
  <c r="EJ86" i="2" s="1"/>
  <c r="EJ84" i="2" a="1"/>
  <c r="EJ84" i="2" s="1"/>
  <c r="EJ87" i="2" a="1"/>
  <c r="EJ87" i="2" s="1"/>
  <c r="EJ85" i="2" a="1"/>
  <c r="EJ85" i="2" s="1"/>
  <c r="EJ83" i="2" a="1"/>
  <c r="EJ83" i="2" s="1"/>
  <c r="EJ82" i="2" a="1"/>
  <c r="EJ82" i="2" s="1"/>
  <c r="EJ81" i="2" a="1"/>
  <c r="EJ81" i="2" s="1"/>
  <c r="EJ80" i="2" a="1"/>
  <c r="EJ80" i="2" s="1"/>
  <c r="EJ76" i="2" a="1"/>
  <c r="EJ76" i="2" s="1"/>
  <c r="EJ77" i="2" a="1"/>
  <c r="EJ77" i="2" s="1"/>
  <c r="EJ79" i="2" a="1"/>
  <c r="EJ79" i="2" s="1"/>
  <c r="EJ78" i="2" a="1"/>
  <c r="EJ78" i="2" s="1"/>
  <c r="EJ74" i="2" a="1"/>
  <c r="EJ74" i="2" s="1"/>
  <c r="EJ72" i="2" a="1"/>
  <c r="EJ72" i="2" s="1"/>
  <c r="EJ75" i="2" a="1"/>
  <c r="EJ75" i="2" s="1"/>
  <c r="EJ73" i="2" a="1"/>
  <c r="EJ73" i="2" s="1"/>
  <c r="EJ69" i="2" a="1"/>
  <c r="EJ69" i="2" s="1"/>
  <c r="EJ68" i="2" a="1"/>
  <c r="EJ68" i="2" s="1"/>
  <c r="EJ71" i="2" a="1"/>
  <c r="EJ71" i="2" s="1"/>
  <c r="EJ70" i="2" a="1"/>
  <c r="EJ70" i="2" s="1"/>
  <c r="EJ65" i="2" a="1"/>
  <c r="EJ65" i="2" s="1"/>
  <c r="EJ67" i="2" a="1"/>
  <c r="EJ67" i="2" s="1"/>
  <c r="EJ66" i="2" a="1"/>
  <c r="EJ66" i="2" s="1"/>
  <c r="EJ64" i="2" a="1"/>
  <c r="EJ64" i="2" s="1"/>
  <c r="EJ63" i="2" a="1"/>
  <c r="EJ63" i="2" s="1"/>
  <c r="EJ62" i="2" a="1"/>
  <c r="EJ62" i="2" s="1"/>
  <c r="EJ61" i="2" a="1"/>
  <c r="EJ61" i="2" s="1"/>
  <c r="EJ59" i="2" a="1"/>
  <c r="EJ59" i="2" s="1"/>
  <c r="EJ57" i="2" a="1"/>
  <c r="EJ57" i="2" s="1"/>
  <c r="EJ56" i="2" a="1"/>
  <c r="EJ56" i="2" s="1"/>
  <c r="EJ60" i="2" a="1"/>
  <c r="EJ60" i="2" s="1"/>
  <c r="EJ58" i="2" a="1"/>
  <c r="EJ58" i="2" s="1"/>
  <c r="EJ49" i="2" a="1"/>
  <c r="EJ49" i="2" s="1"/>
  <c r="EJ48" i="2" a="1"/>
  <c r="EJ48" i="2" s="1"/>
  <c r="EJ54" i="2" a="1"/>
  <c r="EJ54" i="2" s="1"/>
  <c r="EJ55" i="2" a="1"/>
  <c r="EJ55" i="2" s="1"/>
  <c r="EJ52" i="2" a="1"/>
  <c r="EJ52" i="2" s="1"/>
  <c r="EJ51" i="2" a="1"/>
  <c r="EJ51" i="2" s="1"/>
  <c r="EJ50" i="2" a="1"/>
  <c r="EJ50" i="2" s="1"/>
  <c r="EJ53" i="2" a="1"/>
  <c r="EJ53" i="2" s="1"/>
  <c r="EJ45" i="2" a="1"/>
  <c r="EJ45" i="2" s="1"/>
  <c r="EJ47" i="2" a="1"/>
  <c r="EJ47" i="2" s="1"/>
  <c r="EJ41" i="2" a="1"/>
  <c r="EJ41" i="2" s="1"/>
  <c r="EJ44" i="2" a="1"/>
  <c r="EJ44" i="2" s="1"/>
  <c r="EJ43" i="2" a="1"/>
  <c r="EJ43" i="2" s="1"/>
  <c r="EJ46" i="2" a="1"/>
  <c r="EJ46" i="2" s="1"/>
  <c r="EJ42" i="2" a="1"/>
  <c r="EJ42" i="2" s="1"/>
  <c r="EJ38" i="2" a="1"/>
  <c r="EJ38" i="2" s="1"/>
  <c r="EJ37" i="2" a="1"/>
  <c r="EJ37" i="2" s="1"/>
  <c r="EJ36" i="2" a="1"/>
  <c r="EJ36" i="2" s="1"/>
  <c r="EJ39" i="2" a="1"/>
  <c r="EJ39" i="2" s="1"/>
  <c r="EJ40" i="2" a="1"/>
  <c r="EJ40" i="2" s="1"/>
  <c r="EJ35" i="2" a="1"/>
  <c r="EJ35" i="2" s="1"/>
  <c r="EJ34" i="2" a="1"/>
  <c r="EJ34" i="2" s="1"/>
  <c r="EJ32" i="2" a="1"/>
  <c r="EJ32" i="2" s="1"/>
  <c r="EJ26" i="2" a="1"/>
  <c r="EJ26" i="2" s="1"/>
  <c r="EJ30" i="2" a="1"/>
  <c r="EJ30" i="2" s="1"/>
  <c r="EJ31" i="2" a="1"/>
  <c r="EJ31" i="2" s="1"/>
  <c r="EJ33" i="2" a="1"/>
  <c r="EJ33" i="2" s="1"/>
  <c r="EJ29" i="2" a="1"/>
  <c r="EJ29" i="2" s="1"/>
  <c r="EJ25" i="2" a="1"/>
  <c r="EJ25" i="2" s="1"/>
  <c r="EJ28" i="2" a="1"/>
  <c r="EJ28" i="2" s="1"/>
  <c r="EJ27" i="2" a="1"/>
  <c r="EJ27" i="2" s="1"/>
  <c r="EJ17" i="2" a="1"/>
  <c r="EJ17" i="2" s="1"/>
  <c r="EJ16" i="2" a="1"/>
  <c r="EJ16" i="2" s="1"/>
  <c r="EJ24" i="2" a="1"/>
  <c r="EJ24" i="2" s="1"/>
  <c r="EJ23" i="2" a="1"/>
  <c r="EJ23" i="2" s="1"/>
  <c r="EJ22" i="2" a="1"/>
  <c r="EJ22" i="2" s="1"/>
  <c r="EJ21" i="2" a="1"/>
  <c r="EJ21" i="2" s="1"/>
  <c r="EJ20" i="2" a="1"/>
  <c r="EJ20" i="2" s="1"/>
  <c r="EJ19" i="2" a="1"/>
  <c r="EJ19" i="2" s="1"/>
  <c r="EJ18" i="2" a="1"/>
  <c r="EJ18" i="2" s="1"/>
  <c r="EJ15" i="2" a="1"/>
  <c r="EJ15" i="2" s="1"/>
  <c r="EJ8" i="2" a="1"/>
  <c r="EJ8" i="2" s="1"/>
  <c r="EJ12" i="2" a="1"/>
  <c r="EJ12" i="2" s="1"/>
  <c r="EJ11" i="2" a="1"/>
  <c r="EJ11" i="2" s="1"/>
  <c r="EJ14" i="2" a="1"/>
  <c r="EJ14" i="2" s="1"/>
  <c r="EJ10" i="2" a="1"/>
  <c r="EJ10" i="2" s="1"/>
  <c r="EJ13" i="2" a="1"/>
  <c r="EJ13" i="2" s="1"/>
  <c r="EJ9" i="2" a="1"/>
  <c r="EJ9" i="2" s="1"/>
  <c r="EJ7" i="2" a="1"/>
  <c r="EJ7" i="2" s="1"/>
  <c r="EJ6" i="2" a="1"/>
  <c r="EJ6" i="2" s="1"/>
  <c r="EJ5" i="2" a="1"/>
  <c r="EJ5" i="2" s="1"/>
  <c r="EJ4" i="2" a="1"/>
  <c r="EJ4" i="2" s="1"/>
  <c r="EV1" i="2"/>
  <c r="DX104" i="2"/>
  <c r="EL100" i="2" a="1"/>
  <c r="EL100" i="2" s="1"/>
  <c r="EL99" i="2" a="1"/>
  <c r="EL99" i="2" s="1"/>
  <c r="EL103" i="2" a="1"/>
  <c r="EL103" i="2" s="1"/>
  <c r="EL102" i="2" a="1"/>
  <c r="EL102" i="2" s="1"/>
  <c r="EL101" i="2" a="1"/>
  <c r="EL101" i="2" s="1"/>
  <c r="EL98" i="2" a="1"/>
  <c r="EL98" i="2" s="1"/>
  <c r="EL96" i="2" a="1"/>
  <c r="EL96" i="2" s="1"/>
  <c r="EL95" i="2" a="1"/>
  <c r="EL95" i="2" s="1"/>
  <c r="EL97" i="2" a="1"/>
  <c r="EL97" i="2" s="1"/>
  <c r="EL94" i="2" a="1"/>
  <c r="EL94" i="2" s="1"/>
  <c r="EL93" i="2" a="1"/>
  <c r="EL93" i="2" s="1"/>
  <c r="EL92" i="2" a="1"/>
  <c r="EL92" i="2" s="1"/>
  <c r="EL91" i="2" a="1"/>
  <c r="EL91" i="2" s="1"/>
  <c r="EL90" i="2" a="1"/>
  <c r="EL90" i="2" s="1"/>
  <c r="EL89" i="2" a="1"/>
  <c r="EL89" i="2" s="1"/>
  <c r="EL88" i="2" a="1"/>
  <c r="EL88" i="2" s="1"/>
  <c r="EL86" i="2" a="1"/>
  <c r="EL86" i="2" s="1"/>
  <c r="EL84" i="2" a="1"/>
  <c r="EL84" i="2" s="1"/>
  <c r="EL87" i="2" a="1"/>
  <c r="EL87" i="2" s="1"/>
  <c r="EL85" i="2" a="1"/>
  <c r="EL85" i="2" s="1"/>
  <c r="EL79" i="2" a="1"/>
  <c r="EL79" i="2" s="1"/>
  <c r="EL81" i="2" a="1"/>
  <c r="EL81" i="2" s="1"/>
  <c r="EL80" i="2" a="1"/>
  <c r="EL80" i="2" s="1"/>
  <c r="EL83" i="2" a="1"/>
  <c r="EL83" i="2" s="1"/>
  <c r="EL82" i="2" a="1"/>
  <c r="EL82" i="2" s="1"/>
  <c r="EL76" i="2" a="1"/>
  <c r="EL76" i="2" s="1"/>
  <c r="EL77" i="2" a="1"/>
  <c r="EL77" i="2" s="1"/>
  <c r="EL78" i="2" a="1"/>
  <c r="EL78" i="2" s="1"/>
  <c r="EL71" i="2" a="1"/>
  <c r="EL71" i="2" s="1"/>
  <c r="EL74" i="2" a="1"/>
  <c r="EL74" i="2" s="1"/>
  <c r="EL72" i="2" a="1"/>
  <c r="EL72" i="2" s="1"/>
  <c r="EL73" i="2" a="1"/>
  <c r="EL73" i="2" s="1"/>
  <c r="EL75" i="2" a="1"/>
  <c r="EL75" i="2" s="1"/>
  <c r="EL68" i="2" a="1"/>
  <c r="EL68" i="2" s="1"/>
  <c r="EL70" i="2" a="1"/>
  <c r="EL70" i="2" s="1"/>
  <c r="EL69" i="2" a="1"/>
  <c r="EL69" i="2" s="1"/>
  <c r="EL67" i="2" a="1"/>
  <c r="EL67" i="2" s="1"/>
  <c r="EL65" i="2" a="1"/>
  <c r="EL65" i="2" s="1"/>
  <c r="EL66" i="2" a="1"/>
  <c r="EL66" i="2" s="1"/>
  <c r="EL64" i="2" a="1"/>
  <c r="EL64" i="2" s="1"/>
  <c r="EL63" i="2" a="1"/>
  <c r="EL63" i="2" s="1"/>
  <c r="EL62" i="2" a="1"/>
  <c r="EL62" i="2" s="1"/>
  <c r="EL61" i="2" a="1"/>
  <c r="EL61" i="2" s="1"/>
  <c r="EL59" i="2" a="1"/>
  <c r="EL59" i="2" s="1"/>
  <c r="EL60" i="2" a="1"/>
  <c r="EL60" i="2" s="1"/>
  <c r="EL58" i="2" a="1"/>
  <c r="EL58" i="2" s="1"/>
  <c r="EL57" i="2" a="1"/>
  <c r="EL57" i="2" s="1"/>
  <c r="EL55" i="2" a="1"/>
  <c r="EL55" i="2" s="1"/>
  <c r="EL54" i="2" a="1"/>
  <c r="EL54" i="2" s="1"/>
  <c r="EL56" i="2" a="1"/>
  <c r="EL56" i="2" s="1"/>
  <c r="EL52" i="2" a="1"/>
  <c r="EL52" i="2" s="1"/>
  <c r="EL51" i="2" a="1"/>
  <c r="EL51" i="2" s="1"/>
  <c r="EL53" i="2" a="1"/>
  <c r="EL53" i="2" s="1"/>
  <c r="EL50" i="2" a="1"/>
  <c r="EL50" i="2" s="1"/>
  <c r="EL49" i="2" a="1"/>
  <c r="EL49" i="2" s="1"/>
  <c r="EL48" i="2" a="1"/>
  <c r="EL48" i="2" s="1"/>
  <c r="EL47" i="2" a="1"/>
  <c r="EL47" i="2" s="1"/>
  <c r="EL41" i="2" a="1"/>
  <c r="EL41" i="2" s="1"/>
  <c r="EL44" i="2" a="1"/>
  <c r="EL44" i="2" s="1"/>
  <c r="EL43" i="2" a="1"/>
  <c r="EL43" i="2" s="1"/>
  <c r="EL46" i="2" a="1"/>
  <c r="EL46" i="2" s="1"/>
  <c r="EL45" i="2" a="1"/>
  <c r="EL45" i="2" s="1"/>
  <c r="EL42" i="2" a="1"/>
  <c r="EL42" i="2" s="1"/>
  <c r="EL40" i="2" a="1"/>
  <c r="EL40" i="2" s="1"/>
  <c r="EL37" i="2" a="1"/>
  <c r="EL37" i="2" s="1"/>
  <c r="EL36" i="2" a="1"/>
  <c r="EL36" i="2" s="1"/>
  <c r="EL39" i="2" a="1"/>
  <c r="EL39" i="2" s="1"/>
  <c r="EL35" i="2" a="1"/>
  <c r="EL35" i="2" s="1"/>
  <c r="EL34" i="2" a="1"/>
  <c r="EL34" i="2" s="1"/>
  <c r="EL33" i="2" a="1"/>
  <c r="EL33" i="2" s="1"/>
  <c r="EL38" i="2" a="1"/>
  <c r="EL38" i="2" s="1"/>
  <c r="EL31" i="2" a="1"/>
  <c r="EL31" i="2" s="1"/>
  <c r="EL30" i="2" a="1"/>
  <c r="EL30" i="2" s="1"/>
  <c r="EL29" i="2" a="1"/>
  <c r="EL29" i="2" s="1"/>
  <c r="EL25" i="2" a="1"/>
  <c r="EL25" i="2" s="1"/>
  <c r="EL28" i="2" a="1"/>
  <c r="EL28" i="2" s="1"/>
  <c r="EL27" i="2" a="1"/>
  <c r="EL27" i="2" s="1"/>
  <c r="EL32" i="2" a="1"/>
  <c r="EL32" i="2" s="1"/>
  <c r="EL26" i="2" a="1"/>
  <c r="EL26" i="2" s="1"/>
  <c r="EL17" i="2" a="1"/>
  <c r="EL17" i="2" s="1"/>
  <c r="EL16" i="2" a="1"/>
  <c r="EL16" i="2" s="1"/>
  <c r="EL24" i="2" a="1"/>
  <c r="EL24" i="2" s="1"/>
  <c r="EL23" i="2" a="1"/>
  <c r="EL23" i="2" s="1"/>
  <c r="EL22" i="2" a="1"/>
  <c r="EL22" i="2" s="1"/>
  <c r="EL21" i="2" a="1"/>
  <c r="EL21" i="2" s="1"/>
  <c r="EL20" i="2" a="1"/>
  <c r="EL20" i="2" s="1"/>
  <c r="EL19" i="2" a="1"/>
  <c r="EL19" i="2" s="1"/>
  <c r="EL18" i="2" a="1"/>
  <c r="EL18" i="2" s="1"/>
  <c r="EL15" i="2" a="1"/>
  <c r="EL15" i="2" s="1"/>
  <c r="EL12" i="2" a="1"/>
  <c r="EL12" i="2" s="1"/>
  <c r="EL11" i="2" a="1"/>
  <c r="EL11" i="2" s="1"/>
  <c r="EL14" i="2" a="1"/>
  <c r="EL14" i="2" s="1"/>
  <c r="EL10" i="2" a="1"/>
  <c r="EL10" i="2" s="1"/>
  <c r="EL9" i="2" a="1"/>
  <c r="EL9" i="2" s="1"/>
  <c r="EL13" i="2" a="1"/>
  <c r="EL13" i="2" s="1"/>
  <c r="EL8" i="2" a="1"/>
  <c r="EL8" i="2" s="1"/>
  <c r="EL6" i="2" a="1"/>
  <c r="EL6" i="2" s="1"/>
  <c r="EL4" i="2" a="1"/>
  <c r="EL4" i="2" s="1"/>
  <c r="EL7" i="2" a="1"/>
  <c r="EL7" i="2" s="1"/>
  <c r="EL5" i="2" a="1"/>
  <c r="EL5" i="2" s="1"/>
  <c r="EX1" i="2"/>
  <c r="EI103" i="2" a="1"/>
  <c r="EI103" i="2" s="1"/>
  <c r="EI102" i="2" a="1"/>
  <c r="EI102" i="2" s="1"/>
  <c r="EI101" i="2" a="1"/>
  <c r="EI101" i="2" s="1"/>
  <c r="EI100" i="2" a="1"/>
  <c r="EI100" i="2" s="1"/>
  <c r="EI99" i="2" a="1"/>
  <c r="EI99" i="2" s="1"/>
  <c r="EI98" i="2" a="1"/>
  <c r="EI98" i="2" s="1"/>
  <c r="EI96" i="2" a="1"/>
  <c r="EI96" i="2" s="1"/>
  <c r="EI95" i="2" a="1"/>
  <c r="EI95" i="2" s="1"/>
  <c r="EI97" i="2" a="1"/>
  <c r="EI97" i="2" s="1"/>
  <c r="EI93" i="2" a="1"/>
  <c r="EI93" i="2" s="1"/>
  <c r="EI92" i="2" a="1"/>
  <c r="EI92" i="2" s="1"/>
  <c r="EI94" i="2" a="1"/>
  <c r="EI94" i="2" s="1"/>
  <c r="EI91" i="2" a="1"/>
  <c r="EI91" i="2" s="1"/>
  <c r="EI90" i="2" a="1"/>
  <c r="EI90" i="2" s="1"/>
  <c r="EI89" i="2" a="1"/>
  <c r="EI89" i="2" s="1"/>
  <c r="EI88" i="2" a="1"/>
  <c r="EI88" i="2" s="1"/>
  <c r="EI86" i="2" a="1"/>
  <c r="EI86" i="2" s="1"/>
  <c r="EI84" i="2" a="1"/>
  <c r="EI84" i="2" s="1"/>
  <c r="EI87" i="2" a="1"/>
  <c r="EI87" i="2" s="1"/>
  <c r="EI85" i="2" a="1"/>
  <c r="EI85" i="2" s="1"/>
  <c r="EI80" i="2" a="1"/>
  <c r="EI80" i="2" s="1"/>
  <c r="EI82" i="2" a="1"/>
  <c r="EI82" i="2" s="1"/>
  <c r="EI81" i="2" a="1"/>
  <c r="EI81" i="2" s="1"/>
  <c r="EI83" i="2" a="1"/>
  <c r="EI83" i="2" s="1"/>
  <c r="EI76" i="2" a="1"/>
  <c r="EI76" i="2" s="1"/>
  <c r="EI77" i="2" a="1"/>
  <c r="EI77" i="2" s="1"/>
  <c r="EI79" i="2" a="1"/>
  <c r="EI79" i="2" s="1"/>
  <c r="EI78" i="2" a="1"/>
  <c r="EI78" i="2" s="1"/>
  <c r="EI74" i="2" a="1"/>
  <c r="EI74" i="2" s="1"/>
  <c r="EI72" i="2" a="1"/>
  <c r="EI72" i="2" s="1"/>
  <c r="EI73" i="2" a="1"/>
  <c r="EI73" i="2" s="1"/>
  <c r="EI75" i="2" a="1"/>
  <c r="EI75" i="2" s="1"/>
  <c r="EI69" i="2" a="1"/>
  <c r="EI69" i="2" s="1"/>
  <c r="EI68" i="2" a="1"/>
  <c r="EI68" i="2" s="1"/>
  <c r="EI71" i="2" a="1"/>
  <c r="EI71" i="2" s="1"/>
  <c r="EI70" i="2" a="1"/>
  <c r="EI70" i="2" s="1"/>
  <c r="EI63" i="2" a="1"/>
  <c r="EI63" i="2" s="1"/>
  <c r="EI67" i="2" a="1"/>
  <c r="EI67" i="2" s="1"/>
  <c r="EI65" i="2" a="1"/>
  <c r="EI65" i="2" s="1"/>
  <c r="EI66" i="2" a="1"/>
  <c r="EI66" i="2" s="1"/>
  <c r="EI64" i="2" a="1"/>
  <c r="EI64" i="2" s="1"/>
  <c r="EI60" i="2" a="1"/>
  <c r="EI60" i="2" s="1"/>
  <c r="EI59" i="2" a="1"/>
  <c r="EI59" i="2" s="1"/>
  <c r="EI62" i="2" a="1"/>
  <c r="EI62" i="2" s="1"/>
  <c r="EI61" i="2" a="1"/>
  <c r="EI61" i="2" s="1"/>
  <c r="EI57" i="2" a="1"/>
  <c r="EI57" i="2" s="1"/>
  <c r="EI56" i="2" a="1"/>
  <c r="EI56" i="2" s="1"/>
  <c r="EI58" i="2" a="1"/>
  <c r="EI58" i="2" s="1"/>
  <c r="EI49" i="2" a="1"/>
  <c r="EI49" i="2" s="1"/>
  <c r="EI48" i="2" a="1"/>
  <c r="EI48" i="2" s="1"/>
  <c r="EI54" i="2" a="1"/>
  <c r="EI54" i="2" s="1"/>
  <c r="EI55" i="2" a="1"/>
  <c r="EI55" i="2" s="1"/>
  <c r="EI52" i="2" a="1"/>
  <c r="EI52" i="2" s="1"/>
  <c r="EI51" i="2" a="1"/>
  <c r="EI51" i="2" s="1"/>
  <c r="EI50" i="2" a="1"/>
  <c r="EI50" i="2" s="1"/>
  <c r="EI53" i="2" a="1"/>
  <c r="EI53" i="2" s="1"/>
  <c r="EI46" i="2" a="1"/>
  <c r="EI46" i="2" s="1"/>
  <c r="EI42" i="2" a="1"/>
  <c r="EI42" i="2" s="1"/>
  <c r="EI45" i="2" a="1"/>
  <c r="EI45" i="2" s="1"/>
  <c r="EI40" i="2" a="1"/>
  <c r="EI40" i="2" s="1"/>
  <c r="EI47" i="2" a="1"/>
  <c r="EI47" i="2" s="1"/>
  <c r="EI41" i="2" a="1"/>
  <c r="EI41" i="2" s="1"/>
  <c r="EI44" i="2" a="1"/>
  <c r="EI44" i="2" s="1"/>
  <c r="EI43" i="2" a="1"/>
  <c r="EI43" i="2" s="1"/>
  <c r="EI34" i="2" a="1"/>
  <c r="EI34" i="2" s="1"/>
  <c r="EI35" i="2" a="1"/>
  <c r="EI35" i="2" s="1"/>
  <c r="EI33" i="2" a="1"/>
  <c r="EI33" i="2" s="1"/>
  <c r="EI38" i="2" a="1"/>
  <c r="EI38" i="2" s="1"/>
  <c r="EI37" i="2" a="1"/>
  <c r="EI37" i="2" s="1"/>
  <c r="EI36" i="2" a="1"/>
  <c r="EI36" i="2" s="1"/>
  <c r="EI39" i="2" a="1"/>
  <c r="EI39" i="2" s="1"/>
  <c r="EI27" i="2" a="1"/>
  <c r="EI27" i="2" s="1"/>
  <c r="EI32" i="2" a="1"/>
  <c r="EI32" i="2" s="1"/>
  <c r="EI26" i="2" a="1"/>
  <c r="EI26" i="2" s="1"/>
  <c r="EI31" i="2" a="1"/>
  <c r="EI31" i="2" s="1"/>
  <c r="EI30" i="2" a="1"/>
  <c r="EI30" i="2" s="1"/>
  <c r="EI29" i="2" a="1"/>
  <c r="EI29" i="2" s="1"/>
  <c r="EI25" i="2" a="1"/>
  <c r="EI25" i="2" s="1"/>
  <c r="EI28" i="2" a="1"/>
  <c r="EI28" i="2" s="1"/>
  <c r="EI17" i="2" a="1"/>
  <c r="EI17" i="2" s="1"/>
  <c r="EI24" i="2" a="1"/>
  <c r="EI24" i="2" s="1"/>
  <c r="EI23" i="2" a="1"/>
  <c r="EI23" i="2" s="1"/>
  <c r="EI22" i="2" a="1"/>
  <c r="EI22" i="2" s="1"/>
  <c r="EI21" i="2" a="1"/>
  <c r="EI21" i="2" s="1"/>
  <c r="EI20" i="2" a="1"/>
  <c r="EI20" i="2" s="1"/>
  <c r="EI19" i="2" a="1"/>
  <c r="EI19" i="2" s="1"/>
  <c r="EI18" i="2" a="1"/>
  <c r="EI18" i="2" s="1"/>
  <c r="EI16" i="2" a="1"/>
  <c r="EI16" i="2" s="1"/>
  <c r="EI13" i="2" a="1"/>
  <c r="EI13" i="2" s="1"/>
  <c r="EI9" i="2" a="1"/>
  <c r="EI9" i="2" s="1"/>
  <c r="EI8" i="2" a="1"/>
  <c r="EI8" i="2" s="1"/>
  <c r="EI12" i="2" a="1"/>
  <c r="EI12" i="2" s="1"/>
  <c r="EI15" i="2" a="1"/>
  <c r="EI15" i="2" s="1"/>
  <c r="EI11" i="2" a="1"/>
  <c r="EI11" i="2" s="1"/>
  <c r="EI14" i="2" a="1"/>
  <c r="EI14" i="2" s="1"/>
  <c r="EI10" i="2" a="1"/>
  <c r="EI10" i="2" s="1"/>
  <c r="EI5" i="2" a="1"/>
  <c r="EI5" i="2" s="1"/>
  <c r="EI6" i="2" a="1"/>
  <c r="EI6" i="2" s="1"/>
  <c r="EI7" i="2" a="1"/>
  <c r="EI7" i="2" s="1"/>
  <c r="EI4" i="2" a="1"/>
  <c r="EI4" i="2" s="1"/>
  <c r="EU1" i="2"/>
  <c r="ED99" i="2" a="1"/>
  <c r="ED99" i="2" s="1"/>
  <c r="ED103" i="2" a="1"/>
  <c r="ED103" i="2" s="1"/>
  <c r="ED102" i="2" a="1"/>
  <c r="ED102" i="2" s="1"/>
  <c r="ED101" i="2" a="1"/>
  <c r="ED101" i="2" s="1"/>
  <c r="ED100" i="2" a="1"/>
  <c r="ED100" i="2" s="1"/>
  <c r="ED95" i="2" a="1"/>
  <c r="ED95" i="2" s="1"/>
  <c r="ED97" i="2" a="1"/>
  <c r="ED97" i="2" s="1"/>
  <c r="ED98" i="2" a="1"/>
  <c r="ED98" i="2" s="1"/>
  <c r="ED96" i="2" a="1"/>
  <c r="ED96" i="2" s="1"/>
  <c r="ED94" i="2" a="1"/>
  <c r="ED94" i="2" s="1"/>
  <c r="ED93" i="2" a="1"/>
  <c r="ED93" i="2" s="1"/>
  <c r="ED92" i="2" a="1"/>
  <c r="ED92" i="2" s="1"/>
  <c r="ED91" i="2" a="1"/>
  <c r="ED91" i="2" s="1"/>
  <c r="ED90" i="2" a="1"/>
  <c r="ED90" i="2" s="1"/>
  <c r="ED89" i="2" a="1"/>
  <c r="ED89" i="2" s="1"/>
  <c r="ED88" i="2" a="1"/>
  <c r="ED88" i="2" s="1"/>
  <c r="ED87" i="2" a="1"/>
  <c r="ED87" i="2" s="1"/>
  <c r="ED85" i="2" a="1"/>
  <c r="ED85" i="2" s="1"/>
  <c r="ED84" i="2" a="1"/>
  <c r="ED84" i="2" s="1"/>
  <c r="ED86" i="2" a="1"/>
  <c r="ED86" i="2" s="1"/>
  <c r="ED83" i="2" a="1"/>
  <c r="ED83" i="2" s="1"/>
  <c r="ED82" i="2" a="1"/>
  <c r="ED82" i="2" s="1"/>
  <c r="ED80" i="2" a="1"/>
  <c r="ED80" i="2" s="1"/>
  <c r="ED81" i="2" a="1"/>
  <c r="ED81" i="2" s="1"/>
  <c r="ED77" i="2" a="1"/>
  <c r="ED77" i="2" s="1"/>
  <c r="ED79" i="2" a="1"/>
  <c r="ED79" i="2" s="1"/>
  <c r="ED78" i="2" a="1"/>
  <c r="ED78" i="2" s="1"/>
  <c r="ED76" i="2" a="1"/>
  <c r="ED76" i="2" s="1"/>
  <c r="ED74" i="2" a="1"/>
  <c r="ED74" i="2" s="1"/>
  <c r="ED75" i="2" a="1"/>
  <c r="ED75" i="2" s="1"/>
  <c r="ED72" i="2" a="1"/>
  <c r="ED72" i="2" s="1"/>
  <c r="ED73" i="2" a="1"/>
  <c r="ED73" i="2" s="1"/>
  <c r="ED70" i="2" a="1"/>
  <c r="ED70" i="2" s="1"/>
  <c r="ED69" i="2" a="1"/>
  <c r="ED69" i="2" s="1"/>
  <c r="ED71" i="2" a="1"/>
  <c r="ED71" i="2" s="1"/>
  <c r="ED68" i="2" a="1"/>
  <c r="ED68" i="2" s="1"/>
  <c r="ED66" i="2" a="1"/>
  <c r="ED66" i="2" s="1"/>
  <c r="ED64" i="2" a="1"/>
  <c r="ED64" i="2" s="1"/>
  <c r="ED67" i="2" a="1"/>
  <c r="ED67" i="2" s="1"/>
  <c r="ED65" i="2" a="1"/>
  <c r="ED65" i="2" s="1"/>
  <c r="ED62" i="2" a="1"/>
  <c r="ED62" i="2" s="1"/>
  <c r="ED61" i="2" a="1"/>
  <c r="ED61" i="2" s="1"/>
  <c r="ED63" i="2" a="1"/>
  <c r="ED63" i="2" s="1"/>
  <c r="ED59" i="2" a="1"/>
  <c r="ED59" i="2" s="1"/>
  <c r="ED60" i="2" a="1"/>
  <c r="ED60" i="2" s="1"/>
  <c r="ED56" i="2" a="1"/>
  <c r="ED56" i="2" s="1"/>
  <c r="ED58" i="2" a="1"/>
  <c r="ED58" i="2" s="1"/>
  <c r="ED57" i="2" a="1"/>
  <c r="ED57" i="2" s="1"/>
  <c r="ED51" i="2" a="1"/>
  <c r="ED51" i="2" s="1"/>
  <c r="ED52" i="2" a="1"/>
  <c r="ED52" i="2" s="1"/>
  <c r="ED53" i="2" a="1"/>
  <c r="ED53" i="2" s="1"/>
  <c r="ED50" i="2" a="1"/>
  <c r="ED50" i="2" s="1"/>
  <c r="ED49" i="2" a="1"/>
  <c r="ED49" i="2" s="1"/>
  <c r="ED54" i="2" a="1"/>
  <c r="ED54" i="2" s="1"/>
  <c r="ED55" i="2" a="1"/>
  <c r="ED55" i="2" s="1"/>
  <c r="ED48" i="2" a="1"/>
  <c r="ED48" i="2" s="1"/>
  <c r="ED41" i="2" a="1"/>
  <c r="ED41" i="2" s="1"/>
  <c r="ED44" i="2" a="1"/>
  <c r="ED44" i="2" s="1"/>
  <c r="ED43" i="2" a="1"/>
  <c r="ED43" i="2" s="1"/>
  <c r="ED46" i="2" a="1"/>
  <c r="ED46" i="2" s="1"/>
  <c r="ED45" i="2" a="1"/>
  <c r="ED45" i="2" s="1"/>
  <c r="ED42" i="2" a="1"/>
  <c r="ED42" i="2" s="1"/>
  <c r="ED40" i="2" a="1"/>
  <c r="ED40" i="2" s="1"/>
  <c r="ED47" i="2" a="1"/>
  <c r="ED47" i="2" s="1"/>
  <c r="ED37" i="2" a="1"/>
  <c r="ED37" i="2" s="1"/>
  <c r="ED36" i="2" a="1"/>
  <c r="ED36" i="2" s="1"/>
  <c r="ED39" i="2" a="1"/>
  <c r="ED39" i="2" s="1"/>
  <c r="ED34" i="2" a="1"/>
  <c r="ED34" i="2" s="1"/>
  <c r="ED35" i="2" a="1"/>
  <c r="ED35" i="2" s="1"/>
  <c r="ED38" i="2" a="1"/>
  <c r="ED38" i="2" s="1"/>
  <c r="ED31" i="2" a="1"/>
  <c r="ED31" i="2" s="1"/>
  <c r="ED29" i="2" a="1"/>
  <c r="ED29" i="2" s="1"/>
  <c r="ED25" i="2" a="1"/>
  <c r="ED25" i="2" s="1"/>
  <c r="ED28" i="2" a="1"/>
  <c r="ED28" i="2" s="1"/>
  <c r="ED27" i="2" a="1"/>
  <c r="ED27" i="2" s="1"/>
  <c r="ED33" i="2" a="1"/>
  <c r="ED33" i="2" s="1"/>
  <c r="ED32" i="2" a="1"/>
  <c r="ED32" i="2" s="1"/>
  <c r="ED26" i="2" a="1"/>
  <c r="ED26" i="2" s="1"/>
  <c r="ED30" i="2" a="1"/>
  <c r="ED30" i="2" s="1"/>
  <c r="ED24" i="2" a="1"/>
  <c r="ED24" i="2" s="1"/>
  <c r="ED23" i="2" a="1"/>
  <c r="ED23" i="2" s="1"/>
  <c r="ED22" i="2" a="1"/>
  <c r="ED22" i="2" s="1"/>
  <c r="ED21" i="2" a="1"/>
  <c r="ED21" i="2" s="1"/>
  <c r="ED20" i="2" a="1"/>
  <c r="ED20" i="2" s="1"/>
  <c r="ED19" i="2" a="1"/>
  <c r="ED19" i="2" s="1"/>
  <c r="ED18" i="2" a="1"/>
  <c r="ED18" i="2" s="1"/>
  <c r="ED16" i="2" a="1"/>
  <c r="ED16" i="2" s="1"/>
  <c r="ED15" i="2" a="1"/>
  <c r="ED15" i="2" s="1"/>
  <c r="ED17" i="2" a="1"/>
  <c r="ED17" i="2" s="1"/>
  <c r="ED12" i="2" a="1"/>
  <c r="ED12" i="2" s="1"/>
  <c r="ED11" i="2" a="1"/>
  <c r="ED11" i="2" s="1"/>
  <c r="ED10" i="2" a="1"/>
  <c r="ED10" i="2" s="1"/>
  <c r="ED14" i="2" a="1"/>
  <c r="ED14" i="2" s="1"/>
  <c r="ED7" i="2" a="1"/>
  <c r="ED7" i="2" s="1"/>
  <c r="ED9" i="2" a="1"/>
  <c r="ED9" i="2" s="1"/>
  <c r="ED13" i="2" a="1"/>
  <c r="ED13" i="2" s="1"/>
  <c r="ED8" i="2" a="1"/>
  <c r="ED8" i="2" s="1"/>
  <c r="ED6" i="2" a="1"/>
  <c r="ED6" i="2" s="1"/>
  <c r="ED4" i="2" a="1"/>
  <c r="ED4" i="2" s="1"/>
  <c r="ED5" i="2" a="1"/>
  <c r="ED5" i="2" s="1"/>
  <c r="EP1" i="2"/>
  <c r="EN99" i="2" a="1"/>
  <c r="EN99" i="2" s="1"/>
  <c r="EN103" i="2" a="1"/>
  <c r="EN103" i="2" s="1"/>
  <c r="EN102" i="2" a="1"/>
  <c r="EN102" i="2" s="1"/>
  <c r="EN101" i="2" a="1"/>
  <c r="EN101" i="2" s="1"/>
  <c r="EN100" i="2" a="1"/>
  <c r="EN100" i="2" s="1"/>
  <c r="EN97" i="2" a="1"/>
  <c r="EN97" i="2" s="1"/>
  <c r="EN98" i="2" a="1"/>
  <c r="EN98" i="2" s="1"/>
  <c r="EN95" i="2" a="1"/>
  <c r="EN95" i="2" s="1"/>
  <c r="EN96" i="2" a="1"/>
  <c r="EN96" i="2" s="1"/>
  <c r="EN94" i="2" a="1"/>
  <c r="EN94" i="2" s="1"/>
  <c r="EN93" i="2" a="1"/>
  <c r="EN93" i="2" s="1"/>
  <c r="EN92" i="2" a="1"/>
  <c r="EN92" i="2" s="1"/>
  <c r="EN91" i="2" a="1"/>
  <c r="EN91" i="2" s="1"/>
  <c r="EN90" i="2" a="1"/>
  <c r="EN90" i="2" s="1"/>
  <c r="EN89" i="2" a="1"/>
  <c r="EN89" i="2" s="1"/>
  <c r="EN88" i="2" a="1"/>
  <c r="EN88" i="2" s="1"/>
  <c r="EN87" i="2" a="1"/>
  <c r="EN87" i="2" s="1"/>
  <c r="EN85" i="2" a="1"/>
  <c r="EN85" i="2" s="1"/>
  <c r="EN86" i="2" a="1"/>
  <c r="EN86" i="2" s="1"/>
  <c r="EN84" i="2" a="1"/>
  <c r="EN84" i="2" s="1"/>
  <c r="EN80" i="2" a="1"/>
  <c r="EN80" i="2" s="1"/>
  <c r="EN82" i="2" a="1"/>
  <c r="EN82" i="2" s="1"/>
  <c r="EN83" i="2" a="1"/>
  <c r="EN83" i="2" s="1"/>
  <c r="EN81" i="2" a="1"/>
  <c r="EN81" i="2" s="1"/>
  <c r="EN77" i="2" a="1"/>
  <c r="EN77" i="2" s="1"/>
  <c r="EN79" i="2" a="1"/>
  <c r="EN79" i="2" s="1"/>
  <c r="EN78" i="2" a="1"/>
  <c r="EN78" i="2" s="1"/>
  <c r="EN76" i="2" a="1"/>
  <c r="EN76" i="2" s="1"/>
  <c r="EN72" i="2" a="1"/>
  <c r="EN72" i="2" s="1"/>
  <c r="EN75" i="2" a="1"/>
  <c r="EN75" i="2" s="1"/>
  <c r="EN73" i="2" a="1"/>
  <c r="EN73" i="2" s="1"/>
  <c r="EN74" i="2" a="1"/>
  <c r="EN74" i="2" s="1"/>
  <c r="EN71" i="2" a="1"/>
  <c r="EN71" i="2" s="1"/>
  <c r="EN70" i="2" a="1"/>
  <c r="EN70" i="2" s="1"/>
  <c r="EN69" i="2" a="1"/>
  <c r="EN69" i="2" s="1"/>
  <c r="EN68" i="2" a="1"/>
  <c r="EN68" i="2" s="1"/>
  <c r="EN66" i="2" a="1"/>
  <c r="EN66" i="2" s="1"/>
  <c r="EN64" i="2" a="1"/>
  <c r="EN64" i="2" s="1"/>
  <c r="EN63" i="2" a="1"/>
  <c r="EN63" i="2" s="1"/>
  <c r="EN67" i="2" a="1"/>
  <c r="EN67" i="2" s="1"/>
  <c r="EN65" i="2" a="1"/>
  <c r="EN65" i="2" s="1"/>
  <c r="EN62" i="2" a="1"/>
  <c r="EN62" i="2" s="1"/>
  <c r="EN61" i="2" a="1"/>
  <c r="EN61" i="2" s="1"/>
  <c r="EN59" i="2" a="1"/>
  <c r="EN59" i="2" s="1"/>
  <c r="EN60" i="2" a="1"/>
  <c r="EN60" i="2" s="1"/>
  <c r="EN57" i="2" a="1"/>
  <c r="EN57" i="2" s="1"/>
  <c r="EN56" i="2" a="1"/>
  <c r="EN56" i="2" s="1"/>
  <c r="EN58" i="2" a="1"/>
  <c r="EN58" i="2" s="1"/>
  <c r="EN52" i="2" a="1"/>
  <c r="EN52" i="2" s="1"/>
  <c r="EN51" i="2" a="1"/>
  <c r="EN51" i="2" s="1"/>
  <c r="EN53" i="2" a="1"/>
  <c r="EN53" i="2" s="1"/>
  <c r="EN50" i="2" a="1"/>
  <c r="EN50" i="2" s="1"/>
  <c r="EN49" i="2" a="1"/>
  <c r="EN49" i="2" s="1"/>
  <c r="EN54" i="2" a="1"/>
  <c r="EN54" i="2" s="1"/>
  <c r="EN48" i="2" a="1"/>
  <c r="EN48" i="2" s="1"/>
  <c r="EN55" i="2" a="1"/>
  <c r="EN55" i="2" s="1"/>
  <c r="EN47" i="2" a="1"/>
  <c r="EN47" i="2" s="1"/>
  <c r="EN41" i="2" a="1"/>
  <c r="EN41" i="2" s="1"/>
  <c r="EN44" i="2" a="1"/>
  <c r="EN44" i="2" s="1"/>
  <c r="EN43" i="2" a="1"/>
  <c r="EN43" i="2" s="1"/>
  <c r="EN46" i="2" a="1"/>
  <c r="EN46" i="2" s="1"/>
  <c r="EN45" i="2" a="1"/>
  <c r="EN45" i="2" s="1"/>
  <c r="EN42" i="2" a="1"/>
  <c r="EN42" i="2" s="1"/>
  <c r="EN36" i="2" a="1"/>
  <c r="EN36" i="2" s="1"/>
  <c r="EN39" i="2" a="1"/>
  <c r="EN39" i="2" s="1"/>
  <c r="EN35" i="2" a="1"/>
  <c r="EN35" i="2" s="1"/>
  <c r="EN34" i="2" a="1"/>
  <c r="EN34" i="2" s="1"/>
  <c r="EN40" i="2" a="1"/>
  <c r="EN40" i="2" s="1"/>
  <c r="EN38" i="2" a="1"/>
  <c r="EN38" i="2" s="1"/>
  <c r="EN37" i="2" a="1"/>
  <c r="EN37" i="2" s="1"/>
  <c r="EN29" i="2" a="1"/>
  <c r="EN29" i="2" s="1"/>
  <c r="EN33" i="2" a="1"/>
  <c r="EN33" i="2" s="1"/>
  <c r="EN28" i="2" a="1"/>
  <c r="EN28" i="2" s="1"/>
  <c r="EN25" i="2" a="1"/>
  <c r="EN25" i="2" s="1"/>
  <c r="EN24" i="2" a="1"/>
  <c r="EN24" i="2" s="1"/>
  <c r="EN27" i="2" a="1"/>
  <c r="EN27" i="2" s="1"/>
  <c r="EN26" i="2" a="1"/>
  <c r="EN26" i="2" s="1"/>
  <c r="EN32" i="2" a="1"/>
  <c r="EN32" i="2" s="1"/>
  <c r="EN30" i="2" a="1"/>
  <c r="EN30" i="2" s="1"/>
  <c r="EN31" i="2" a="1"/>
  <c r="EN31" i="2" s="1"/>
  <c r="EN16" i="2" a="1"/>
  <c r="EN16" i="2" s="1"/>
  <c r="EN23" i="2" a="1"/>
  <c r="EN23" i="2" s="1"/>
  <c r="EN22" i="2" a="1"/>
  <c r="EN22" i="2" s="1"/>
  <c r="EN21" i="2" a="1"/>
  <c r="EN21" i="2" s="1"/>
  <c r="EN20" i="2" a="1"/>
  <c r="EN20" i="2" s="1"/>
  <c r="EN19" i="2" a="1"/>
  <c r="EN19" i="2" s="1"/>
  <c r="EN18" i="2" a="1"/>
  <c r="EN18" i="2" s="1"/>
  <c r="EN15" i="2" a="1"/>
  <c r="EN15" i="2" s="1"/>
  <c r="EN17" i="2" a="1"/>
  <c r="EN17" i="2" s="1"/>
  <c r="EN11" i="2" a="1"/>
  <c r="EN11" i="2" s="1"/>
  <c r="EN14" i="2" a="1"/>
  <c r="EN14" i="2" s="1"/>
  <c r="EN9" i="2" a="1"/>
  <c r="EN9" i="2" s="1"/>
  <c r="EN7" i="2" a="1"/>
  <c r="EN7" i="2" s="1"/>
  <c r="EN10" i="2" a="1"/>
  <c r="EN10" i="2" s="1"/>
  <c r="EN13" i="2" a="1"/>
  <c r="EN13" i="2" s="1"/>
  <c r="EN8" i="2" a="1"/>
  <c r="EN8" i="2" s="1"/>
  <c r="EN12" i="2" a="1"/>
  <c r="EN12" i="2" s="1"/>
  <c r="EN4" i="2" a="1"/>
  <c r="EN4" i="2" s="1"/>
  <c r="EN5" i="2" a="1"/>
  <c r="EN5" i="2" s="1"/>
  <c r="EN6" i="2" a="1"/>
  <c r="EN6" i="2" s="1"/>
  <c r="EZ1" i="2"/>
  <c r="EC120" i="2"/>
  <c r="GO14" i="2" s="1"/>
  <c r="EC117" i="2"/>
  <c r="EB104" i="2"/>
  <c r="EA120" i="2"/>
  <c r="GM14" i="2" s="1"/>
  <c r="DR104" i="2"/>
  <c r="EC115" i="2"/>
  <c r="EK100" i="2" a="1"/>
  <c r="EK100" i="2" s="1"/>
  <c r="EK99" i="2" a="1"/>
  <c r="EK99" i="2" s="1"/>
  <c r="EK103" i="2" a="1"/>
  <c r="EK103" i="2" s="1"/>
  <c r="EK102" i="2" a="1"/>
  <c r="EK102" i="2" s="1"/>
  <c r="EK101" i="2" a="1"/>
  <c r="EK101" i="2" s="1"/>
  <c r="EK98" i="2" a="1"/>
  <c r="EK98" i="2" s="1"/>
  <c r="EK96" i="2" a="1"/>
  <c r="EK96" i="2" s="1"/>
  <c r="EK95" i="2" a="1"/>
  <c r="EK95" i="2" s="1"/>
  <c r="EK97" i="2" a="1"/>
  <c r="EK97" i="2" s="1"/>
  <c r="EK94" i="2" a="1"/>
  <c r="EK94" i="2" s="1"/>
  <c r="EK93" i="2" a="1"/>
  <c r="EK93" i="2" s="1"/>
  <c r="EK92" i="2" a="1"/>
  <c r="EK92" i="2" s="1"/>
  <c r="EK91" i="2" a="1"/>
  <c r="EK91" i="2" s="1"/>
  <c r="EK90" i="2" a="1"/>
  <c r="EK90" i="2" s="1"/>
  <c r="EK89" i="2" a="1"/>
  <c r="EK89" i="2" s="1"/>
  <c r="EK88" i="2" a="1"/>
  <c r="EK88" i="2" s="1"/>
  <c r="EK86" i="2" a="1"/>
  <c r="EK86" i="2" s="1"/>
  <c r="EK84" i="2" a="1"/>
  <c r="EK84" i="2" s="1"/>
  <c r="EK85" i="2" a="1"/>
  <c r="EK85" i="2" s="1"/>
  <c r="EK87" i="2" a="1"/>
  <c r="EK87" i="2" s="1"/>
  <c r="EK83" i="2" a="1"/>
  <c r="EK83" i="2" s="1"/>
  <c r="EK82" i="2" a="1"/>
  <c r="EK82" i="2" s="1"/>
  <c r="EK81" i="2" a="1"/>
  <c r="EK81" i="2" s="1"/>
  <c r="EK80" i="2" a="1"/>
  <c r="EK80" i="2" s="1"/>
  <c r="EK76" i="2" a="1"/>
  <c r="EK76" i="2" s="1"/>
  <c r="EK77" i="2" a="1"/>
  <c r="EK77" i="2" s="1"/>
  <c r="EK79" i="2" a="1"/>
  <c r="EK79" i="2" s="1"/>
  <c r="EK78" i="2" a="1"/>
  <c r="EK78" i="2" s="1"/>
  <c r="EK75" i="2" a="1"/>
  <c r="EK75" i="2" s="1"/>
  <c r="EK74" i="2" a="1"/>
  <c r="EK74" i="2" s="1"/>
  <c r="EK72" i="2" a="1"/>
  <c r="EK72" i="2" s="1"/>
  <c r="EK73" i="2" a="1"/>
  <c r="EK73" i="2" s="1"/>
  <c r="EK68" i="2" a="1"/>
  <c r="EK68" i="2" s="1"/>
  <c r="EK71" i="2" a="1"/>
  <c r="EK71" i="2" s="1"/>
  <c r="EK70" i="2" a="1"/>
  <c r="EK70" i="2" s="1"/>
  <c r="EK69" i="2" a="1"/>
  <c r="EK69" i="2" s="1"/>
  <c r="EK65" i="2" a="1"/>
  <c r="EK65" i="2" s="1"/>
  <c r="EK67" i="2" a="1"/>
  <c r="EK67" i="2" s="1"/>
  <c r="EK66" i="2" a="1"/>
  <c r="EK66" i="2" s="1"/>
  <c r="EK64" i="2" a="1"/>
  <c r="EK64" i="2" s="1"/>
  <c r="EK63" i="2" a="1"/>
  <c r="EK63" i="2" s="1"/>
  <c r="EK62" i="2" a="1"/>
  <c r="EK62" i="2" s="1"/>
  <c r="EK61" i="2" a="1"/>
  <c r="EK61" i="2" s="1"/>
  <c r="EK60" i="2" a="1"/>
  <c r="EK60" i="2" s="1"/>
  <c r="EK59" i="2" a="1"/>
  <c r="EK59" i="2" s="1"/>
  <c r="EK56" i="2" a="1"/>
  <c r="EK56" i="2" s="1"/>
  <c r="EK58" i="2" a="1"/>
  <c r="EK58" i="2" s="1"/>
  <c r="EK57" i="2" a="1"/>
  <c r="EK57" i="2" s="1"/>
  <c r="EK48" i="2" a="1"/>
  <c r="EK48" i="2" s="1"/>
  <c r="EK54" i="2" a="1"/>
  <c r="EK54" i="2" s="1"/>
  <c r="EK55" i="2" a="1"/>
  <c r="EK55" i="2" s="1"/>
  <c r="EK52" i="2" a="1"/>
  <c r="EK52" i="2" s="1"/>
  <c r="EK51" i="2" a="1"/>
  <c r="EK51" i="2" s="1"/>
  <c r="EK50" i="2" a="1"/>
  <c r="EK50" i="2" s="1"/>
  <c r="EK53" i="2" a="1"/>
  <c r="EK53" i="2" s="1"/>
  <c r="EK49" i="2" a="1"/>
  <c r="EK49" i="2" s="1"/>
  <c r="EK47" i="2" a="1"/>
  <c r="EK47" i="2" s="1"/>
  <c r="EK41" i="2" a="1"/>
  <c r="EK41" i="2" s="1"/>
  <c r="EK44" i="2" a="1"/>
  <c r="EK44" i="2" s="1"/>
  <c r="EK43" i="2" a="1"/>
  <c r="EK43" i="2" s="1"/>
  <c r="EK46" i="2" a="1"/>
  <c r="EK46" i="2" s="1"/>
  <c r="EK45" i="2" a="1"/>
  <c r="EK45" i="2" s="1"/>
  <c r="EK42" i="2" a="1"/>
  <c r="EK42" i="2" s="1"/>
  <c r="EK38" i="2" a="1"/>
  <c r="EK38" i="2" s="1"/>
  <c r="EK37" i="2" a="1"/>
  <c r="EK37" i="2" s="1"/>
  <c r="EK36" i="2" a="1"/>
  <c r="EK36" i="2" s="1"/>
  <c r="EK39" i="2" a="1"/>
  <c r="EK39" i="2" s="1"/>
  <c r="EK40" i="2" a="1"/>
  <c r="EK40" i="2" s="1"/>
  <c r="EK35" i="2" a="1"/>
  <c r="EK35" i="2" s="1"/>
  <c r="EK34" i="2" a="1"/>
  <c r="EK34" i="2" s="1"/>
  <c r="EK33" i="2" a="1"/>
  <c r="EK33" i="2" s="1"/>
  <c r="EK32" i="2" a="1"/>
  <c r="EK32" i="2" s="1"/>
  <c r="EK26" i="2" a="1"/>
  <c r="EK26" i="2" s="1"/>
  <c r="EK30" i="2" a="1"/>
  <c r="EK30" i="2" s="1"/>
  <c r="EK31" i="2" a="1"/>
  <c r="EK31" i="2" s="1"/>
  <c r="EK29" i="2" a="1"/>
  <c r="EK29" i="2" s="1"/>
  <c r="EK25" i="2" a="1"/>
  <c r="EK25" i="2" s="1"/>
  <c r="EK28" i="2" a="1"/>
  <c r="EK28" i="2" s="1"/>
  <c r="EK27" i="2" a="1"/>
  <c r="EK27" i="2" s="1"/>
  <c r="EK17" i="2" a="1"/>
  <c r="EK17" i="2" s="1"/>
  <c r="EK16" i="2" a="1"/>
  <c r="EK16" i="2" s="1"/>
  <c r="EK24" i="2" a="1"/>
  <c r="EK24" i="2" s="1"/>
  <c r="EK23" i="2" a="1"/>
  <c r="EK23" i="2" s="1"/>
  <c r="EK22" i="2" a="1"/>
  <c r="EK22" i="2" s="1"/>
  <c r="EK21" i="2" a="1"/>
  <c r="EK21" i="2" s="1"/>
  <c r="EK20" i="2" a="1"/>
  <c r="EK20" i="2" s="1"/>
  <c r="EK19" i="2" a="1"/>
  <c r="EK19" i="2" s="1"/>
  <c r="EK18" i="2" a="1"/>
  <c r="EK18" i="2" s="1"/>
  <c r="EK15" i="2" a="1"/>
  <c r="EK15" i="2" s="1"/>
  <c r="EK12" i="2" a="1"/>
  <c r="EK12" i="2" s="1"/>
  <c r="EK11" i="2" a="1"/>
  <c r="EK11" i="2" s="1"/>
  <c r="EK14" i="2" a="1"/>
  <c r="EK14" i="2" s="1"/>
  <c r="EK10" i="2" a="1"/>
  <c r="EK10" i="2" s="1"/>
  <c r="EK13" i="2" a="1"/>
  <c r="EK13" i="2" s="1"/>
  <c r="EK9" i="2" a="1"/>
  <c r="EK9" i="2" s="1"/>
  <c r="EK8" i="2" a="1"/>
  <c r="EK8" i="2" s="1"/>
  <c r="EK6" i="2" a="1"/>
  <c r="EK6" i="2" s="1"/>
  <c r="EK5" i="2" a="1"/>
  <c r="EK5" i="2" s="1"/>
  <c r="EK4" i="2" a="1"/>
  <c r="EK4" i="2" s="1"/>
  <c r="EK7" i="2" a="1"/>
  <c r="EK7" i="2" s="1"/>
  <c r="EW1" i="2"/>
  <c r="DW104" i="2"/>
  <c r="DY104" i="2"/>
  <c r="EB120" i="2"/>
  <c r="GN14" i="2" s="1"/>
  <c r="EC116" i="2"/>
  <c r="EF103" i="2" a="1"/>
  <c r="EF103" i="2" s="1"/>
  <c r="EF102" i="2" a="1"/>
  <c r="EF102" i="2" s="1"/>
  <c r="EF101" i="2" a="1"/>
  <c r="EF101" i="2" s="1"/>
  <c r="EF100" i="2" a="1"/>
  <c r="EF100" i="2" s="1"/>
  <c r="EF99" i="2" a="1"/>
  <c r="EF99" i="2" s="1"/>
  <c r="EF98" i="2" a="1"/>
  <c r="EF98" i="2" s="1"/>
  <c r="EF96" i="2" a="1"/>
  <c r="EF96" i="2" s="1"/>
  <c r="EF97" i="2" a="1"/>
  <c r="EF97" i="2" s="1"/>
  <c r="EF95" i="2" a="1"/>
  <c r="EF95" i="2" s="1"/>
  <c r="EF94" i="2" a="1"/>
  <c r="EF94" i="2" s="1"/>
  <c r="EF93" i="2" a="1"/>
  <c r="EF93" i="2" s="1"/>
  <c r="EF92" i="2" a="1"/>
  <c r="EF92" i="2" s="1"/>
  <c r="EF90" i="2" a="1"/>
  <c r="EF90" i="2" s="1"/>
  <c r="EF89" i="2" a="1"/>
  <c r="EF89" i="2" s="1"/>
  <c r="EF88" i="2" a="1"/>
  <c r="EF88" i="2" s="1"/>
  <c r="EF91" i="2" a="1"/>
  <c r="EF91" i="2" s="1"/>
  <c r="EF86" i="2" a="1"/>
  <c r="EF86" i="2" s="1"/>
  <c r="EF84" i="2" a="1"/>
  <c r="EF84" i="2" s="1"/>
  <c r="EF87" i="2" a="1"/>
  <c r="EF87" i="2" s="1"/>
  <c r="EF85" i="2" a="1"/>
  <c r="EF85" i="2" s="1"/>
  <c r="EF83" i="2" a="1"/>
  <c r="EF83" i="2" s="1"/>
  <c r="EF80" i="2" a="1"/>
  <c r="EF80" i="2" s="1"/>
  <c r="EF82" i="2" a="1"/>
  <c r="EF82" i="2" s="1"/>
  <c r="EF81" i="2" a="1"/>
  <c r="EF81" i="2" s="1"/>
  <c r="EF79" i="2" a="1"/>
  <c r="EF79" i="2" s="1"/>
  <c r="EF78" i="2" a="1"/>
  <c r="EF78" i="2" s="1"/>
  <c r="EF76" i="2" a="1"/>
  <c r="EF76" i="2" s="1"/>
  <c r="EF77" i="2" a="1"/>
  <c r="EF77" i="2" s="1"/>
  <c r="EF75" i="2" a="1"/>
  <c r="EF75" i="2" s="1"/>
  <c r="EF72" i="2" a="1"/>
  <c r="EF72" i="2" s="1"/>
  <c r="EF73" i="2" a="1"/>
  <c r="EF73" i="2" s="1"/>
  <c r="EF74" i="2" a="1"/>
  <c r="EF74" i="2" s="1"/>
  <c r="EF70" i="2" a="1"/>
  <c r="EF70" i="2" s="1"/>
  <c r="EF69" i="2" a="1"/>
  <c r="EF69" i="2" s="1"/>
  <c r="EF68" i="2" a="1"/>
  <c r="EF68" i="2" s="1"/>
  <c r="EF71" i="2" a="1"/>
  <c r="EF71" i="2" s="1"/>
  <c r="EF67" i="2" a="1"/>
  <c r="EF67" i="2" s="1"/>
  <c r="EF64" i="2" a="1"/>
  <c r="EF64" i="2" s="1"/>
  <c r="EF65" i="2" a="1"/>
  <c r="EF65" i="2" s="1"/>
  <c r="EF66" i="2" a="1"/>
  <c r="EF66" i="2" s="1"/>
  <c r="EF62" i="2" a="1"/>
  <c r="EF62" i="2" s="1"/>
  <c r="EF61" i="2" a="1"/>
  <c r="EF61" i="2" s="1"/>
  <c r="EF63" i="2" a="1"/>
  <c r="EF63" i="2" s="1"/>
  <c r="EF60" i="2" a="1"/>
  <c r="EF60" i="2" s="1"/>
  <c r="EF59" i="2" a="1"/>
  <c r="EF59" i="2" s="1"/>
  <c r="EF57" i="2" a="1"/>
  <c r="EF57" i="2" s="1"/>
  <c r="EF56" i="2" a="1"/>
  <c r="EF56" i="2" s="1"/>
  <c r="EF58" i="2" a="1"/>
  <c r="EF58" i="2" s="1"/>
  <c r="EF52" i="2" a="1"/>
  <c r="EF52" i="2" s="1"/>
  <c r="EF51" i="2" a="1"/>
  <c r="EF51" i="2" s="1"/>
  <c r="EF53" i="2" a="1"/>
  <c r="EF53" i="2" s="1"/>
  <c r="EF50" i="2" a="1"/>
  <c r="EF50" i="2" s="1"/>
  <c r="EF49" i="2" a="1"/>
  <c r="EF49" i="2" s="1"/>
  <c r="EF54" i="2" a="1"/>
  <c r="EF54" i="2" s="1"/>
  <c r="EF55" i="2" a="1"/>
  <c r="EF55" i="2" s="1"/>
  <c r="EF44" i="2" a="1"/>
  <c r="EF44" i="2" s="1"/>
  <c r="EF43" i="2" a="1"/>
  <c r="EF43" i="2" s="1"/>
  <c r="EF46" i="2" a="1"/>
  <c r="EF46" i="2" s="1"/>
  <c r="EF45" i="2" a="1"/>
  <c r="EF45" i="2" s="1"/>
  <c r="EF42" i="2" a="1"/>
  <c r="EF42" i="2" s="1"/>
  <c r="EF48" i="2" a="1"/>
  <c r="EF48" i="2" s="1"/>
  <c r="EF47" i="2" a="1"/>
  <c r="EF47" i="2" s="1"/>
  <c r="EF41" i="2" a="1"/>
  <c r="EF41" i="2" s="1"/>
  <c r="EF40" i="2" a="1"/>
  <c r="EF40" i="2" s="1"/>
  <c r="EF36" i="2" a="1"/>
  <c r="EF36" i="2" s="1"/>
  <c r="EF39" i="2" a="1"/>
  <c r="EF39" i="2" s="1"/>
  <c r="EF34" i="2" a="1"/>
  <c r="EF34" i="2" s="1"/>
  <c r="EF35" i="2" a="1"/>
  <c r="EF35" i="2" s="1"/>
  <c r="EF38" i="2" a="1"/>
  <c r="EF38" i="2" s="1"/>
  <c r="EF37" i="2" a="1"/>
  <c r="EF37" i="2" s="1"/>
  <c r="EF28" i="2" a="1"/>
  <c r="EF28" i="2" s="1"/>
  <c r="EF27" i="2" a="1"/>
  <c r="EF27" i="2" s="1"/>
  <c r="EF32" i="2" a="1"/>
  <c r="EF32" i="2" s="1"/>
  <c r="EF26" i="2" a="1"/>
  <c r="EF26" i="2" s="1"/>
  <c r="EF33" i="2" a="1"/>
  <c r="EF33" i="2" s="1"/>
  <c r="EF30" i="2" a="1"/>
  <c r="EF30" i="2" s="1"/>
  <c r="EF31" i="2" a="1"/>
  <c r="EF31" i="2" s="1"/>
  <c r="EF29" i="2" a="1"/>
  <c r="EF29" i="2" s="1"/>
  <c r="EF16" i="2" a="1"/>
  <c r="EF16" i="2" s="1"/>
  <c r="EF25" i="2" a="1"/>
  <c r="EF25" i="2" s="1"/>
  <c r="EF15" i="2" a="1"/>
  <c r="EF15" i="2" s="1"/>
  <c r="EF17" i="2" a="1"/>
  <c r="EF17" i="2" s="1"/>
  <c r="EF24" i="2" a="1"/>
  <c r="EF24" i="2" s="1"/>
  <c r="EF23" i="2" a="1"/>
  <c r="EF23" i="2" s="1"/>
  <c r="EF22" i="2" a="1"/>
  <c r="EF22" i="2" s="1"/>
  <c r="EF21" i="2" a="1"/>
  <c r="EF21" i="2" s="1"/>
  <c r="EF20" i="2" a="1"/>
  <c r="EF20" i="2" s="1"/>
  <c r="EF19" i="2" a="1"/>
  <c r="EF19" i="2" s="1"/>
  <c r="EF18" i="2" a="1"/>
  <c r="EF18" i="2" s="1"/>
  <c r="EF11" i="2" a="1"/>
  <c r="EF11" i="2" s="1"/>
  <c r="EF10" i="2" a="1"/>
  <c r="EF10" i="2" s="1"/>
  <c r="EF14" i="2" a="1"/>
  <c r="EF14" i="2" s="1"/>
  <c r="EF7" i="2" a="1"/>
  <c r="EF7" i="2" s="1"/>
  <c r="EF9" i="2" a="1"/>
  <c r="EF9" i="2" s="1"/>
  <c r="EF13" i="2" a="1"/>
  <c r="EF13" i="2" s="1"/>
  <c r="EF8" i="2" a="1"/>
  <c r="EF8" i="2" s="1"/>
  <c r="EF12" i="2" a="1"/>
  <c r="EF12" i="2" s="1"/>
  <c r="EF4" i="2" a="1"/>
  <c r="EF4" i="2" s="1"/>
  <c r="EF5" i="2" a="1"/>
  <c r="EF5" i="2" s="1"/>
  <c r="EF6" i="2" a="1"/>
  <c r="EF6" i="2" s="1"/>
  <c r="ER1" i="2"/>
  <c r="EE103" i="2" a="1"/>
  <c r="EE103" i="2" s="1"/>
  <c r="EE102" i="2" a="1"/>
  <c r="EE102" i="2" s="1"/>
  <c r="EE101" i="2" a="1"/>
  <c r="EE101" i="2" s="1"/>
  <c r="EE100" i="2" a="1"/>
  <c r="EE100" i="2" s="1"/>
  <c r="EE99" i="2" a="1"/>
  <c r="EE99" i="2" s="1"/>
  <c r="EE97" i="2" a="1"/>
  <c r="EE97" i="2" s="1"/>
  <c r="EE98" i="2" a="1"/>
  <c r="EE98" i="2" s="1"/>
  <c r="EE96" i="2" a="1"/>
  <c r="EE96" i="2" s="1"/>
  <c r="EE95" i="2" a="1"/>
  <c r="EE95" i="2" s="1"/>
  <c r="EE94" i="2" a="1"/>
  <c r="EE94" i="2" s="1"/>
  <c r="EE93" i="2" a="1"/>
  <c r="EE93" i="2" s="1"/>
  <c r="EE92" i="2" a="1"/>
  <c r="EE92" i="2" s="1"/>
  <c r="EE91" i="2" a="1"/>
  <c r="EE91" i="2" s="1"/>
  <c r="EE90" i="2" a="1"/>
  <c r="EE90" i="2" s="1"/>
  <c r="EE89" i="2" a="1"/>
  <c r="EE89" i="2" s="1"/>
  <c r="EE88" i="2" a="1"/>
  <c r="EE88" i="2" s="1"/>
  <c r="EE86" i="2" a="1"/>
  <c r="EE86" i="2" s="1"/>
  <c r="EE87" i="2" a="1"/>
  <c r="EE87" i="2" s="1"/>
  <c r="EE85" i="2" a="1"/>
  <c r="EE85" i="2" s="1"/>
  <c r="EE84" i="2" a="1"/>
  <c r="EE84" i="2" s="1"/>
  <c r="EE83" i="2" a="1"/>
  <c r="EE83" i="2" s="1"/>
  <c r="EE80" i="2" a="1"/>
  <c r="EE80" i="2" s="1"/>
  <c r="EE82" i="2" a="1"/>
  <c r="EE82" i="2" s="1"/>
  <c r="EE81" i="2" a="1"/>
  <c r="EE81" i="2" s="1"/>
  <c r="EE79" i="2" a="1"/>
  <c r="EE79" i="2" s="1"/>
  <c r="EE78" i="2" a="1"/>
  <c r="EE78" i="2" s="1"/>
  <c r="EE76" i="2" a="1"/>
  <c r="EE76" i="2" s="1"/>
  <c r="EE77" i="2" a="1"/>
  <c r="EE77" i="2" s="1"/>
  <c r="EE75" i="2" a="1"/>
  <c r="EE75" i="2" s="1"/>
  <c r="EE72" i="2" a="1"/>
  <c r="EE72" i="2" s="1"/>
  <c r="EE73" i="2" a="1"/>
  <c r="EE73" i="2" s="1"/>
  <c r="EE74" i="2" a="1"/>
  <c r="EE74" i="2" s="1"/>
  <c r="EE70" i="2" a="1"/>
  <c r="EE70" i="2" s="1"/>
  <c r="EE69" i="2" a="1"/>
  <c r="EE69" i="2" s="1"/>
  <c r="EE71" i="2" a="1"/>
  <c r="EE71" i="2" s="1"/>
  <c r="EE68" i="2" a="1"/>
  <c r="EE68" i="2" s="1"/>
  <c r="EE66" i="2" a="1"/>
  <c r="EE66" i="2" s="1"/>
  <c r="EE64" i="2" a="1"/>
  <c r="EE64" i="2" s="1"/>
  <c r="EE67" i="2" a="1"/>
  <c r="EE67" i="2" s="1"/>
  <c r="EE65" i="2" a="1"/>
  <c r="EE65" i="2" s="1"/>
  <c r="EE62" i="2" a="1"/>
  <c r="EE62" i="2" s="1"/>
  <c r="EE61" i="2" a="1"/>
  <c r="EE61" i="2" s="1"/>
  <c r="EE63" i="2" a="1"/>
  <c r="EE63" i="2" s="1"/>
  <c r="EE60" i="2" a="1"/>
  <c r="EE60" i="2" s="1"/>
  <c r="EE59" i="2" a="1"/>
  <c r="EE59" i="2" s="1"/>
  <c r="EE57" i="2" a="1"/>
  <c r="EE57" i="2" s="1"/>
  <c r="EE56" i="2" a="1"/>
  <c r="EE56" i="2" s="1"/>
  <c r="EE58" i="2" a="1"/>
  <c r="EE58" i="2" s="1"/>
  <c r="EE51" i="2" a="1"/>
  <c r="EE51" i="2" s="1"/>
  <c r="EE52" i="2" a="1"/>
  <c r="EE52" i="2" s="1"/>
  <c r="EE53" i="2" a="1"/>
  <c r="EE53" i="2" s="1"/>
  <c r="EE50" i="2" a="1"/>
  <c r="EE50" i="2" s="1"/>
  <c r="EE49" i="2" a="1"/>
  <c r="EE49" i="2" s="1"/>
  <c r="EE54" i="2" a="1"/>
  <c r="EE54" i="2" s="1"/>
  <c r="EE48" i="2" a="1"/>
  <c r="EE48" i="2" s="1"/>
  <c r="EE55" i="2" a="1"/>
  <c r="EE55" i="2" s="1"/>
  <c r="EE41" i="2" a="1"/>
  <c r="EE41" i="2" s="1"/>
  <c r="EE44" i="2" a="1"/>
  <c r="EE44" i="2" s="1"/>
  <c r="EE43" i="2" a="1"/>
  <c r="EE43" i="2" s="1"/>
  <c r="EE46" i="2" a="1"/>
  <c r="EE46" i="2" s="1"/>
  <c r="EE45" i="2" a="1"/>
  <c r="EE45" i="2" s="1"/>
  <c r="EE42" i="2" a="1"/>
  <c r="EE42" i="2" s="1"/>
  <c r="EE40" i="2" a="1"/>
  <c r="EE40" i="2" s="1"/>
  <c r="EE47" i="2" a="1"/>
  <c r="EE47" i="2" s="1"/>
  <c r="EE37" i="2" a="1"/>
  <c r="EE37" i="2" s="1"/>
  <c r="EE36" i="2" a="1"/>
  <c r="EE36" i="2" s="1"/>
  <c r="EE39" i="2" a="1"/>
  <c r="EE39" i="2" s="1"/>
  <c r="EE34" i="2" a="1"/>
  <c r="EE34" i="2" s="1"/>
  <c r="EE33" i="2" a="1"/>
  <c r="EE33" i="2" s="1"/>
  <c r="EE38" i="2" a="1"/>
  <c r="EE38" i="2" s="1"/>
  <c r="EE35" i="2" a="1"/>
  <c r="EE35" i="2" s="1"/>
  <c r="EE25" i="2" a="1"/>
  <c r="EE25" i="2" s="1"/>
  <c r="EE28" i="2" a="1"/>
  <c r="EE28" i="2" s="1"/>
  <c r="EE27" i="2" a="1"/>
  <c r="EE27" i="2" s="1"/>
  <c r="EE32" i="2" a="1"/>
  <c r="EE32" i="2" s="1"/>
  <c r="EE26" i="2" a="1"/>
  <c r="EE26" i="2" s="1"/>
  <c r="EE30" i="2" a="1"/>
  <c r="EE30" i="2" s="1"/>
  <c r="EE31" i="2" a="1"/>
  <c r="EE31" i="2" s="1"/>
  <c r="EE29" i="2" a="1"/>
  <c r="EE29" i="2" s="1"/>
  <c r="EE24" i="2" a="1"/>
  <c r="EE24" i="2" s="1"/>
  <c r="EE23" i="2" a="1"/>
  <c r="EE23" i="2" s="1"/>
  <c r="EE22" i="2" a="1"/>
  <c r="EE22" i="2" s="1"/>
  <c r="EE21" i="2" a="1"/>
  <c r="EE21" i="2" s="1"/>
  <c r="EE20" i="2" a="1"/>
  <c r="EE20" i="2" s="1"/>
  <c r="EE19" i="2" a="1"/>
  <c r="EE19" i="2" s="1"/>
  <c r="EE18" i="2" a="1"/>
  <c r="EE18" i="2" s="1"/>
  <c r="EE16" i="2" a="1"/>
  <c r="EE16" i="2" s="1"/>
  <c r="EE15" i="2" a="1"/>
  <c r="EE15" i="2" s="1"/>
  <c r="EE17" i="2" a="1"/>
  <c r="EE17" i="2" s="1"/>
  <c r="EE12" i="2" a="1"/>
  <c r="EE12" i="2" s="1"/>
  <c r="EE11" i="2" a="1"/>
  <c r="EE11" i="2" s="1"/>
  <c r="EE10" i="2" a="1"/>
  <c r="EE10" i="2" s="1"/>
  <c r="EE14" i="2" a="1"/>
  <c r="EE14" i="2" s="1"/>
  <c r="EE9" i="2" a="1"/>
  <c r="EE9" i="2" s="1"/>
  <c r="EE13" i="2" a="1"/>
  <c r="EE13" i="2" s="1"/>
  <c r="EE8" i="2" a="1"/>
  <c r="EE8" i="2" s="1"/>
  <c r="EE6" i="2" a="1"/>
  <c r="EE6" i="2" s="1"/>
  <c r="EE4" i="2" a="1"/>
  <c r="EE4" i="2" s="1"/>
  <c r="EE5" i="2" a="1"/>
  <c r="EE5" i="2" s="1"/>
  <c r="EE7" i="2" a="1"/>
  <c r="EE7" i="2" s="1"/>
  <c r="EQ1" i="2"/>
  <c r="EM99" i="2" a="1"/>
  <c r="EM99" i="2" s="1"/>
  <c r="EM103" i="2" a="1"/>
  <c r="EM103" i="2" s="1"/>
  <c r="EM102" i="2" a="1"/>
  <c r="EM102" i="2" s="1"/>
  <c r="EM101" i="2" a="1"/>
  <c r="EM101" i="2" s="1"/>
  <c r="EM100" i="2" a="1"/>
  <c r="EM100" i="2" s="1"/>
  <c r="EM96" i="2" a="1"/>
  <c r="EM96" i="2" s="1"/>
  <c r="EM97" i="2" a="1"/>
  <c r="EM97" i="2" s="1"/>
  <c r="EM98" i="2" a="1"/>
  <c r="EM98" i="2" s="1"/>
  <c r="EM94" i="2" a="1"/>
  <c r="EM94" i="2" s="1"/>
  <c r="EM95" i="2" a="1"/>
  <c r="EM95" i="2" s="1"/>
  <c r="EM93" i="2" a="1"/>
  <c r="EM93" i="2" s="1"/>
  <c r="EM92" i="2" a="1"/>
  <c r="EM92" i="2" s="1"/>
  <c r="EM91" i="2" a="1"/>
  <c r="EM91" i="2" s="1"/>
  <c r="EM90" i="2" a="1"/>
  <c r="EM90" i="2" s="1"/>
  <c r="EM89" i="2" a="1"/>
  <c r="EM89" i="2" s="1"/>
  <c r="EM88" i="2" a="1"/>
  <c r="EM88" i="2" s="1"/>
  <c r="EM84" i="2" a="1"/>
  <c r="EM84" i="2" s="1"/>
  <c r="EM87" i="2" a="1"/>
  <c r="EM87" i="2" s="1"/>
  <c r="EM85" i="2" a="1"/>
  <c r="EM85" i="2" s="1"/>
  <c r="EM83" i="2" a="1"/>
  <c r="EM83" i="2" s="1"/>
  <c r="EM86" i="2" a="1"/>
  <c r="EM86" i="2" s="1"/>
  <c r="EM80" i="2" a="1"/>
  <c r="EM80" i="2" s="1"/>
  <c r="EM82" i="2" a="1"/>
  <c r="EM82" i="2" s="1"/>
  <c r="EM81" i="2" a="1"/>
  <c r="EM81" i="2" s="1"/>
  <c r="EM79" i="2" a="1"/>
  <c r="EM79" i="2" s="1"/>
  <c r="EM77" i="2" a="1"/>
  <c r="EM77" i="2" s="1"/>
  <c r="EM78" i="2" a="1"/>
  <c r="EM78" i="2" s="1"/>
  <c r="EM76" i="2" a="1"/>
  <c r="EM76" i="2" s="1"/>
  <c r="EM74" i="2" a="1"/>
  <c r="EM74" i="2" s="1"/>
  <c r="EM72" i="2" a="1"/>
  <c r="EM72" i="2" s="1"/>
  <c r="EM73" i="2" a="1"/>
  <c r="EM73" i="2" s="1"/>
  <c r="EM75" i="2" a="1"/>
  <c r="EM75" i="2" s="1"/>
  <c r="EM71" i="2" a="1"/>
  <c r="EM71" i="2" s="1"/>
  <c r="EM70" i="2" a="1"/>
  <c r="EM70" i="2" s="1"/>
  <c r="EM69" i="2" a="1"/>
  <c r="EM69" i="2" s="1"/>
  <c r="EM68" i="2" a="1"/>
  <c r="EM68" i="2" s="1"/>
  <c r="EM66" i="2" a="1"/>
  <c r="EM66" i="2" s="1"/>
  <c r="EM64" i="2" a="1"/>
  <c r="EM64" i="2" s="1"/>
  <c r="EM63" i="2" a="1"/>
  <c r="EM63" i="2" s="1"/>
  <c r="EM67" i="2" a="1"/>
  <c r="EM67" i="2" s="1"/>
  <c r="EM65" i="2" a="1"/>
  <c r="EM65" i="2" s="1"/>
  <c r="EM62" i="2" a="1"/>
  <c r="EM62" i="2" s="1"/>
  <c r="EM61" i="2" a="1"/>
  <c r="EM61" i="2" s="1"/>
  <c r="EM59" i="2" a="1"/>
  <c r="EM59" i="2" s="1"/>
  <c r="EM60" i="2" a="1"/>
  <c r="EM60" i="2" s="1"/>
  <c r="EM58" i="2" a="1"/>
  <c r="EM58" i="2" s="1"/>
  <c r="EM55" i="2" a="1"/>
  <c r="EM55" i="2" s="1"/>
  <c r="EM57" i="2" a="1"/>
  <c r="EM57" i="2" s="1"/>
  <c r="EM56" i="2" a="1"/>
  <c r="EM56" i="2" s="1"/>
  <c r="EM52" i="2" a="1"/>
  <c r="EM52" i="2" s="1"/>
  <c r="EM51" i="2" a="1"/>
  <c r="EM51" i="2" s="1"/>
  <c r="EM53" i="2" a="1"/>
  <c r="EM53" i="2" s="1"/>
  <c r="EM50" i="2" a="1"/>
  <c r="EM50" i="2" s="1"/>
  <c r="EM49" i="2" a="1"/>
  <c r="EM49" i="2" s="1"/>
  <c r="EM54" i="2" a="1"/>
  <c r="EM54" i="2" s="1"/>
  <c r="EM48" i="2" a="1"/>
  <c r="EM48" i="2" s="1"/>
  <c r="EM47" i="2" a="1"/>
  <c r="EM47" i="2" s="1"/>
  <c r="EM41" i="2" a="1"/>
  <c r="EM41" i="2" s="1"/>
  <c r="EM44" i="2" a="1"/>
  <c r="EM44" i="2" s="1"/>
  <c r="EM43" i="2" a="1"/>
  <c r="EM43" i="2" s="1"/>
  <c r="EM46" i="2" a="1"/>
  <c r="EM46" i="2" s="1"/>
  <c r="EM45" i="2" a="1"/>
  <c r="EM45" i="2" s="1"/>
  <c r="EM42" i="2" a="1"/>
  <c r="EM42" i="2" s="1"/>
  <c r="EM40" i="2" a="1"/>
  <c r="EM40" i="2" s="1"/>
  <c r="EM37" i="2" a="1"/>
  <c r="EM37" i="2" s="1"/>
  <c r="EM32" i="2" a="1"/>
  <c r="EM32" i="2" s="1"/>
  <c r="EM36" i="2" a="1"/>
  <c r="EM36" i="2" s="1"/>
  <c r="EM39" i="2" a="1"/>
  <c r="EM39" i="2" s="1"/>
  <c r="EM35" i="2" a="1"/>
  <c r="EM35" i="2" s="1"/>
  <c r="EM34" i="2" a="1"/>
  <c r="EM34" i="2" s="1"/>
  <c r="EM38" i="2" a="1"/>
  <c r="EM38" i="2" s="1"/>
  <c r="EM31" i="2" a="1"/>
  <c r="EM31" i="2" s="1"/>
  <c r="EM30" i="2" a="1"/>
  <c r="EM30" i="2" s="1"/>
  <c r="EM29" i="2" a="1"/>
  <c r="EM29" i="2" s="1"/>
  <c r="EM33" i="2" a="1"/>
  <c r="EM33" i="2" s="1"/>
  <c r="EM25" i="2" a="1"/>
  <c r="EM25" i="2" s="1"/>
  <c r="EM28" i="2" a="1"/>
  <c r="EM28" i="2" s="1"/>
  <c r="EM27" i="2" a="1"/>
  <c r="EM27" i="2" s="1"/>
  <c r="EM26" i="2" a="1"/>
  <c r="EM26" i="2" s="1"/>
  <c r="EM17" i="2" a="1"/>
  <c r="EM17" i="2" s="1"/>
  <c r="EM16" i="2" a="1"/>
  <c r="EM16" i="2" s="1"/>
  <c r="EM24" i="2" a="1"/>
  <c r="EM24" i="2" s="1"/>
  <c r="EM23" i="2" a="1"/>
  <c r="EM23" i="2" s="1"/>
  <c r="EM22" i="2" a="1"/>
  <c r="EM22" i="2" s="1"/>
  <c r="EM21" i="2" a="1"/>
  <c r="EM21" i="2" s="1"/>
  <c r="EM20" i="2" a="1"/>
  <c r="EM20" i="2" s="1"/>
  <c r="EM19" i="2" a="1"/>
  <c r="EM19" i="2" s="1"/>
  <c r="EM18" i="2" a="1"/>
  <c r="EM18" i="2" s="1"/>
  <c r="EM15" i="2" a="1"/>
  <c r="EM15" i="2" s="1"/>
  <c r="EM11" i="2" a="1"/>
  <c r="EM11" i="2" s="1"/>
  <c r="EM14" i="2" a="1"/>
  <c r="EM14" i="2" s="1"/>
  <c r="EM9" i="2" a="1"/>
  <c r="EM9" i="2" s="1"/>
  <c r="EM10" i="2" a="1"/>
  <c r="EM10" i="2" s="1"/>
  <c r="EM13" i="2" a="1"/>
  <c r="EM13" i="2" s="1"/>
  <c r="EM8" i="2" a="1"/>
  <c r="EM8" i="2" s="1"/>
  <c r="EM12" i="2" a="1"/>
  <c r="EM12" i="2" s="1"/>
  <c r="EM4" i="2" a="1"/>
  <c r="EM4" i="2" s="1"/>
  <c r="EM7" i="2" a="1"/>
  <c r="EM7" i="2" s="1"/>
  <c r="EM5" i="2" a="1"/>
  <c r="EM5" i="2" s="1"/>
  <c r="EM6" i="2" a="1"/>
  <c r="EM6" i="2" s="1"/>
  <c r="EY1" i="2"/>
  <c r="EL120" i="2"/>
  <c r="GL15" i="2" s="1"/>
  <c r="EO103" i="2" a="1"/>
  <c r="EO103" i="2" s="1"/>
  <c r="EO102" i="2" a="1"/>
  <c r="EO102" i="2" s="1"/>
  <c r="EO101" i="2" a="1"/>
  <c r="EO101" i="2" s="1"/>
  <c r="EO100" i="2" a="1"/>
  <c r="EO100" i="2" s="1"/>
  <c r="EO99" i="2" a="1"/>
  <c r="EO99" i="2" s="1"/>
  <c r="EO98" i="2" a="1"/>
  <c r="EO98" i="2" s="1"/>
  <c r="EO96" i="2" a="1"/>
  <c r="EO96" i="2" s="1"/>
  <c r="EO95" i="2" a="1"/>
  <c r="EO95" i="2" s="1"/>
  <c r="EO97" i="2" a="1"/>
  <c r="EO97" i="2" s="1"/>
  <c r="EO94" i="2" a="1"/>
  <c r="EO94" i="2" s="1"/>
  <c r="EO93" i="2" a="1"/>
  <c r="EO93" i="2" s="1"/>
  <c r="EO92" i="2" a="1"/>
  <c r="EO92" i="2" s="1"/>
  <c r="EO91" i="2" a="1"/>
  <c r="EO91" i="2" s="1"/>
  <c r="EO89" i="2" a="1"/>
  <c r="EO89" i="2" s="1"/>
  <c r="EO88" i="2" a="1"/>
  <c r="EO88" i="2" s="1"/>
  <c r="EO90" i="2" a="1"/>
  <c r="EO90" i="2" s="1"/>
  <c r="EO85" i="2" a="1"/>
  <c r="EO85" i="2" s="1"/>
  <c r="EO86" i="2" a="1"/>
  <c r="EO86" i="2" s="1"/>
  <c r="EO87" i="2" a="1"/>
  <c r="EO87" i="2" s="1"/>
  <c r="EO84" i="2" a="1"/>
  <c r="EO84" i="2" s="1"/>
  <c r="EO80" i="2" a="1"/>
  <c r="EO80" i="2" s="1"/>
  <c r="EO82" i="2" a="1"/>
  <c r="EO82" i="2" s="1"/>
  <c r="EO83" i="2" a="1"/>
  <c r="EO83" i="2" s="1"/>
  <c r="EO81" i="2" a="1"/>
  <c r="EO81" i="2" s="1"/>
  <c r="EO78" i="2" a="1"/>
  <c r="EO78" i="2" s="1"/>
  <c r="EO76" i="2" a="1"/>
  <c r="EO76" i="2" s="1"/>
  <c r="EO77" i="2" a="1"/>
  <c r="EO77" i="2" s="1"/>
  <c r="EO79" i="2" a="1"/>
  <c r="EO79" i="2" s="1"/>
  <c r="EO72" i="2" a="1"/>
  <c r="EO72" i="2" s="1"/>
  <c r="EO75" i="2" a="1"/>
  <c r="EO75" i="2" s="1"/>
  <c r="EO73" i="2" a="1"/>
  <c r="EO73" i="2" s="1"/>
  <c r="EO74" i="2" a="1"/>
  <c r="EO74" i="2" s="1"/>
  <c r="EO70" i="2" a="1"/>
  <c r="EO70" i="2" s="1"/>
  <c r="EO69" i="2" a="1"/>
  <c r="EO69" i="2" s="1"/>
  <c r="EO68" i="2" a="1"/>
  <c r="EO68" i="2" s="1"/>
  <c r="EO67" i="2" a="1"/>
  <c r="EO67" i="2" s="1"/>
  <c r="EO71" i="2" a="1"/>
  <c r="EO71" i="2" s="1"/>
  <c r="EO64" i="2" a="1"/>
  <c r="EO64" i="2" s="1"/>
  <c r="EO65" i="2" a="1"/>
  <c r="EO65" i="2" s="1"/>
  <c r="EO66" i="2" a="1"/>
  <c r="EO66" i="2" s="1"/>
  <c r="EO62" i="2" a="1"/>
  <c r="EO62" i="2" s="1"/>
  <c r="EO61" i="2" a="1"/>
  <c r="EO61" i="2" s="1"/>
  <c r="EO60" i="2" a="1"/>
  <c r="EO60" i="2" s="1"/>
  <c r="EO63" i="2" a="1"/>
  <c r="EO63" i="2" s="1"/>
  <c r="EO57" i="2" a="1"/>
  <c r="EO57" i="2" s="1"/>
  <c r="EO56" i="2" a="1"/>
  <c r="EO56" i="2" s="1"/>
  <c r="EO58" i="2" a="1"/>
  <c r="EO58" i="2" s="1"/>
  <c r="EO59" i="2" a="1"/>
  <c r="EO59" i="2" s="1"/>
  <c r="EO52" i="2" a="1"/>
  <c r="EO52" i="2" s="1"/>
  <c r="EO51" i="2" a="1"/>
  <c r="EO51" i="2" s="1"/>
  <c r="EO50" i="2" a="1"/>
  <c r="EO50" i="2" s="1"/>
  <c r="EO53" i="2" a="1"/>
  <c r="EO53" i="2" s="1"/>
  <c r="EO49" i="2" a="1"/>
  <c r="EO49" i="2" s="1"/>
  <c r="EO54" i="2" a="1"/>
  <c r="EO54" i="2" s="1"/>
  <c r="EO48" i="2" a="1"/>
  <c r="EO48" i="2" s="1"/>
  <c r="EO55" i="2" a="1"/>
  <c r="EO55" i="2" s="1"/>
  <c r="EO44" i="2" a="1"/>
  <c r="EO44" i="2" s="1"/>
  <c r="EO43" i="2" a="1"/>
  <c r="EO43" i="2" s="1"/>
  <c r="EO46" i="2" a="1"/>
  <c r="EO46" i="2" s="1"/>
  <c r="EO45" i="2" a="1"/>
  <c r="EO45" i="2" s="1"/>
  <c r="EO42" i="2" a="1"/>
  <c r="EO42" i="2" s="1"/>
  <c r="EO40" i="2" a="1"/>
  <c r="EO40" i="2" s="1"/>
  <c r="EO47" i="2" a="1"/>
  <c r="EO47" i="2" s="1"/>
  <c r="EO41" i="2" a="1"/>
  <c r="EO41" i="2" s="1"/>
  <c r="EO39" i="2" a="1"/>
  <c r="EO39" i="2" s="1"/>
  <c r="EO36" i="2" a="1"/>
  <c r="EO36" i="2" s="1"/>
  <c r="EO35" i="2" a="1"/>
  <c r="EO35" i="2" s="1"/>
  <c r="EO34" i="2" a="1"/>
  <c r="EO34" i="2" s="1"/>
  <c r="EO33" i="2" a="1"/>
  <c r="EO33" i="2" s="1"/>
  <c r="EO38" i="2" a="1"/>
  <c r="EO38" i="2" s="1"/>
  <c r="EO37" i="2" a="1"/>
  <c r="EO37" i="2" s="1"/>
  <c r="EO28" i="2" a="1"/>
  <c r="EO28" i="2" s="1"/>
  <c r="EO27" i="2" a="1"/>
  <c r="EO27" i="2" s="1"/>
  <c r="EO26" i="2" a="1"/>
  <c r="EO26" i="2" s="1"/>
  <c r="EO30" i="2" a="1"/>
  <c r="EO30" i="2" s="1"/>
  <c r="EO32" i="2" a="1"/>
  <c r="EO32" i="2" s="1"/>
  <c r="EO31" i="2" a="1"/>
  <c r="EO31" i="2" s="1"/>
  <c r="EO29" i="2" a="1"/>
  <c r="EO29" i="2" s="1"/>
  <c r="EO16" i="2" a="1"/>
  <c r="EO16" i="2" s="1"/>
  <c r="EO23" i="2" a="1"/>
  <c r="EO23" i="2" s="1"/>
  <c r="EO22" i="2" a="1"/>
  <c r="EO22" i="2" s="1"/>
  <c r="EO21" i="2" a="1"/>
  <c r="EO21" i="2" s="1"/>
  <c r="EO20" i="2" a="1"/>
  <c r="EO20" i="2" s="1"/>
  <c r="EO19" i="2" a="1"/>
  <c r="EO19" i="2" s="1"/>
  <c r="EO18" i="2" a="1"/>
  <c r="EO18" i="2" s="1"/>
  <c r="EO25" i="2" a="1"/>
  <c r="EO25" i="2" s="1"/>
  <c r="EO24" i="2" a="1"/>
  <c r="EO24" i="2" s="1"/>
  <c r="EO15" i="2" a="1"/>
  <c r="EO15" i="2" s="1"/>
  <c r="EO17" i="2" a="1"/>
  <c r="EO17" i="2" s="1"/>
  <c r="EO11" i="2" a="1"/>
  <c r="EO11" i="2" s="1"/>
  <c r="EO14" i="2" a="1"/>
  <c r="EO14" i="2" s="1"/>
  <c r="EO9" i="2" a="1"/>
  <c r="EO9" i="2" s="1"/>
  <c r="EO10" i="2" a="1"/>
  <c r="EO10" i="2" s="1"/>
  <c r="EO13" i="2" a="1"/>
  <c r="EO13" i="2" s="1"/>
  <c r="EO8" i="2" a="1"/>
  <c r="EO8" i="2" s="1"/>
  <c r="EO12" i="2" a="1"/>
  <c r="EO12" i="2" s="1"/>
  <c r="EO4" i="2" a="1"/>
  <c r="EO4" i="2" s="1"/>
  <c r="EO7" i="2" a="1"/>
  <c r="EO7" i="2" s="1"/>
  <c r="EO5" i="2" a="1"/>
  <c r="EO5" i="2" s="1"/>
  <c r="EO6" i="2" a="1"/>
  <c r="EO6" i="2" s="1"/>
  <c r="FA1" i="2"/>
  <c r="EG103" i="2" a="1"/>
  <c r="EG103" i="2" s="1"/>
  <c r="EG102" i="2" a="1"/>
  <c r="EG102" i="2" s="1"/>
  <c r="EG101" i="2" a="1"/>
  <c r="EG101" i="2" s="1"/>
  <c r="EG100" i="2" a="1"/>
  <c r="EG100" i="2" s="1"/>
  <c r="EG99" i="2" a="1"/>
  <c r="EG99" i="2" s="1"/>
  <c r="EG98" i="2" a="1"/>
  <c r="EG98" i="2" s="1"/>
  <c r="EG96" i="2" a="1"/>
  <c r="EG96" i="2" s="1"/>
  <c r="EG97" i="2" a="1"/>
  <c r="EG97" i="2" s="1"/>
  <c r="EG95" i="2" a="1"/>
  <c r="EG95" i="2" s="1"/>
  <c r="EG93" i="2" a="1"/>
  <c r="EG93" i="2" s="1"/>
  <c r="EG92" i="2" a="1"/>
  <c r="EG92" i="2" s="1"/>
  <c r="EG94" i="2" a="1"/>
  <c r="EG94" i="2" s="1"/>
  <c r="EG89" i="2" a="1"/>
  <c r="EG89" i="2" s="1"/>
  <c r="EG88" i="2" a="1"/>
  <c r="EG88" i="2" s="1"/>
  <c r="EG91" i="2" a="1"/>
  <c r="EG91" i="2" s="1"/>
  <c r="EG90" i="2" a="1"/>
  <c r="EG90" i="2" s="1"/>
  <c r="EG86" i="2" a="1"/>
  <c r="EG86" i="2" s="1"/>
  <c r="EG84" i="2" a="1"/>
  <c r="EG84" i="2" s="1"/>
  <c r="EG87" i="2" a="1"/>
  <c r="EG87" i="2" s="1"/>
  <c r="EG85" i="2" a="1"/>
  <c r="EG85" i="2" s="1"/>
  <c r="EG83" i="2" a="1"/>
  <c r="EG83" i="2" s="1"/>
  <c r="EG80" i="2" a="1"/>
  <c r="EG80" i="2" s="1"/>
  <c r="EG82" i="2" a="1"/>
  <c r="EG82" i="2" s="1"/>
  <c r="EG81" i="2" a="1"/>
  <c r="EG81" i="2" s="1"/>
  <c r="EG78" i="2" a="1"/>
  <c r="EG78" i="2" s="1"/>
  <c r="EG75" i="2" a="1"/>
  <c r="EG75" i="2" s="1"/>
  <c r="EG76" i="2" a="1"/>
  <c r="EG76" i="2" s="1"/>
  <c r="EG77" i="2" a="1"/>
  <c r="EG77" i="2" s="1"/>
  <c r="EG79" i="2" a="1"/>
  <c r="EG79" i="2" s="1"/>
  <c r="EG74" i="2" a="1"/>
  <c r="EG74" i="2" s="1"/>
  <c r="EG73" i="2" a="1"/>
  <c r="EG73" i="2" s="1"/>
  <c r="EG72" i="2" a="1"/>
  <c r="EG72" i="2" s="1"/>
  <c r="EG70" i="2" a="1"/>
  <c r="EG70" i="2" s="1"/>
  <c r="EG69" i="2" a="1"/>
  <c r="EG69" i="2" s="1"/>
  <c r="EG71" i="2" a="1"/>
  <c r="EG71" i="2" s="1"/>
  <c r="EG68" i="2" a="1"/>
  <c r="EG68" i="2" s="1"/>
  <c r="EG64" i="2" a="1"/>
  <c r="EG64" i="2" s="1"/>
  <c r="EG63" i="2" a="1"/>
  <c r="EG63" i="2" s="1"/>
  <c r="EG67" i="2" a="1"/>
  <c r="EG67" i="2" s="1"/>
  <c r="EG65" i="2" a="1"/>
  <c r="EG65" i="2" s="1"/>
  <c r="EG66" i="2" a="1"/>
  <c r="EG66" i="2" s="1"/>
  <c r="EG61" i="2" a="1"/>
  <c r="EG61" i="2" s="1"/>
  <c r="EG59" i="2" a="1"/>
  <c r="EG59" i="2" s="1"/>
  <c r="EG60" i="2" a="1"/>
  <c r="EG60" i="2" s="1"/>
  <c r="EG62" i="2" a="1"/>
  <c r="EG62" i="2" s="1"/>
  <c r="EG57" i="2" a="1"/>
  <c r="EG57" i="2" s="1"/>
  <c r="EG56" i="2" a="1"/>
  <c r="EG56" i="2" s="1"/>
  <c r="EG58" i="2" a="1"/>
  <c r="EG58" i="2" s="1"/>
  <c r="EG53" i="2" a="1"/>
  <c r="EG53" i="2" s="1"/>
  <c r="EG50" i="2" a="1"/>
  <c r="EG50" i="2" s="1"/>
  <c r="EG49" i="2" a="1"/>
  <c r="EG49" i="2" s="1"/>
  <c r="EG54" i="2" a="1"/>
  <c r="EG54" i="2" s="1"/>
  <c r="EG48" i="2" a="1"/>
  <c r="EG48" i="2" s="1"/>
  <c r="EG55" i="2" a="1"/>
  <c r="EG55" i="2" s="1"/>
  <c r="EG47" i="2" a="1"/>
  <c r="EG47" i="2" s="1"/>
  <c r="EG52" i="2" a="1"/>
  <c r="EG52" i="2" s="1"/>
  <c r="EG51" i="2" a="1"/>
  <c r="EG51" i="2" s="1"/>
  <c r="EG44" i="2" a="1"/>
  <c r="EG44" i="2" s="1"/>
  <c r="EG43" i="2" a="1"/>
  <c r="EG43" i="2" s="1"/>
  <c r="EG46" i="2" a="1"/>
  <c r="EG46" i="2" s="1"/>
  <c r="EG45" i="2" a="1"/>
  <c r="EG45" i="2" s="1"/>
  <c r="EG42" i="2" a="1"/>
  <c r="EG42" i="2" s="1"/>
  <c r="EG40" i="2" a="1"/>
  <c r="EG40" i="2" s="1"/>
  <c r="EG41" i="2" a="1"/>
  <c r="EG41" i="2" s="1"/>
  <c r="EG36" i="2" a="1"/>
  <c r="EG36" i="2" s="1"/>
  <c r="EG39" i="2" a="1"/>
  <c r="EG39" i="2" s="1"/>
  <c r="EG34" i="2" a="1"/>
  <c r="EG34" i="2" s="1"/>
  <c r="EG35" i="2" a="1"/>
  <c r="EG35" i="2" s="1"/>
  <c r="EG33" i="2" a="1"/>
  <c r="EG33" i="2" s="1"/>
  <c r="EG38" i="2" a="1"/>
  <c r="EG38" i="2" s="1"/>
  <c r="EG37" i="2" a="1"/>
  <c r="EG37" i="2" s="1"/>
  <c r="EG28" i="2" a="1"/>
  <c r="EG28" i="2" s="1"/>
  <c r="EG27" i="2" a="1"/>
  <c r="EG27" i="2" s="1"/>
  <c r="EG32" i="2" a="1"/>
  <c r="EG32" i="2" s="1"/>
  <c r="EG26" i="2" a="1"/>
  <c r="EG26" i="2" s="1"/>
  <c r="EG31" i="2" a="1"/>
  <c r="EG31" i="2" s="1"/>
  <c r="EG30" i="2" a="1"/>
  <c r="EG30" i="2" s="1"/>
  <c r="EG29" i="2" a="1"/>
  <c r="EG29" i="2" s="1"/>
  <c r="EG16" i="2" a="1"/>
  <c r="EG16" i="2" s="1"/>
  <c r="EG15" i="2" a="1"/>
  <c r="EG15" i="2" s="1"/>
  <c r="EG25" i="2" a="1"/>
  <c r="EG25" i="2" s="1"/>
  <c r="EG17" i="2" a="1"/>
  <c r="EG17" i="2" s="1"/>
  <c r="EG24" i="2" a="1"/>
  <c r="EG24" i="2" s="1"/>
  <c r="EG23" i="2" a="1"/>
  <c r="EG23" i="2" s="1"/>
  <c r="EG22" i="2" a="1"/>
  <c r="EG22" i="2" s="1"/>
  <c r="EG21" i="2" a="1"/>
  <c r="EG21" i="2" s="1"/>
  <c r="EG20" i="2" a="1"/>
  <c r="EG20" i="2" s="1"/>
  <c r="EG19" i="2" a="1"/>
  <c r="EG19" i="2" s="1"/>
  <c r="EG18" i="2" a="1"/>
  <c r="EG18" i="2" s="1"/>
  <c r="EG14" i="2" a="1"/>
  <c r="EG14" i="2" s="1"/>
  <c r="EG10" i="2" a="1"/>
  <c r="EG10" i="2" s="1"/>
  <c r="EG7" i="2" a="1"/>
  <c r="EG7" i="2" s="1"/>
  <c r="EG13" i="2" a="1"/>
  <c r="EG13" i="2" s="1"/>
  <c r="EG9" i="2" a="1"/>
  <c r="EG9" i="2" s="1"/>
  <c r="EG8" i="2" a="1"/>
  <c r="EG8" i="2" s="1"/>
  <c r="EG12" i="2" a="1"/>
  <c r="EG12" i="2" s="1"/>
  <c r="EG11" i="2" a="1"/>
  <c r="EG11" i="2" s="1"/>
  <c r="EG5" i="2" a="1"/>
  <c r="EG5" i="2" s="1"/>
  <c r="EG6" i="2" a="1"/>
  <c r="EG6" i="2" s="1"/>
  <c r="EG4" i="2" a="1"/>
  <c r="EG4" i="2" s="1"/>
  <c r="ES1" i="2"/>
  <c r="EA104" i="2"/>
  <c r="DS104" i="2"/>
  <c r="DT104" i="2"/>
  <c r="EH103" i="2" a="1"/>
  <c r="EH103" i="2" s="1"/>
  <c r="EH102" i="2" a="1"/>
  <c r="EH102" i="2" s="1"/>
  <c r="EH101" i="2" a="1"/>
  <c r="EH101" i="2" s="1"/>
  <c r="EH100" i="2" a="1"/>
  <c r="EH100" i="2" s="1"/>
  <c r="EH99" i="2" a="1"/>
  <c r="EH99" i="2" s="1"/>
  <c r="EH98" i="2" a="1"/>
  <c r="EH98" i="2" s="1"/>
  <c r="EH96" i="2" a="1"/>
  <c r="EH96" i="2" s="1"/>
  <c r="EH97" i="2" a="1"/>
  <c r="EH97" i="2" s="1"/>
  <c r="EH93" i="2" a="1"/>
  <c r="EH93" i="2" s="1"/>
  <c r="EH92" i="2" a="1"/>
  <c r="EH92" i="2" s="1"/>
  <c r="EH95" i="2" a="1"/>
  <c r="EH95" i="2" s="1"/>
  <c r="EH94" i="2" a="1"/>
  <c r="EH94" i="2" s="1"/>
  <c r="EH89" i="2" a="1"/>
  <c r="EH89" i="2" s="1"/>
  <c r="EH88" i="2" a="1"/>
  <c r="EH88" i="2" s="1"/>
  <c r="EH91" i="2" a="1"/>
  <c r="EH91" i="2" s="1"/>
  <c r="EH90" i="2" a="1"/>
  <c r="EH90" i="2" s="1"/>
  <c r="EH86" i="2" a="1"/>
  <c r="EH86" i="2" s="1"/>
  <c r="EH84" i="2" a="1"/>
  <c r="EH84" i="2" s="1"/>
  <c r="EH87" i="2" a="1"/>
  <c r="EH87" i="2" s="1"/>
  <c r="EH85" i="2" a="1"/>
  <c r="EH85" i="2" s="1"/>
  <c r="EH80" i="2" a="1"/>
  <c r="EH80" i="2" s="1"/>
  <c r="EH82" i="2" a="1"/>
  <c r="EH82" i="2" s="1"/>
  <c r="EH81" i="2" a="1"/>
  <c r="EH81" i="2" s="1"/>
  <c r="EH83" i="2" a="1"/>
  <c r="EH83" i="2" s="1"/>
  <c r="EH78" i="2" a="1"/>
  <c r="EH78" i="2" s="1"/>
  <c r="EH76" i="2" a="1"/>
  <c r="EH76" i="2" s="1"/>
  <c r="EH77" i="2" a="1"/>
  <c r="EH77" i="2" s="1"/>
  <c r="EH79" i="2" a="1"/>
  <c r="EH79" i="2" s="1"/>
  <c r="EH74" i="2" a="1"/>
  <c r="EH74" i="2" s="1"/>
  <c r="EH71" i="2" a="1"/>
  <c r="EH71" i="2" s="1"/>
  <c r="EH73" i="2" a="1"/>
  <c r="EH73" i="2" s="1"/>
  <c r="EH72" i="2" a="1"/>
  <c r="EH72" i="2" s="1"/>
  <c r="EH75" i="2" a="1"/>
  <c r="EH75" i="2" s="1"/>
  <c r="EH69" i="2" a="1"/>
  <c r="EH69" i="2" s="1"/>
  <c r="EH68" i="2" a="1"/>
  <c r="EH68" i="2" s="1"/>
  <c r="EH70" i="2" a="1"/>
  <c r="EH70" i="2" s="1"/>
  <c r="EH67" i="2" a="1"/>
  <c r="EH67" i="2" s="1"/>
  <c r="EH65" i="2" a="1"/>
  <c r="EH65" i="2" s="1"/>
  <c r="EH66" i="2" a="1"/>
  <c r="EH66" i="2" s="1"/>
  <c r="EH64" i="2" a="1"/>
  <c r="EH64" i="2" s="1"/>
  <c r="EH61" i="2" a="1"/>
  <c r="EH61" i="2" s="1"/>
  <c r="EH60" i="2" a="1"/>
  <c r="EH60" i="2" s="1"/>
  <c r="EH59" i="2" a="1"/>
  <c r="EH59" i="2" s="1"/>
  <c r="EH63" i="2" a="1"/>
  <c r="EH63" i="2" s="1"/>
  <c r="EH62" i="2" a="1"/>
  <c r="EH62" i="2" s="1"/>
  <c r="EH57" i="2" a="1"/>
  <c r="EH57" i="2" s="1"/>
  <c r="EH56" i="2" a="1"/>
  <c r="EH56" i="2" s="1"/>
  <c r="EH58" i="2" a="1"/>
  <c r="EH58" i="2" s="1"/>
  <c r="EH53" i="2" a="1"/>
  <c r="EH53" i="2" s="1"/>
  <c r="EH50" i="2" a="1"/>
  <c r="EH50" i="2" s="1"/>
  <c r="EH49" i="2" a="1"/>
  <c r="EH49" i="2" s="1"/>
  <c r="EH54" i="2" a="1"/>
  <c r="EH54" i="2" s="1"/>
  <c r="EH48" i="2" a="1"/>
  <c r="EH48" i="2" s="1"/>
  <c r="EH55" i="2" a="1"/>
  <c r="EH55" i="2" s="1"/>
  <c r="EH52" i="2" a="1"/>
  <c r="EH52" i="2" s="1"/>
  <c r="EH51" i="2" a="1"/>
  <c r="EH51" i="2" s="1"/>
  <c r="EH43" i="2" a="1"/>
  <c r="EH43" i="2" s="1"/>
  <c r="EH46" i="2" a="1"/>
  <c r="EH46" i="2" s="1"/>
  <c r="EH42" i="2" a="1"/>
  <c r="EH42" i="2" s="1"/>
  <c r="EH45" i="2" a="1"/>
  <c r="EH45" i="2" s="1"/>
  <c r="EH47" i="2" a="1"/>
  <c r="EH47" i="2" s="1"/>
  <c r="EH41" i="2" a="1"/>
  <c r="EH41" i="2" s="1"/>
  <c r="EH44" i="2" a="1"/>
  <c r="EH44" i="2" s="1"/>
  <c r="EH39" i="2" a="1"/>
  <c r="EH39" i="2" s="1"/>
  <c r="EH34" i="2" a="1"/>
  <c r="EH34" i="2" s="1"/>
  <c r="EH35" i="2" a="1"/>
  <c r="EH35" i="2" s="1"/>
  <c r="EH33" i="2" a="1"/>
  <c r="EH33" i="2" s="1"/>
  <c r="EH38" i="2" a="1"/>
  <c r="EH38" i="2" s="1"/>
  <c r="EH37" i="2" a="1"/>
  <c r="EH37" i="2" s="1"/>
  <c r="EH40" i="2" a="1"/>
  <c r="EH40" i="2" s="1"/>
  <c r="EH36" i="2" a="1"/>
  <c r="EH36" i="2" s="1"/>
  <c r="EH27" i="2" a="1"/>
  <c r="EH27" i="2" s="1"/>
  <c r="EH32" i="2" a="1"/>
  <c r="EH32" i="2" s="1"/>
  <c r="EH26" i="2" a="1"/>
  <c r="EH26" i="2" s="1"/>
  <c r="EH31" i="2" a="1"/>
  <c r="EH31" i="2" s="1"/>
  <c r="EH30" i="2" a="1"/>
  <c r="EH30" i="2" s="1"/>
  <c r="EH29" i="2" a="1"/>
  <c r="EH29" i="2" s="1"/>
  <c r="EH25" i="2" a="1"/>
  <c r="EH25" i="2" s="1"/>
  <c r="EH28" i="2" a="1"/>
  <c r="EH28" i="2" s="1"/>
  <c r="EH15" i="2" a="1"/>
  <c r="EH15" i="2" s="1"/>
  <c r="EH17" i="2" a="1"/>
  <c r="EH17" i="2" s="1"/>
  <c r="EH24" i="2" a="1"/>
  <c r="EH24" i="2" s="1"/>
  <c r="EH23" i="2" a="1"/>
  <c r="EH23" i="2" s="1"/>
  <c r="EH22" i="2" a="1"/>
  <c r="EH22" i="2" s="1"/>
  <c r="EH21" i="2" a="1"/>
  <c r="EH21" i="2" s="1"/>
  <c r="EH20" i="2" a="1"/>
  <c r="EH20" i="2" s="1"/>
  <c r="EH19" i="2" a="1"/>
  <c r="EH19" i="2" s="1"/>
  <c r="EH18" i="2" a="1"/>
  <c r="EH18" i="2" s="1"/>
  <c r="EH16" i="2" a="1"/>
  <c r="EH16" i="2" s="1"/>
  <c r="EH14" i="2" a="1"/>
  <c r="EH14" i="2" s="1"/>
  <c r="EH10" i="2" a="1"/>
  <c r="EH10" i="2" s="1"/>
  <c r="EH13" i="2" a="1"/>
  <c r="EH13" i="2" s="1"/>
  <c r="EH9" i="2" a="1"/>
  <c r="EH9" i="2" s="1"/>
  <c r="EH8" i="2" a="1"/>
  <c r="EH8" i="2" s="1"/>
  <c r="EH12" i="2" a="1"/>
  <c r="EH12" i="2" s="1"/>
  <c r="EH11" i="2" a="1"/>
  <c r="EH11" i="2" s="1"/>
  <c r="EH5" i="2" a="1"/>
  <c r="EH5" i="2" s="1"/>
  <c r="EH6" i="2" a="1"/>
  <c r="EH6" i="2" s="1"/>
  <c r="EH7" i="2" a="1"/>
  <c r="EH7" i="2" s="1"/>
  <c r="EH4" i="2" a="1"/>
  <c r="EH4" i="2" s="1"/>
  <c r="ET1" i="2"/>
  <c r="EC104" i="2"/>
  <c r="DU104" i="2"/>
  <c r="DQ105" i="2"/>
  <c r="EE104" i="2" l="1"/>
  <c r="EO115" i="2"/>
  <c r="EM120" i="2"/>
  <c r="GM15" i="2" s="1"/>
  <c r="ED104" i="2"/>
  <c r="EM104" i="2"/>
  <c r="ET103" i="2" a="1"/>
  <c r="ET103" i="2" s="1"/>
  <c r="ET102" i="2" a="1"/>
  <c r="ET102" i="2" s="1"/>
  <c r="ET101" i="2" a="1"/>
  <c r="ET101" i="2" s="1"/>
  <c r="ET99" i="2" a="1"/>
  <c r="ET99" i="2" s="1"/>
  <c r="ET100" i="2" a="1"/>
  <c r="ET100" i="2" s="1"/>
  <c r="ET98" i="2" a="1"/>
  <c r="ET98" i="2" s="1"/>
  <c r="ET96" i="2" a="1"/>
  <c r="ET96" i="2" s="1"/>
  <c r="ET95" i="2" a="1"/>
  <c r="ET95" i="2" s="1"/>
  <c r="ET97" i="2" a="1"/>
  <c r="ET97" i="2" s="1"/>
  <c r="ET94" i="2" a="1"/>
  <c r="ET94" i="2" s="1"/>
  <c r="ET93" i="2" a="1"/>
  <c r="ET93" i="2" s="1"/>
  <c r="ET92" i="2" a="1"/>
  <c r="ET92" i="2" s="1"/>
  <c r="ET90" i="2" a="1"/>
  <c r="ET90" i="2" s="1"/>
  <c r="ET91" i="2" a="1"/>
  <c r="ET91" i="2" s="1"/>
  <c r="ET89" i="2" a="1"/>
  <c r="ET89" i="2" s="1"/>
  <c r="ET88" i="2" a="1"/>
  <c r="ET88" i="2" s="1"/>
  <c r="ET86" i="2" a="1"/>
  <c r="ET86" i="2" s="1"/>
  <c r="ET84" i="2" a="1"/>
  <c r="ET84" i="2" s="1"/>
  <c r="ET85" i="2" a="1"/>
  <c r="ET85" i="2" s="1"/>
  <c r="ET87" i="2" a="1"/>
  <c r="ET87" i="2" s="1"/>
  <c r="ET83" i="2" a="1"/>
  <c r="ET83" i="2" s="1"/>
  <c r="ET82" i="2" a="1"/>
  <c r="ET82" i="2" s="1"/>
  <c r="ET81" i="2" a="1"/>
  <c r="ET81" i="2" s="1"/>
  <c r="ET80" i="2" a="1"/>
  <c r="ET80" i="2" s="1"/>
  <c r="ET76" i="2" a="1"/>
  <c r="ET76" i="2" s="1"/>
  <c r="ET77" i="2" a="1"/>
  <c r="ET77" i="2" s="1"/>
  <c r="ET79" i="2" a="1"/>
  <c r="ET79" i="2" s="1"/>
  <c r="ET78" i="2" a="1"/>
  <c r="ET78" i="2" s="1"/>
  <c r="ET74" i="2" a="1"/>
  <c r="ET74" i="2" s="1"/>
  <c r="ET72" i="2" a="1"/>
  <c r="ET72" i="2" s="1"/>
  <c r="ET75" i="2" a="1"/>
  <c r="ET75" i="2" s="1"/>
  <c r="ET73" i="2" a="1"/>
  <c r="ET73" i="2" s="1"/>
  <c r="ET69" i="2" a="1"/>
  <c r="ET69" i="2" s="1"/>
  <c r="ET68" i="2" a="1"/>
  <c r="ET68" i="2" s="1"/>
  <c r="ET67" i="2" a="1"/>
  <c r="ET67" i="2" s="1"/>
  <c r="ET71" i="2" a="1"/>
  <c r="ET71" i="2" s="1"/>
  <c r="ET70" i="2" a="1"/>
  <c r="ET70" i="2" s="1"/>
  <c r="ET65" i="2" a="1"/>
  <c r="ET65" i="2" s="1"/>
  <c r="ET66" i="2" a="1"/>
  <c r="ET66" i="2" s="1"/>
  <c r="ET64" i="2" a="1"/>
  <c r="ET64" i="2" s="1"/>
  <c r="ET63" i="2" a="1"/>
  <c r="ET63" i="2" s="1"/>
  <c r="ET62" i="2" a="1"/>
  <c r="ET62" i="2" s="1"/>
  <c r="ET61" i="2" a="1"/>
  <c r="ET61" i="2" s="1"/>
  <c r="ET59" i="2" a="1"/>
  <c r="ET59" i="2" s="1"/>
  <c r="ET60" i="2" a="1"/>
  <c r="ET60" i="2" s="1"/>
  <c r="ET58" i="2" a="1"/>
  <c r="ET58" i="2" s="1"/>
  <c r="ET57" i="2" a="1"/>
  <c r="ET57" i="2" s="1"/>
  <c r="ET54" i="2" a="1"/>
  <c r="ET54" i="2" s="1"/>
  <c r="ET48" i="2" a="1"/>
  <c r="ET48" i="2" s="1"/>
  <c r="ET56" i="2" a="1"/>
  <c r="ET56" i="2" s="1"/>
  <c r="ET55" i="2" a="1"/>
  <c r="ET55" i="2" s="1"/>
  <c r="ET52" i="2" a="1"/>
  <c r="ET52" i="2" s="1"/>
  <c r="ET51" i="2" a="1"/>
  <c r="ET51" i="2" s="1"/>
  <c r="ET53" i="2" a="1"/>
  <c r="ET53" i="2" s="1"/>
  <c r="ET50" i="2" a="1"/>
  <c r="ET50" i="2" s="1"/>
  <c r="ET49" i="2" a="1"/>
  <c r="ET49" i="2" s="1"/>
  <c r="ET47" i="2" a="1"/>
  <c r="ET47" i="2" s="1"/>
  <c r="ET41" i="2" a="1"/>
  <c r="ET41" i="2" s="1"/>
  <c r="ET44" i="2" a="1"/>
  <c r="ET44" i="2" s="1"/>
  <c r="ET43" i="2" a="1"/>
  <c r="ET43" i="2" s="1"/>
  <c r="ET46" i="2" a="1"/>
  <c r="ET46" i="2" s="1"/>
  <c r="ET45" i="2" a="1"/>
  <c r="ET45" i="2" s="1"/>
  <c r="ET42" i="2" a="1"/>
  <c r="ET42" i="2" s="1"/>
  <c r="ET37" i="2" a="1"/>
  <c r="ET37" i="2" s="1"/>
  <c r="ET40" i="2" a="1"/>
  <c r="ET40" i="2" s="1"/>
  <c r="ET36" i="2" a="1"/>
  <c r="ET36" i="2" s="1"/>
  <c r="ET39" i="2" a="1"/>
  <c r="ET39" i="2" s="1"/>
  <c r="ET34" i="2" a="1"/>
  <c r="ET34" i="2" s="1"/>
  <c r="ET38" i="2" a="1"/>
  <c r="ET38" i="2" s="1"/>
  <c r="ET35" i="2" a="1"/>
  <c r="ET35" i="2" s="1"/>
  <c r="ET26" i="2" a="1"/>
  <c r="ET26" i="2" s="1"/>
  <c r="ET32" i="2" a="1"/>
  <c r="ET32" i="2" s="1"/>
  <c r="ET31" i="2" a="1"/>
  <c r="ET31" i="2" s="1"/>
  <c r="ET30" i="2" a="1"/>
  <c r="ET30" i="2" s="1"/>
  <c r="ET29" i="2" a="1"/>
  <c r="ET29" i="2" s="1"/>
  <c r="ET28" i="2" a="1"/>
  <c r="ET28" i="2" s="1"/>
  <c r="ET27" i="2" a="1"/>
  <c r="ET27" i="2" s="1"/>
  <c r="ET25" i="2" a="1"/>
  <c r="ET25" i="2" s="1"/>
  <c r="ET33" i="2" a="1"/>
  <c r="ET33" i="2" s="1"/>
  <c r="ET17" i="2" a="1"/>
  <c r="ET17" i="2" s="1"/>
  <c r="ET16" i="2" a="1"/>
  <c r="ET16" i="2" s="1"/>
  <c r="ET15" i="2" a="1"/>
  <c r="ET15" i="2" s="1"/>
  <c r="ET23" i="2" a="1"/>
  <c r="ET23" i="2" s="1"/>
  <c r="ET22" i="2" a="1"/>
  <c r="ET22" i="2" s="1"/>
  <c r="ET21" i="2" a="1"/>
  <c r="ET21" i="2" s="1"/>
  <c r="ET20" i="2" a="1"/>
  <c r="ET20" i="2" s="1"/>
  <c r="ET19" i="2" a="1"/>
  <c r="ET19" i="2" s="1"/>
  <c r="ET18" i="2" a="1"/>
  <c r="ET18" i="2" s="1"/>
  <c r="ET24" i="2" a="1"/>
  <c r="ET24" i="2" s="1"/>
  <c r="ET12" i="2" a="1"/>
  <c r="ET12" i="2" s="1"/>
  <c r="ET11" i="2" a="1"/>
  <c r="ET11" i="2" s="1"/>
  <c r="ET14" i="2" a="1"/>
  <c r="ET14" i="2" s="1"/>
  <c r="ET9" i="2" a="1"/>
  <c r="ET9" i="2" s="1"/>
  <c r="ET10" i="2" a="1"/>
  <c r="ET10" i="2" s="1"/>
  <c r="ET8" i="2" a="1"/>
  <c r="ET8" i="2" s="1"/>
  <c r="ET13" i="2" a="1"/>
  <c r="ET13" i="2" s="1"/>
  <c r="ET6" i="2" a="1"/>
  <c r="ET6" i="2" s="1"/>
  <c r="ET4" i="2" a="1"/>
  <c r="ET4" i="2" s="1"/>
  <c r="ET5" i="2" a="1"/>
  <c r="ET5" i="2" s="1"/>
  <c r="ET7" i="2" a="1"/>
  <c r="ET7" i="2" s="1"/>
  <c r="FF1" i="2"/>
  <c r="EQ103" i="2" a="1"/>
  <c r="EQ103" i="2" s="1"/>
  <c r="EQ102" i="2" a="1"/>
  <c r="EQ102" i="2" s="1"/>
  <c r="EQ101" i="2" a="1"/>
  <c r="EQ101" i="2" s="1"/>
  <c r="EQ100" i="2" a="1"/>
  <c r="EQ100" i="2" s="1"/>
  <c r="EQ99" i="2" a="1"/>
  <c r="EQ99" i="2" s="1"/>
  <c r="EQ98" i="2" a="1"/>
  <c r="EQ98" i="2" s="1"/>
  <c r="EQ96" i="2" a="1"/>
  <c r="EQ96" i="2" s="1"/>
  <c r="EQ95" i="2" a="1"/>
  <c r="EQ95" i="2" s="1"/>
  <c r="EQ97" i="2" a="1"/>
  <c r="EQ97" i="2" s="1"/>
  <c r="EQ93" i="2" a="1"/>
  <c r="EQ93" i="2" s="1"/>
  <c r="EQ92" i="2" a="1"/>
  <c r="EQ92" i="2" s="1"/>
  <c r="EQ94" i="2" a="1"/>
  <c r="EQ94" i="2" s="1"/>
  <c r="EQ88" i="2" a="1"/>
  <c r="EQ88" i="2" s="1"/>
  <c r="EQ87" i="2" a="1"/>
  <c r="EQ87" i="2" s="1"/>
  <c r="EQ90" i="2" a="1"/>
  <c r="EQ90" i="2" s="1"/>
  <c r="EQ91" i="2" a="1"/>
  <c r="EQ91" i="2" s="1"/>
  <c r="EQ89" i="2" a="1"/>
  <c r="EQ89" i="2" s="1"/>
  <c r="EQ86" i="2" a="1"/>
  <c r="EQ86" i="2" s="1"/>
  <c r="EQ84" i="2" a="1"/>
  <c r="EQ84" i="2" s="1"/>
  <c r="EQ85" i="2" a="1"/>
  <c r="EQ85" i="2" s="1"/>
  <c r="EQ80" i="2" a="1"/>
  <c r="EQ80" i="2" s="1"/>
  <c r="EQ83" i="2" a="1"/>
  <c r="EQ83" i="2" s="1"/>
  <c r="EQ82" i="2" a="1"/>
  <c r="EQ82" i="2" s="1"/>
  <c r="EQ81" i="2" a="1"/>
  <c r="EQ81" i="2" s="1"/>
  <c r="EQ78" i="2" a="1"/>
  <c r="EQ78" i="2" s="1"/>
  <c r="EQ76" i="2" a="1"/>
  <c r="EQ76" i="2" s="1"/>
  <c r="EQ77" i="2" a="1"/>
  <c r="EQ77" i="2" s="1"/>
  <c r="EQ79" i="2" a="1"/>
  <c r="EQ79" i="2" s="1"/>
  <c r="EQ75" i="2" a="1"/>
  <c r="EQ75" i="2" s="1"/>
  <c r="EQ73" i="2" a="1"/>
  <c r="EQ73" i="2" s="1"/>
  <c r="EQ74" i="2" a="1"/>
  <c r="EQ74" i="2" s="1"/>
  <c r="EQ71" i="2" a="1"/>
  <c r="EQ71" i="2" s="1"/>
  <c r="EQ72" i="2" a="1"/>
  <c r="EQ72" i="2" s="1"/>
  <c r="EQ69" i="2" a="1"/>
  <c r="EQ69" i="2" s="1"/>
  <c r="EQ68" i="2" a="1"/>
  <c r="EQ68" i="2" s="1"/>
  <c r="EQ70" i="2" a="1"/>
  <c r="EQ70" i="2" s="1"/>
  <c r="EQ64" i="2" a="1"/>
  <c r="EQ64" i="2" s="1"/>
  <c r="EQ65" i="2" a="1"/>
  <c r="EQ65" i="2" s="1"/>
  <c r="EQ67" i="2" a="1"/>
  <c r="EQ67" i="2" s="1"/>
  <c r="EQ66" i="2" a="1"/>
  <c r="EQ66" i="2" s="1"/>
  <c r="EQ59" i="2" a="1"/>
  <c r="EQ59" i="2" s="1"/>
  <c r="EQ60" i="2" a="1"/>
  <c r="EQ60" i="2" s="1"/>
  <c r="EQ63" i="2" a="1"/>
  <c r="EQ63" i="2" s="1"/>
  <c r="EQ62" i="2" a="1"/>
  <c r="EQ62" i="2" s="1"/>
  <c r="EQ61" i="2" a="1"/>
  <c r="EQ61" i="2" s="1"/>
  <c r="EQ57" i="2" a="1"/>
  <c r="EQ57" i="2" s="1"/>
  <c r="EQ56" i="2" a="1"/>
  <c r="EQ56" i="2" s="1"/>
  <c r="EQ58" i="2" a="1"/>
  <c r="EQ58" i="2" s="1"/>
  <c r="EQ53" i="2" a="1"/>
  <c r="EQ53" i="2" s="1"/>
  <c r="EQ50" i="2" a="1"/>
  <c r="EQ50" i="2" s="1"/>
  <c r="EQ49" i="2" a="1"/>
  <c r="EQ49" i="2" s="1"/>
  <c r="EQ54" i="2" a="1"/>
  <c r="EQ54" i="2" s="1"/>
  <c r="EQ48" i="2" a="1"/>
  <c r="EQ48" i="2" s="1"/>
  <c r="EQ55" i="2" a="1"/>
  <c r="EQ55" i="2" s="1"/>
  <c r="EQ52" i="2" a="1"/>
  <c r="EQ52" i="2" s="1"/>
  <c r="EQ51" i="2" a="1"/>
  <c r="EQ51" i="2" s="1"/>
  <c r="EQ46" i="2" a="1"/>
  <c r="EQ46" i="2" s="1"/>
  <c r="EQ45" i="2" a="1"/>
  <c r="EQ45" i="2" s="1"/>
  <c r="EQ42" i="2" a="1"/>
  <c r="EQ42" i="2" s="1"/>
  <c r="EQ40" i="2" a="1"/>
  <c r="EQ40" i="2" s="1"/>
  <c r="EQ47" i="2" a="1"/>
  <c r="EQ47" i="2" s="1"/>
  <c r="EQ41" i="2" a="1"/>
  <c r="EQ41" i="2" s="1"/>
  <c r="EQ44" i="2" a="1"/>
  <c r="EQ44" i="2" s="1"/>
  <c r="EQ43" i="2" a="1"/>
  <c r="EQ43" i="2" s="1"/>
  <c r="EQ35" i="2" a="1"/>
  <c r="EQ35" i="2" s="1"/>
  <c r="EQ34" i="2" a="1"/>
  <c r="EQ34" i="2" s="1"/>
  <c r="EQ38" i="2" a="1"/>
  <c r="EQ38" i="2" s="1"/>
  <c r="EQ37" i="2" a="1"/>
  <c r="EQ37" i="2" s="1"/>
  <c r="EQ36" i="2" a="1"/>
  <c r="EQ36" i="2" s="1"/>
  <c r="EQ39" i="2" a="1"/>
  <c r="EQ39" i="2" s="1"/>
  <c r="EQ25" i="2" a="1"/>
  <c r="EQ25" i="2" s="1"/>
  <c r="EQ33" i="2" a="1"/>
  <c r="EQ33" i="2" s="1"/>
  <c r="EQ27" i="2" a="1"/>
  <c r="EQ27" i="2" s="1"/>
  <c r="EQ26" i="2" a="1"/>
  <c r="EQ26" i="2" s="1"/>
  <c r="EQ32" i="2" a="1"/>
  <c r="EQ32" i="2" s="1"/>
  <c r="EQ31" i="2" a="1"/>
  <c r="EQ31" i="2" s="1"/>
  <c r="EQ30" i="2" a="1"/>
  <c r="EQ30" i="2" s="1"/>
  <c r="EQ29" i="2" a="1"/>
  <c r="EQ29" i="2" s="1"/>
  <c r="EQ28" i="2" a="1"/>
  <c r="EQ28" i="2" s="1"/>
  <c r="EQ23" i="2" a="1"/>
  <c r="EQ23" i="2" s="1"/>
  <c r="EQ22" i="2" a="1"/>
  <c r="EQ22" i="2" s="1"/>
  <c r="EQ21" i="2" a="1"/>
  <c r="EQ21" i="2" s="1"/>
  <c r="EQ20" i="2" a="1"/>
  <c r="EQ20" i="2" s="1"/>
  <c r="EQ19" i="2" a="1"/>
  <c r="EQ19" i="2" s="1"/>
  <c r="EQ18" i="2" a="1"/>
  <c r="EQ18" i="2" s="1"/>
  <c r="EQ24" i="2" a="1"/>
  <c r="EQ24" i="2" s="1"/>
  <c r="EQ15" i="2" a="1"/>
  <c r="EQ15" i="2" s="1"/>
  <c r="EQ17" i="2" a="1"/>
  <c r="EQ17" i="2" s="1"/>
  <c r="EQ16" i="2" a="1"/>
  <c r="EQ16" i="2" s="1"/>
  <c r="EQ14" i="2" a="1"/>
  <c r="EQ14" i="2" s="1"/>
  <c r="EQ9" i="2" a="1"/>
  <c r="EQ9" i="2" s="1"/>
  <c r="EQ10" i="2" a="1"/>
  <c r="EQ10" i="2" s="1"/>
  <c r="EQ8" i="2" a="1"/>
  <c r="EQ8" i="2" s="1"/>
  <c r="EQ13" i="2" a="1"/>
  <c r="EQ13" i="2" s="1"/>
  <c r="EQ12" i="2" a="1"/>
  <c r="EQ12" i="2" s="1"/>
  <c r="EQ11" i="2" a="1"/>
  <c r="EQ11" i="2" s="1"/>
  <c r="EQ7" i="2" a="1"/>
  <c r="EQ7" i="2" s="1"/>
  <c r="EQ5" i="2" a="1"/>
  <c r="EQ5" i="2" s="1"/>
  <c r="EQ6" i="2" a="1"/>
  <c r="EQ6" i="2" s="1"/>
  <c r="EQ4" i="2" a="1"/>
  <c r="EQ4" i="2" s="1"/>
  <c r="FC1" i="2"/>
  <c r="EV99" i="2" a="1"/>
  <c r="EV99" i="2" s="1"/>
  <c r="EV100" i="2" a="1"/>
  <c r="EV100" i="2" s="1"/>
  <c r="EV103" i="2" a="1"/>
  <c r="EV103" i="2" s="1"/>
  <c r="EV102" i="2" a="1"/>
  <c r="EV102" i="2" s="1"/>
  <c r="EV101" i="2" a="1"/>
  <c r="EV101" i="2" s="1"/>
  <c r="EV97" i="2" a="1"/>
  <c r="EV97" i="2" s="1"/>
  <c r="EV98" i="2" a="1"/>
  <c r="EV98" i="2" s="1"/>
  <c r="EV96" i="2" a="1"/>
  <c r="EV96" i="2" s="1"/>
  <c r="EV95" i="2" a="1"/>
  <c r="EV95" i="2" s="1"/>
  <c r="EV94" i="2" a="1"/>
  <c r="EV94" i="2" s="1"/>
  <c r="EV93" i="2" a="1"/>
  <c r="EV93" i="2" s="1"/>
  <c r="EV92" i="2" a="1"/>
  <c r="EV92" i="2" s="1"/>
  <c r="EV91" i="2" a="1"/>
  <c r="EV91" i="2" s="1"/>
  <c r="EV90" i="2" a="1"/>
  <c r="EV90" i="2" s="1"/>
  <c r="EV89" i="2" a="1"/>
  <c r="EV89" i="2" s="1"/>
  <c r="EV88" i="2" a="1"/>
  <c r="EV88" i="2" s="1"/>
  <c r="EV84" i="2" a="1"/>
  <c r="EV84" i="2" s="1"/>
  <c r="EV85" i="2" a="1"/>
  <c r="EV85" i="2" s="1"/>
  <c r="EV87" i="2" a="1"/>
  <c r="EV87" i="2" s="1"/>
  <c r="EV86" i="2" a="1"/>
  <c r="EV86" i="2" s="1"/>
  <c r="EV83" i="2" a="1"/>
  <c r="EV83" i="2" s="1"/>
  <c r="EV81" i="2" a="1"/>
  <c r="EV81" i="2" s="1"/>
  <c r="EV80" i="2" a="1"/>
  <c r="EV80" i="2" s="1"/>
  <c r="EV82" i="2" a="1"/>
  <c r="EV82" i="2" s="1"/>
  <c r="EV77" i="2" a="1"/>
  <c r="EV77" i="2" s="1"/>
  <c r="EV79" i="2" a="1"/>
  <c r="EV79" i="2" s="1"/>
  <c r="EV78" i="2" a="1"/>
  <c r="EV78" i="2" s="1"/>
  <c r="EV76" i="2" a="1"/>
  <c r="EV76" i="2" s="1"/>
  <c r="EV72" i="2" a="1"/>
  <c r="EV72" i="2" s="1"/>
  <c r="EV75" i="2" a="1"/>
  <c r="EV75" i="2" s="1"/>
  <c r="EV73" i="2" a="1"/>
  <c r="EV73" i="2" s="1"/>
  <c r="EV74" i="2" a="1"/>
  <c r="EV74" i="2" s="1"/>
  <c r="EV70" i="2" a="1"/>
  <c r="EV70" i="2" s="1"/>
  <c r="EV71" i="2" a="1"/>
  <c r="EV71" i="2" s="1"/>
  <c r="EV69" i="2" a="1"/>
  <c r="EV69" i="2" s="1"/>
  <c r="EV68" i="2" a="1"/>
  <c r="EV68" i="2" s="1"/>
  <c r="EV66" i="2" a="1"/>
  <c r="EV66" i="2" s="1"/>
  <c r="EV67" i="2" a="1"/>
  <c r="EV67" i="2" s="1"/>
  <c r="EV64" i="2" a="1"/>
  <c r="EV64" i="2" s="1"/>
  <c r="EV63" i="2" a="1"/>
  <c r="EV63" i="2" s="1"/>
  <c r="EV65" i="2" a="1"/>
  <c r="EV65" i="2" s="1"/>
  <c r="EV62" i="2" a="1"/>
  <c r="EV62" i="2" s="1"/>
  <c r="EV61" i="2" a="1"/>
  <c r="EV61" i="2" s="1"/>
  <c r="EV59" i="2" a="1"/>
  <c r="EV59" i="2" s="1"/>
  <c r="EV60" i="2" a="1"/>
  <c r="EV60" i="2" s="1"/>
  <c r="EV58" i="2" a="1"/>
  <c r="EV58" i="2" s="1"/>
  <c r="EV55" i="2" a="1"/>
  <c r="EV55" i="2" s="1"/>
  <c r="EV57" i="2" a="1"/>
  <c r="EV57" i="2" s="1"/>
  <c r="EV56" i="2" a="1"/>
  <c r="EV56" i="2" s="1"/>
  <c r="EV52" i="2" a="1"/>
  <c r="EV52" i="2" s="1"/>
  <c r="EV51" i="2" a="1"/>
  <c r="EV51" i="2" s="1"/>
  <c r="EV53" i="2" a="1"/>
  <c r="EV53" i="2" s="1"/>
  <c r="EV50" i="2" a="1"/>
  <c r="EV50" i="2" s="1"/>
  <c r="EV49" i="2" a="1"/>
  <c r="EV49" i="2" s="1"/>
  <c r="EV48" i="2" a="1"/>
  <c r="EV48" i="2" s="1"/>
  <c r="EV54" i="2" a="1"/>
  <c r="EV54" i="2" s="1"/>
  <c r="EV47" i="2" a="1"/>
  <c r="EV47" i="2" s="1"/>
  <c r="EV41" i="2" a="1"/>
  <c r="EV41" i="2" s="1"/>
  <c r="EV44" i="2" a="1"/>
  <c r="EV44" i="2" s="1"/>
  <c r="EV43" i="2" a="1"/>
  <c r="EV43" i="2" s="1"/>
  <c r="EV46" i="2" a="1"/>
  <c r="EV46" i="2" s="1"/>
  <c r="EV42" i="2" a="1"/>
  <c r="EV42" i="2" s="1"/>
  <c r="EV45" i="2" a="1"/>
  <c r="EV45" i="2" s="1"/>
  <c r="EV40" i="2" a="1"/>
  <c r="EV40" i="2" s="1"/>
  <c r="EV36" i="2" a="1"/>
  <c r="EV36" i="2" s="1"/>
  <c r="EV39" i="2" a="1"/>
  <c r="EV39" i="2" s="1"/>
  <c r="EV34" i="2" a="1"/>
  <c r="EV34" i="2" s="1"/>
  <c r="EV38" i="2" a="1"/>
  <c r="EV38" i="2" s="1"/>
  <c r="EV35" i="2" a="1"/>
  <c r="EV35" i="2" s="1"/>
  <c r="EV37" i="2" a="1"/>
  <c r="EV37" i="2" s="1"/>
  <c r="EV30" i="2" a="1"/>
  <c r="EV30" i="2" s="1"/>
  <c r="EV29" i="2" a="1"/>
  <c r="EV29" i="2" s="1"/>
  <c r="EV28" i="2" a="1"/>
  <c r="EV28" i="2" s="1"/>
  <c r="EV27" i="2" a="1"/>
  <c r="EV27" i="2" s="1"/>
  <c r="EV25" i="2" a="1"/>
  <c r="EV25" i="2" s="1"/>
  <c r="EV33" i="2" a="1"/>
  <c r="EV33" i="2" s="1"/>
  <c r="EV26" i="2" a="1"/>
  <c r="EV26" i="2" s="1"/>
  <c r="EV32" i="2" a="1"/>
  <c r="EV32" i="2" s="1"/>
  <c r="EV31" i="2" a="1"/>
  <c r="EV31" i="2" s="1"/>
  <c r="EV16" i="2" a="1"/>
  <c r="EV16" i="2" s="1"/>
  <c r="EV17" i="2" a="1"/>
  <c r="EV17" i="2" s="1"/>
  <c r="EV15" i="2" a="1"/>
  <c r="EV15" i="2" s="1"/>
  <c r="EV23" i="2" a="1"/>
  <c r="EV23" i="2" s="1"/>
  <c r="EV22" i="2" a="1"/>
  <c r="EV22" i="2" s="1"/>
  <c r="EV21" i="2" a="1"/>
  <c r="EV21" i="2" s="1"/>
  <c r="EV20" i="2" a="1"/>
  <c r="EV20" i="2" s="1"/>
  <c r="EV19" i="2" a="1"/>
  <c r="EV19" i="2" s="1"/>
  <c r="EV18" i="2" a="1"/>
  <c r="EV18" i="2" s="1"/>
  <c r="EV24" i="2" a="1"/>
  <c r="EV24" i="2" s="1"/>
  <c r="EV11" i="2" a="1"/>
  <c r="EV11" i="2" s="1"/>
  <c r="EV14" i="2" a="1"/>
  <c r="EV14" i="2" s="1"/>
  <c r="EV9" i="2" a="1"/>
  <c r="EV9" i="2" s="1"/>
  <c r="EV10" i="2" a="1"/>
  <c r="EV10" i="2" s="1"/>
  <c r="EV13" i="2" a="1"/>
  <c r="EV13" i="2" s="1"/>
  <c r="EV8" i="2" a="1"/>
  <c r="EV8" i="2" s="1"/>
  <c r="EV12" i="2" a="1"/>
  <c r="EV12" i="2" s="1"/>
  <c r="EV4" i="2" a="1"/>
  <c r="EV4" i="2" s="1"/>
  <c r="EV5" i="2" a="1"/>
  <c r="EV5" i="2" s="1"/>
  <c r="EV6" i="2" a="1"/>
  <c r="EV6" i="2" s="1"/>
  <c r="EV7" i="2" a="1"/>
  <c r="EV7" i="2" s="1"/>
  <c r="FH1" i="2"/>
  <c r="EH104" i="2"/>
  <c r="FA100" i="2" a="1"/>
  <c r="FA100" i="2" s="1"/>
  <c r="FA103" i="2" a="1"/>
  <c r="FA103" i="2" s="1"/>
  <c r="FA102" i="2" a="1"/>
  <c r="FA102" i="2" s="1"/>
  <c r="FA101" i="2" a="1"/>
  <c r="FA101" i="2" s="1"/>
  <c r="FA99" i="2" a="1"/>
  <c r="FA99" i="2" s="1"/>
  <c r="FA96" i="2" a="1"/>
  <c r="FA96" i="2" s="1"/>
  <c r="FA95" i="2" a="1"/>
  <c r="FA95" i="2" s="1"/>
  <c r="FA98" i="2" a="1"/>
  <c r="FA98" i="2" s="1"/>
  <c r="FA97" i="2" a="1"/>
  <c r="FA97" i="2" s="1"/>
  <c r="FA92" i="2" a="1"/>
  <c r="FA92" i="2" s="1"/>
  <c r="FA94" i="2" a="1"/>
  <c r="FA94" i="2" s="1"/>
  <c r="FA93" i="2" a="1"/>
  <c r="FA93" i="2" s="1"/>
  <c r="FA91" i="2" a="1"/>
  <c r="FA91" i="2" s="1"/>
  <c r="FA88" i="2" a="1"/>
  <c r="FA88" i="2" s="1"/>
  <c r="FA87" i="2" a="1"/>
  <c r="FA87" i="2" s="1"/>
  <c r="FA90" i="2" a="1"/>
  <c r="FA90" i="2" s="1"/>
  <c r="FA89" i="2" a="1"/>
  <c r="FA89" i="2" s="1"/>
  <c r="FA86" i="2" a="1"/>
  <c r="FA86" i="2" s="1"/>
  <c r="FA84" i="2" a="1"/>
  <c r="FA84" i="2" s="1"/>
  <c r="FA85" i="2" a="1"/>
  <c r="FA85" i="2" s="1"/>
  <c r="FA82" i="2" a="1"/>
  <c r="FA82" i="2" s="1"/>
  <c r="FA81" i="2" a="1"/>
  <c r="FA81" i="2" s="1"/>
  <c r="FA83" i="2" a="1"/>
  <c r="FA83" i="2" s="1"/>
  <c r="FA80" i="2" a="1"/>
  <c r="FA80" i="2" s="1"/>
  <c r="FA76" i="2" a="1"/>
  <c r="FA76" i="2" s="1"/>
  <c r="FA77" i="2" a="1"/>
  <c r="FA77" i="2" s="1"/>
  <c r="FA79" i="2" a="1"/>
  <c r="FA79" i="2" s="1"/>
  <c r="FA78" i="2" a="1"/>
  <c r="FA78" i="2" s="1"/>
  <c r="FA75" i="2" a="1"/>
  <c r="FA75" i="2" s="1"/>
  <c r="FA73" i="2" a="1"/>
  <c r="FA73" i="2" s="1"/>
  <c r="FA74" i="2" a="1"/>
  <c r="FA74" i="2" s="1"/>
  <c r="FA71" i="2" a="1"/>
  <c r="FA71" i="2" s="1"/>
  <c r="FA72" i="2" a="1"/>
  <c r="FA72" i="2" s="1"/>
  <c r="FA69" i="2" a="1"/>
  <c r="FA69" i="2" s="1"/>
  <c r="FA68" i="2" a="1"/>
  <c r="FA68" i="2" s="1"/>
  <c r="FA70" i="2" a="1"/>
  <c r="FA70" i="2" s="1"/>
  <c r="FA65" i="2" a="1"/>
  <c r="FA65" i="2" s="1"/>
  <c r="FA67" i="2" a="1"/>
  <c r="FA67" i="2" s="1"/>
  <c r="FA66" i="2" a="1"/>
  <c r="FA66" i="2" s="1"/>
  <c r="FA64" i="2" a="1"/>
  <c r="FA64" i="2" s="1"/>
  <c r="FA61" i="2" a="1"/>
  <c r="FA61" i="2" s="1"/>
  <c r="FA60" i="2" a="1"/>
  <c r="FA60" i="2" s="1"/>
  <c r="FA63" i="2" a="1"/>
  <c r="FA63" i="2" s="1"/>
  <c r="FA62" i="2" a="1"/>
  <c r="FA62" i="2" s="1"/>
  <c r="FA56" i="2" a="1"/>
  <c r="FA56" i="2" s="1"/>
  <c r="FA58" i="2" a="1"/>
  <c r="FA58" i="2" s="1"/>
  <c r="FA59" i="2" a="1"/>
  <c r="FA59" i="2" s="1"/>
  <c r="FA57" i="2" a="1"/>
  <c r="FA57" i="2" s="1"/>
  <c r="FA53" i="2" a="1"/>
  <c r="FA53" i="2" s="1"/>
  <c r="FA50" i="2" a="1"/>
  <c r="FA50" i="2" s="1"/>
  <c r="FA49" i="2" a="1"/>
  <c r="FA49" i="2" s="1"/>
  <c r="FA55" i="2" a="1"/>
  <c r="FA55" i="2" s="1"/>
  <c r="FA54" i="2" a="1"/>
  <c r="FA54" i="2" s="1"/>
  <c r="FA48" i="2" a="1"/>
  <c r="FA48" i="2" s="1"/>
  <c r="FA52" i="2" a="1"/>
  <c r="FA52" i="2" s="1"/>
  <c r="FA47" i="2" a="1"/>
  <c r="FA47" i="2" s="1"/>
  <c r="FA51" i="2" a="1"/>
  <c r="FA51" i="2" s="1"/>
  <c r="FA45" i="2" a="1"/>
  <c r="FA45" i="2" s="1"/>
  <c r="FA42" i="2" a="1"/>
  <c r="FA42" i="2" s="1"/>
  <c r="FA46" i="2" a="1"/>
  <c r="FA46" i="2" s="1"/>
  <c r="FA40" i="2" a="1"/>
  <c r="FA40" i="2" s="1"/>
  <c r="FA41" i="2" a="1"/>
  <c r="FA41" i="2" s="1"/>
  <c r="FA43" i="2" a="1"/>
  <c r="FA43" i="2" s="1"/>
  <c r="FA44" i="2" a="1"/>
  <c r="FA44" i="2" s="1"/>
  <c r="FA38" i="2" a="1"/>
  <c r="FA38" i="2" s="1"/>
  <c r="FA37" i="2" a="1"/>
  <c r="FA37" i="2" s="1"/>
  <c r="FA36" i="2" a="1"/>
  <c r="FA36" i="2" s="1"/>
  <c r="FA39" i="2" a="1"/>
  <c r="FA39" i="2" s="1"/>
  <c r="FA35" i="2" a="1"/>
  <c r="FA35" i="2" s="1"/>
  <c r="FA34" i="2" a="1"/>
  <c r="FA34" i="2" s="1"/>
  <c r="FA27" i="2" a="1"/>
  <c r="FA27" i="2" s="1"/>
  <c r="FA26" i="2" a="1"/>
  <c r="FA26" i="2" s="1"/>
  <c r="FA25" i="2" a="1"/>
  <c r="FA25" i="2" s="1"/>
  <c r="FA31" i="2" a="1"/>
  <c r="FA31" i="2" s="1"/>
  <c r="FA30" i="2" a="1"/>
  <c r="FA30" i="2" s="1"/>
  <c r="FA33" i="2" a="1"/>
  <c r="FA33" i="2" s="1"/>
  <c r="FA32" i="2" a="1"/>
  <c r="FA32" i="2" s="1"/>
  <c r="FA29" i="2" a="1"/>
  <c r="FA29" i="2" s="1"/>
  <c r="FA28" i="2" a="1"/>
  <c r="FA28" i="2" s="1"/>
  <c r="FA23" i="2" a="1"/>
  <c r="FA23" i="2" s="1"/>
  <c r="FA22" i="2" a="1"/>
  <c r="FA22" i="2" s="1"/>
  <c r="FA21" i="2" a="1"/>
  <c r="FA21" i="2" s="1"/>
  <c r="FA20" i="2" a="1"/>
  <c r="FA20" i="2" s="1"/>
  <c r="FA19" i="2" a="1"/>
  <c r="FA19" i="2" s="1"/>
  <c r="FA18" i="2" a="1"/>
  <c r="FA18" i="2" s="1"/>
  <c r="FA24" i="2" a="1"/>
  <c r="FA24" i="2" s="1"/>
  <c r="FA16" i="2" a="1"/>
  <c r="FA16" i="2" s="1"/>
  <c r="FA17" i="2" a="1"/>
  <c r="FA17" i="2" s="1"/>
  <c r="FA8" i="2" a="1"/>
  <c r="FA8" i="2" s="1"/>
  <c r="FA13" i="2" a="1"/>
  <c r="FA13" i="2" s="1"/>
  <c r="FA15" i="2" a="1"/>
  <c r="FA15" i="2" s="1"/>
  <c r="FA12" i="2" a="1"/>
  <c r="FA12" i="2" s="1"/>
  <c r="FA11" i="2" a="1"/>
  <c r="FA11" i="2" s="1"/>
  <c r="FA9" i="2" a="1"/>
  <c r="FA9" i="2" s="1"/>
  <c r="FA14" i="2" a="1"/>
  <c r="FA14" i="2" s="1"/>
  <c r="FA10" i="2" a="1"/>
  <c r="FA10" i="2" s="1"/>
  <c r="FA6" i="2" a="1"/>
  <c r="FA6" i="2" s="1"/>
  <c r="FA7" i="2" a="1"/>
  <c r="FA7" i="2" s="1"/>
  <c r="FA4" i="2" a="1"/>
  <c r="FA4" i="2" s="1"/>
  <c r="FA5" i="2" a="1"/>
  <c r="FA5" i="2" s="1"/>
  <c r="FM1" i="2"/>
  <c r="EU103" i="2" a="1"/>
  <c r="EU103" i="2" s="1"/>
  <c r="EU102" i="2" a="1"/>
  <c r="EU102" i="2" s="1"/>
  <c r="EU101" i="2" a="1"/>
  <c r="EU101" i="2" s="1"/>
  <c r="EU99" i="2" a="1"/>
  <c r="EU99" i="2" s="1"/>
  <c r="EU100" i="2" a="1"/>
  <c r="EU100" i="2" s="1"/>
  <c r="EU97" i="2" a="1"/>
  <c r="EU97" i="2" s="1"/>
  <c r="EU98" i="2" a="1"/>
  <c r="EU98" i="2" s="1"/>
  <c r="EU96" i="2" a="1"/>
  <c r="EU96" i="2" s="1"/>
  <c r="EU95" i="2" a="1"/>
  <c r="EU95" i="2" s="1"/>
  <c r="EU94" i="2" a="1"/>
  <c r="EU94" i="2" s="1"/>
  <c r="EU93" i="2" a="1"/>
  <c r="EU93" i="2" s="1"/>
  <c r="EU92" i="2" a="1"/>
  <c r="EU92" i="2" s="1"/>
  <c r="EU90" i="2" a="1"/>
  <c r="EU90" i="2" s="1"/>
  <c r="EU91" i="2" a="1"/>
  <c r="EU91" i="2" s="1"/>
  <c r="EU89" i="2" a="1"/>
  <c r="EU89" i="2" s="1"/>
  <c r="EU88" i="2" a="1"/>
  <c r="EU88" i="2" s="1"/>
  <c r="EU84" i="2" a="1"/>
  <c r="EU84" i="2" s="1"/>
  <c r="EU85" i="2" a="1"/>
  <c r="EU85" i="2" s="1"/>
  <c r="EU87" i="2" a="1"/>
  <c r="EU87" i="2" s="1"/>
  <c r="EU83" i="2" a="1"/>
  <c r="EU83" i="2" s="1"/>
  <c r="EU86" i="2" a="1"/>
  <c r="EU86" i="2" s="1"/>
  <c r="EU82" i="2" a="1"/>
  <c r="EU82" i="2" s="1"/>
  <c r="EU79" i="2" a="1"/>
  <c r="EU79" i="2" s="1"/>
  <c r="EU81" i="2" a="1"/>
  <c r="EU81" i="2" s="1"/>
  <c r="EU80" i="2" a="1"/>
  <c r="EU80" i="2" s="1"/>
  <c r="EU77" i="2" a="1"/>
  <c r="EU77" i="2" s="1"/>
  <c r="EU78" i="2" a="1"/>
  <c r="EU78" i="2" s="1"/>
  <c r="EU76" i="2" a="1"/>
  <c r="EU76" i="2" s="1"/>
  <c r="EU74" i="2" a="1"/>
  <c r="EU74" i="2" s="1"/>
  <c r="EU72" i="2" a="1"/>
  <c r="EU72" i="2" s="1"/>
  <c r="EU75" i="2" a="1"/>
  <c r="EU75" i="2" s="1"/>
  <c r="EU73" i="2" a="1"/>
  <c r="EU73" i="2" s="1"/>
  <c r="EU68" i="2" a="1"/>
  <c r="EU68" i="2" s="1"/>
  <c r="EU70" i="2" a="1"/>
  <c r="EU70" i="2" s="1"/>
  <c r="EU71" i="2" a="1"/>
  <c r="EU71" i="2" s="1"/>
  <c r="EU69" i="2" a="1"/>
  <c r="EU69" i="2" s="1"/>
  <c r="EU66" i="2" a="1"/>
  <c r="EU66" i="2" s="1"/>
  <c r="EU67" i="2" a="1"/>
  <c r="EU67" i="2" s="1"/>
  <c r="EU64" i="2" a="1"/>
  <c r="EU64" i="2" s="1"/>
  <c r="EU63" i="2" a="1"/>
  <c r="EU63" i="2" s="1"/>
  <c r="EU65" i="2" a="1"/>
  <c r="EU65" i="2" s="1"/>
  <c r="EU62" i="2" a="1"/>
  <c r="EU62" i="2" s="1"/>
  <c r="EU61" i="2" a="1"/>
  <c r="EU61" i="2" s="1"/>
  <c r="EU59" i="2" a="1"/>
  <c r="EU59" i="2" s="1"/>
  <c r="EU60" i="2" a="1"/>
  <c r="EU60" i="2" s="1"/>
  <c r="EU58" i="2" a="1"/>
  <c r="EU58" i="2" s="1"/>
  <c r="EU57" i="2" a="1"/>
  <c r="EU57" i="2" s="1"/>
  <c r="EU56" i="2" a="1"/>
  <c r="EU56" i="2" s="1"/>
  <c r="EU55" i="2" a="1"/>
  <c r="EU55" i="2" s="1"/>
  <c r="EU54" i="2" a="1"/>
  <c r="EU54" i="2" s="1"/>
  <c r="EU48" i="2" a="1"/>
  <c r="EU48" i="2" s="1"/>
  <c r="EU52" i="2" a="1"/>
  <c r="EU52" i="2" s="1"/>
  <c r="EU51" i="2" a="1"/>
  <c r="EU51" i="2" s="1"/>
  <c r="EU53" i="2" a="1"/>
  <c r="EU53" i="2" s="1"/>
  <c r="EU50" i="2" a="1"/>
  <c r="EU50" i="2" s="1"/>
  <c r="EU49" i="2" a="1"/>
  <c r="EU49" i="2" s="1"/>
  <c r="EU47" i="2" a="1"/>
  <c r="EU47" i="2" s="1"/>
  <c r="EU41" i="2" a="1"/>
  <c r="EU41" i="2" s="1"/>
  <c r="EU44" i="2" a="1"/>
  <c r="EU44" i="2" s="1"/>
  <c r="EU43" i="2" a="1"/>
  <c r="EU43" i="2" s="1"/>
  <c r="EU46" i="2" a="1"/>
  <c r="EU46" i="2" s="1"/>
  <c r="EU42" i="2" a="1"/>
  <c r="EU42" i="2" s="1"/>
  <c r="EU45" i="2" a="1"/>
  <c r="EU45" i="2" s="1"/>
  <c r="EU40" i="2" a="1"/>
  <c r="EU40" i="2" s="1"/>
  <c r="EU37" i="2" a="1"/>
  <c r="EU37" i="2" s="1"/>
  <c r="EU36" i="2" a="1"/>
  <c r="EU36" i="2" s="1"/>
  <c r="EU39" i="2" a="1"/>
  <c r="EU39" i="2" s="1"/>
  <c r="EU34" i="2" a="1"/>
  <c r="EU34" i="2" s="1"/>
  <c r="EU38" i="2" a="1"/>
  <c r="EU38" i="2" s="1"/>
  <c r="EU35" i="2" a="1"/>
  <c r="EU35" i="2" s="1"/>
  <c r="EU32" i="2" a="1"/>
  <c r="EU32" i="2" s="1"/>
  <c r="EU31" i="2" a="1"/>
  <c r="EU31" i="2" s="1"/>
  <c r="EU30" i="2" a="1"/>
  <c r="EU30" i="2" s="1"/>
  <c r="EU29" i="2" a="1"/>
  <c r="EU29" i="2" s="1"/>
  <c r="EU28" i="2" a="1"/>
  <c r="EU28" i="2" s="1"/>
  <c r="EU27" i="2" a="1"/>
  <c r="EU27" i="2" s="1"/>
  <c r="EU25" i="2" a="1"/>
  <c r="EU25" i="2" s="1"/>
  <c r="EU33" i="2" a="1"/>
  <c r="EU33" i="2" s="1"/>
  <c r="EU26" i="2" a="1"/>
  <c r="EU26" i="2" s="1"/>
  <c r="EU16" i="2" a="1"/>
  <c r="EU16" i="2" s="1"/>
  <c r="EU17" i="2" a="1"/>
  <c r="EU17" i="2" s="1"/>
  <c r="EU15" i="2" a="1"/>
  <c r="EU15" i="2" s="1"/>
  <c r="EU23" i="2" a="1"/>
  <c r="EU23" i="2" s="1"/>
  <c r="EU22" i="2" a="1"/>
  <c r="EU22" i="2" s="1"/>
  <c r="EU21" i="2" a="1"/>
  <c r="EU21" i="2" s="1"/>
  <c r="EU20" i="2" a="1"/>
  <c r="EU20" i="2" s="1"/>
  <c r="EU19" i="2" a="1"/>
  <c r="EU19" i="2" s="1"/>
  <c r="EU18" i="2" a="1"/>
  <c r="EU18" i="2" s="1"/>
  <c r="EU24" i="2" a="1"/>
  <c r="EU24" i="2" s="1"/>
  <c r="EU11" i="2" a="1"/>
  <c r="EU11" i="2" s="1"/>
  <c r="EU7" i="2" a="1"/>
  <c r="EU7" i="2" s="1"/>
  <c r="EU14" i="2" a="1"/>
  <c r="EU14" i="2" s="1"/>
  <c r="EU9" i="2" a="1"/>
  <c r="EU9" i="2" s="1"/>
  <c r="EU10" i="2" a="1"/>
  <c r="EU10" i="2" s="1"/>
  <c r="EU8" i="2" a="1"/>
  <c r="EU8" i="2" s="1"/>
  <c r="EU13" i="2" a="1"/>
  <c r="EU13" i="2" s="1"/>
  <c r="EU12" i="2" a="1"/>
  <c r="EU12" i="2" s="1"/>
  <c r="EU4" i="2" a="1"/>
  <c r="EU4" i="2" s="1"/>
  <c r="EU5" i="2" a="1"/>
  <c r="EU5" i="2" s="1"/>
  <c r="EU6" i="2" a="1"/>
  <c r="EU6" i="2" s="1"/>
  <c r="FG1" i="2"/>
  <c r="EJ104" i="2"/>
  <c r="EW100" i="2" a="1"/>
  <c r="EW100" i="2" s="1"/>
  <c r="EW103" i="2" a="1"/>
  <c r="EW103" i="2" s="1"/>
  <c r="EW102" i="2" a="1"/>
  <c r="EW102" i="2" s="1"/>
  <c r="EW101" i="2" a="1"/>
  <c r="EW101" i="2" s="1"/>
  <c r="EW99" i="2" a="1"/>
  <c r="EW99" i="2" s="1"/>
  <c r="EW98" i="2" a="1"/>
  <c r="EW98" i="2" s="1"/>
  <c r="EW96" i="2" a="1"/>
  <c r="EW96" i="2" s="1"/>
  <c r="EW95" i="2" a="1"/>
  <c r="EW95" i="2" s="1"/>
  <c r="EW97" i="2" a="1"/>
  <c r="EW97" i="2" s="1"/>
  <c r="EW94" i="2" a="1"/>
  <c r="EW94" i="2" s="1"/>
  <c r="EW93" i="2" a="1"/>
  <c r="EW93" i="2" s="1"/>
  <c r="EW92" i="2" a="1"/>
  <c r="EW92" i="2" s="1"/>
  <c r="EW90" i="2" a="1"/>
  <c r="EW90" i="2" s="1"/>
  <c r="EW91" i="2" a="1"/>
  <c r="EW91" i="2" s="1"/>
  <c r="EW89" i="2" a="1"/>
  <c r="EW89" i="2" s="1"/>
  <c r="EW88" i="2" a="1"/>
  <c r="EW88" i="2" s="1"/>
  <c r="EW87" i="2" a="1"/>
  <c r="EW87" i="2" s="1"/>
  <c r="EW85" i="2" a="1"/>
  <c r="EW85" i="2" s="1"/>
  <c r="EW86" i="2" a="1"/>
  <c r="EW86" i="2" s="1"/>
  <c r="EW83" i="2" a="1"/>
  <c r="EW83" i="2" s="1"/>
  <c r="EW84" i="2" a="1"/>
  <c r="EW84" i="2" s="1"/>
  <c r="EW80" i="2" a="1"/>
  <c r="EW80" i="2" s="1"/>
  <c r="EW79" i="2" a="1"/>
  <c r="EW79" i="2" s="1"/>
  <c r="EW82" i="2" a="1"/>
  <c r="EW82" i="2" s="1"/>
  <c r="EW81" i="2" a="1"/>
  <c r="EW81" i="2" s="1"/>
  <c r="EW77" i="2" a="1"/>
  <c r="EW77" i="2" s="1"/>
  <c r="EW78" i="2" a="1"/>
  <c r="EW78" i="2" s="1"/>
  <c r="EW76" i="2" a="1"/>
  <c r="EW76" i="2" s="1"/>
  <c r="EW72" i="2" a="1"/>
  <c r="EW72" i="2" s="1"/>
  <c r="EW75" i="2" a="1"/>
  <c r="EW75" i="2" s="1"/>
  <c r="EW73" i="2" a="1"/>
  <c r="EW73" i="2" s="1"/>
  <c r="EW74" i="2" a="1"/>
  <c r="EW74" i="2" s="1"/>
  <c r="EW70" i="2" a="1"/>
  <c r="EW70" i="2" s="1"/>
  <c r="EW71" i="2" a="1"/>
  <c r="EW71" i="2" s="1"/>
  <c r="EW69" i="2" a="1"/>
  <c r="EW69" i="2" s="1"/>
  <c r="EW68" i="2" a="1"/>
  <c r="EW68" i="2" s="1"/>
  <c r="EW66" i="2" a="1"/>
  <c r="EW66" i="2" s="1"/>
  <c r="EW67" i="2" a="1"/>
  <c r="EW67" i="2" s="1"/>
  <c r="EW64" i="2" a="1"/>
  <c r="EW64" i="2" s="1"/>
  <c r="EW65" i="2" a="1"/>
  <c r="EW65" i="2" s="1"/>
  <c r="EW62" i="2" a="1"/>
  <c r="EW62" i="2" s="1"/>
  <c r="EW61" i="2" a="1"/>
  <c r="EW61" i="2" s="1"/>
  <c r="EW59" i="2" a="1"/>
  <c r="EW59" i="2" s="1"/>
  <c r="EW63" i="2" a="1"/>
  <c r="EW63" i="2" s="1"/>
  <c r="EW60" i="2" a="1"/>
  <c r="EW60" i="2" s="1"/>
  <c r="EW57" i="2" a="1"/>
  <c r="EW57" i="2" s="1"/>
  <c r="EW56" i="2" a="1"/>
  <c r="EW56" i="2" s="1"/>
  <c r="EW58" i="2" a="1"/>
  <c r="EW58" i="2" s="1"/>
  <c r="EW52" i="2" a="1"/>
  <c r="EW52" i="2" s="1"/>
  <c r="EW51" i="2" a="1"/>
  <c r="EW51" i="2" s="1"/>
  <c r="EW53" i="2" a="1"/>
  <c r="EW53" i="2" s="1"/>
  <c r="EW50" i="2" a="1"/>
  <c r="EW50" i="2" s="1"/>
  <c r="EW49" i="2" a="1"/>
  <c r="EW49" i="2" s="1"/>
  <c r="EW54" i="2" a="1"/>
  <c r="EW54" i="2" s="1"/>
  <c r="EW48" i="2" a="1"/>
  <c r="EW48" i="2" s="1"/>
  <c r="EW55" i="2" a="1"/>
  <c r="EW55" i="2" s="1"/>
  <c r="EW47" i="2" a="1"/>
  <c r="EW47" i="2" s="1"/>
  <c r="EW41" i="2" a="1"/>
  <c r="EW41" i="2" s="1"/>
  <c r="EW44" i="2" a="1"/>
  <c r="EW44" i="2" s="1"/>
  <c r="EW43" i="2" a="1"/>
  <c r="EW43" i="2" s="1"/>
  <c r="EW46" i="2" a="1"/>
  <c r="EW46" i="2" s="1"/>
  <c r="EW42" i="2" a="1"/>
  <c r="EW42" i="2" s="1"/>
  <c r="EW45" i="2" a="1"/>
  <c r="EW45" i="2" s="1"/>
  <c r="EW36" i="2" a="1"/>
  <c r="EW36" i="2" s="1"/>
  <c r="EW40" i="2" a="1"/>
  <c r="EW40" i="2" s="1"/>
  <c r="EW39" i="2" a="1"/>
  <c r="EW39" i="2" s="1"/>
  <c r="EW35" i="2" a="1"/>
  <c r="EW35" i="2" s="1"/>
  <c r="EW34" i="2" a="1"/>
  <c r="EW34" i="2" s="1"/>
  <c r="EW38" i="2" a="1"/>
  <c r="EW38" i="2" s="1"/>
  <c r="EW37" i="2" a="1"/>
  <c r="EW37" i="2" s="1"/>
  <c r="EW28" i="2" a="1"/>
  <c r="EW28" i="2" s="1"/>
  <c r="EW27" i="2" a="1"/>
  <c r="EW27" i="2" s="1"/>
  <c r="EW25" i="2" a="1"/>
  <c r="EW25" i="2" s="1"/>
  <c r="EW33" i="2" a="1"/>
  <c r="EW33" i="2" s="1"/>
  <c r="EW26" i="2" a="1"/>
  <c r="EW26" i="2" s="1"/>
  <c r="EW32" i="2" a="1"/>
  <c r="EW32" i="2" s="1"/>
  <c r="EW31" i="2" a="1"/>
  <c r="EW31" i="2" s="1"/>
  <c r="EW30" i="2" a="1"/>
  <c r="EW30" i="2" s="1"/>
  <c r="EW29" i="2" a="1"/>
  <c r="EW29" i="2" s="1"/>
  <c r="EW16" i="2" a="1"/>
  <c r="EW16" i="2" s="1"/>
  <c r="EW17" i="2" a="1"/>
  <c r="EW17" i="2" s="1"/>
  <c r="EW15" i="2" a="1"/>
  <c r="EW15" i="2" s="1"/>
  <c r="EW23" i="2" a="1"/>
  <c r="EW23" i="2" s="1"/>
  <c r="EW22" i="2" a="1"/>
  <c r="EW22" i="2" s="1"/>
  <c r="EW21" i="2" a="1"/>
  <c r="EW21" i="2" s="1"/>
  <c r="EW20" i="2" a="1"/>
  <c r="EW20" i="2" s="1"/>
  <c r="EW19" i="2" a="1"/>
  <c r="EW19" i="2" s="1"/>
  <c r="EW18" i="2" a="1"/>
  <c r="EW18" i="2" s="1"/>
  <c r="EW24" i="2" a="1"/>
  <c r="EW24" i="2" s="1"/>
  <c r="EW14" i="2" a="1"/>
  <c r="EW14" i="2" s="1"/>
  <c r="EW9" i="2" a="1"/>
  <c r="EW9" i="2" s="1"/>
  <c r="EW10" i="2" a="1"/>
  <c r="EW10" i="2" s="1"/>
  <c r="EW13" i="2" a="1"/>
  <c r="EW13" i="2" s="1"/>
  <c r="EW8" i="2" a="1"/>
  <c r="EW8" i="2" s="1"/>
  <c r="EW12" i="2" a="1"/>
  <c r="EW12" i="2" s="1"/>
  <c r="EW11" i="2" a="1"/>
  <c r="EW11" i="2" s="1"/>
  <c r="EW4" i="2" a="1"/>
  <c r="EW4" i="2" s="1"/>
  <c r="EW5" i="2" a="1"/>
  <c r="EW5" i="2" s="1"/>
  <c r="EW6" i="2" a="1"/>
  <c r="EW6" i="2" s="1"/>
  <c r="EW7" i="2" a="1"/>
  <c r="EW7" i="2" s="1"/>
  <c r="FI1" i="2"/>
  <c r="EI104" i="2"/>
  <c r="EZ100" i="2" a="1"/>
  <c r="EZ100" i="2" s="1"/>
  <c r="EZ103" i="2" a="1"/>
  <c r="EZ103" i="2" s="1"/>
  <c r="EZ102" i="2" a="1"/>
  <c r="EZ102" i="2" s="1"/>
  <c r="EZ101" i="2" a="1"/>
  <c r="EZ101" i="2" s="1"/>
  <c r="EZ99" i="2" a="1"/>
  <c r="EZ99" i="2" s="1"/>
  <c r="EZ98" i="2" a="1"/>
  <c r="EZ98" i="2" s="1"/>
  <c r="EZ96" i="2" a="1"/>
  <c r="EZ96" i="2" s="1"/>
  <c r="EZ95" i="2" a="1"/>
  <c r="EZ95" i="2" s="1"/>
  <c r="EZ97" i="2" a="1"/>
  <c r="EZ97" i="2" s="1"/>
  <c r="EZ93" i="2" a="1"/>
  <c r="EZ93" i="2" s="1"/>
  <c r="EZ92" i="2" a="1"/>
  <c r="EZ92" i="2" s="1"/>
  <c r="EZ94" i="2" a="1"/>
  <c r="EZ94" i="2" s="1"/>
  <c r="EZ89" i="2" a="1"/>
  <c r="EZ89" i="2" s="1"/>
  <c r="EZ91" i="2" a="1"/>
  <c r="EZ91" i="2" s="1"/>
  <c r="EZ88" i="2" a="1"/>
  <c r="EZ88" i="2" s="1"/>
  <c r="EZ90" i="2" a="1"/>
  <c r="EZ90" i="2" s="1"/>
  <c r="EZ86" i="2" a="1"/>
  <c r="EZ86" i="2" s="1"/>
  <c r="EZ84" i="2" a="1"/>
  <c r="EZ84" i="2" s="1"/>
  <c r="EZ85" i="2" a="1"/>
  <c r="EZ85" i="2" s="1"/>
  <c r="EZ87" i="2" a="1"/>
  <c r="EZ87" i="2" s="1"/>
  <c r="EZ80" i="2" a="1"/>
  <c r="EZ80" i="2" s="1"/>
  <c r="EZ82" i="2" a="1"/>
  <c r="EZ82" i="2" s="1"/>
  <c r="EZ81" i="2" a="1"/>
  <c r="EZ81" i="2" s="1"/>
  <c r="EZ83" i="2" a="1"/>
  <c r="EZ83" i="2" s="1"/>
  <c r="EZ78" i="2" a="1"/>
  <c r="EZ78" i="2" s="1"/>
  <c r="EZ76" i="2" a="1"/>
  <c r="EZ76" i="2" s="1"/>
  <c r="EZ77" i="2" a="1"/>
  <c r="EZ77" i="2" s="1"/>
  <c r="EZ79" i="2" a="1"/>
  <c r="EZ79" i="2" s="1"/>
  <c r="EZ75" i="2" a="1"/>
  <c r="EZ75" i="2" s="1"/>
  <c r="EZ73" i="2" a="1"/>
  <c r="EZ73" i="2" s="1"/>
  <c r="EZ74" i="2" a="1"/>
  <c r="EZ74" i="2" s="1"/>
  <c r="EZ72" i="2" a="1"/>
  <c r="EZ72" i="2" s="1"/>
  <c r="EZ71" i="2" a="1"/>
  <c r="EZ71" i="2" s="1"/>
  <c r="EZ69" i="2" a="1"/>
  <c r="EZ69" i="2" s="1"/>
  <c r="EZ68" i="2" a="1"/>
  <c r="EZ68" i="2" s="1"/>
  <c r="EZ70" i="2" a="1"/>
  <c r="EZ70" i="2" s="1"/>
  <c r="EZ64" i="2" a="1"/>
  <c r="EZ64" i="2" s="1"/>
  <c r="EZ63" i="2" a="1"/>
  <c r="EZ63" i="2" s="1"/>
  <c r="EZ65" i="2" a="1"/>
  <c r="EZ65" i="2" s="1"/>
  <c r="EZ67" i="2" a="1"/>
  <c r="EZ67" i="2" s="1"/>
  <c r="EZ66" i="2" a="1"/>
  <c r="EZ66" i="2" s="1"/>
  <c r="EZ59" i="2" a="1"/>
  <c r="EZ59" i="2" s="1"/>
  <c r="EZ61" i="2" a="1"/>
  <c r="EZ61" i="2" s="1"/>
  <c r="EZ60" i="2" a="1"/>
  <c r="EZ60" i="2" s="1"/>
  <c r="EZ62" i="2" a="1"/>
  <c r="EZ62" i="2" s="1"/>
  <c r="EZ56" i="2" a="1"/>
  <c r="EZ56" i="2" s="1"/>
  <c r="EZ58" i="2" a="1"/>
  <c r="EZ58" i="2" s="1"/>
  <c r="EZ57" i="2" a="1"/>
  <c r="EZ57" i="2" s="1"/>
  <c r="EZ51" i="2" a="1"/>
  <c r="EZ51" i="2" s="1"/>
  <c r="EZ53" i="2" a="1"/>
  <c r="EZ53" i="2" s="1"/>
  <c r="EZ50" i="2" a="1"/>
  <c r="EZ50" i="2" s="1"/>
  <c r="EZ49" i="2" a="1"/>
  <c r="EZ49" i="2" s="1"/>
  <c r="EZ55" i="2" a="1"/>
  <c r="EZ55" i="2" s="1"/>
  <c r="EZ54" i="2" a="1"/>
  <c r="EZ54" i="2" s="1"/>
  <c r="EZ48" i="2" a="1"/>
  <c r="EZ48" i="2" s="1"/>
  <c r="EZ52" i="2" a="1"/>
  <c r="EZ52" i="2" s="1"/>
  <c r="EZ44" i="2" a="1"/>
  <c r="EZ44" i="2" s="1"/>
  <c r="EZ46" i="2" a="1"/>
  <c r="EZ46" i="2" s="1"/>
  <c r="EZ45" i="2" a="1"/>
  <c r="EZ45" i="2" s="1"/>
  <c r="EZ42" i="2" a="1"/>
  <c r="EZ42" i="2" s="1"/>
  <c r="EZ41" i="2" a="1"/>
  <c r="EZ41" i="2" s="1"/>
  <c r="EZ47" i="2" a="1"/>
  <c r="EZ47" i="2" s="1"/>
  <c r="EZ43" i="2" a="1"/>
  <c r="EZ43" i="2" s="1"/>
  <c r="EZ35" i="2" a="1"/>
  <c r="EZ35" i="2" s="1"/>
  <c r="EZ40" i="2" a="1"/>
  <c r="EZ40" i="2" s="1"/>
  <c r="EZ34" i="2" a="1"/>
  <c r="EZ34" i="2" s="1"/>
  <c r="EZ38" i="2" a="1"/>
  <c r="EZ38" i="2" s="1"/>
  <c r="EZ37" i="2" a="1"/>
  <c r="EZ37" i="2" s="1"/>
  <c r="EZ36" i="2" a="1"/>
  <c r="EZ36" i="2" s="1"/>
  <c r="EZ39" i="2" a="1"/>
  <c r="EZ39" i="2" s="1"/>
  <c r="EZ27" i="2" a="1"/>
  <c r="EZ27" i="2" s="1"/>
  <c r="EZ25" i="2" a="1"/>
  <c r="EZ25" i="2" s="1"/>
  <c r="EZ24" i="2" a="1"/>
  <c r="EZ24" i="2" s="1"/>
  <c r="EZ26" i="2" a="1"/>
  <c r="EZ26" i="2" s="1"/>
  <c r="EZ31" i="2" a="1"/>
  <c r="EZ31" i="2" s="1"/>
  <c r="EZ33" i="2" a="1"/>
  <c r="EZ33" i="2" s="1"/>
  <c r="EZ32" i="2" a="1"/>
  <c r="EZ32" i="2" s="1"/>
  <c r="EZ30" i="2" a="1"/>
  <c r="EZ30" i="2" s="1"/>
  <c r="EZ29" i="2" a="1"/>
  <c r="EZ29" i="2" s="1"/>
  <c r="EZ28" i="2" a="1"/>
  <c r="EZ28" i="2" s="1"/>
  <c r="EZ15" i="2" a="1"/>
  <c r="EZ15" i="2" s="1"/>
  <c r="EZ23" i="2" a="1"/>
  <c r="EZ23" i="2" s="1"/>
  <c r="EZ22" i="2" a="1"/>
  <c r="EZ22" i="2" s="1"/>
  <c r="EZ21" i="2" a="1"/>
  <c r="EZ21" i="2" s="1"/>
  <c r="EZ20" i="2" a="1"/>
  <c r="EZ20" i="2" s="1"/>
  <c r="EZ19" i="2" a="1"/>
  <c r="EZ19" i="2" s="1"/>
  <c r="EZ18" i="2" a="1"/>
  <c r="EZ18" i="2" s="1"/>
  <c r="EZ16" i="2" a="1"/>
  <c r="EZ16" i="2" s="1"/>
  <c r="EZ17" i="2" a="1"/>
  <c r="EZ17" i="2" s="1"/>
  <c r="EZ10" i="2" a="1"/>
  <c r="EZ10" i="2" s="1"/>
  <c r="EZ8" i="2" a="1"/>
  <c r="EZ8" i="2" s="1"/>
  <c r="EZ13" i="2" a="1"/>
  <c r="EZ13" i="2" s="1"/>
  <c r="EZ12" i="2" a="1"/>
  <c r="EZ12" i="2" s="1"/>
  <c r="EZ11" i="2" a="1"/>
  <c r="EZ11" i="2" s="1"/>
  <c r="EZ9" i="2" a="1"/>
  <c r="EZ9" i="2" s="1"/>
  <c r="EZ7" i="2" a="1"/>
  <c r="EZ7" i="2" s="1"/>
  <c r="EZ14" i="2" a="1"/>
  <c r="EZ14" i="2" s="1"/>
  <c r="EZ5" i="2" a="1"/>
  <c r="EZ5" i="2" s="1"/>
  <c r="EZ6" i="2" a="1"/>
  <c r="EZ6" i="2" s="1"/>
  <c r="EZ4" i="2" a="1"/>
  <c r="EZ4" i="2" s="1"/>
  <c r="FL1" i="2"/>
  <c r="EK104" i="2"/>
  <c r="EO104" i="2"/>
  <c r="ER100" i="2" a="1"/>
  <c r="ER100" i="2" s="1"/>
  <c r="ER103" i="2" a="1"/>
  <c r="ER103" i="2" s="1"/>
  <c r="ER102" i="2" a="1"/>
  <c r="ER102" i="2" s="1"/>
  <c r="ER101" i="2" a="1"/>
  <c r="ER101" i="2" s="1"/>
  <c r="ER99" i="2" a="1"/>
  <c r="ER99" i="2" s="1"/>
  <c r="ER98" i="2" a="1"/>
  <c r="ER98" i="2" s="1"/>
  <c r="ER96" i="2" a="1"/>
  <c r="ER96" i="2" s="1"/>
  <c r="ER95" i="2" a="1"/>
  <c r="ER95" i="2" s="1"/>
  <c r="ER97" i="2" a="1"/>
  <c r="ER97" i="2" s="1"/>
  <c r="ER92" i="2" a="1"/>
  <c r="ER92" i="2" s="1"/>
  <c r="ER94" i="2" a="1"/>
  <c r="ER94" i="2" s="1"/>
  <c r="ER93" i="2" a="1"/>
  <c r="ER93" i="2" s="1"/>
  <c r="ER88" i="2" a="1"/>
  <c r="ER88" i="2" s="1"/>
  <c r="ER90" i="2" a="1"/>
  <c r="ER90" i="2" s="1"/>
  <c r="ER91" i="2" a="1"/>
  <c r="ER91" i="2" s="1"/>
  <c r="ER89" i="2" a="1"/>
  <c r="ER89" i="2" s="1"/>
  <c r="ER86" i="2" a="1"/>
  <c r="ER86" i="2" s="1"/>
  <c r="ER84" i="2" a="1"/>
  <c r="ER84" i="2" s="1"/>
  <c r="ER87" i="2" a="1"/>
  <c r="ER87" i="2" s="1"/>
  <c r="ER85" i="2" a="1"/>
  <c r="ER85" i="2" s="1"/>
  <c r="ER80" i="2" a="1"/>
  <c r="ER80" i="2" s="1"/>
  <c r="ER83" i="2" a="1"/>
  <c r="ER83" i="2" s="1"/>
  <c r="ER82" i="2" a="1"/>
  <c r="ER82" i="2" s="1"/>
  <c r="ER81" i="2" a="1"/>
  <c r="ER81" i="2" s="1"/>
  <c r="ER76" i="2" a="1"/>
  <c r="ER76" i="2" s="1"/>
  <c r="ER77" i="2" a="1"/>
  <c r="ER77" i="2" s="1"/>
  <c r="ER79" i="2" a="1"/>
  <c r="ER79" i="2" s="1"/>
  <c r="ER78" i="2" a="1"/>
  <c r="ER78" i="2" s="1"/>
  <c r="ER73" i="2" a="1"/>
  <c r="ER73" i="2" s="1"/>
  <c r="ER74" i="2" a="1"/>
  <c r="ER74" i="2" s="1"/>
  <c r="ER71" i="2" a="1"/>
  <c r="ER71" i="2" s="1"/>
  <c r="ER72" i="2" a="1"/>
  <c r="ER72" i="2" s="1"/>
  <c r="ER75" i="2" a="1"/>
  <c r="ER75" i="2" s="1"/>
  <c r="ER69" i="2" a="1"/>
  <c r="ER69" i="2" s="1"/>
  <c r="ER68" i="2" a="1"/>
  <c r="ER68" i="2" s="1"/>
  <c r="ER70" i="2" a="1"/>
  <c r="ER70" i="2" s="1"/>
  <c r="ER63" i="2" a="1"/>
  <c r="ER63" i="2" s="1"/>
  <c r="ER65" i="2" a="1"/>
  <c r="ER65" i="2" s="1"/>
  <c r="ER67" i="2" a="1"/>
  <c r="ER67" i="2" s="1"/>
  <c r="ER66" i="2" a="1"/>
  <c r="ER66" i="2" s="1"/>
  <c r="ER64" i="2" a="1"/>
  <c r="ER64" i="2" s="1"/>
  <c r="ER60" i="2" a="1"/>
  <c r="ER60" i="2" s="1"/>
  <c r="ER62" i="2" a="1"/>
  <c r="ER62" i="2" s="1"/>
  <c r="ER61" i="2" a="1"/>
  <c r="ER61" i="2" s="1"/>
  <c r="ER56" i="2" a="1"/>
  <c r="ER56" i="2" s="1"/>
  <c r="ER58" i="2" a="1"/>
  <c r="ER58" i="2" s="1"/>
  <c r="ER59" i="2" a="1"/>
  <c r="ER59" i="2" s="1"/>
  <c r="ER57" i="2" a="1"/>
  <c r="ER57" i="2" s="1"/>
  <c r="ER49" i="2" a="1"/>
  <c r="ER49" i="2" s="1"/>
  <c r="ER54" i="2" a="1"/>
  <c r="ER54" i="2" s="1"/>
  <c r="ER48" i="2" a="1"/>
  <c r="ER48" i="2" s="1"/>
  <c r="ER55" i="2" a="1"/>
  <c r="ER55" i="2" s="1"/>
  <c r="ER52" i="2" a="1"/>
  <c r="ER52" i="2" s="1"/>
  <c r="ER51" i="2" a="1"/>
  <c r="ER51" i="2" s="1"/>
  <c r="ER53" i="2" a="1"/>
  <c r="ER53" i="2" s="1"/>
  <c r="ER50" i="2" a="1"/>
  <c r="ER50" i="2" s="1"/>
  <c r="ER45" i="2" a="1"/>
  <c r="ER45" i="2" s="1"/>
  <c r="ER42" i="2" a="1"/>
  <c r="ER42" i="2" s="1"/>
  <c r="ER40" i="2" a="1"/>
  <c r="ER40" i="2" s="1"/>
  <c r="ER47" i="2" a="1"/>
  <c r="ER47" i="2" s="1"/>
  <c r="ER41" i="2" a="1"/>
  <c r="ER41" i="2" s="1"/>
  <c r="ER44" i="2" a="1"/>
  <c r="ER44" i="2" s="1"/>
  <c r="ER43" i="2" a="1"/>
  <c r="ER43" i="2" s="1"/>
  <c r="ER46" i="2" a="1"/>
  <c r="ER46" i="2" s="1"/>
  <c r="ER38" i="2" a="1"/>
  <c r="ER38" i="2" s="1"/>
  <c r="ER33" i="2" a="1"/>
  <c r="ER33" i="2" s="1"/>
  <c r="ER37" i="2" a="1"/>
  <c r="ER37" i="2" s="1"/>
  <c r="ER36" i="2" a="1"/>
  <c r="ER36" i="2" s="1"/>
  <c r="ER39" i="2" a="1"/>
  <c r="ER39" i="2" s="1"/>
  <c r="ER35" i="2" a="1"/>
  <c r="ER35" i="2" s="1"/>
  <c r="ER34" i="2" a="1"/>
  <c r="ER34" i="2" s="1"/>
  <c r="ER26" i="2" a="1"/>
  <c r="ER26" i="2" s="1"/>
  <c r="ER31" i="2" a="1"/>
  <c r="ER31" i="2" s="1"/>
  <c r="ER32" i="2" a="1"/>
  <c r="ER32" i="2" s="1"/>
  <c r="ER30" i="2" a="1"/>
  <c r="ER30" i="2" s="1"/>
  <c r="ER29" i="2" a="1"/>
  <c r="ER29" i="2" s="1"/>
  <c r="ER28" i="2" a="1"/>
  <c r="ER28" i="2" s="1"/>
  <c r="ER27" i="2" a="1"/>
  <c r="ER27" i="2" s="1"/>
  <c r="ER25" i="2" a="1"/>
  <c r="ER25" i="2" s="1"/>
  <c r="ER24" i="2" a="1"/>
  <c r="ER24" i="2" s="1"/>
  <c r="ER15" i="2" a="1"/>
  <c r="ER15" i="2" s="1"/>
  <c r="ER17" i="2" a="1"/>
  <c r="ER17" i="2" s="1"/>
  <c r="ER16" i="2" a="1"/>
  <c r="ER16" i="2" s="1"/>
  <c r="ER23" i="2" a="1"/>
  <c r="ER23" i="2" s="1"/>
  <c r="ER22" i="2" a="1"/>
  <c r="ER22" i="2" s="1"/>
  <c r="ER21" i="2" a="1"/>
  <c r="ER21" i="2" s="1"/>
  <c r="ER20" i="2" a="1"/>
  <c r="ER20" i="2" s="1"/>
  <c r="ER19" i="2" a="1"/>
  <c r="ER19" i="2" s="1"/>
  <c r="ER18" i="2" a="1"/>
  <c r="ER18" i="2" s="1"/>
  <c r="ER10" i="2" a="1"/>
  <c r="ER10" i="2" s="1"/>
  <c r="ER8" i="2" a="1"/>
  <c r="ER8" i="2" s="1"/>
  <c r="ER13" i="2" a="1"/>
  <c r="ER13" i="2" s="1"/>
  <c r="ER12" i="2" a="1"/>
  <c r="ER12" i="2" s="1"/>
  <c r="ER11" i="2" a="1"/>
  <c r="ER11" i="2" s="1"/>
  <c r="ER14" i="2" a="1"/>
  <c r="ER14" i="2" s="1"/>
  <c r="ER9" i="2" a="1"/>
  <c r="ER9" i="2" s="1"/>
  <c r="ER7" i="2" a="1"/>
  <c r="ER7" i="2" s="1"/>
  <c r="ER5" i="2" a="1"/>
  <c r="ER5" i="2" s="1"/>
  <c r="ER6" i="2" a="1"/>
  <c r="ER6" i="2" s="1"/>
  <c r="ER4" i="2" a="1"/>
  <c r="ER4" i="2" s="1"/>
  <c r="FD1" i="2"/>
  <c r="EN104" i="2"/>
  <c r="EX100" i="2" a="1"/>
  <c r="EX100" i="2" s="1"/>
  <c r="EX103" i="2" a="1"/>
  <c r="EX103" i="2" s="1"/>
  <c r="EX102" i="2" a="1"/>
  <c r="EX102" i="2" s="1"/>
  <c r="EX101" i="2" a="1"/>
  <c r="EX101" i="2" s="1"/>
  <c r="EX99" i="2" a="1"/>
  <c r="EX99" i="2" s="1"/>
  <c r="EX98" i="2" a="1"/>
  <c r="EX98" i="2" s="1"/>
  <c r="EX96" i="2" a="1"/>
  <c r="EX96" i="2" s="1"/>
  <c r="EX97" i="2" a="1"/>
  <c r="EX97" i="2" s="1"/>
  <c r="EX95" i="2" a="1"/>
  <c r="EX95" i="2" s="1"/>
  <c r="EX93" i="2" a="1"/>
  <c r="EX93" i="2" s="1"/>
  <c r="EX92" i="2" a="1"/>
  <c r="EX92" i="2" s="1"/>
  <c r="EX91" i="2" a="1"/>
  <c r="EX91" i="2" s="1"/>
  <c r="EX94" i="2" a="1"/>
  <c r="EX94" i="2" s="1"/>
  <c r="EX89" i="2" a="1"/>
  <c r="EX89" i="2" s="1"/>
  <c r="EX88" i="2" a="1"/>
  <c r="EX88" i="2" s="1"/>
  <c r="EX90" i="2" a="1"/>
  <c r="EX90" i="2" s="1"/>
  <c r="EX85" i="2" a="1"/>
  <c r="EX85" i="2" s="1"/>
  <c r="EX87" i="2" a="1"/>
  <c r="EX87" i="2" s="1"/>
  <c r="EX86" i="2" a="1"/>
  <c r="EX86" i="2" s="1"/>
  <c r="EX84" i="2" a="1"/>
  <c r="EX84" i="2" s="1"/>
  <c r="EX80" i="2" a="1"/>
  <c r="EX80" i="2" s="1"/>
  <c r="EX82" i="2" a="1"/>
  <c r="EX82" i="2" s="1"/>
  <c r="EX81" i="2" a="1"/>
  <c r="EX81" i="2" s="1"/>
  <c r="EX83" i="2" a="1"/>
  <c r="EX83" i="2" s="1"/>
  <c r="EX79" i="2" a="1"/>
  <c r="EX79" i="2" s="1"/>
  <c r="EX78" i="2" a="1"/>
  <c r="EX78" i="2" s="1"/>
  <c r="EX76" i="2" a="1"/>
  <c r="EX76" i="2" s="1"/>
  <c r="EX77" i="2" a="1"/>
  <c r="EX77" i="2" s="1"/>
  <c r="EX72" i="2" a="1"/>
  <c r="EX72" i="2" s="1"/>
  <c r="EX75" i="2" a="1"/>
  <c r="EX75" i="2" s="1"/>
  <c r="EX73" i="2" a="1"/>
  <c r="EX73" i="2" s="1"/>
  <c r="EX74" i="2" a="1"/>
  <c r="EX74" i="2" s="1"/>
  <c r="EX70" i="2" a="1"/>
  <c r="EX70" i="2" s="1"/>
  <c r="EX71" i="2" a="1"/>
  <c r="EX71" i="2" s="1"/>
  <c r="EX69" i="2" a="1"/>
  <c r="EX69" i="2" s="1"/>
  <c r="EX68" i="2" a="1"/>
  <c r="EX68" i="2" s="1"/>
  <c r="EX67" i="2" a="1"/>
  <c r="EX67" i="2" s="1"/>
  <c r="EX66" i="2" a="1"/>
  <c r="EX66" i="2" s="1"/>
  <c r="EX64" i="2" a="1"/>
  <c r="EX64" i="2" s="1"/>
  <c r="EX63" i="2" a="1"/>
  <c r="EX63" i="2" s="1"/>
  <c r="EX65" i="2" a="1"/>
  <c r="EX65" i="2" s="1"/>
  <c r="EX62" i="2" a="1"/>
  <c r="EX62" i="2" s="1"/>
  <c r="EX61" i="2" a="1"/>
  <c r="EX61" i="2" s="1"/>
  <c r="EX60" i="2" a="1"/>
  <c r="EX60" i="2" s="1"/>
  <c r="EX57" i="2" a="1"/>
  <c r="EX57" i="2" s="1"/>
  <c r="EX56" i="2" a="1"/>
  <c r="EX56" i="2" s="1"/>
  <c r="EX59" i="2" a="1"/>
  <c r="EX59" i="2" s="1"/>
  <c r="EX58" i="2" a="1"/>
  <c r="EX58" i="2" s="1"/>
  <c r="EX51" i="2" a="1"/>
  <c r="EX51" i="2" s="1"/>
  <c r="EX53" i="2" a="1"/>
  <c r="EX53" i="2" s="1"/>
  <c r="EX50" i="2" a="1"/>
  <c r="EX50" i="2" s="1"/>
  <c r="EX49" i="2" a="1"/>
  <c r="EX49" i="2" s="1"/>
  <c r="EX54" i="2" a="1"/>
  <c r="EX54" i="2" s="1"/>
  <c r="EX48" i="2" a="1"/>
  <c r="EX48" i="2" s="1"/>
  <c r="EX55" i="2" a="1"/>
  <c r="EX55" i="2" s="1"/>
  <c r="EX52" i="2" a="1"/>
  <c r="EX52" i="2" s="1"/>
  <c r="EX47" i="2" a="1"/>
  <c r="EX47" i="2" s="1"/>
  <c r="EX43" i="2" a="1"/>
  <c r="EX43" i="2" s="1"/>
  <c r="EX44" i="2" a="1"/>
  <c r="EX44" i="2" s="1"/>
  <c r="EX46" i="2" a="1"/>
  <c r="EX46" i="2" s="1"/>
  <c r="EX45" i="2" a="1"/>
  <c r="EX45" i="2" s="1"/>
  <c r="EX42" i="2" a="1"/>
  <c r="EX42" i="2" s="1"/>
  <c r="EX40" i="2" a="1"/>
  <c r="EX40" i="2" s="1"/>
  <c r="EX39" i="2" a="1"/>
  <c r="EX39" i="2" s="1"/>
  <c r="EX41" i="2" a="1"/>
  <c r="EX41" i="2" s="1"/>
  <c r="EX35" i="2" a="1"/>
  <c r="EX35" i="2" s="1"/>
  <c r="EX34" i="2" a="1"/>
  <c r="EX34" i="2" s="1"/>
  <c r="EX38" i="2" a="1"/>
  <c r="EX38" i="2" s="1"/>
  <c r="EX33" i="2" a="1"/>
  <c r="EX33" i="2" s="1"/>
  <c r="EX37" i="2" a="1"/>
  <c r="EX37" i="2" s="1"/>
  <c r="EX36" i="2" a="1"/>
  <c r="EX36" i="2" s="1"/>
  <c r="EX28" i="2" a="1"/>
  <c r="EX28" i="2" s="1"/>
  <c r="EX27" i="2" a="1"/>
  <c r="EX27" i="2" s="1"/>
  <c r="EX25" i="2" a="1"/>
  <c r="EX25" i="2" s="1"/>
  <c r="EX26" i="2" a="1"/>
  <c r="EX26" i="2" s="1"/>
  <c r="EX32" i="2" a="1"/>
  <c r="EX32" i="2" s="1"/>
  <c r="EX31" i="2" a="1"/>
  <c r="EX31" i="2" s="1"/>
  <c r="EX30" i="2" a="1"/>
  <c r="EX30" i="2" s="1"/>
  <c r="EX29" i="2" a="1"/>
  <c r="EX29" i="2" s="1"/>
  <c r="EX17" i="2" a="1"/>
  <c r="EX17" i="2" s="1"/>
  <c r="EX15" i="2" a="1"/>
  <c r="EX15" i="2" s="1"/>
  <c r="EX23" i="2" a="1"/>
  <c r="EX23" i="2" s="1"/>
  <c r="EX22" i="2" a="1"/>
  <c r="EX22" i="2" s="1"/>
  <c r="EX21" i="2" a="1"/>
  <c r="EX21" i="2" s="1"/>
  <c r="EX20" i="2" a="1"/>
  <c r="EX20" i="2" s="1"/>
  <c r="EX19" i="2" a="1"/>
  <c r="EX19" i="2" s="1"/>
  <c r="EX18" i="2" a="1"/>
  <c r="EX18" i="2" s="1"/>
  <c r="EX24" i="2" a="1"/>
  <c r="EX24" i="2" s="1"/>
  <c r="EX16" i="2" a="1"/>
  <c r="EX16" i="2" s="1"/>
  <c r="EX14" i="2" a="1"/>
  <c r="EX14" i="2" s="1"/>
  <c r="EX9" i="2" a="1"/>
  <c r="EX9" i="2" s="1"/>
  <c r="EX7" i="2" a="1"/>
  <c r="EX7" i="2" s="1"/>
  <c r="EX10" i="2" a="1"/>
  <c r="EX10" i="2" s="1"/>
  <c r="EX13" i="2" a="1"/>
  <c r="EX13" i="2" s="1"/>
  <c r="EX8" i="2" a="1"/>
  <c r="EX8" i="2" s="1"/>
  <c r="EX12" i="2" a="1"/>
  <c r="EX12" i="2" s="1"/>
  <c r="EX11" i="2" a="1"/>
  <c r="EX11" i="2" s="1"/>
  <c r="EX4" i="2" a="1"/>
  <c r="EX4" i="2" s="1"/>
  <c r="EX5" i="2" a="1"/>
  <c r="EX5" i="2" s="1"/>
  <c r="EX6" i="2" a="1"/>
  <c r="EX6" i="2" s="1"/>
  <c r="FJ1" i="2"/>
  <c r="EY100" i="2" a="1"/>
  <c r="EY100" i="2" s="1"/>
  <c r="EY103" i="2" a="1"/>
  <c r="EY103" i="2" s="1"/>
  <c r="EY102" i="2" a="1"/>
  <c r="EY102" i="2" s="1"/>
  <c r="EY101" i="2" a="1"/>
  <c r="EY101" i="2" s="1"/>
  <c r="EY99" i="2" a="1"/>
  <c r="EY99" i="2" s="1"/>
  <c r="EY98" i="2" a="1"/>
  <c r="EY98" i="2" s="1"/>
  <c r="EY96" i="2" a="1"/>
  <c r="EY96" i="2" s="1"/>
  <c r="EY97" i="2" a="1"/>
  <c r="EY97" i="2" s="1"/>
  <c r="EY95" i="2" a="1"/>
  <c r="EY95" i="2" s="1"/>
  <c r="EY93" i="2" a="1"/>
  <c r="EY93" i="2" s="1"/>
  <c r="EY92" i="2" a="1"/>
  <c r="EY92" i="2" s="1"/>
  <c r="EY94" i="2" a="1"/>
  <c r="EY94" i="2" s="1"/>
  <c r="EY89" i="2" a="1"/>
  <c r="EY89" i="2" s="1"/>
  <c r="EY91" i="2" a="1"/>
  <c r="EY91" i="2" s="1"/>
  <c r="EY88" i="2" a="1"/>
  <c r="EY88" i="2" s="1"/>
  <c r="EY90" i="2" a="1"/>
  <c r="EY90" i="2" s="1"/>
  <c r="EY87" i="2" a="1"/>
  <c r="EY87" i="2" s="1"/>
  <c r="EY86" i="2" a="1"/>
  <c r="EY86" i="2" s="1"/>
  <c r="EY83" i="2" a="1"/>
  <c r="EY83" i="2" s="1"/>
  <c r="EY84" i="2" a="1"/>
  <c r="EY84" i="2" s="1"/>
  <c r="EY85" i="2" a="1"/>
  <c r="EY85" i="2" s="1"/>
  <c r="EY80" i="2" a="1"/>
  <c r="EY80" i="2" s="1"/>
  <c r="EY82" i="2" a="1"/>
  <c r="EY82" i="2" s="1"/>
  <c r="EY81" i="2" a="1"/>
  <c r="EY81" i="2" s="1"/>
  <c r="EY78" i="2" a="1"/>
  <c r="EY78" i="2" s="1"/>
  <c r="EY75" i="2" a="1"/>
  <c r="EY75" i="2" s="1"/>
  <c r="EY76" i="2" a="1"/>
  <c r="EY76" i="2" s="1"/>
  <c r="EY77" i="2" a="1"/>
  <c r="EY77" i="2" s="1"/>
  <c r="EY79" i="2" a="1"/>
  <c r="EY79" i="2" s="1"/>
  <c r="EY72" i="2" a="1"/>
  <c r="EY72" i="2" s="1"/>
  <c r="EY73" i="2" a="1"/>
  <c r="EY73" i="2" s="1"/>
  <c r="EY74" i="2" a="1"/>
  <c r="EY74" i="2" s="1"/>
  <c r="EY71" i="2" a="1"/>
  <c r="EY71" i="2" s="1"/>
  <c r="EY70" i="2" a="1"/>
  <c r="EY70" i="2" s="1"/>
  <c r="EY69" i="2" a="1"/>
  <c r="EY69" i="2" s="1"/>
  <c r="EY68" i="2" a="1"/>
  <c r="EY68" i="2" s="1"/>
  <c r="EY64" i="2" a="1"/>
  <c r="EY64" i="2" s="1"/>
  <c r="EY65" i="2" a="1"/>
  <c r="EY65" i="2" s="1"/>
  <c r="EY67" i="2" a="1"/>
  <c r="EY67" i="2" s="1"/>
  <c r="EY66" i="2" a="1"/>
  <c r="EY66" i="2" s="1"/>
  <c r="EY62" i="2" a="1"/>
  <c r="EY62" i="2" s="1"/>
  <c r="EY59" i="2" a="1"/>
  <c r="EY59" i="2" s="1"/>
  <c r="EY61" i="2" a="1"/>
  <c r="EY61" i="2" s="1"/>
  <c r="EY60" i="2" a="1"/>
  <c r="EY60" i="2" s="1"/>
  <c r="EY63" i="2" a="1"/>
  <c r="EY63" i="2" s="1"/>
  <c r="EY57" i="2" a="1"/>
  <c r="EY57" i="2" s="1"/>
  <c r="EY56" i="2" a="1"/>
  <c r="EY56" i="2" s="1"/>
  <c r="EY58" i="2" a="1"/>
  <c r="EY58" i="2" s="1"/>
  <c r="EY51" i="2" a="1"/>
  <c r="EY51" i="2" s="1"/>
  <c r="EY53" i="2" a="1"/>
  <c r="EY53" i="2" s="1"/>
  <c r="EY50" i="2" a="1"/>
  <c r="EY50" i="2" s="1"/>
  <c r="EY49" i="2" a="1"/>
  <c r="EY49" i="2" s="1"/>
  <c r="EY55" i="2" a="1"/>
  <c r="EY55" i="2" s="1"/>
  <c r="EY54" i="2" a="1"/>
  <c r="EY54" i="2" s="1"/>
  <c r="EY48" i="2" a="1"/>
  <c r="EY48" i="2" s="1"/>
  <c r="EY52" i="2" a="1"/>
  <c r="EY52" i="2" s="1"/>
  <c r="EY43" i="2" a="1"/>
  <c r="EY43" i="2" s="1"/>
  <c r="EY44" i="2" a="1"/>
  <c r="EY44" i="2" s="1"/>
  <c r="EY46" i="2" a="1"/>
  <c r="EY46" i="2" s="1"/>
  <c r="EY45" i="2" a="1"/>
  <c r="EY45" i="2" s="1"/>
  <c r="EY42" i="2" a="1"/>
  <c r="EY42" i="2" s="1"/>
  <c r="EY40" i="2" a="1"/>
  <c r="EY40" i="2" s="1"/>
  <c r="EY41" i="2" a="1"/>
  <c r="EY41" i="2" s="1"/>
  <c r="EY47" i="2" a="1"/>
  <c r="EY47" i="2" s="1"/>
  <c r="EY39" i="2" a="1"/>
  <c r="EY39" i="2" s="1"/>
  <c r="EY35" i="2" a="1"/>
  <c r="EY35" i="2" s="1"/>
  <c r="EY34" i="2" a="1"/>
  <c r="EY34" i="2" s="1"/>
  <c r="EY38" i="2" a="1"/>
  <c r="EY38" i="2" s="1"/>
  <c r="EY33" i="2" a="1"/>
  <c r="EY33" i="2" s="1"/>
  <c r="EY37" i="2" a="1"/>
  <c r="EY37" i="2" s="1"/>
  <c r="EY36" i="2" a="1"/>
  <c r="EY36" i="2" s="1"/>
  <c r="EY28" i="2" a="1"/>
  <c r="EY28" i="2" s="1"/>
  <c r="EY27" i="2" a="1"/>
  <c r="EY27" i="2" s="1"/>
  <c r="EY25" i="2" a="1"/>
  <c r="EY25" i="2" s="1"/>
  <c r="EY26" i="2" a="1"/>
  <c r="EY26" i="2" s="1"/>
  <c r="EY31" i="2" a="1"/>
  <c r="EY31" i="2" s="1"/>
  <c r="EY32" i="2" a="1"/>
  <c r="EY32" i="2" s="1"/>
  <c r="EY30" i="2" a="1"/>
  <c r="EY30" i="2" s="1"/>
  <c r="EY29" i="2" a="1"/>
  <c r="EY29" i="2" s="1"/>
  <c r="EY17" i="2" a="1"/>
  <c r="EY17" i="2" s="1"/>
  <c r="EY15" i="2" a="1"/>
  <c r="EY15" i="2" s="1"/>
  <c r="EY23" i="2" a="1"/>
  <c r="EY23" i="2" s="1"/>
  <c r="EY22" i="2" a="1"/>
  <c r="EY22" i="2" s="1"/>
  <c r="EY21" i="2" a="1"/>
  <c r="EY21" i="2" s="1"/>
  <c r="EY20" i="2" a="1"/>
  <c r="EY20" i="2" s="1"/>
  <c r="EY19" i="2" a="1"/>
  <c r="EY19" i="2" s="1"/>
  <c r="EY18" i="2" a="1"/>
  <c r="EY18" i="2" s="1"/>
  <c r="EY24" i="2" a="1"/>
  <c r="EY24" i="2" s="1"/>
  <c r="EY16" i="2" a="1"/>
  <c r="EY16" i="2" s="1"/>
  <c r="EY14" i="2" a="1"/>
  <c r="EY14" i="2" s="1"/>
  <c r="EY10" i="2" a="1"/>
  <c r="EY10" i="2" s="1"/>
  <c r="EY13" i="2" a="1"/>
  <c r="EY13" i="2" s="1"/>
  <c r="EY8" i="2" a="1"/>
  <c r="EY8" i="2" s="1"/>
  <c r="EY12" i="2" a="1"/>
  <c r="EY12" i="2" s="1"/>
  <c r="EY11" i="2" a="1"/>
  <c r="EY11" i="2" s="1"/>
  <c r="EY9" i="2" a="1"/>
  <c r="EY9" i="2" s="1"/>
  <c r="EY7" i="2" a="1"/>
  <c r="EY7" i="2" s="1"/>
  <c r="EY5" i="2" a="1"/>
  <c r="EY5" i="2" s="1"/>
  <c r="EY6" i="2" a="1"/>
  <c r="EY6" i="2" s="1"/>
  <c r="EY4" i="2" a="1"/>
  <c r="EY4" i="2" s="1"/>
  <c r="FK1" i="2"/>
  <c r="ES100" i="2" a="1"/>
  <c r="ES100" i="2" s="1"/>
  <c r="ES103" i="2" a="1"/>
  <c r="ES103" i="2" s="1"/>
  <c r="ES102" i="2" a="1"/>
  <c r="ES102" i="2" s="1"/>
  <c r="ES101" i="2" a="1"/>
  <c r="ES101" i="2" s="1"/>
  <c r="ES99" i="2" a="1"/>
  <c r="ES99" i="2" s="1"/>
  <c r="ES98" i="2" a="1"/>
  <c r="ES98" i="2" s="1"/>
  <c r="ES96" i="2" a="1"/>
  <c r="ES96" i="2" s="1"/>
  <c r="ES95" i="2" a="1"/>
  <c r="ES95" i="2" s="1"/>
  <c r="ES97" i="2" a="1"/>
  <c r="ES97" i="2" s="1"/>
  <c r="ES92" i="2" a="1"/>
  <c r="ES92" i="2" s="1"/>
  <c r="ES94" i="2" a="1"/>
  <c r="ES94" i="2" s="1"/>
  <c r="ES93" i="2" a="1"/>
  <c r="ES93" i="2" s="1"/>
  <c r="ES90" i="2" a="1"/>
  <c r="ES90" i="2" s="1"/>
  <c r="ES91" i="2" a="1"/>
  <c r="ES91" i="2" s="1"/>
  <c r="ES89" i="2" a="1"/>
  <c r="ES89" i="2" s="1"/>
  <c r="ES88" i="2" a="1"/>
  <c r="ES88" i="2" s="1"/>
  <c r="ES86" i="2" a="1"/>
  <c r="ES86" i="2" s="1"/>
  <c r="ES84" i="2" a="1"/>
  <c r="ES84" i="2" s="1"/>
  <c r="ES85" i="2" a="1"/>
  <c r="ES85" i="2" s="1"/>
  <c r="ES87" i="2" a="1"/>
  <c r="ES87" i="2" s="1"/>
  <c r="ES83" i="2" a="1"/>
  <c r="ES83" i="2" s="1"/>
  <c r="ES82" i="2" a="1"/>
  <c r="ES82" i="2" s="1"/>
  <c r="ES81" i="2" a="1"/>
  <c r="ES81" i="2" s="1"/>
  <c r="ES80" i="2" a="1"/>
  <c r="ES80" i="2" s="1"/>
  <c r="ES76" i="2" a="1"/>
  <c r="ES76" i="2" s="1"/>
  <c r="ES77" i="2" a="1"/>
  <c r="ES77" i="2" s="1"/>
  <c r="ES79" i="2" a="1"/>
  <c r="ES79" i="2" s="1"/>
  <c r="ES78" i="2" a="1"/>
  <c r="ES78" i="2" s="1"/>
  <c r="ES75" i="2" a="1"/>
  <c r="ES75" i="2" s="1"/>
  <c r="ES74" i="2" a="1"/>
  <c r="ES74" i="2" s="1"/>
  <c r="ES72" i="2" a="1"/>
  <c r="ES72" i="2" s="1"/>
  <c r="ES73" i="2" a="1"/>
  <c r="ES73" i="2" s="1"/>
  <c r="ES69" i="2" a="1"/>
  <c r="ES69" i="2" s="1"/>
  <c r="ES68" i="2" a="1"/>
  <c r="ES68" i="2" s="1"/>
  <c r="ES71" i="2" a="1"/>
  <c r="ES71" i="2" s="1"/>
  <c r="ES70" i="2" a="1"/>
  <c r="ES70" i="2" s="1"/>
  <c r="ES65" i="2" a="1"/>
  <c r="ES65" i="2" s="1"/>
  <c r="ES67" i="2" a="1"/>
  <c r="ES67" i="2" s="1"/>
  <c r="ES66" i="2" a="1"/>
  <c r="ES66" i="2" s="1"/>
  <c r="ES64" i="2" a="1"/>
  <c r="ES64" i="2" s="1"/>
  <c r="ES60" i="2" a="1"/>
  <c r="ES60" i="2" s="1"/>
  <c r="ES63" i="2" a="1"/>
  <c r="ES63" i="2" s="1"/>
  <c r="ES62" i="2" a="1"/>
  <c r="ES62" i="2" s="1"/>
  <c r="ES61" i="2" a="1"/>
  <c r="ES61" i="2" s="1"/>
  <c r="ES59" i="2" a="1"/>
  <c r="ES59" i="2" s="1"/>
  <c r="ES56" i="2" a="1"/>
  <c r="ES56" i="2" s="1"/>
  <c r="ES58" i="2" a="1"/>
  <c r="ES58" i="2" s="1"/>
  <c r="ES57" i="2" a="1"/>
  <c r="ES57" i="2" s="1"/>
  <c r="ES54" i="2" a="1"/>
  <c r="ES54" i="2" s="1"/>
  <c r="ES48" i="2" a="1"/>
  <c r="ES48" i="2" s="1"/>
  <c r="ES55" i="2" a="1"/>
  <c r="ES55" i="2" s="1"/>
  <c r="ES52" i="2" a="1"/>
  <c r="ES52" i="2" s="1"/>
  <c r="ES51" i="2" a="1"/>
  <c r="ES51" i="2" s="1"/>
  <c r="ES53" i="2" a="1"/>
  <c r="ES53" i="2" s="1"/>
  <c r="ES50" i="2" a="1"/>
  <c r="ES50" i="2" s="1"/>
  <c r="ES49" i="2" a="1"/>
  <c r="ES49" i="2" s="1"/>
  <c r="ES47" i="2" a="1"/>
  <c r="ES47" i="2" s="1"/>
  <c r="ES41" i="2" a="1"/>
  <c r="ES41" i="2" s="1"/>
  <c r="ES44" i="2" a="1"/>
  <c r="ES44" i="2" s="1"/>
  <c r="ES43" i="2" a="1"/>
  <c r="ES43" i="2" s="1"/>
  <c r="ES46" i="2" a="1"/>
  <c r="ES46" i="2" s="1"/>
  <c r="ES45" i="2" a="1"/>
  <c r="ES45" i="2" s="1"/>
  <c r="ES42" i="2" a="1"/>
  <c r="ES42" i="2" s="1"/>
  <c r="ES37" i="2" a="1"/>
  <c r="ES37" i="2" s="1"/>
  <c r="ES40" i="2" a="1"/>
  <c r="ES40" i="2" s="1"/>
  <c r="ES36" i="2" a="1"/>
  <c r="ES36" i="2" s="1"/>
  <c r="ES39" i="2" a="1"/>
  <c r="ES39" i="2" s="1"/>
  <c r="ES35" i="2" a="1"/>
  <c r="ES35" i="2" s="1"/>
  <c r="ES34" i="2" a="1"/>
  <c r="ES34" i="2" s="1"/>
  <c r="ES38" i="2" a="1"/>
  <c r="ES38" i="2" s="1"/>
  <c r="ES33" i="2" a="1"/>
  <c r="ES33" i="2" s="1"/>
  <c r="ES26" i="2" a="1"/>
  <c r="ES26" i="2" s="1"/>
  <c r="ES32" i="2" a="1"/>
  <c r="ES32" i="2" s="1"/>
  <c r="ES31" i="2" a="1"/>
  <c r="ES31" i="2" s="1"/>
  <c r="ES30" i="2" a="1"/>
  <c r="ES30" i="2" s="1"/>
  <c r="ES29" i="2" a="1"/>
  <c r="ES29" i="2" s="1"/>
  <c r="ES28" i="2" a="1"/>
  <c r="ES28" i="2" s="1"/>
  <c r="ES27" i="2" a="1"/>
  <c r="ES27" i="2" s="1"/>
  <c r="ES25" i="2" a="1"/>
  <c r="ES25" i="2" s="1"/>
  <c r="ES17" i="2" a="1"/>
  <c r="ES17" i="2" s="1"/>
  <c r="ES16" i="2" a="1"/>
  <c r="ES16" i="2" s="1"/>
  <c r="ES23" i="2" a="1"/>
  <c r="ES23" i="2" s="1"/>
  <c r="ES22" i="2" a="1"/>
  <c r="ES22" i="2" s="1"/>
  <c r="ES21" i="2" a="1"/>
  <c r="ES21" i="2" s="1"/>
  <c r="ES20" i="2" a="1"/>
  <c r="ES20" i="2" s="1"/>
  <c r="ES19" i="2" a="1"/>
  <c r="ES19" i="2" s="1"/>
  <c r="ES18" i="2" a="1"/>
  <c r="ES18" i="2" s="1"/>
  <c r="ES15" i="2" a="1"/>
  <c r="ES15" i="2" s="1"/>
  <c r="ES24" i="2" a="1"/>
  <c r="ES24" i="2" s="1"/>
  <c r="ES13" i="2" a="1"/>
  <c r="ES13" i="2" s="1"/>
  <c r="ES12" i="2" a="1"/>
  <c r="ES12" i="2" s="1"/>
  <c r="ES11" i="2" a="1"/>
  <c r="ES11" i="2" s="1"/>
  <c r="ES14" i="2" a="1"/>
  <c r="ES14" i="2" s="1"/>
  <c r="ES9" i="2" a="1"/>
  <c r="ES9" i="2" s="1"/>
  <c r="ES10" i="2" a="1"/>
  <c r="ES10" i="2" s="1"/>
  <c r="ES8" i="2" a="1"/>
  <c r="ES8" i="2" s="1"/>
  <c r="ES7" i="2" a="1"/>
  <c r="ES7" i="2" s="1"/>
  <c r="ES5" i="2" a="1"/>
  <c r="ES5" i="2" s="1"/>
  <c r="ES6" i="2" a="1"/>
  <c r="ES6" i="2" s="1"/>
  <c r="ES4" i="2" a="1"/>
  <c r="ES4" i="2" s="1"/>
  <c r="FE1" i="2"/>
  <c r="EF104" i="2"/>
  <c r="EC105" i="2"/>
  <c r="EP103" i="2" a="1"/>
  <c r="EP103" i="2" s="1"/>
  <c r="EP102" i="2" a="1"/>
  <c r="EP102" i="2" s="1"/>
  <c r="EP101" i="2" a="1"/>
  <c r="EP101" i="2" s="1"/>
  <c r="EP100" i="2" a="1"/>
  <c r="EP100" i="2" s="1"/>
  <c r="EP99" i="2" a="1"/>
  <c r="EP99" i="2" s="1"/>
  <c r="EP98" i="2" a="1"/>
  <c r="EP98" i="2" s="1"/>
  <c r="EP96" i="2" a="1"/>
  <c r="EP96" i="2" s="1"/>
  <c r="EP97" i="2" a="1"/>
  <c r="EP97" i="2" s="1"/>
  <c r="EP93" i="2" a="1"/>
  <c r="EP93" i="2" s="1"/>
  <c r="EP95" i="2" a="1"/>
  <c r="EP95" i="2" s="1"/>
  <c r="EP92" i="2" a="1"/>
  <c r="EP92" i="2" s="1"/>
  <c r="EP94" i="2" a="1"/>
  <c r="EP94" i="2" s="1"/>
  <c r="EP88" i="2" a="1"/>
  <c r="EP88" i="2" s="1"/>
  <c r="EP87" i="2" a="1"/>
  <c r="EP87" i="2" s="1"/>
  <c r="EP90" i="2" a="1"/>
  <c r="EP90" i="2" s="1"/>
  <c r="EP91" i="2" a="1"/>
  <c r="EP91" i="2" s="1"/>
  <c r="EP89" i="2" a="1"/>
  <c r="EP89" i="2" s="1"/>
  <c r="EP86" i="2" a="1"/>
  <c r="EP86" i="2" s="1"/>
  <c r="EP84" i="2" a="1"/>
  <c r="EP84" i="2" s="1"/>
  <c r="EP85" i="2" a="1"/>
  <c r="EP85" i="2" s="1"/>
  <c r="EP80" i="2" a="1"/>
  <c r="EP80" i="2" s="1"/>
  <c r="EP83" i="2" a="1"/>
  <c r="EP83" i="2" s="1"/>
  <c r="EP82" i="2" a="1"/>
  <c r="EP82" i="2" s="1"/>
  <c r="EP81" i="2" a="1"/>
  <c r="EP81" i="2" s="1"/>
  <c r="EP78" i="2" a="1"/>
  <c r="EP78" i="2" s="1"/>
  <c r="EP76" i="2" a="1"/>
  <c r="EP76" i="2" s="1"/>
  <c r="EP77" i="2" a="1"/>
  <c r="EP77" i="2" s="1"/>
  <c r="EP79" i="2" a="1"/>
  <c r="EP79" i="2" s="1"/>
  <c r="EP75" i="2" a="1"/>
  <c r="EP75" i="2" s="1"/>
  <c r="EP73" i="2" a="1"/>
  <c r="EP73" i="2" s="1"/>
  <c r="EP74" i="2" a="1"/>
  <c r="EP74" i="2" s="1"/>
  <c r="EP72" i="2" a="1"/>
  <c r="EP72" i="2" s="1"/>
  <c r="EP70" i="2" a="1"/>
  <c r="EP70" i="2" s="1"/>
  <c r="EP69" i="2" a="1"/>
  <c r="EP69" i="2" s="1"/>
  <c r="EP68" i="2" a="1"/>
  <c r="EP68" i="2" s="1"/>
  <c r="EP71" i="2" a="1"/>
  <c r="EP71" i="2" s="1"/>
  <c r="EP64" i="2" a="1"/>
  <c r="EP64" i="2" s="1"/>
  <c r="EP65" i="2" a="1"/>
  <c r="EP65" i="2" s="1"/>
  <c r="EP67" i="2" a="1"/>
  <c r="EP67" i="2" s="1"/>
  <c r="EP66" i="2" a="1"/>
  <c r="EP66" i="2" s="1"/>
  <c r="EP62" i="2" a="1"/>
  <c r="EP62" i="2" s="1"/>
  <c r="EP61" i="2" a="1"/>
  <c r="EP61" i="2" s="1"/>
  <c r="EP59" i="2" a="1"/>
  <c r="EP59" i="2" s="1"/>
  <c r="EP60" i="2" a="1"/>
  <c r="EP60" i="2" s="1"/>
  <c r="EP63" i="2" a="1"/>
  <c r="EP63" i="2" s="1"/>
  <c r="EP57" i="2" a="1"/>
  <c r="EP57" i="2" s="1"/>
  <c r="EP56" i="2" a="1"/>
  <c r="EP56" i="2" s="1"/>
  <c r="EP58" i="2" a="1"/>
  <c r="EP58" i="2" s="1"/>
  <c r="EP53" i="2" a="1"/>
  <c r="EP53" i="2" s="1"/>
  <c r="EP50" i="2" a="1"/>
  <c r="EP50" i="2" s="1"/>
  <c r="EP49" i="2" a="1"/>
  <c r="EP49" i="2" s="1"/>
  <c r="EP54" i="2" a="1"/>
  <c r="EP54" i="2" s="1"/>
  <c r="EP47" i="2" a="1"/>
  <c r="EP47" i="2" s="1"/>
  <c r="EP55" i="2" a="1"/>
  <c r="EP55" i="2" s="1"/>
  <c r="EP52" i="2" a="1"/>
  <c r="EP52" i="2" s="1"/>
  <c r="EP51" i="2" a="1"/>
  <c r="EP51" i="2" s="1"/>
  <c r="EP44" i="2" a="1"/>
  <c r="EP44" i="2" s="1"/>
  <c r="EP43" i="2" a="1"/>
  <c r="EP43" i="2" s="1"/>
  <c r="EP46" i="2" a="1"/>
  <c r="EP46" i="2" s="1"/>
  <c r="EP45" i="2" a="1"/>
  <c r="EP45" i="2" s="1"/>
  <c r="EP42" i="2" a="1"/>
  <c r="EP42" i="2" s="1"/>
  <c r="EP40" i="2" a="1"/>
  <c r="EP40" i="2" s="1"/>
  <c r="EP48" i="2" a="1"/>
  <c r="EP48" i="2" s="1"/>
  <c r="EP41" i="2" a="1"/>
  <c r="EP41" i="2" s="1"/>
  <c r="EP39" i="2" a="1"/>
  <c r="EP39" i="2" s="1"/>
  <c r="EP35" i="2" a="1"/>
  <c r="EP35" i="2" s="1"/>
  <c r="EP34" i="2" a="1"/>
  <c r="EP34" i="2" s="1"/>
  <c r="EP33" i="2" a="1"/>
  <c r="EP33" i="2" s="1"/>
  <c r="EP38" i="2" a="1"/>
  <c r="EP38" i="2" s="1"/>
  <c r="EP37" i="2" a="1"/>
  <c r="EP37" i="2" s="1"/>
  <c r="EP36" i="2" a="1"/>
  <c r="EP36" i="2" s="1"/>
  <c r="EP28" i="2" a="1"/>
  <c r="EP28" i="2" s="1"/>
  <c r="EP25" i="2" a="1"/>
  <c r="EP25" i="2" s="1"/>
  <c r="EP27" i="2" a="1"/>
  <c r="EP27" i="2" s="1"/>
  <c r="EP26" i="2" a="1"/>
  <c r="EP26" i="2" s="1"/>
  <c r="EP30" i="2" a="1"/>
  <c r="EP30" i="2" s="1"/>
  <c r="EP32" i="2" a="1"/>
  <c r="EP32" i="2" s="1"/>
  <c r="EP31" i="2" a="1"/>
  <c r="EP31" i="2" s="1"/>
  <c r="EP29" i="2" a="1"/>
  <c r="EP29" i="2" s="1"/>
  <c r="EP16" i="2" a="1"/>
  <c r="EP16" i="2" s="1"/>
  <c r="EP23" i="2" a="1"/>
  <c r="EP23" i="2" s="1"/>
  <c r="EP22" i="2" a="1"/>
  <c r="EP22" i="2" s="1"/>
  <c r="EP21" i="2" a="1"/>
  <c r="EP21" i="2" s="1"/>
  <c r="EP20" i="2" a="1"/>
  <c r="EP20" i="2" s="1"/>
  <c r="EP19" i="2" a="1"/>
  <c r="EP19" i="2" s="1"/>
  <c r="EP18" i="2" a="1"/>
  <c r="EP18" i="2" s="1"/>
  <c r="EP24" i="2" a="1"/>
  <c r="EP24" i="2" s="1"/>
  <c r="EP15" i="2" a="1"/>
  <c r="EP15" i="2" s="1"/>
  <c r="EP17" i="2" a="1"/>
  <c r="EP17" i="2" s="1"/>
  <c r="EP7" i="2" a="1"/>
  <c r="EP7" i="2" s="1"/>
  <c r="EP14" i="2" a="1"/>
  <c r="EP14" i="2" s="1"/>
  <c r="EP9" i="2" a="1"/>
  <c r="EP9" i="2" s="1"/>
  <c r="EP10" i="2" a="1"/>
  <c r="EP10" i="2" s="1"/>
  <c r="EP8" i="2" a="1"/>
  <c r="EP8" i="2" s="1"/>
  <c r="EP13" i="2" a="1"/>
  <c r="EP13" i="2" s="1"/>
  <c r="EP12" i="2" a="1"/>
  <c r="EP12" i="2" s="1"/>
  <c r="EP11" i="2" a="1"/>
  <c r="EP11" i="2" s="1"/>
  <c r="EP4" i="2" a="1"/>
  <c r="EP4" i="2" s="1"/>
  <c r="EP5" i="2" a="1"/>
  <c r="EP5" i="2" s="1"/>
  <c r="EP6" i="2" a="1"/>
  <c r="EP6" i="2" s="1"/>
  <c r="FB1" i="2"/>
  <c r="EO117" i="2"/>
  <c r="EO120" i="2"/>
  <c r="GO15" i="2" s="1"/>
  <c r="EG104" i="2"/>
  <c r="GQ14" i="2"/>
  <c r="GR14" i="2" s="1"/>
  <c r="EO116" i="2"/>
  <c r="EN120" i="2"/>
  <c r="GN15" i="2" s="1"/>
  <c r="EL104" i="2"/>
  <c r="DC108" i="2"/>
  <c r="CS108" i="2"/>
  <c r="BM108" i="2"/>
  <c r="DB108" i="2"/>
  <c r="CG108" i="2"/>
  <c r="F108" i="2"/>
  <c r="DA108" i="2"/>
  <c r="DY108" i="2"/>
  <c r="Y108" i="2"/>
  <c r="EC108" i="2"/>
  <c r="AA108" i="2"/>
  <c r="V108" i="2"/>
  <c r="CI108" i="2"/>
  <c r="CQ108" i="2"/>
  <c r="AI108" i="2"/>
  <c r="AE108" i="2"/>
  <c r="DV108" i="2"/>
  <c r="BT108" i="2"/>
  <c r="AH108" i="2"/>
  <c r="BD108" i="2"/>
  <c r="AR108" i="2"/>
  <c r="AP108" i="2"/>
  <c r="CP108" i="2"/>
  <c r="CN108" i="2"/>
  <c r="BI108" i="2"/>
  <c r="DG108" i="2"/>
  <c r="CL108" i="2"/>
  <c r="AC108" i="2"/>
  <c r="CO108" i="2"/>
  <c r="CF108" i="2"/>
  <c r="C108" i="2"/>
  <c r="AG108" i="2"/>
  <c r="CK108" i="2"/>
  <c r="CE108" i="2"/>
  <c r="DH108" i="2"/>
  <c r="BL108" i="2"/>
  <c r="AT108" i="2"/>
  <c r="AZ108" i="2"/>
  <c r="CV108" i="2"/>
  <c r="AY108" i="2"/>
  <c r="EO108" i="2"/>
  <c r="Q108" i="2"/>
  <c r="BX108" i="2"/>
  <c r="M108" i="2"/>
  <c r="AF108" i="2"/>
  <c r="DN108" i="2"/>
  <c r="EM108" i="2"/>
  <c r="O108" i="2"/>
  <c r="J108" i="2"/>
  <c r="AK108" i="2"/>
  <c r="DD108" i="2"/>
  <c r="DJ108" i="2"/>
  <c r="K108" i="2"/>
  <c r="AU108" i="2"/>
  <c r="AV108" i="2"/>
  <c r="AD108" i="2"/>
  <c r="AB108" i="2"/>
  <c r="DZ108" i="2"/>
  <c r="DE108" i="2"/>
  <c r="BQ108" i="2"/>
  <c r="CB108" i="2"/>
  <c r="L108" i="2"/>
  <c r="EB108" i="2"/>
  <c r="BF108" i="2"/>
  <c r="BY108" i="2"/>
  <c r="BU108" i="2"/>
  <c r="CA108" i="2"/>
  <c r="EA108" i="2"/>
  <c r="DO108" i="2"/>
  <c r="DS108" i="2"/>
  <c r="EF108" i="2"/>
  <c r="CD108" i="2"/>
  <c r="EN108" i="2"/>
  <c r="DL108" i="2"/>
  <c r="BO108" i="2"/>
  <c r="W108" i="2"/>
  <c r="DU108" i="2"/>
  <c r="AJ108" i="2"/>
  <c r="BH108" i="2"/>
  <c r="DI108" i="2"/>
  <c r="CW108" i="2"/>
  <c r="P108" i="2"/>
  <c r="CJ108" i="2"/>
  <c r="BA108" i="2"/>
  <c r="CM108" i="2"/>
  <c r="DK108" i="2"/>
  <c r="H108" i="2"/>
  <c r="I108" i="2"/>
  <c r="EI108" i="2"/>
  <c r="G108" i="2"/>
  <c r="EH108" i="2"/>
  <c r="BK108" i="2"/>
  <c r="BG108" i="2"/>
  <c r="T108" i="2"/>
  <c r="DT108" i="2"/>
  <c r="CX108" i="2"/>
  <c r="CR108" i="2"/>
  <c r="AW108" i="2"/>
  <c r="CY108" i="2"/>
  <c r="EJ108" i="2"/>
  <c r="BZ108" i="2"/>
  <c r="X108" i="2"/>
  <c r="BS108" i="2"/>
  <c r="DM108" i="2"/>
  <c r="BW108" i="2"/>
  <c r="R108" i="2"/>
  <c r="E108" i="2"/>
  <c r="DW108" i="2"/>
  <c r="BC108" i="2"/>
  <c r="EE108" i="2"/>
  <c r="BN108" i="2"/>
  <c r="DP108" i="2"/>
  <c r="D108" i="2"/>
  <c r="DX108" i="2"/>
  <c r="CZ108" i="2"/>
  <c r="AM108" i="2"/>
  <c r="BE108" i="2"/>
  <c r="BB108" i="2"/>
  <c r="AN108" i="2"/>
  <c r="BR108" i="2"/>
  <c r="BP108" i="2"/>
  <c r="S108" i="2"/>
  <c r="DQ108" i="2"/>
  <c r="EK108" i="2"/>
  <c r="AQ108" i="2"/>
  <c r="CC108" i="2"/>
  <c r="CU108" i="2"/>
  <c r="U108" i="2"/>
  <c r="AS108" i="2"/>
  <c r="AO108" i="2"/>
  <c r="EL108" i="2" l="1"/>
  <c r="EG108" i="2"/>
  <c r="EV104" i="2"/>
  <c r="EV108" i="2" s="1"/>
  <c r="FB100" i="2" a="1"/>
  <c r="FB100" i="2" s="1"/>
  <c r="FB99" i="2" a="1"/>
  <c r="FB99" i="2" s="1"/>
  <c r="FB103" i="2" a="1"/>
  <c r="FB103" i="2" s="1"/>
  <c r="FB102" i="2" a="1"/>
  <c r="FB102" i="2" s="1"/>
  <c r="FB101" i="2" a="1"/>
  <c r="FB101" i="2" s="1"/>
  <c r="FB96" i="2" a="1"/>
  <c r="FB96" i="2" s="1"/>
  <c r="FB98" i="2" a="1"/>
  <c r="FB98" i="2" s="1"/>
  <c r="FB95" i="2" a="1"/>
  <c r="FB95" i="2" s="1"/>
  <c r="FB97" i="2" a="1"/>
  <c r="FB97" i="2" s="1"/>
  <c r="FB94" i="2" a="1"/>
  <c r="FB94" i="2" s="1"/>
  <c r="FB93" i="2" a="1"/>
  <c r="FB93" i="2" s="1"/>
  <c r="FB92" i="2" a="1"/>
  <c r="FB92" i="2" s="1"/>
  <c r="FB90" i="2" a="1"/>
  <c r="FB90" i="2" s="1"/>
  <c r="FB89" i="2" a="1"/>
  <c r="FB89" i="2" s="1"/>
  <c r="FB91" i="2" a="1"/>
  <c r="FB91" i="2" s="1"/>
  <c r="FB88" i="2" a="1"/>
  <c r="FB88" i="2" s="1"/>
  <c r="FB83" i="2" a="1"/>
  <c r="FB83" i="2" s="1"/>
  <c r="FB86" i="2" a="1"/>
  <c r="FB86" i="2" s="1"/>
  <c r="FB84" i="2" a="1"/>
  <c r="FB84" i="2" s="1"/>
  <c r="FB85" i="2" a="1"/>
  <c r="FB85" i="2" s="1"/>
  <c r="FB87" i="2" a="1"/>
  <c r="FB87" i="2" s="1"/>
  <c r="FB82" i="2" a="1"/>
  <c r="FB82" i="2" s="1"/>
  <c r="FB81" i="2" a="1"/>
  <c r="FB81" i="2" s="1"/>
  <c r="FB80" i="2" a="1"/>
  <c r="FB80" i="2" s="1"/>
  <c r="FB76" i="2" a="1"/>
  <c r="FB76" i="2" s="1"/>
  <c r="FB77" i="2" a="1"/>
  <c r="FB77" i="2" s="1"/>
  <c r="FB79" i="2" a="1"/>
  <c r="FB79" i="2" s="1"/>
  <c r="FB78" i="2" a="1"/>
  <c r="FB78" i="2" s="1"/>
  <c r="FB75" i="2" a="1"/>
  <c r="FB75" i="2" s="1"/>
  <c r="FB73" i="2" a="1"/>
  <c r="FB73" i="2" s="1"/>
  <c r="FB74" i="2" a="1"/>
  <c r="FB74" i="2" s="1"/>
  <c r="FB72" i="2" a="1"/>
  <c r="FB72" i="2" s="1"/>
  <c r="FB69" i="2" a="1"/>
  <c r="FB69" i="2" s="1"/>
  <c r="FB68" i="2" a="1"/>
  <c r="FB68" i="2" s="1"/>
  <c r="FB70" i="2" a="1"/>
  <c r="FB70" i="2" s="1"/>
  <c r="FB71" i="2" a="1"/>
  <c r="FB71" i="2" s="1"/>
  <c r="FB63" i="2" a="1"/>
  <c r="FB63" i="2" s="1"/>
  <c r="FB65" i="2" a="1"/>
  <c r="FB65" i="2" s="1"/>
  <c r="FB66" i="2" a="1"/>
  <c r="FB66" i="2" s="1"/>
  <c r="FB67" i="2" a="1"/>
  <c r="FB67" i="2" s="1"/>
  <c r="FB64" i="2" a="1"/>
  <c r="FB64" i="2" s="1"/>
  <c r="FB60" i="2" a="1"/>
  <c r="FB60" i="2" s="1"/>
  <c r="FB62" i="2" a="1"/>
  <c r="FB62" i="2" s="1"/>
  <c r="FB59" i="2" a="1"/>
  <c r="FB59" i="2" s="1"/>
  <c r="FB61" i="2" a="1"/>
  <c r="FB61" i="2" s="1"/>
  <c r="FB56" i="2" a="1"/>
  <c r="FB56" i="2" s="1"/>
  <c r="FB58" i="2" a="1"/>
  <c r="FB58" i="2" s="1"/>
  <c r="FB57" i="2" a="1"/>
  <c r="FB57" i="2" s="1"/>
  <c r="FB49" i="2" a="1"/>
  <c r="FB49" i="2" s="1"/>
  <c r="FB48" i="2" a="1"/>
  <c r="FB48" i="2" s="1"/>
  <c r="FB55" i="2" a="1"/>
  <c r="FB55" i="2" s="1"/>
  <c r="FB54" i="2" a="1"/>
  <c r="FB54" i="2" s="1"/>
  <c r="FB52" i="2" a="1"/>
  <c r="FB52" i="2" s="1"/>
  <c r="FB51" i="2" a="1"/>
  <c r="FB51" i="2" s="1"/>
  <c r="FB50" i="2" a="1"/>
  <c r="FB50" i="2" s="1"/>
  <c r="FB53" i="2" a="1"/>
  <c r="FB53" i="2" s="1"/>
  <c r="FB46" i="2" a="1"/>
  <c r="FB46" i="2" s="1"/>
  <c r="FB41" i="2" a="1"/>
  <c r="FB41" i="2" s="1"/>
  <c r="FB47" i="2" a="1"/>
  <c r="FB47" i="2" s="1"/>
  <c r="FB43" i="2" a="1"/>
  <c r="FB43" i="2" s="1"/>
  <c r="FB44" i="2" a="1"/>
  <c r="FB44" i="2" s="1"/>
  <c r="FB45" i="2" a="1"/>
  <c r="FB45" i="2" s="1"/>
  <c r="FB42" i="2" a="1"/>
  <c r="FB42" i="2" s="1"/>
  <c r="FB40" i="2" a="1"/>
  <c r="FB40" i="2" s="1"/>
  <c r="FB37" i="2" a="1"/>
  <c r="FB37" i="2" s="1"/>
  <c r="FB36" i="2" a="1"/>
  <c r="FB36" i="2" s="1"/>
  <c r="FB39" i="2" a="1"/>
  <c r="FB39" i="2" s="1"/>
  <c r="FB35" i="2" a="1"/>
  <c r="FB35" i="2" s="1"/>
  <c r="FB34" i="2" a="1"/>
  <c r="FB34" i="2" s="1"/>
  <c r="FB38" i="2" a="1"/>
  <c r="FB38" i="2" s="1"/>
  <c r="FB26" i="2" a="1"/>
  <c r="FB26" i="2" s="1"/>
  <c r="FB25" i="2" a="1"/>
  <c r="FB25" i="2" s="1"/>
  <c r="FB30" i="2" a="1"/>
  <c r="FB30" i="2" s="1"/>
  <c r="FB31" i="2" a="1"/>
  <c r="FB31" i="2" s="1"/>
  <c r="FB33" i="2" a="1"/>
  <c r="FB33" i="2" s="1"/>
  <c r="FB32" i="2" a="1"/>
  <c r="FB32" i="2" s="1"/>
  <c r="FB29" i="2" a="1"/>
  <c r="FB29" i="2" s="1"/>
  <c r="FB28" i="2" a="1"/>
  <c r="FB28" i="2" s="1"/>
  <c r="FB27" i="2" a="1"/>
  <c r="FB27" i="2" s="1"/>
  <c r="FB23" i="2" a="1"/>
  <c r="FB23" i="2" s="1"/>
  <c r="FB22" i="2" a="1"/>
  <c r="FB22" i="2" s="1"/>
  <c r="FB21" i="2" a="1"/>
  <c r="FB21" i="2" s="1"/>
  <c r="FB20" i="2" a="1"/>
  <c r="FB20" i="2" s="1"/>
  <c r="FB19" i="2" a="1"/>
  <c r="FB19" i="2" s="1"/>
  <c r="FB18" i="2" a="1"/>
  <c r="FB18" i="2" s="1"/>
  <c r="FB24" i="2" a="1"/>
  <c r="FB24" i="2" s="1"/>
  <c r="FB16" i="2" a="1"/>
  <c r="FB16" i="2" s="1"/>
  <c r="FB17" i="2" a="1"/>
  <c r="FB17" i="2" s="1"/>
  <c r="FB15" i="2" a="1"/>
  <c r="FB15" i="2" s="1"/>
  <c r="FB13" i="2" a="1"/>
  <c r="FB13" i="2" s="1"/>
  <c r="FB12" i="2" a="1"/>
  <c r="FB12" i="2" s="1"/>
  <c r="FB11" i="2" a="1"/>
  <c r="FB11" i="2" s="1"/>
  <c r="FB9" i="2" a="1"/>
  <c r="FB9" i="2" s="1"/>
  <c r="FB7" i="2" a="1"/>
  <c r="FB7" i="2" s="1"/>
  <c r="FB14" i="2" a="1"/>
  <c r="FB14" i="2" s="1"/>
  <c r="FB10" i="2" a="1"/>
  <c r="FB10" i="2" s="1"/>
  <c r="FB8" i="2" a="1"/>
  <c r="FB8" i="2" s="1"/>
  <c r="FB6" i="2" a="1"/>
  <c r="FB6" i="2" s="1"/>
  <c r="FB4" i="2" a="1"/>
  <c r="FB4" i="2" s="1"/>
  <c r="FB5" i="2" a="1"/>
  <c r="FB5" i="2" s="1"/>
  <c r="FN1" i="2"/>
  <c r="FJ100" i="2" a="1"/>
  <c r="FJ100" i="2" s="1"/>
  <c r="FJ99" i="2" a="1"/>
  <c r="FJ99" i="2" s="1"/>
  <c r="FJ103" i="2" a="1"/>
  <c r="FJ103" i="2" s="1"/>
  <c r="FJ102" i="2" a="1"/>
  <c r="FJ102" i="2" s="1"/>
  <c r="FJ101" i="2" a="1"/>
  <c r="FJ101" i="2" s="1"/>
  <c r="FJ95" i="2" a="1"/>
  <c r="FJ95" i="2" s="1"/>
  <c r="FJ98" i="2" a="1"/>
  <c r="FJ98" i="2" s="1"/>
  <c r="FJ96" i="2" a="1"/>
  <c r="FJ96" i="2" s="1"/>
  <c r="FJ97" i="2" a="1"/>
  <c r="FJ97" i="2" s="1"/>
  <c r="FJ92" i="2" a="1"/>
  <c r="FJ92" i="2" s="1"/>
  <c r="FJ91" i="2" a="1"/>
  <c r="FJ91" i="2" s="1"/>
  <c r="FJ94" i="2" a="1"/>
  <c r="FJ94" i="2" s="1"/>
  <c r="FJ93" i="2" a="1"/>
  <c r="FJ93" i="2" s="1"/>
  <c r="FJ88" i="2" a="1"/>
  <c r="FJ88" i="2" s="1"/>
  <c r="FJ90" i="2" a="1"/>
  <c r="FJ90" i="2" s="1"/>
  <c r="FJ89" i="2" a="1"/>
  <c r="FJ89" i="2" s="1"/>
  <c r="FJ86" i="2" a="1"/>
  <c r="FJ86" i="2" s="1"/>
  <c r="FJ87" i="2" a="1"/>
  <c r="FJ87" i="2" s="1"/>
  <c r="FJ83" i="2" a="1"/>
  <c r="FJ83" i="2" s="1"/>
  <c r="FJ84" i="2" a="1"/>
  <c r="FJ84" i="2" s="1"/>
  <c r="FJ85" i="2" a="1"/>
  <c r="FJ85" i="2" s="1"/>
  <c r="FJ82" i="2" a="1"/>
  <c r="FJ82" i="2" s="1"/>
  <c r="FJ81" i="2" a="1"/>
  <c r="FJ81" i="2" s="1"/>
  <c r="FJ80" i="2" a="1"/>
  <c r="FJ80" i="2" s="1"/>
  <c r="FJ78" i="2" a="1"/>
  <c r="FJ78" i="2" s="1"/>
  <c r="FJ76" i="2" a="1"/>
  <c r="FJ76" i="2" s="1"/>
  <c r="FJ77" i="2" a="1"/>
  <c r="FJ77" i="2" s="1"/>
  <c r="FJ79" i="2" a="1"/>
  <c r="FJ79" i="2" s="1"/>
  <c r="FJ75" i="2" a="1"/>
  <c r="FJ75" i="2" s="1"/>
  <c r="FJ73" i="2" a="1"/>
  <c r="FJ73" i="2" s="1"/>
  <c r="FJ74" i="2" a="1"/>
  <c r="FJ74" i="2" s="1"/>
  <c r="FJ71" i="2" a="1"/>
  <c r="FJ71" i="2" s="1"/>
  <c r="FJ72" i="2" a="1"/>
  <c r="FJ72" i="2" s="1"/>
  <c r="FJ69" i="2" a="1"/>
  <c r="FJ69" i="2" s="1"/>
  <c r="FJ68" i="2" a="1"/>
  <c r="FJ68" i="2" s="1"/>
  <c r="FJ70" i="2" a="1"/>
  <c r="FJ70" i="2" s="1"/>
  <c r="FJ64" i="2" a="1"/>
  <c r="FJ64" i="2" s="1"/>
  <c r="FJ67" i="2" a="1"/>
  <c r="FJ67" i="2" s="1"/>
  <c r="FJ63" i="2" a="1"/>
  <c r="FJ63" i="2" s="1"/>
  <c r="FJ65" i="2" a="1"/>
  <c r="FJ65" i="2" s="1"/>
  <c r="FJ66" i="2" a="1"/>
  <c r="FJ66" i="2" s="1"/>
  <c r="FJ61" i="2" a="1"/>
  <c r="FJ61" i="2" s="1"/>
  <c r="FJ60" i="2" a="1"/>
  <c r="FJ60" i="2" s="1"/>
  <c r="FJ62" i="2" a="1"/>
  <c r="FJ62" i="2" s="1"/>
  <c r="FJ56" i="2" a="1"/>
  <c r="FJ56" i="2" s="1"/>
  <c r="FJ59" i="2" a="1"/>
  <c r="FJ59" i="2" s="1"/>
  <c r="FJ58" i="2" a="1"/>
  <c r="FJ58" i="2" s="1"/>
  <c r="FJ57" i="2" a="1"/>
  <c r="FJ57" i="2" s="1"/>
  <c r="FJ53" i="2" a="1"/>
  <c r="FJ53" i="2" s="1"/>
  <c r="FJ50" i="2" a="1"/>
  <c r="FJ50" i="2" s="1"/>
  <c r="FJ49" i="2" a="1"/>
  <c r="FJ49" i="2" s="1"/>
  <c r="FJ54" i="2" a="1"/>
  <c r="FJ54" i="2" s="1"/>
  <c r="FJ55" i="2" a="1"/>
  <c r="FJ55" i="2" s="1"/>
  <c r="FJ48" i="2" a="1"/>
  <c r="FJ48" i="2" s="1"/>
  <c r="FJ52" i="2" a="1"/>
  <c r="FJ52" i="2" s="1"/>
  <c r="FJ47" i="2" a="1"/>
  <c r="FJ47" i="2" s="1"/>
  <c r="FJ51" i="2" a="1"/>
  <c r="FJ51" i="2" s="1"/>
  <c r="FJ46" i="2" a="1"/>
  <c r="FJ46" i="2" s="1"/>
  <c r="FJ45" i="2" a="1"/>
  <c r="FJ45" i="2" s="1"/>
  <c r="FJ41" i="2" a="1"/>
  <c r="FJ41" i="2" s="1"/>
  <c r="FJ43" i="2" a="1"/>
  <c r="FJ43" i="2" s="1"/>
  <c r="FJ44" i="2" a="1"/>
  <c r="FJ44" i="2" s="1"/>
  <c r="FJ42" i="2" a="1"/>
  <c r="FJ42" i="2" s="1"/>
  <c r="FJ37" i="2" a="1"/>
  <c r="FJ37" i="2" s="1"/>
  <c r="FJ36" i="2" a="1"/>
  <c r="FJ36" i="2" s="1"/>
  <c r="FJ40" i="2" a="1"/>
  <c r="FJ40" i="2" s="1"/>
  <c r="FJ39" i="2" a="1"/>
  <c r="FJ39" i="2" s="1"/>
  <c r="FJ35" i="2" a="1"/>
  <c r="FJ35" i="2" s="1"/>
  <c r="FJ34" i="2" a="1"/>
  <c r="FJ34" i="2" s="1"/>
  <c r="FJ38" i="2" a="1"/>
  <c r="FJ38" i="2" s="1"/>
  <c r="FJ33" i="2" a="1"/>
  <c r="FJ33" i="2" s="1"/>
  <c r="FJ27" i="2" a="1"/>
  <c r="FJ27" i="2" s="1"/>
  <c r="FJ26" i="2" a="1"/>
  <c r="FJ26" i="2" s="1"/>
  <c r="FJ30" i="2" a="1"/>
  <c r="FJ30" i="2" s="1"/>
  <c r="FJ25" i="2" a="1"/>
  <c r="FJ25" i="2" s="1"/>
  <c r="FJ31" i="2" a="1"/>
  <c r="FJ31" i="2" s="1"/>
  <c r="FJ29" i="2" a="1"/>
  <c r="FJ29" i="2" s="1"/>
  <c r="FJ32" i="2" a="1"/>
  <c r="FJ32" i="2" s="1"/>
  <c r="FJ28" i="2" a="1"/>
  <c r="FJ28" i="2" s="1"/>
  <c r="FJ17" i="2" a="1"/>
  <c r="FJ17" i="2" s="1"/>
  <c r="FJ23" i="2" a="1"/>
  <c r="FJ23" i="2" s="1"/>
  <c r="FJ22" i="2" a="1"/>
  <c r="FJ22" i="2" s="1"/>
  <c r="FJ21" i="2" a="1"/>
  <c r="FJ21" i="2" s="1"/>
  <c r="FJ20" i="2" a="1"/>
  <c r="FJ20" i="2" s="1"/>
  <c r="FJ19" i="2" a="1"/>
  <c r="FJ19" i="2" s="1"/>
  <c r="FJ18" i="2" a="1"/>
  <c r="FJ18" i="2" s="1"/>
  <c r="FJ16" i="2" a="1"/>
  <c r="FJ16" i="2" s="1"/>
  <c r="FJ24" i="2" a="1"/>
  <c r="FJ24" i="2" s="1"/>
  <c r="FJ15" i="2" a="1"/>
  <c r="FJ15" i="2" s="1"/>
  <c r="FJ12" i="2" a="1"/>
  <c r="FJ12" i="2" s="1"/>
  <c r="FJ11" i="2" a="1"/>
  <c r="FJ11" i="2" s="1"/>
  <c r="FJ9" i="2" a="1"/>
  <c r="FJ9" i="2" s="1"/>
  <c r="FJ14" i="2" a="1"/>
  <c r="FJ14" i="2" s="1"/>
  <c r="FJ10" i="2" a="1"/>
  <c r="FJ10" i="2" s="1"/>
  <c r="FJ8" i="2" a="1"/>
  <c r="FJ8" i="2" s="1"/>
  <c r="FJ13" i="2" a="1"/>
  <c r="FJ13" i="2" s="1"/>
  <c r="FJ6" i="2" a="1"/>
  <c r="FJ6" i="2" s="1"/>
  <c r="FJ5" i="2" a="1"/>
  <c r="FJ5" i="2" s="1"/>
  <c r="FJ4" i="2" a="1"/>
  <c r="FJ4" i="2" s="1"/>
  <c r="FJ7" i="2" a="1"/>
  <c r="FJ7" i="2" s="1"/>
  <c r="FV1" i="2"/>
  <c r="EU104" i="2"/>
  <c r="EU108" i="2" s="1"/>
  <c r="EP104" i="2"/>
  <c r="EX104" i="2"/>
  <c r="EX108" i="2" s="1"/>
  <c r="FH100" i="2" a="1"/>
  <c r="FH100" i="2" s="1"/>
  <c r="FH99" i="2" a="1"/>
  <c r="FH99" i="2" s="1"/>
  <c r="FH103" i="2" a="1"/>
  <c r="FH103" i="2" s="1"/>
  <c r="FH102" i="2" a="1"/>
  <c r="FH102" i="2" s="1"/>
  <c r="FH101" i="2" a="1"/>
  <c r="FH101" i="2" s="1"/>
  <c r="FH98" i="2" a="1"/>
  <c r="FH98" i="2" s="1"/>
  <c r="FH96" i="2" a="1"/>
  <c r="FH96" i="2" s="1"/>
  <c r="FH95" i="2" a="1"/>
  <c r="FH95" i="2" s="1"/>
  <c r="FH97" i="2" a="1"/>
  <c r="FH97" i="2" s="1"/>
  <c r="FH93" i="2" a="1"/>
  <c r="FH93" i="2" s="1"/>
  <c r="FH92" i="2" a="1"/>
  <c r="FH92" i="2" s="1"/>
  <c r="FH94" i="2" a="1"/>
  <c r="FH94" i="2" s="1"/>
  <c r="FH89" i="2" a="1"/>
  <c r="FH89" i="2" s="1"/>
  <c r="FH88" i="2" a="1"/>
  <c r="FH88" i="2" s="1"/>
  <c r="FH91" i="2" a="1"/>
  <c r="FH91" i="2" s="1"/>
  <c r="FH90" i="2" a="1"/>
  <c r="FH90" i="2" s="1"/>
  <c r="FH87" i="2" a="1"/>
  <c r="FH87" i="2" s="1"/>
  <c r="FH86" i="2" a="1"/>
  <c r="FH86" i="2" s="1"/>
  <c r="FH83" i="2" a="1"/>
  <c r="FH83" i="2" s="1"/>
  <c r="FH84" i="2" a="1"/>
  <c r="FH84" i="2" s="1"/>
  <c r="FH85" i="2" a="1"/>
  <c r="FH85" i="2" s="1"/>
  <c r="FH80" i="2" a="1"/>
  <c r="FH80" i="2" s="1"/>
  <c r="FH79" i="2" a="1"/>
  <c r="FH79" i="2" s="1"/>
  <c r="FH82" i="2" a="1"/>
  <c r="FH82" i="2" s="1"/>
  <c r="FH81" i="2" a="1"/>
  <c r="FH81" i="2" s="1"/>
  <c r="FH78" i="2" a="1"/>
  <c r="FH78" i="2" s="1"/>
  <c r="FH76" i="2" a="1"/>
  <c r="FH76" i="2" s="1"/>
  <c r="FH77" i="2" a="1"/>
  <c r="FH77" i="2" s="1"/>
  <c r="FH72" i="2" a="1"/>
  <c r="FH72" i="2" s="1"/>
  <c r="FH75" i="2" a="1"/>
  <c r="FH75" i="2" s="1"/>
  <c r="FH73" i="2" a="1"/>
  <c r="FH73" i="2" s="1"/>
  <c r="FH74" i="2" a="1"/>
  <c r="FH74" i="2" s="1"/>
  <c r="FH71" i="2" a="1"/>
  <c r="FH71" i="2" s="1"/>
  <c r="FH69" i="2" a="1"/>
  <c r="FH69" i="2" s="1"/>
  <c r="FH68" i="2" a="1"/>
  <c r="FH68" i="2" s="1"/>
  <c r="FH67" i="2" a="1"/>
  <c r="FH67" i="2" s="1"/>
  <c r="FH70" i="2" a="1"/>
  <c r="FH70" i="2" s="1"/>
  <c r="FH64" i="2" a="1"/>
  <c r="FH64" i="2" s="1"/>
  <c r="FH65" i="2" a="1"/>
  <c r="FH65" i="2" s="1"/>
  <c r="FH66" i="2" a="1"/>
  <c r="FH66" i="2" s="1"/>
  <c r="FH62" i="2" a="1"/>
  <c r="FH62" i="2" s="1"/>
  <c r="FH63" i="2" a="1"/>
  <c r="FH63" i="2" s="1"/>
  <c r="FH61" i="2" a="1"/>
  <c r="FH61" i="2" s="1"/>
  <c r="FH60" i="2" a="1"/>
  <c r="FH60" i="2" s="1"/>
  <c r="FH57" i="2" a="1"/>
  <c r="FH57" i="2" s="1"/>
  <c r="FH59" i="2" a="1"/>
  <c r="FH59" i="2" s="1"/>
  <c r="FH56" i="2" a="1"/>
  <c r="FH56" i="2" s="1"/>
  <c r="FH58" i="2" a="1"/>
  <c r="FH58" i="2" s="1"/>
  <c r="FH51" i="2" a="1"/>
  <c r="FH51" i="2" s="1"/>
  <c r="FH53" i="2" a="1"/>
  <c r="FH53" i="2" s="1"/>
  <c r="FH50" i="2" a="1"/>
  <c r="FH50" i="2" s="1"/>
  <c r="FH49" i="2" a="1"/>
  <c r="FH49" i="2" s="1"/>
  <c r="FH55" i="2" a="1"/>
  <c r="FH55" i="2" s="1"/>
  <c r="FH54" i="2" a="1"/>
  <c r="FH54" i="2" s="1"/>
  <c r="FH48" i="2" a="1"/>
  <c r="FH48" i="2" s="1"/>
  <c r="FH52" i="2" a="1"/>
  <c r="FH52" i="2" s="1"/>
  <c r="FH47" i="2" a="1"/>
  <c r="FH47" i="2" s="1"/>
  <c r="FH44" i="2" a="1"/>
  <c r="FH44" i="2" s="1"/>
  <c r="FH43" i="2" a="1"/>
  <c r="FH43" i="2" s="1"/>
  <c r="FH46" i="2" a="1"/>
  <c r="FH46" i="2" s="1"/>
  <c r="FH42" i="2" a="1"/>
  <c r="FH42" i="2" s="1"/>
  <c r="FH45" i="2" a="1"/>
  <c r="FH45" i="2" s="1"/>
  <c r="FH41" i="2" a="1"/>
  <c r="FH41" i="2" s="1"/>
  <c r="FH39" i="2" a="1"/>
  <c r="FH39" i="2" s="1"/>
  <c r="FH35" i="2" a="1"/>
  <c r="FH35" i="2" s="1"/>
  <c r="FH34" i="2" a="1"/>
  <c r="FH34" i="2" s="1"/>
  <c r="FH38" i="2" a="1"/>
  <c r="FH38" i="2" s="1"/>
  <c r="FH33" i="2" a="1"/>
  <c r="FH33" i="2" s="1"/>
  <c r="FH37" i="2" a="1"/>
  <c r="FH37" i="2" s="1"/>
  <c r="FH40" i="2" a="1"/>
  <c r="FH40" i="2" s="1"/>
  <c r="FH36" i="2" a="1"/>
  <c r="FH36" i="2" s="1"/>
  <c r="FH28" i="2" a="1"/>
  <c r="FH28" i="2" s="1"/>
  <c r="FH27" i="2" a="1"/>
  <c r="FH27" i="2" s="1"/>
  <c r="FH26" i="2" a="1"/>
  <c r="FH26" i="2" s="1"/>
  <c r="FH25" i="2" a="1"/>
  <c r="FH25" i="2" s="1"/>
  <c r="FH31" i="2" a="1"/>
  <c r="FH31" i="2" s="1"/>
  <c r="FH30" i="2" a="1"/>
  <c r="FH30" i="2" s="1"/>
  <c r="FH29" i="2" a="1"/>
  <c r="FH29" i="2" s="1"/>
  <c r="FH32" i="2" a="1"/>
  <c r="FH32" i="2" s="1"/>
  <c r="FH17" i="2" a="1"/>
  <c r="FH17" i="2" s="1"/>
  <c r="FH23" i="2" a="1"/>
  <c r="FH23" i="2" s="1"/>
  <c r="FH22" i="2" a="1"/>
  <c r="FH22" i="2" s="1"/>
  <c r="FH21" i="2" a="1"/>
  <c r="FH21" i="2" s="1"/>
  <c r="FH20" i="2" a="1"/>
  <c r="FH20" i="2" s="1"/>
  <c r="FH19" i="2" a="1"/>
  <c r="FH19" i="2" s="1"/>
  <c r="FH18" i="2" a="1"/>
  <c r="FH18" i="2" s="1"/>
  <c r="FH16" i="2" a="1"/>
  <c r="FH16" i="2" s="1"/>
  <c r="FH24" i="2" a="1"/>
  <c r="FH24" i="2" s="1"/>
  <c r="FH10" i="2" a="1"/>
  <c r="FH10" i="2" s="1"/>
  <c r="FH13" i="2" a="1"/>
  <c r="FH13" i="2" s="1"/>
  <c r="FH8" i="2" a="1"/>
  <c r="FH8" i="2" s="1"/>
  <c r="FH15" i="2" a="1"/>
  <c r="FH15" i="2" s="1"/>
  <c r="FH12" i="2" a="1"/>
  <c r="FH12" i="2" s="1"/>
  <c r="FH11" i="2" a="1"/>
  <c r="FH11" i="2" s="1"/>
  <c r="FH9" i="2" a="1"/>
  <c r="FH9" i="2" s="1"/>
  <c r="FH7" i="2" a="1"/>
  <c r="FH7" i="2" s="1"/>
  <c r="FH14" i="2" a="1"/>
  <c r="FH14" i="2" s="1"/>
  <c r="FH6" i="2" a="1"/>
  <c r="FH6" i="2" s="1"/>
  <c r="FH4" i="2" a="1"/>
  <c r="FH4" i="2" s="1"/>
  <c r="FH5" i="2" a="1"/>
  <c r="FH5" i="2" s="1"/>
  <c r="FT1" i="2"/>
  <c r="FC100" i="2" a="1"/>
  <c r="FC100" i="2" s="1"/>
  <c r="FC99" i="2" a="1"/>
  <c r="FC99" i="2" s="1"/>
  <c r="FC103" i="2" a="1"/>
  <c r="FC103" i="2" s="1"/>
  <c r="FC102" i="2" a="1"/>
  <c r="FC102" i="2" s="1"/>
  <c r="FC101" i="2" a="1"/>
  <c r="FC101" i="2" s="1"/>
  <c r="FC96" i="2" a="1"/>
  <c r="FC96" i="2" s="1"/>
  <c r="FC98" i="2" a="1"/>
  <c r="FC98" i="2" s="1"/>
  <c r="FC95" i="2" a="1"/>
  <c r="FC95" i="2" s="1"/>
  <c r="FC97" i="2" a="1"/>
  <c r="FC97" i="2" s="1"/>
  <c r="FC94" i="2" a="1"/>
  <c r="FC94" i="2" s="1"/>
  <c r="FC93" i="2" a="1"/>
  <c r="FC93" i="2" s="1"/>
  <c r="FC92" i="2" a="1"/>
  <c r="FC92" i="2" s="1"/>
  <c r="FC90" i="2" a="1"/>
  <c r="FC90" i="2" s="1"/>
  <c r="FC89" i="2" a="1"/>
  <c r="FC89" i="2" s="1"/>
  <c r="FC91" i="2" a="1"/>
  <c r="FC91" i="2" s="1"/>
  <c r="FC88" i="2" a="1"/>
  <c r="FC88" i="2" s="1"/>
  <c r="FC87" i="2" a="1"/>
  <c r="FC87" i="2" s="1"/>
  <c r="FC86" i="2" a="1"/>
  <c r="FC86" i="2" s="1"/>
  <c r="FC84" i="2" a="1"/>
  <c r="FC84" i="2" s="1"/>
  <c r="FC85" i="2" a="1"/>
  <c r="FC85" i="2" s="1"/>
  <c r="FC79" i="2" a="1"/>
  <c r="FC79" i="2" s="1"/>
  <c r="FC82" i="2" a="1"/>
  <c r="FC82" i="2" s="1"/>
  <c r="FC81" i="2" a="1"/>
  <c r="FC81" i="2" s="1"/>
  <c r="FC83" i="2" a="1"/>
  <c r="FC83" i="2" s="1"/>
  <c r="FC80" i="2" a="1"/>
  <c r="FC80" i="2" s="1"/>
  <c r="FC77" i="2" a="1"/>
  <c r="FC77" i="2" s="1"/>
  <c r="FC78" i="2" a="1"/>
  <c r="FC78" i="2" s="1"/>
  <c r="FC76" i="2" a="1"/>
  <c r="FC76" i="2" s="1"/>
  <c r="FC74" i="2" a="1"/>
  <c r="FC74" i="2" s="1"/>
  <c r="FC72" i="2" a="1"/>
  <c r="FC72" i="2" s="1"/>
  <c r="FC75" i="2" a="1"/>
  <c r="FC75" i="2" s="1"/>
  <c r="FC73" i="2" a="1"/>
  <c r="FC73" i="2" s="1"/>
  <c r="FC68" i="2" a="1"/>
  <c r="FC68" i="2" s="1"/>
  <c r="FC70" i="2" a="1"/>
  <c r="FC70" i="2" s="1"/>
  <c r="FC71" i="2" a="1"/>
  <c r="FC71" i="2" s="1"/>
  <c r="FC69" i="2" a="1"/>
  <c r="FC69" i="2" s="1"/>
  <c r="FC65" i="2" a="1"/>
  <c r="FC65" i="2" s="1"/>
  <c r="FC66" i="2" a="1"/>
  <c r="FC66" i="2" s="1"/>
  <c r="FC67" i="2" a="1"/>
  <c r="FC67" i="2" s="1"/>
  <c r="FC64" i="2" a="1"/>
  <c r="FC64" i="2" s="1"/>
  <c r="FC63" i="2" a="1"/>
  <c r="FC63" i="2" s="1"/>
  <c r="FC62" i="2" a="1"/>
  <c r="FC62" i="2" s="1"/>
  <c r="FC61" i="2" a="1"/>
  <c r="FC61" i="2" s="1"/>
  <c r="FC59" i="2" a="1"/>
  <c r="FC59" i="2" s="1"/>
  <c r="FC60" i="2" a="1"/>
  <c r="FC60" i="2" s="1"/>
  <c r="FC58" i="2" a="1"/>
  <c r="FC58" i="2" s="1"/>
  <c r="FC57" i="2" a="1"/>
  <c r="FC57" i="2" s="1"/>
  <c r="FC56" i="2" a="1"/>
  <c r="FC56" i="2" s="1"/>
  <c r="FC48" i="2" a="1"/>
  <c r="FC48" i="2" s="1"/>
  <c r="FC55" i="2" a="1"/>
  <c r="FC55" i="2" s="1"/>
  <c r="FC54" i="2" a="1"/>
  <c r="FC54" i="2" s="1"/>
  <c r="FC52" i="2" a="1"/>
  <c r="FC52" i="2" s="1"/>
  <c r="FC51" i="2" a="1"/>
  <c r="FC51" i="2" s="1"/>
  <c r="FC53" i="2" a="1"/>
  <c r="FC53" i="2" s="1"/>
  <c r="FC50" i="2" a="1"/>
  <c r="FC50" i="2" s="1"/>
  <c r="FC49" i="2" a="1"/>
  <c r="FC49" i="2" s="1"/>
  <c r="FC41" i="2" a="1"/>
  <c r="FC41" i="2" s="1"/>
  <c r="FC47" i="2" a="1"/>
  <c r="FC47" i="2" s="1"/>
  <c r="FC43" i="2" a="1"/>
  <c r="FC43" i="2" s="1"/>
  <c r="FC44" i="2" a="1"/>
  <c r="FC44" i="2" s="1"/>
  <c r="FC46" i="2" a="1"/>
  <c r="FC46" i="2" s="1"/>
  <c r="FC45" i="2" a="1"/>
  <c r="FC45" i="2" s="1"/>
  <c r="FC42" i="2" a="1"/>
  <c r="FC42" i="2" s="1"/>
  <c r="FC37" i="2" a="1"/>
  <c r="FC37" i="2" s="1"/>
  <c r="FC36" i="2" a="1"/>
  <c r="FC36" i="2" s="1"/>
  <c r="FC39" i="2" a="1"/>
  <c r="FC39" i="2" s="1"/>
  <c r="FC35" i="2" a="1"/>
  <c r="FC35" i="2" s="1"/>
  <c r="FC34" i="2" a="1"/>
  <c r="FC34" i="2" s="1"/>
  <c r="FC38" i="2" a="1"/>
  <c r="FC38" i="2" s="1"/>
  <c r="FC33" i="2" a="1"/>
  <c r="FC33" i="2" s="1"/>
  <c r="FC40" i="2" a="1"/>
  <c r="FC40" i="2" s="1"/>
  <c r="FC25" i="2" a="1"/>
  <c r="FC25" i="2" s="1"/>
  <c r="FC31" i="2" a="1"/>
  <c r="FC31" i="2" s="1"/>
  <c r="FC30" i="2" a="1"/>
  <c r="FC30" i="2" s="1"/>
  <c r="FC32" i="2" a="1"/>
  <c r="FC32" i="2" s="1"/>
  <c r="FC29" i="2" a="1"/>
  <c r="FC29" i="2" s="1"/>
  <c r="FC28" i="2" a="1"/>
  <c r="FC28" i="2" s="1"/>
  <c r="FC27" i="2" a="1"/>
  <c r="FC27" i="2" s="1"/>
  <c r="FC26" i="2" a="1"/>
  <c r="FC26" i="2" s="1"/>
  <c r="FC23" i="2" a="1"/>
  <c r="FC23" i="2" s="1"/>
  <c r="FC22" i="2" a="1"/>
  <c r="FC22" i="2" s="1"/>
  <c r="FC21" i="2" a="1"/>
  <c r="FC21" i="2" s="1"/>
  <c r="FC20" i="2" a="1"/>
  <c r="FC20" i="2" s="1"/>
  <c r="FC19" i="2" a="1"/>
  <c r="FC19" i="2" s="1"/>
  <c r="FC18" i="2" a="1"/>
  <c r="FC18" i="2" s="1"/>
  <c r="FC24" i="2" a="1"/>
  <c r="FC24" i="2" s="1"/>
  <c r="FC16" i="2" a="1"/>
  <c r="FC16" i="2" s="1"/>
  <c r="FC17" i="2" a="1"/>
  <c r="FC17" i="2" s="1"/>
  <c r="FC15" i="2" a="1"/>
  <c r="FC15" i="2" s="1"/>
  <c r="FC12" i="2" a="1"/>
  <c r="FC12" i="2" s="1"/>
  <c r="FC11" i="2" a="1"/>
  <c r="FC11" i="2" s="1"/>
  <c r="FC9" i="2" a="1"/>
  <c r="FC9" i="2" s="1"/>
  <c r="FC14" i="2" a="1"/>
  <c r="FC14" i="2" s="1"/>
  <c r="FC10" i="2" a="1"/>
  <c r="FC10" i="2" s="1"/>
  <c r="FC8" i="2" a="1"/>
  <c r="FC8" i="2" s="1"/>
  <c r="FC13" i="2" a="1"/>
  <c r="FC13" i="2" s="1"/>
  <c r="FC6" i="2" a="1"/>
  <c r="FC6" i="2" s="1"/>
  <c r="FC7" i="2" a="1"/>
  <c r="FC7" i="2" s="1"/>
  <c r="FC4" i="2" a="1"/>
  <c r="FC4" i="2" s="1"/>
  <c r="FC5" i="2" a="1"/>
  <c r="FC5" i="2" s="1"/>
  <c r="FO1" i="2"/>
  <c r="EO105" i="2"/>
  <c r="FL100" i="2" a="1"/>
  <c r="FL100" i="2" s="1"/>
  <c r="FL99" i="2" a="1"/>
  <c r="FL99" i="2" s="1"/>
  <c r="FL103" i="2" a="1"/>
  <c r="FL103" i="2" s="1"/>
  <c r="FL102" i="2" a="1"/>
  <c r="FL102" i="2" s="1"/>
  <c r="FL101" i="2" a="1"/>
  <c r="FL101" i="2" s="1"/>
  <c r="FL98" i="2" a="1"/>
  <c r="FL98" i="2" s="1"/>
  <c r="FL96" i="2" a="1"/>
  <c r="FL96" i="2" s="1"/>
  <c r="FL97" i="2" a="1"/>
  <c r="FL97" i="2" s="1"/>
  <c r="FL94" i="2" a="1"/>
  <c r="FL94" i="2" s="1"/>
  <c r="FL93" i="2" a="1"/>
  <c r="FL93" i="2" s="1"/>
  <c r="FL95" i="2" a="1"/>
  <c r="FL95" i="2" s="1"/>
  <c r="FL92" i="2" a="1"/>
  <c r="FL92" i="2" s="1"/>
  <c r="FL91" i="2" a="1"/>
  <c r="FL91" i="2" s="1"/>
  <c r="FL90" i="2" a="1"/>
  <c r="FL90" i="2" s="1"/>
  <c r="FL89" i="2" a="1"/>
  <c r="FL89" i="2" s="1"/>
  <c r="FL88" i="2" a="1"/>
  <c r="FL88" i="2" s="1"/>
  <c r="FL86" i="2" a="1"/>
  <c r="FL86" i="2" s="1"/>
  <c r="FL87" i="2" a="1"/>
  <c r="FL87" i="2" s="1"/>
  <c r="FL83" i="2" a="1"/>
  <c r="FL83" i="2" s="1"/>
  <c r="FL85" i="2" a="1"/>
  <c r="FL85" i="2" s="1"/>
  <c r="FL84" i="2" a="1"/>
  <c r="FL84" i="2" s="1"/>
  <c r="FL82" i="2" a="1"/>
  <c r="FL82" i="2" s="1"/>
  <c r="FL81" i="2" a="1"/>
  <c r="FL81" i="2" s="1"/>
  <c r="FL80" i="2" a="1"/>
  <c r="FL80" i="2" s="1"/>
  <c r="FL77" i="2" a="1"/>
  <c r="FL77" i="2" s="1"/>
  <c r="FL78" i="2" a="1"/>
  <c r="FL78" i="2" s="1"/>
  <c r="FL79" i="2" a="1"/>
  <c r="FL79" i="2" s="1"/>
  <c r="FL76" i="2" a="1"/>
  <c r="FL76" i="2" s="1"/>
  <c r="FL74" i="2" a="1"/>
  <c r="FL74" i="2" s="1"/>
  <c r="FL73" i="2" a="1"/>
  <c r="FL73" i="2" s="1"/>
  <c r="FL75" i="2" a="1"/>
  <c r="FL75" i="2" s="1"/>
  <c r="FL72" i="2" a="1"/>
  <c r="FL72" i="2" s="1"/>
  <c r="FL69" i="2" a="1"/>
  <c r="FL69" i="2" s="1"/>
  <c r="FL71" i="2" a="1"/>
  <c r="FL71" i="2" s="1"/>
  <c r="FL68" i="2" a="1"/>
  <c r="FL68" i="2" s="1"/>
  <c r="FL70" i="2" a="1"/>
  <c r="FL70" i="2" s="1"/>
  <c r="FL65" i="2" a="1"/>
  <c r="FL65" i="2" s="1"/>
  <c r="FL66" i="2" a="1"/>
  <c r="FL66" i="2" s="1"/>
  <c r="FL64" i="2" a="1"/>
  <c r="FL64" i="2" s="1"/>
  <c r="FL67" i="2" a="1"/>
  <c r="FL67" i="2" s="1"/>
  <c r="FL63" i="2" a="1"/>
  <c r="FL63" i="2" s="1"/>
  <c r="FL62" i="2" a="1"/>
  <c r="FL62" i="2" s="1"/>
  <c r="FL59" i="2" a="1"/>
  <c r="FL59" i="2" s="1"/>
  <c r="FL61" i="2" a="1"/>
  <c r="FL61" i="2" s="1"/>
  <c r="FL56" i="2" a="1"/>
  <c r="FL56" i="2" s="1"/>
  <c r="FL60" i="2" a="1"/>
  <c r="FL60" i="2" s="1"/>
  <c r="FL58" i="2" a="1"/>
  <c r="FL58" i="2" s="1"/>
  <c r="FL57" i="2" a="1"/>
  <c r="FL57" i="2" s="1"/>
  <c r="FL49" i="2" a="1"/>
  <c r="FL49" i="2" s="1"/>
  <c r="FL55" i="2" a="1"/>
  <c r="FL55" i="2" s="1"/>
  <c r="FL54" i="2" a="1"/>
  <c r="FL54" i="2" s="1"/>
  <c r="FL48" i="2" a="1"/>
  <c r="FL48" i="2" s="1"/>
  <c r="FL52" i="2" a="1"/>
  <c r="FL52" i="2" s="1"/>
  <c r="FL51" i="2" a="1"/>
  <c r="FL51" i="2" s="1"/>
  <c r="FL53" i="2" a="1"/>
  <c r="FL53" i="2" s="1"/>
  <c r="FL50" i="2" a="1"/>
  <c r="FL50" i="2" s="1"/>
  <c r="FL41" i="2" a="1"/>
  <c r="FL41" i="2" s="1"/>
  <c r="FL43" i="2" a="1"/>
  <c r="FL43" i="2" s="1"/>
  <c r="FL47" i="2" a="1"/>
  <c r="FL47" i="2" s="1"/>
  <c r="FL44" i="2" a="1"/>
  <c r="FL44" i="2" s="1"/>
  <c r="FL42" i="2" a="1"/>
  <c r="FL42" i="2" s="1"/>
  <c r="FL46" i="2" a="1"/>
  <c r="FL46" i="2" s="1"/>
  <c r="FL45" i="2" a="1"/>
  <c r="FL45" i="2" s="1"/>
  <c r="FL36" i="2" a="1"/>
  <c r="FL36" i="2" s="1"/>
  <c r="FL40" i="2" a="1"/>
  <c r="FL40" i="2" s="1"/>
  <c r="FL39" i="2" a="1"/>
  <c r="FL39" i="2" s="1"/>
  <c r="FL35" i="2" a="1"/>
  <c r="FL35" i="2" s="1"/>
  <c r="FL38" i="2" a="1"/>
  <c r="FL38" i="2" s="1"/>
  <c r="FL34" i="2" a="1"/>
  <c r="FL34" i="2" s="1"/>
  <c r="FL33" i="2" a="1"/>
  <c r="FL33" i="2" s="1"/>
  <c r="FL37" i="2" a="1"/>
  <c r="FL37" i="2" s="1"/>
  <c r="FL26" i="2" a="1"/>
  <c r="FL26" i="2" s="1"/>
  <c r="FL31" i="2" a="1"/>
  <c r="FL31" i="2" s="1"/>
  <c r="FL30" i="2" a="1"/>
  <c r="FL30" i="2" s="1"/>
  <c r="FL29" i="2" a="1"/>
  <c r="FL29" i="2" s="1"/>
  <c r="FL25" i="2" a="1"/>
  <c r="FL25" i="2" s="1"/>
  <c r="FL24" i="2" a="1"/>
  <c r="FL24" i="2" s="1"/>
  <c r="FL32" i="2" a="1"/>
  <c r="FL32" i="2" s="1"/>
  <c r="FL28" i="2" a="1"/>
  <c r="FL28" i="2" s="1"/>
  <c r="FL27" i="2" a="1"/>
  <c r="FL27" i="2" s="1"/>
  <c r="FL23" i="2" a="1"/>
  <c r="FL23" i="2" s="1"/>
  <c r="FL22" i="2" a="1"/>
  <c r="FL22" i="2" s="1"/>
  <c r="FL21" i="2" a="1"/>
  <c r="FL21" i="2" s="1"/>
  <c r="FL20" i="2" a="1"/>
  <c r="FL20" i="2" s="1"/>
  <c r="FL19" i="2" a="1"/>
  <c r="FL19" i="2" s="1"/>
  <c r="FL18" i="2" a="1"/>
  <c r="FL18" i="2" s="1"/>
  <c r="FL16" i="2" a="1"/>
  <c r="FL16" i="2" s="1"/>
  <c r="FL15" i="2" a="1"/>
  <c r="FL15" i="2" s="1"/>
  <c r="FL17" i="2" a="1"/>
  <c r="FL17" i="2" s="1"/>
  <c r="FL12" i="2" a="1"/>
  <c r="FL12" i="2" s="1"/>
  <c r="FL11" i="2" a="1"/>
  <c r="FL11" i="2" s="1"/>
  <c r="FL9" i="2" a="1"/>
  <c r="FL9" i="2" s="1"/>
  <c r="FL14" i="2" a="1"/>
  <c r="FL14" i="2" s="1"/>
  <c r="FL10" i="2" a="1"/>
  <c r="FL10" i="2" s="1"/>
  <c r="FL8" i="2" a="1"/>
  <c r="FL8" i="2" s="1"/>
  <c r="FL13" i="2" a="1"/>
  <c r="FL13" i="2" s="1"/>
  <c r="FL5" i="2" a="1"/>
  <c r="FL5" i="2" s="1"/>
  <c r="FL4" i="2" a="1"/>
  <c r="FL4" i="2" s="1"/>
  <c r="FL7" i="2" a="1"/>
  <c r="FL7" i="2" s="1"/>
  <c r="FL6" i="2" a="1"/>
  <c r="FL6" i="2" s="1"/>
  <c r="FX1" i="2"/>
  <c r="FI100" i="2" a="1"/>
  <c r="FI100" i="2" s="1"/>
  <c r="FI99" i="2" a="1"/>
  <c r="FI99" i="2" s="1"/>
  <c r="FI103" i="2" a="1"/>
  <c r="FI103" i="2" s="1"/>
  <c r="FI102" i="2" a="1"/>
  <c r="FI102" i="2" s="1"/>
  <c r="FI101" i="2" a="1"/>
  <c r="FI101" i="2" s="1"/>
  <c r="FI98" i="2" a="1"/>
  <c r="FI98" i="2" s="1"/>
  <c r="FI96" i="2" a="1"/>
  <c r="FI96" i="2" s="1"/>
  <c r="FI95" i="2" a="1"/>
  <c r="FI95" i="2" s="1"/>
  <c r="FI97" i="2" a="1"/>
  <c r="FI97" i="2" s="1"/>
  <c r="FI92" i="2" a="1"/>
  <c r="FI92" i="2" s="1"/>
  <c r="FI91" i="2" a="1"/>
  <c r="FI91" i="2" s="1"/>
  <c r="FI94" i="2" a="1"/>
  <c r="FI94" i="2" s="1"/>
  <c r="FI93" i="2" a="1"/>
  <c r="FI93" i="2" s="1"/>
  <c r="FI88" i="2" a="1"/>
  <c r="FI88" i="2" s="1"/>
  <c r="FI87" i="2" a="1"/>
  <c r="FI87" i="2" s="1"/>
  <c r="FI90" i="2" a="1"/>
  <c r="FI90" i="2" s="1"/>
  <c r="FI89" i="2" a="1"/>
  <c r="FI89" i="2" s="1"/>
  <c r="FI86" i="2" a="1"/>
  <c r="FI86" i="2" s="1"/>
  <c r="FI84" i="2" a="1"/>
  <c r="FI84" i="2" s="1"/>
  <c r="FI85" i="2" a="1"/>
  <c r="FI85" i="2" s="1"/>
  <c r="FI80" i="2" a="1"/>
  <c r="FI80" i="2" s="1"/>
  <c r="FI83" i="2" a="1"/>
  <c r="FI83" i="2" s="1"/>
  <c r="FI82" i="2" a="1"/>
  <c r="FI82" i="2" s="1"/>
  <c r="FI81" i="2" a="1"/>
  <c r="FI81" i="2" s="1"/>
  <c r="FI79" i="2" a="1"/>
  <c r="FI79" i="2" s="1"/>
  <c r="FI78" i="2" a="1"/>
  <c r="FI78" i="2" s="1"/>
  <c r="FI76" i="2" a="1"/>
  <c r="FI76" i="2" s="1"/>
  <c r="FI77" i="2" a="1"/>
  <c r="FI77" i="2" s="1"/>
  <c r="FI75" i="2" a="1"/>
  <c r="FI75" i="2" s="1"/>
  <c r="FI74" i="2" a="1"/>
  <c r="FI74" i="2" s="1"/>
  <c r="FI73" i="2" a="1"/>
  <c r="FI73" i="2" s="1"/>
  <c r="FI71" i="2" a="1"/>
  <c r="FI71" i="2" s="1"/>
  <c r="FI72" i="2" a="1"/>
  <c r="FI72" i="2" s="1"/>
  <c r="FI69" i="2" a="1"/>
  <c r="FI69" i="2" s="1"/>
  <c r="FI68" i="2" a="1"/>
  <c r="FI68" i="2" s="1"/>
  <c r="FI70" i="2" a="1"/>
  <c r="FI70" i="2" s="1"/>
  <c r="FI64" i="2" a="1"/>
  <c r="FI64" i="2" s="1"/>
  <c r="FI67" i="2" a="1"/>
  <c r="FI67" i="2" s="1"/>
  <c r="FI65" i="2" a="1"/>
  <c r="FI65" i="2" s="1"/>
  <c r="FI66" i="2" a="1"/>
  <c r="FI66" i="2" s="1"/>
  <c r="FI62" i="2" a="1"/>
  <c r="FI62" i="2" s="1"/>
  <c r="FI63" i="2" a="1"/>
  <c r="FI63" i="2" s="1"/>
  <c r="FI61" i="2" a="1"/>
  <c r="FI61" i="2" s="1"/>
  <c r="FI59" i="2" a="1"/>
  <c r="FI59" i="2" s="1"/>
  <c r="FI60" i="2" a="1"/>
  <c r="FI60" i="2" s="1"/>
  <c r="FI57" i="2" a="1"/>
  <c r="FI57" i="2" s="1"/>
  <c r="FI56" i="2" a="1"/>
  <c r="FI56" i="2" s="1"/>
  <c r="FI58" i="2" a="1"/>
  <c r="FI58" i="2" s="1"/>
  <c r="FI51" i="2" a="1"/>
  <c r="FI51" i="2" s="1"/>
  <c r="FI53" i="2" a="1"/>
  <c r="FI53" i="2" s="1"/>
  <c r="FI50" i="2" a="1"/>
  <c r="FI50" i="2" s="1"/>
  <c r="FI49" i="2" a="1"/>
  <c r="FI49" i="2" s="1"/>
  <c r="FI54" i="2" a="1"/>
  <c r="FI54" i="2" s="1"/>
  <c r="FI55" i="2" a="1"/>
  <c r="FI55" i="2" s="1"/>
  <c r="FI52" i="2" a="1"/>
  <c r="FI52" i="2" s="1"/>
  <c r="FI42" i="2" a="1"/>
  <c r="FI42" i="2" s="1"/>
  <c r="FI46" i="2" a="1"/>
  <c r="FI46" i="2" s="1"/>
  <c r="FI45" i="2" a="1"/>
  <c r="FI45" i="2" s="1"/>
  <c r="FI40" i="2" a="1"/>
  <c r="FI40" i="2" s="1"/>
  <c r="FI48" i="2" a="1"/>
  <c r="FI48" i="2" s="1"/>
  <c r="FI41" i="2" a="1"/>
  <c r="FI41" i="2" s="1"/>
  <c r="FI43" i="2" a="1"/>
  <c r="FI43" i="2" s="1"/>
  <c r="FI47" i="2" a="1"/>
  <c r="FI47" i="2" s="1"/>
  <c r="FI44" i="2" a="1"/>
  <c r="FI44" i="2" s="1"/>
  <c r="FI37" i="2" a="1"/>
  <c r="FI37" i="2" s="1"/>
  <c r="FI36" i="2" a="1"/>
  <c r="FI36" i="2" s="1"/>
  <c r="FI39" i="2" a="1"/>
  <c r="FI39" i="2" s="1"/>
  <c r="FI35" i="2" a="1"/>
  <c r="FI35" i="2" s="1"/>
  <c r="FI34" i="2" a="1"/>
  <c r="FI34" i="2" s="1"/>
  <c r="FI38" i="2" a="1"/>
  <c r="FI38" i="2" s="1"/>
  <c r="FI28" i="2" a="1"/>
  <c r="FI28" i="2" s="1"/>
  <c r="FI33" i="2" a="1"/>
  <c r="FI33" i="2" s="1"/>
  <c r="FI27" i="2" a="1"/>
  <c r="FI27" i="2" s="1"/>
  <c r="FI26" i="2" a="1"/>
  <c r="FI26" i="2" s="1"/>
  <c r="FI25" i="2" a="1"/>
  <c r="FI25" i="2" s="1"/>
  <c r="FI31" i="2" a="1"/>
  <c r="FI31" i="2" s="1"/>
  <c r="FI30" i="2" a="1"/>
  <c r="FI30" i="2" s="1"/>
  <c r="FI32" i="2" a="1"/>
  <c r="FI32" i="2" s="1"/>
  <c r="FI29" i="2" a="1"/>
  <c r="FI29" i="2" s="1"/>
  <c r="FI17" i="2" a="1"/>
  <c r="FI17" i="2" s="1"/>
  <c r="FI23" i="2" a="1"/>
  <c r="FI23" i="2" s="1"/>
  <c r="FI22" i="2" a="1"/>
  <c r="FI22" i="2" s="1"/>
  <c r="FI21" i="2" a="1"/>
  <c r="FI21" i="2" s="1"/>
  <c r="FI20" i="2" a="1"/>
  <c r="FI20" i="2" s="1"/>
  <c r="FI19" i="2" a="1"/>
  <c r="FI19" i="2" s="1"/>
  <c r="FI18" i="2" a="1"/>
  <c r="FI18" i="2" s="1"/>
  <c r="FI16" i="2" a="1"/>
  <c r="FI16" i="2" s="1"/>
  <c r="FI24" i="2" a="1"/>
  <c r="FI24" i="2" s="1"/>
  <c r="FI15" i="2" a="1"/>
  <c r="FI15" i="2" s="1"/>
  <c r="FI13" i="2" a="1"/>
  <c r="FI13" i="2" s="1"/>
  <c r="FI8" i="2" a="1"/>
  <c r="FI8" i="2" s="1"/>
  <c r="FI12" i="2" a="1"/>
  <c r="FI12" i="2" s="1"/>
  <c r="FI11" i="2" a="1"/>
  <c r="FI11" i="2" s="1"/>
  <c r="FI9" i="2" a="1"/>
  <c r="FI9" i="2" s="1"/>
  <c r="FI14" i="2" a="1"/>
  <c r="FI14" i="2" s="1"/>
  <c r="FI10" i="2" a="1"/>
  <c r="FI10" i="2" s="1"/>
  <c r="FI7" i="2" a="1"/>
  <c r="FI7" i="2" s="1"/>
  <c r="FI6" i="2" a="1"/>
  <c r="FI6" i="2" s="1"/>
  <c r="FI4" i="2" a="1"/>
  <c r="FI4" i="2" s="1"/>
  <c r="FI5" i="2" a="1"/>
  <c r="FI5" i="2" s="1"/>
  <c r="FU1" i="2"/>
  <c r="EQ104" i="2"/>
  <c r="EQ108" i="2" s="1"/>
  <c r="GQ15" i="2"/>
  <c r="GR15" i="2" s="1"/>
  <c r="EZ104" i="2"/>
  <c r="FE103" i="2" a="1"/>
  <c r="FE103" i="2" s="1"/>
  <c r="FE102" i="2" a="1"/>
  <c r="FE102" i="2" s="1"/>
  <c r="FE101" i="2" a="1"/>
  <c r="FE101" i="2" s="1"/>
  <c r="FE100" i="2" a="1"/>
  <c r="FE100" i="2" s="1"/>
  <c r="FE99" i="2" a="1"/>
  <c r="FE99" i="2" s="1"/>
  <c r="FE97" i="2" a="1"/>
  <c r="FE97" i="2" s="1"/>
  <c r="FE96" i="2" a="1"/>
  <c r="FE96" i="2" s="1"/>
  <c r="FE98" i="2" a="1"/>
  <c r="FE98" i="2" s="1"/>
  <c r="FE95" i="2" a="1"/>
  <c r="FE95" i="2" s="1"/>
  <c r="FE94" i="2" a="1"/>
  <c r="FE94" i="2" s="1"/>
  <c r="FE93" i="2" a="1"/>
  <c r="FE93" i="2" s="1"/>
  <c r="FE92" i="2" a="1"/>
  <c r="FE92" i="2" s="1"/>
  <c r="FE91" i="2" a="1"/>
  <c r="FE91" i="2" s="1"/>
  <c r="FE90" i="2" a="1"/>
  <c r="FE90" i="2" s="1"/>
  <c r="FE89" i="2" a="1"/>
  <c r="FE89" i="2" s="1"/>
  <c r="FE88" i="2" a="1"/>
  <c r="FE88" i="2" s="1"/>
  <c r="FE84" i="2" a="1"/>
  <c r="FE84" i="2" s="1"/>
  <c r="FE85" i="2" a="1"/>
  <c r="FE85" i="2" s="1"/>
  <c r="FE87" i="2" a="1"/>
  <c r="FE87" i="2" s="1"/>
  <c r="FE86" i="2" a="1"/>
  <c r="FE86" i="2" s="1"/>
  <c r="FE83" i="2" a="1"/>
  <c r="FE83" i="2" s="1"/>
  <c r="FE82" i="2" a="1"/>
  <c r="FE82" i="2" s="1"/>
  <c r="FE81" i="2" a="1"/>
  <c r="FE81" i="2" s="1"/>
  <c r="FE80" i="2" a="1"/>
  <c r="FE80" i="2" s="1"/>
  <c r="FE77" i="2" a="1"/>
  <c r="FE77" i="2" s="1"/>
  <c r="FE79" i="2" a="1"/>
  <c r="FE79" i="2" s="1"/>
  <c r="FE78" i="2" a="1"/>
  <c r="FE78" i="2" s="1"/>
  <c r="FE76" i="2" a="1"/>
  <c r="FE76" i="2" s="1"/>
  <c r="FE72" i="2" a="1"/>
  <c r="FE72" i="2" s="1"/>
  <c r="FE75" i="2" a="1"/>
  <c r="FE75" i="2" s="1"/>
  <c r="FE73" i="2" a="1"/>
  <c r="FE73" i="2" s="1"/>
  <c r="FE74" i="2" a="1"/>
  <c r="FE74" i="2" s="1"/>
  <c r="FE68" i="2" a="1"/>
  <c r="FE68" i="2" s="1"/>
  <c r="FE70" i="2" a="1"/>
  <c r="FE70" i="2" s="1"/>
  <c r="FE71" i="2" a="1"/>
  <c r="FE71" i="2" s="1"/>
  <c r="FE69" i="2" a="1"/>
  <c r="FE69" i="2" s="1"/>
  <c r="FE66" i="2" a="1"/>
  <c r="FE66" i="2" s="1"/>
  <c r="FE67" i="2" a="1"/>
  <c r="FE67" i="2" s="1"/>
  <c r="FE64" i="2" a="1"/>
  <c r="FE64" i="2" s="1"/>
  <c r="FE63" i="2" a="1"/>
  <c r="FE63" i="2" s="1"/>
  <c r="FE65" i="2" a="1"/>
  <c r="FE65" i="2" s="1"/>
  <c r="FE62" i="2" a="1"/>
  <c r="FE62" i="2" s="1"/>
  <c r="FE61" i="2" a="1"/>
  <c r="FE61" i="2" s="1"/>
  <c r="FE59" i="2" a="1"/>
  <c r="FE59" i="2" s="1"/>
  <c r="FE60" i="2" a="1"/>
  <c r="FE60" i="2" s="1"/>
  <c r="FE58" i="2" a="1"/>
  <c r="FE58" i="2" s="1"/>
  <c r="FE57" i="2" a="1"/>
  <c r="FE57" i="2" s="1"/>
  <c r="FE56" i="2" a="1"/>
  <c r="FE56" i="2" s="1"/>
  <c r="FE52" i="2" a="1"/>
  <c r="FE52" i="2" s="1"/>
  <c r="FE51" i="2" a="1"/>
  <c r="FE51" i="2" s="1"/>
  <c r="FE53" i="2" a="1"/>
  <c r="FE53" i="2" s="1"/>
  <c r="FE50" i="2" a="1"/>
  <c r="FE50" i="2" s="1"/>
  <c r="FE49" i="2" a="1"/>
  <c r="FE49" i="2" s="1"/>
  <c r="FE55" i="2" a="1"/>
  <c r="FE55" i="2" s="1"/>
  <c r="FE54" i="2" a="1"/>
  <c r="FE54" i="2" s="1"/>
  <c r="FE48" i="2" a="1"/>
  <c r="FE48" i="2" s="1"/>
  <c r="FE41" i="2" a="1"/>
  <c r="FE41" i="2" s="1"/>
  <c r="FE47" i="2" a="1"/>
  <c r="FE47" i="2" s="1"/>
  <c r="FE43" i="2" a="1"/>
  <c r="FE43" i="2" s="1"/>
  <c r="FE44" i="2" a="1"/>
  <c r="FE44" i="2" s="1"/>
  <c r="FE46" i="2" a="1"/>
  <c r="FE46" i="2" s="1"/>
  <c r="FE45" i="2" a="1"/>
  <c r="FE45" i="2" s="1"/>
  <c r="FE42" i="2" a="1"/>
  <c r="FE42" i="2" s="1"/>
  <c r="FE40" i="2" a="1"/>
  <c r="FE40" i="2" s="1"/>
  <c r="FE36" i="2" a="1"/>
  <c r="FE36" i="2" s="1"/>
  <c r="FE39" i="2" a="1"/>
  <c r="FE39" i="2" s="1"/>
  <c r="FE35" i="2" a="1"/>
  <c r="FE35" i="2" s="1"/>
  <c r="FE34" i="2" a="1"/>
  <c r="FE34" i="2" s="1"/>
  <c r="FE38" i="2" a="1"/>
  <c r="FE38" i="2" s="1"/>
  <c r="FE33" i="2" a="1"/>
  <c r="FE33" i="2" s="1"/>
  <c r="FE37" i="2" a="1"/>
  <c r="FE37" i="2" s="1"/>
  <c r="FE30" i="2" a="1"/>
  <c r="FE30" i="2" s="1"/>
  <c r="FE32" i="2" a="1"/>
  <c r="FE32" i="2" s="1"/>
  <c r="FE29" i="2" a="1"/>
  <c r="FE29" i="2" s="1"/>
  <c r="FE28" i="2" a="1"/>
  <c r="FE28" i="2" s="1"/>
  <c r="FE27" i="2" a="1"/>
  <c r="FE27" i="2" s="1"/>
  <c r="FE26" i="2" a="1"/>
  <c r="FE26" i="2" s="1"/>
  <c r="FE31" i="2" a="1"/>
  <c r="FE31" i="2" s="1"/>
  <c r="FE24" i="2" a="1"/>
  <c r="FE24" i="2" s="1"/>
  <c r="FE25" i="2" a="1"/>
  <c r="FE25" i="2" s="1"/>
  <c r="FE16" i="2" a="1"/>
  <c r="FE16" i="2" s="1"/>
  <c r="FE17" i="2" a="1"/>
  <c r="FE17" i="2" s="1"/>
  <c r="FE15" i="2" a="1"/>
  <c r="FE15" i="2" s="1"/>
  <c r="FE23" i="2" a="1"/>
  <c r="FE23" i="2" s="1"/>
  <c r="FE22" i="2" a="1"/>
  <c r="FE22" i="2" s="1"/>
  <c r="FE21" i="2" a="1"/>
  <c r="FE21" i="2" s="1"/>
  <c r="FE20" i="2" a="1"/>
  <c r="FE20" i="2" s="1"/>
  <c r="FE19" i="2" a="1"/>
  <c r="FE19" i="2" s="1"/>
  <c r="FE18" i="2" a="1"/>
  <c r="FE18" i="2" s="1"/>
  <c r="FE11" i="2" a="1"/>
  <c r="FE11" i="2" s="1"/>
  <c r="FE9" i="2" a="1"/>
  <c r="FE9" i="2" s="1"/>
  <c r="FE14" i="2" a="1"/>
  <c r="FE14" i="2" s="1"/>
  <c r="FE10" i="2" a="1"/>
  <c r="FE10" i="2" s="1"/>
  <c r="FE8" i="2" a="1"/>
  <c r="FE8" i="2" s="1"/>
  <c r="FE13" i="2" a="1"/>
  <c r="FE13" i="2" s="1"/>
  <c r="FE12" i="2" a="1"/>
  <c r="FE12" i="2" s="1"/>
  <c r="FE4" i="2" a="1"/>
  <c r="FE4" i="2" s="1"/>
  <c r="FE7" i="2" a="1"/>
  <c r="FE7" i="2" s="1"/>
  <c r="FE5" i="2" a="1"/>
  <c r="FE5" i="2" s="1"/>
  <c r="FE6" i="2" a="1"/>
  <c r="FE6" i="2" s="1"/>
  <c r="FQ1" i="2"/>
  <c r="FK100" i="2" a="1"/>
  <c r="FK100" i="2" s="1"/>
  <c r="FK99" i="2" a="1"/>
  <c r="FK99" i="2" s="1"/>
  <c r="FK103" i="2" a="1"/>
  <c r="FK103" i="2" s="1"/>
  <c r="FK102" i="2" a="1"/>
  <c r="FK102" i="2" s="1"/>
  <c r="FK101" i="2" a="1"/>
  <c r="FK101" i="2" s="1"/>
  <c r="FK95" i="2" a="1"/>
  <c r="FK95" i="2" s="1"/>
  <c r="FK98" i="2" a="1"/>
  <c r="FK98" i="2" s="1"/>
  <c r="FK96" i="2" a="1"/>
  <c r="FK96" i="2" s="1"/>
  <c r="FK97" i="2" a="1"/>
  <c r="FK97" i="2" s="1"/>
  <c r="FK94" i="2" a="1"/>
  <c r="FK94" i="2" s="1"/>
  <c r="FK93" i="2" a="1"/>
  <c r="FK93" i="2" s="1"/>
  <c r="FK92" i="2" a="1"/>
  <c r="FK92" i="2" s="1"/>
  <c r="FK91" i="2" a="1"/>
  <c r="FK91" i="2" s="1"/>
  <c r="FK90" i="2" a="1"/>
  <c r="FK90" i="2" s="1"/>
  <c r="FK89" i="2" a="1"/>
  <c r="FK89" i="2" s="1"/>
  <c r="FK88" i="2" a="1"/>
  <c r="FK88" i="2" s="1"/>
  <c r="FK86" i="2" a="1"/>
  <c r="FK86" i="2" s="1"/>
  <c r="FK87" i="2" a="1"/>
  <c r="FK87" i="2" s="1"/>
  <c r="FK85" i="2" a="1"/>
  <c r="FK85" i="2" s="1"/>
  <c r="FK84" i="2" a="1"/>
  <c r="FK84" i="2" s="1"/>
  <c r="FK79" i="2" a="1"/>
  <c r="FK79" i="2" s="1"/>
  <c r="FK83" i="2" a="1"/>
  <c r="FK83" i="2" s="1"/>
  <c r="FK81" i="2" a="1"/>
  <c r="FK81" i="2" s="1"/>
  <c r="FK82" i="2" a="1"/>
  <c r="FK82" i="2" s="1"/>
  <c r="FK80" i="2" a="1"/>
  <c r="FK80" i="2" s="1"/>
  <c r="FK76" i="2" a="1"/>
  <c r="FK76" i="2" s="1"/>
  <c r="FK77" i="2" a="1"/>
  <c r="FK77" i="2" s="1"/>
  <c r="FK78" i="2" a="1"/>
  <c r="FK78" i="2" s="1"/>
  <c r="FK73" i="2" a="1"/>
  <c r="FK73" i="2" s="1"/>
  <c r="FK75" i="2" a="1"/>
  <c r="FK75" i="2" s="1"/>
  <c r="FK74" i="2" a="1"/>
  <c r="FK74" i="2" s="1"/>
  <c r="FK72" i="2" a="1"/>
  <c r="FK72" i="2" s="1"/>
  <c r="FK69" i="2" a="1"/>
  <c r="FK69" i="2" s="1"/>
  <c r="FK71" i="2" a="1"/>
  <c r="FK71" i="2" s="1"/>
  <c r="FK68" i="2" a="1"/>
  <c r="FK68" i="2" s="1"/>
  <c r="FK70" i="2" a="1"/>
  <c r="FK70" i="2" s="1"/>
  <c r="FK63" i="2" a="1"/>
  <c r="FK63" i="2" s="1"/>
  <c r="FK65" i="2" a="1"/>
  <c r="FK65" i="2" s="1"/>
  <c r="FK66" i="2" a="1"/>
  <c r="FK66" i="2" s="1"/>
  <c r="FK64" i="2" a="1"/>
  <c r="FK64" i="2" s="1"/>
  <c r="FK67" i="2" a="1"/>
  <c r="FK67" i="2" s="1"/>
  <c r="FK60" i="2" a="1"/>
  <c r="FK60" i="2" s="1"/>
  <c r="FK62" i="2" a="1"/>
  <c r="FK62" i="2" s="1"/>
  <c r="FK59" i="2" a="1"/>
  <c r="FK59" i="2" s="1"/>
  <c r="FK61" i="2" a="1"/>
  <c r="FK61" i="2" s="1"/>
  <c r="FK56" i="2" a="1"/>
  <c r="FK56" i="2" s="1"/>
  <c r="FK58" i="2" a="1"/>
  <c r="FK58" i="2" s="1"/>
  <c r="FK57" i="2" a="1"/>
  <c r="FK57" i="2" s="1"/>
  <c r="FK50" i="2" a="1"/>
  <c r="FK50" i="2" s="1"/>
  <c r="FK49" i="2" a="1"/>
  <c r="FK49" i="2" s="1"/>
  <c r="FK54" i="2" a="1"/>
  <c r="FK54" i="2" s="1"/>
  <c r="FK55" i="2" a="1"/>
  <c r="FK55" i="2" s="1"/>
  <c r="FK48" i="2" a="1"/>
  <c r="FK48" i="2" s="1"/>
  <c r="FK52" i="2" a="1"/>
  <c r="FK52" i="2" s="1"/>
  <c r="FK51" i="2" a="1"/>
  <c r="FK51" i="2" s="1"/>
  <c r="FK53" i="2" a="1"/>
  <c r="FK53" i="2" s="1"/>
  <c r="FK41" i="2" a="1"/>
  <c r="FK41" i="2" s="1"/>
  <c r="FK43" i="2" a="1"/>
  <c r="FK43" i="2" s="1"/>
  <c r="FK44" i="2" a="1"/>
  <c r="FK44" i="2" s="1"/>
  <c r="FK47" i="2" a="1"/>
  <c r="FK47" i="2" s="1"/>
  <c r="FK42" i="2" a="1"/>
  <c r="FK42" i="2" s="1"/>
  <c r="FK46" i="2" a="1"/>
  <c r="FK46" i="2" s="1"/>
  <c r="FK45" i="2" a="1"/>
  <c r="FK45" i="2" s="1"/>
  <c r="FK37" i="2" a="1"/>
  <c r="FK37" i="2" s="1"/>
  <c r="FK36" i="2" a="1"/>
  <c r="FK36" i="2" s="1"/>
  <c r="FK40" i="2" a="1"/>
  <c r="FK40" i="2" s="1"/>
  <c r="FK39" i="2" a="1"/>
  <c r="FK39" i="2" s="1"/>
  <c r="FK35" i="2" a="1"/>
  <c r="FK35" i="2" s="1"/>
  <c r="FK34" i="2" a="1"/>
  <c r="FK34" i="2" s="1"/>
  <c r="FK38" i="2" a="1"/>
  <c r="FK38" i="2" s="1"/>
  <c r="FK26" i="2" a="1"/>
  <c r="FK26" i="2" s="1"/>
  <c r="FK30" i="2" a="1"/>
  <c r="FK30" i="2" s="1"/>
  <c r="FK25" i="2" a="1"/>
  <c r="FK25" i="2" s="1"/>
  <c r="FK31" i="2" a="1"/>
  <c r="FK31" i="2" s="1"/>
  <c r="FK29" i="2" a="1"/>
  <c r="FK29" i="2" s="1"/>
  <c r="FK32" i="2" a="1"/>
  <c r="FK32" i="2" s="1"/>
  <c r="FK28" i="2" a="1"/>
  <c r="FK28" i="2" s="1"/>
  <c r="FK33" i="2" a="1"/>
  <c r="FK33" i="2" s="1"/>
  <c r="FK27" i="2" a="1"/>
  <c r="FK27" i="2" s="1"/>
  <c r="FK23" i="2" a="1"/>
  <c r="FK23" i="2" s="1"/>
  <c r="FK22" i="2" a="1"/>
  <c r="FK22" i="2" s="1"/>
  <c r="FK21" i="2" a="1"/>
  <c r="FK21" i="2" s="1"/>
  <c r="FK20" i="2" a="1"/>
  <c r="FK20" i="2" s="1"/>
  <c r="FK19" i="2" a="1"/>
  <c r="FK19" i="2" s="1"/>
  <c r="FK18" i="2" a="1"/>
  <c r="FK18" i="2" s="1"/>
  <c r="FK16" i="2" a="1"/>
  <c r="FK16" i="2" s="1"/>
  <c r="FK24" i="2" a="1"/>
  <c r="FK24" i="2" s="1"/>
  <c r="FK15" i="2" a="1"/>
  <c r="FK15" i="2" s="1"/>
  <c r="FK17" i="2" a="1"/>
  <c r="FK17" i="2" s="1"/>
  <c r="FK12" i="2" a="1"/>
  <c r="FK12" i="2" s="1"/>
  <c r="FK11" i="2" a="1"/>
  <c r="FK11" i="2" s="1"/>
  <c r="FK9" i="2" a="1"/>
  <c r="FK9" i="2" s="1"/>
  <c r="FK7" i="2" a="1"/>
  <c r="FK7" i="2" s="1"/>
  <c r="FK14" i="2" a="1"/>
  <c r="FK14" i="2" s="1"/>
  <c r="FK10" i="2" a="1"/>
  <c r="FK10" i="2" s="1"/>
  <c r="FK8" i="2" a="1"/>
  <c r="FK8" i="2" s="1"/>
  <c r="FK13" i="2" a="1"/>
  <c r="FK13" i="2" s="1"/>
  <c r="FK6" i="2" a="1"/>
  <c r="FK6" i="2" s="1"/>
  <c r="FK5" i="2" a="1"/>
  <c r="FK5" i="2" s="1"/>
  <c r="FK4" i="2" a="1"/>
  <c r="FK4" i="2" s="1"/>
  <c r="FW1" i="2"/>
  <c r="FD99" i="2" a="1"/>
  <c r="FD99" i="2" s="1"/>
  <c r="FD103" i="2" a="1"/>
  <c r="FD103" i="2" s="1"/>
  <c r="FD102" i="2" a="1"/>
  <c r="FD102" i="2" s="1"/>
  <c r="FD101" i="2" a="1"/>
  <c r="FD101" i="2" s="1"/>
  <c r="FD100" i="2" a="1"/>
  <c r="FD100" i="2" s="1"/>
  <c r="FD98" i="2" a="1"/>
  <c r="FD98" i="2" s="1"/>
  <c r="FD97" i="2" a="1"/>
  <c r="FD97" i="2" s="1"/>
  <c r="FD96" i="2" a="1"/>
  <c r="FD96" i="2" s="1"/>
  <c r="FD95" i="2" a="1"/>
  <c r="FD95" i="2" s="1"/>
  <c r="FD94" i="2" a="1"/>
  <c r="FD94" i="2" s="1"/>
  <c r="FD93" i="2" a="1"/>
  <c r="FD93" i="2" s="1"/>
  <c r="FD92" i="2" a="1"/>
  <c r="FD92" i="2" s="1"/>
  <c r="FD90" i="2" a="1"/>
  <c r="FD90" i="2" s="1"/>
  <c r="FD89" i="2" a="1"/>
  <c r="FD89" i="2" s="1"/>
  <c r="FD91" i="2" a="1"/>
  <c r="FD91" i="2" s="1"/>
  <c r="FD88" i="2" a="1"/>
  <c r="FD88" i="2" s="1"/>
  <c r="FD87" i="2" a="1"/>
  <c r="FD87" i="2" s="1"/>
  <c r="FD86" i="2" a="1"/>
  <c r="FD86" i="2" s="1"/>
  <c r="FD84" i="2" a="1"/>
  <c r="FD84" i="2" s="1"/>
  <c r="FD85" i="2" a="1"/>
  <c r="FD85" i="2" s="1"/>
  <c r="FD83" i="2" a="1"/>
  <c r="FD83" i="2" s="1"/>
  <c r="FD82" i="2" a="1"/>
  <c r="FD82" i="2" s="1"/>
  <c r="FD81" i="2" a="1"/>
  <c r="FD81" i="2" s="1"/>
  <c r="FD80" i="2" a="1"/>
  <c r="FD80" i="2" s="1"/>
  <c r="FD77" i="2" a="1"/>
  <c r="FD77" i="2" s="1"/>
  <c r="FD79" i="2" a="1"/>
  <c r="FD79" i="2" s="1"/>
  <c r="FD78" i="2" a="1"/>
  <c r="FD78" i="2" s="1"/>
  <c r="FD76" i="2" a="1"/>
  <c r="FD76" i="2" s="1"/>
  <c r="FD74" i="2" a="1"/>
  <c r="FD74" i="2" s="1"/>
  <c r="FD72" i="2" a="1"/>
  <c r="FD72" i="2" s="1"/>
  <c r="FD75" i="2" a="1"/>
  <c r="FD75" i="2" s="1"/>
  <c r="FD73" i="2" a="1"/>
  <c r="FD73" i="2" s="1"/>
  <c r="FD68" i="2" a="1"/>
  <c r="FD68" i="2" s="1"/>
  <c r="FD67" i="2" a="1"/>
  <c r="FD67" i="2" s="1"/>
  <c r="FD70" i="2" a="1"/>
  <c r="FD70" i="2" s="1"/>
  <c r="FD71" i="2" a="1"/>
  <c r="FD71" i="2" s="1"/>
  <c r="FD69" i="2" a="1"/>
  <c r="FD69" i="2" s="1"/>
  <c r="FD66" i="2" a="1"/>
  <c r="FD66" i="2" s="1"/>
  <c r="FD64" i="2" a="1"/>
  <c r="FD64" i="2" s="1"/>
  <c r="FD63" i="2" a="1"/>
  <c r="FD63" i="2" s="1"/>
  <c r="FD65" i="2" a="1"/>
  <c r="FD65" i="2" s="1"/>
  <c r="FD62" i="2" a="1"/>
  <c r="FD62" i="2" s="1"/>
  <c r="FD61" i="2" a="1"/>
  <c r="FD61" i="2" s="1"/>
  <c r="FD59" i="2" a="1"/>
  <c r="FD59" i="2" s="1"/>
  <c r="FD60" i="2" a="1"/>
  <c r="FD60" i="2" s="1"/>
  <c r="FD56" i="2" a="1"/>
  <c r="FD56" i="2" s="1"/>
  <c r="FD58" i="2" a="1"/>
  <c r="FD58" i="2" s="1"/>
  <c r="FD55" i="2" a="1"/>
  <c r="FD55" i="2" s="1"/>
  <c r="FD57" i="2" a="1"/>
  <c r="FD57" i="2" s="1"/>
  <c r="FD48" i="2" a="1"/>
  <c r="FD48" i="2" s="1"/>
  <c r="FD54" i="2" a="1"/>
  <c r="FD54" i="2" s="1"/>
  <c r="FD52" i="2" a="1"/>
  <c r="FD52" i="2" s="1"/>
  <c r="FD51" i="2" a="1"/>
  <c r="FD51" i="2" s="1"/>
  <c r="FD53" i="2" a="1"/>
  <c r="FD53" i="2" s="1"/>
  <c r="FD50" i="2" a="1"/>
  <c r="FD50" i="2" s="1"/>
  <c r="FD49" i="2" a="1"/>
  <c r="FD49" i="2" s="1"/>
  <c r="FD41" i="2" a="1"/>
  <c r="FD41" i="2" s="1"/>
  <c r="FD47" i="2" a="1"/>
  <c r="FD47" i="2" s="1"/>
  <c r="FD43" i="2" a="1"/>
  <c r="FD43" i="2" s="1"/>
  <c r="FD44" i="2" a="1"/>
  <c r="FD44" i="2" s="1"/>
  <c r="FD46" i="2" a="1"/>
  <c r="FD46" i="2" s="1"/>
  <c r="FD45" i="2" a="1"/>
  <c r="FD45" i="2" s="1"/>
  <c r="FD42" i="2" a="1"/>
  <c r="FD42" i="2" s="1"/>
  <c r="FD40" i="2" a="1"/>
  <c r="FD40" i="2" s="1"/>
  <c r="FD36" i="2" a="1"/>
  <c r="FD36" i="2" s="1"/>
  <c r="FD39" i="2" a="1"/>
  <c r="FD39" i="2" s="1"/>
  <c r="FD35" i="2" a="1"/>
  <c r="FD35" i="2" s="1"/>
  <c r="FD34" i="2" a="1"/>
  <c r="FD34" i="2" s="1"/>
  <c r="FD38" i="2" a="1"/>
  <c r="FD38" i="2" s="1"/>
  <c r="FD37" i="2" a="1"/>
  <c r="FD37" i="2" s="1"/>
  <c r="FD31" i="2" a="1"/>
  <c r="FD31" i="2" s="1"/>
  <c r="FD30" i="2" a="1"/>
  <c r="FD30" i="2" s="1"/>
  <c r="FD32" i="2" a="1"/>
  <c r="FD32" i="2" s="1"/>
  <c r="FD29" i="2" a="1"/>
  <c r="FD29" i="2" s="1"/>
  <c r="FD33" i="2" a="1"/>
  <c r="FD33" i="2" s="1"/>
  <c r="FD28" i="2" a="1"/>
  <c r="FD28" i="2" s="1"/>
  <c r="FD27" i="2" a="1"/>
  <c r="FD27" i="2" s="1"/>
  <c r="FD26" i="2" a="1"/>
  <c r="FD26" i="2" s="1"/>
  <c r="FD25" i="2" a="1"/>
  <c r="FD25" i="2" s="1"/>
  <c r="FD24" i="2" a="1"/>
  <c r="FD24" i="2" s="1"/>
  <c r="FD16" i="2" a="1"/>
  <c r="FD16" i="2" s="1"/>
  <c r="FD17" i="2" a="1"/>
  <c r="FD17" i="2" s="1"/>
  <c r="FD15" i="2" a="1"/>
  <c r="FD15" i="2" s="1"/>
  <c r="FD23" i="2" a="1"/>
  <c r="FD23" i="2" s="1"/>
  <c r="FD22" i="2" a="1"/>
  <c r="FD22" i="2" s="1"/>
  <c r="FD21" i="2" a="1"/>
  <c r="FD21" i="2" s="1"/>
  <c r="FD20" i="2" a="1"/>
  <c r="FD20" i="2" s="1"/>
  <c r="FD19" i="2" a="1"/>
  <c r="FD19" i="2" s="1"/>
  <c r="FD18" i="2" a="1"/>
  <c r="FD18" i="2" s="1"/>
  <c r="FD12" i="2" a="1"/>
  <c r="FD12" i="2" s="1"/>
  <c r="FD11" i="2" a="1"/>
  <c r="FD11" i="2" s="1"/>
  <c r="FD9" i="2" a="1"/>
  <c r="FD9" i="2" s="1"/>
  <c r="FD7" i="2" a="1"/>
  <c r="FD7" i="2" s="1"/>
  <c r="FD14" i="2" a="1"/>
  <c r="FD14" i="2" s="1"/>
  <c r="FD10" i="2" a="1"/>
  <c r="FD10" i="2" s="1"/>
  <c r="FD8" i="2" a="1"/>
  <c r="FD8" i="2" s="1"/>
  <c r="FD13" i="2" a="1"/>
  <c r="FD13" i="2" s="1"/>
  <c r="FD4" i="2" a="1"/>
  <c r="FD4" i="2" s="1"/>
  <c r="FD5" i="2" a="1"/>
  <c r="FD5" i="2" s="1"/>
  <c r="FD6" i="2" a="1"/>
  <c r="FD6" i="2" s="1"/>
  <c r="FP1" i="2"/>
  <c r="ES104" i="2"/>
  <c r="ES108" i="2" s="1"/>
  <c r="EY104" i="2"/>
  <c r="EY108" i="2" s="1"/>
  <c r="ER104" i="2"/>
  <c r="ER108" i="2" s="1"/>
  <c r="EW104" i="2"/>
  <c r="EW108" i="2" s="1"/>
  <c r="FF103" i="2" a="1"/>
  <c r="FF103" i="2" s="1"/>
  <c r="FF102" i="2" a="1"/>
  <c r="FF102" i="2" s="1"/>
  <c r="FF101" i="2" a="1"/>
  <c r="FF101" i="2" s="1"/>
  <c r="FF100" i="2" a="1"/>
  <c r="FF100" i="2" s="1"/>
  <c r="FF99" i="2" a="1"/>
  <c r="FF99" i="2" s="1"/>
  <c r="FF96" i="2" a="1"/>
  <c r="FF96" i="2" s="1"/>
  <c r="FF98" i="2" a="1"/>
  <c r="FF98" i="2" s="1"/>
  <c r="FF95" i="2" a="1"/>
  <c r="FF95" i="2" s="1"/>
  <c r="FF97" i="2" a="1"/>
  <c r="FF97" i="2" s="1"/>
  <c r="FF94" i="2" a="1"/>
  <c r="FF94" i="2" s="1"/>
  <c r="FF93" i="2" a="1"/>
  <c r="FF93" i="2" s="1"/>
  <c r="FF92" i="2" a="1"/>
  <c r="FF92" i="2" s="1"/>
  <c r="FF90" i="2" a="1"/>
  <c r="FF90" i="2" s="1"/>
  <c r="FF89" i="2" a="1"/>
  <c r="FF89" i="2" s="1"/>
  <c r="FF91" i="2" a="1"/>
  <c r="FF91" i="2" s="1"/>
  <c r="FF88" i="2" a="1"/>
  <c r="FF88" i="2" s="1"/>
  <c r="FF85" i="2" a="1"/>
  <c r="FF85" i="2" s="1"/>
  <c r="FF84" i="2" a="1"/>
  <c r="FF84" i="2" s="1"/>
  <c r="FF87" i="2" a="1"/>
  <c r="FF87" i="2" s="1"/>
  <c r="FF86" i="2" a="1"/>
  <c r="FF86" i="2" s="1"/>
  <c r="FF81" i="2" a="1"/>
  <c r="FF81" i="2" s="1"/>
  <c r="FF83" i="2" a="1"/>
  <c r="FF83" i="2" s="1"/>
  <c r="FF80" i="2" a="1"/>
  <c r="FF80" i="2" s="1"/>
  <c r="FF79" i="2" a="1"/>
  <c r="FF79" i="2" s="1"/>
  <c r="FF82" i="2" a="1"/>
  <c r="FF82" i="2" s="1"/>
  <c r="FF78" i="2" a="1"/>
  <c r="FF78" i="2" s="1"/>
  <c r="FF76" i="2" a="1"/>
  <c r="FF76" i="2" s="1"/>
  <c r="FF77" i="2" a="1"/>
  <c r="FF77" i="2" s="1"/>
  <c r="FF72" i="2" a="1"/>
  <c r="FF72" i="2" s="1"/>
  <c r="FF75" i="2" a="1"/>
  <c r="FF75" i="2" s="1"/>
  <c r="FF73" i="2" a="1"/>
  <c r="FF73" i="2" s="1"/>
  <c r="FF74" i="2" a="1"/>
  <c r="FF74" i="2" s="1"/>
  <c r="FF70" i="2" a="1"/>
  <c r="FF70" i="2" s="1"/>
  <c r="FF71" i="2" a="1"/>
  <c r="FF71" i="2" s="1"/>
  <c r="FF69" i="2" a="1"/>
  <c r="FF69" i="2" s="1"/>
  <c r="FF68" i="2" a="1"/>
  <c r="FF68" i="2" s="1"/>
  <c r="FF66" i="2" a="1"/>
  <c r="FF66" i="2" s="1"/>
  <c r="FF67" i="2" a="1"/>
  <c r="FF67" i="2" s="1"/>
  <c r="FF64" i="2" a="1"/>
  <c r="FF64" i="2" s="1"/>
  <c r="FF63" i="2" a="1"/>
  <c r="FF63" i="2" s="1"/>
  <c r="FF65" i="2" a="1"/>
  <c r="FF65" i="2" s="1"/>
  <c r="FF62" i="2" a="1"/>
  <c r="FF62" i="2" s="1"/>
  <c r="FF61" i="2" a="1"/>
  <c r="FF61" i="2" s="1"/>
  <c r="FF59" i="2" a="1"/>
  <c r="FF59" i="2" s="1"/>
  <c r="FF60" i="2" a="1"/>
  <c r="FF60" i="2" s="1"/>
  <c r="FF57" i="2" a="1"/>
  <c r="FF57" i="2" s="1"/>
  <c r="FF56" i="2" a="1"/>
  <c r="FF56" i="2" s="1"/>
  <c r="FF58" i="2" a="1"/>
  <c r="FF58" i="2" s="1"/>
  <c r="FF52" i="2" a="1"/>
  <c r="FF52" i="2" s="1"/>
  <c r="FF51" i="2" a="1"/>
  <c r="FF51" i="2" s="1"/>
  <c r="FF53" i="2" a="1"/>
  <c r="FF53" i="2" s="1"/>
  <c r="FF50" i="2" a="1"/>
  <c r="FF50" i="2" s="1"/>
  <c r="FF49" i="2" a="1"/>
  <c r="FF49" i="2" s="1"/>
  <c r="FF55" i="2" a="1"/>
  <c r="FF55" i="2" s="1"/>
  <c r="FF54" i="2" a="1"/>
  <c r="FF54" i="2" s="1"/>
  <c r="FF48" i="2" a="1"/>
  <c r="FF48" i="2" s="1"/>
  <c r="FF41" i="2" a="1"/>
  <c r="FF41" i="2" s="1"/>
  <c r="FF47" i="2" a="1"/>
  <c r="FF47" i="2" s="1"/>
  <c r="FF43" i="2" a="1"/>
  <c r="FF43" i="2" s="1"/>
  <c r="FF44" i="2" a="1"/>
  <c r="FF44" i="2" s="1"/>
  <c r="FF46" i="2" a="1"/>
  <c r="FF46" i="2" s="1"/>
  <c r="FF45" i="2" a="1"/>
  <c r="FF45" i="2" s="1"/>
  <c r="FF42" i="2" a="1"/>
  <c r="FF42" i="2" s="1"/>
  <c r="FF39" i="2" a="1"/>
  <c r="FF39" i="2" s="1"/>
  <c r="FF35" i="2" a="1"/>
  <c r="FF35" i="2" s="1"/>
  <c r="FF34" i="2" a="1"/>
  <c r="FF34" i="2" s="1"/>
  <c r="FF38" i="2" a="1"/>
  <c r="FF38" i="2" s="1"/>
  <c r="FF33" i="2" a="1"/>
  <c r="FF33" i="2" s="1"/>
  <c r="FF37" i="2" a="1"/>
  <c r="FF37" i="2" s="1"/>
  <c r="FF40" i="2" a="1"/>
  <c r="FF40" i="2" s="1"/>
  <c r="FF36" i="2" a="1"/>
  <c r="FF36" i="2" s="1"/>
  <c r="FF32" i="2" a="1"/>
  <c r="FF32" i="2" s="1"/>
  <c r="FF29" i="2" a="1"/>
  <c r="FF29" i="2" s="1"/>
  <c r="FF28" i="2" a="1"/>
  <c r="FF28" i="2" s="1"/>
  <c r="FF27" i="2" a="1"/>
  <c r="FF27" i="2" s="1"/>
  <c r="FF26" i="2" a="1"/>
  <c r="FF26" i="2" s="1"/>
  <c r="FF25" i="2" a="1"/>
  <c r="FF25" i="2" s="1"/>
  <c r="FF31" i="2" a="1"/>
  <c r="FF31" i="2" s="1"/>
  <c r="FF30" i="2" a="1"/>
  <c r="FF30" i="2" s="1"/>
  <c r="FF16" i="2" a="1"/>
  <c r="FF16" i="2" s="1"/>
  <c r="FF15" i="2" a="1"/>
  <c r="FF15" i="2" s="1"/>
  <c r="FF17" i="2" a="1"/>
  <c r="FF17" i="2" s="1"/>
  <c r="FF23" i="2" a="1"/>
  <c r="FF23" i="2" s="1"/>
  <c r="FF22" i="2" a="1"/>
  <c r="FF22" i="2" s="1"/>
  <c r="FF21" i="2" a="1"/>
  <c r="FF21" i="2" s="1"/>
  <c r="FF20" i="2" a="1"/>
  <c r="FF20" i="2" s="1"/>
  <c r="FF19" i="2" a="1"/>
  <c r="FF19" i="2" s="1"/>
  <c r="FF18" i="2" a="1"/>
  <c r="FF18" i="2" s="1"/>
  <c r="FF24" i="2" a="1"/>
  <c r="FF24" i="2" s="1"/>
  <c r="FF9" i="2" a="1"/>
  <c r="FF9" i="2" s="1"/>
  <c r="FF7" i="2" a="1"/>
  <c r="FF7" i="2" s="1"/>
  <c r="FF14" i="2" a="1"/>
  <c r="FF14" i="2" s="1"/>
  <c r="FF10" i="2" a="1"/>
  <c r="FF10" i="2" s="1"/>
  <c r="FF13" i="2" a="1"/>
  <c r="FF13" i="2" s="1"/>
  <c r="FF8" i="2" a="1"/>
  <c r="FF8" i="2" s="1"/>
  <c r="FF12" i="2" a="1"/>
  <c r="FF12" i="2" s="1"/>
  <c r="FF11" i="2" a="1"/>
  <c r="FF11" i="2" s="1"/>
  <c r="FF4" i="2" a="1"/>
  <c r="FF4" i="2" s="1"/>
  <c r="FF5" i="2" a="1"/>
  <c r="FF5" i="2" s="1"/>
  <c r="FF6" i="2" a="1"/>
  <c r="FF6" i="2" s="1"/>
  <c r="FR1" i="2"/>
  <c r="FM99" i="2" a="1"/>
  <c r="FM99" i="2" s="1"/>
  <c r="FM103" i="2" a="1"/>
  <c r="FM103" i="2" s="1"/>
  <c r="FM102" i="2" a="1"/>
  <c r="FM102" i="2" s="1"/>
  <c r="FM101" i="2" a="1"/>
  <c r="FM101" i="2" s="1"/>
  <c r="FM100" i="2" a="1"/>
  <c r="FM100" i="2" s="1"/>
  <c r="FM98" i="2" a="1"/>
  <c r="FM98" i="2" s="1"/>
  <c r="FM96" i="2" a="1"/>
  <c r="FM96" i="2" s="1"/>
  <c r="FM97" i="2" a="1"/>
  <c r="FM97" i="2" s="1"/>
  <c r="FM95" i="2" a="1"/>
  <c r="FM95" i="2" s="1"/>
  <c r="FM94" i="2" a="1"/>
  <c r="FM94" i="2" s="1"/>
  <c r="FM93" i="2" a="1"/>
  <c r="FM93" i="2" s="1"/>
  <c r="FM92" i="2" a="1"/>
  <c r="FM92" i="2" s="1"/>
  <c r="FM91" i="2" a="1"/>
  <c r="FM91" i="2" s="1"/>
  <c r="FM90" i="2" a="1"/>
  <c r="FM90" i="2" s="1"/>
  <c r="FM89" i="2" a="1"/>
  <c r="FM89" i="2" s="1"/>
  <c r="FM88" i="2" a="1"/>
  <c r="FM88" i="2" s="1"/>
  <c r="FM87" i="2" a="1"/>
  <c r="FM87" i="2" s="1"/>
  <c r="FM84" i="2" a="1"/>
  <c r="FM84" i="2" s="1"/>
  <c r="FM85" i="2" a="1"/>
  <c r="FM85" i="2" s="1"/>
  <c r="FM86" i="2" a="1"/>
  <c r="FM86" i="2" s="1"/>
  <c r="FM83" i="2" a="1"/>
  <c r="FM83" i="2" s="1"/>
  <c r="FM82" i="2" a="1"/>
  <c r="FM82" i="2" s="1"/>
  <c r="FM81" i="2" a="1"/>
  <c r="FM81" i="2" s="1"/>
  <c r="FM80" i="2" a="1"/>
  <c r="FM80" i="2" s="1"/>
  <c r="FM77" i="2" a="1"/>
  <c r="FM77" i="2" s="1"/>
  <c r="FM78" i="2" a="1"/>
  <c r="FM78" i="2" s="1"/>
  <c r="FM79" i="2" a="1"/>
  <c r="FM79" i="2" s="1"/>
  <c r="FM76" i="2" a="1"/>
  <c r="FM76" i="2" s="1"/>
  <c r="FM75" i="2" a="1"/>
  <c r="FM75" i="2" s="1"/>
  <c r="FM72" i="2" a="1"/>
  <c r="FM72" i="2" s="1"/>
  <c r="FM74" i="2" a="1"/>
  <c r="FM74" i="2" s="1"/>
  <c r="FM73" i="2" a="1"/>
  <c r="FM73" i="2" s="1"/>
  <c r="FM68" i="2" a="1"/>
  <c r="FM68" i="2" s="1"/>
  <c r="FM71" i="2" a="1"/>
  <c r="FM71" i="2" s="1"/>
  <c r="FM67" i="2" a="1"/>
  <c r="FM67" i="2" s="1"/>
  <c r="FM70" i="2" a="1"/>
  <c r="FM70" i="2" s="1"/>
  <c r="FM69" i="2" a="1"/>
  <c r="FM69" i="2" s="1"/>
  <c r="FM66" i="2" a="1"/>
  <c r="FM66" i="2" s="1"/>
  <c r="FM64" i="2" a="1"/>
  <c r="FM64" i="2" s="1"/>
  <c r="FM63" i="2" a="1"/>
  <c r="FM63" i="2" s="1"/>
  <c r="FM65" i="2" a="1"/>
  <c r="FM65" i="2" s="1"/>
  <c r="FM62" i="2" a="1"/>
  <c r="FM62" i="2" s="1"/>
  <c r="FM59" i="2" a="1"/>
  <c r="FM59" i="2" s="1"/>
  <c r="FM61" i="2" a="1"/>
  <c r="FM61" i="2" s="1"/>
  <c r="FM60" i="2" a="1"/>
  <c r="FM60" i="2" s="1"/>
  <c r="FM58" i="2" a="1"/>
  <c r="FM58" i="2" s="1"/>
  <c r="FM57" i="2" a="1"/>
  <c r="FM57" i="2" s="1"/>
  <c r="FM56" i="2" a="1"/>
  <c r="FM56" i="2" s="1"/>
  <c r="FM54" i="2" a="1"/>
  <c r="FM54" i="2" s="1"/>
  <c r="FM48" i="2" a="1"/>
  <c r="FM48" i="2" s="1"/>
  <c r="FM55" i="2" a="1"/>
  <c r="FM55" i="2" s="1"/>
  <c r="FM52" i="2" a="1"/>
  <c r="FM52" i="2" s="1"/>
  <c r="FM53" i="2" a="1"/>
  <c r="FM53" i="2" s="1"/>
  <c r="FM51" i="2" a="1"/>
  <c r="FM51" i="2" s="1"/>
  <c r="FM50" i="2" a="1"/>
  <c r="FM50" i="2" s="1"/>
  <c r="FM49" i="2" a="1"/>
  <c r="FM49" i="2" s="1"/>
  <c r="FM41" i="2" a="1"/>
  <c r="FM41" i="2" s="1"/>
  <c r="FM43" i="2" a="1"/>
  <c r="FM43" i="2" s="1"/>
  <c r="FM47" i="2" a="1"/>
  <c r="FM47" i="2" s="1"/>
  <c r="FM44" i="2" a="1"/>
  <c r="FM44" i="2" s="1"/>
  <c r="FM42" i="2" a="1"/>
  <c r="FM42" i="2" s="1"/>
  <c r="FM46" i="2" a="1"/>
  <c r="FM46" i="2" s="1"/>
  <c r="FM45" i="2" a="1"/>
  <c r="FM45" i="2" s="1"/>
  <c r="FM40" i="2" a="1"/>
  <c r="FM40" i="2" s="1"/>
  <c r="FM36" i="2" a="1"/>
  <c r="FM36" i="2" s="1"/>
  <c r="FM39" i="2" a="1"/>
  <c r="FM39" i="2" s="1"/>
  <c r="FM35" i="2" a="1"/>
  <c r="FM35" i="2" s="1"/>
  <c r="FM38" i="2" a="1"/>
  <c r="FM38" i="2" s="1"/>
  <c r="FM34" i="2" a="1"/>
  <c r="FM34" i="2" s="1"/>
  <c r="FM33" i="2" a="1"/>
  <c r="FM33" i="2" s="1"/>
  <c r="FM37" i="2" a="1"/>
  <c r="FM37" i="2" s="1"/>
  <c r="FM31" i="2" a="1"/>
  <c r="FM31" i="2" s="1"/>
  <c r="FM30" i="2" a="1"/>
  <c r="FM30" i="2" s="1"/>
  <c r="FM29" i="2" a="1"/>
  <c r="FM29" i="2" s="1"/>
  <c r="FM25" i="2" a="1"/>
  <c r="FM25" i="2" s="1"/>
  <c r="FM32" i="2" a="1"/>
  <c r="FM32" i="2" s="1"/>
  <c r="FM28" i="2" a="1"/>
  <c r="FM28" i="2" s="1"/>
  <c r="FM27" i="2" a="1"/>
  <c r="FM27" i="2" s="1"/>
  <c r="FM26" i="2" a="1"/>
  <c r="FM26" i="2" s="1"/>
  <c r="FM23" i="2" a="1"/>
  <c r="FM23" i="2" s="1"/>
  <c r="FM22" i="2" a="1"/>
  <c r="FM22" i="2" s="1"/>
  <c r="FM21" i="2" a="1"/>
  <c r="FM21" i="2" s="1"/>
  <c r="FM20" i="2" a="1"/>
  <c r="FM20" i="2" s="1"/>
  <c r="FM19" i="2" a="1"/>
  <c r="FM19" i="2" s="1"/>
  <c r="FM18" i="2" a="1"/>
  <c r="FM18" i="2" s="1"/>
  <c r="FM16" i="2" a="1"/>
  <c r="FM16" i="2" s="1"/>
  <c r="FM24" i="2" a="1"/>
  <c r="FM24" i="2" s="1"/>
  <c r="FM15" i="2" a="1"/>
  <c r="FM15" i="2" s="1"/>
  <c r="FM17" i="2" a="1"/>
  <c r="FM17" i="2" s="1"/>
  <c r="FM7" i="2" a="1"/>
  <c r="FM7" i="2" s="1"/>
  <c r="FM11" i="2" a="1"/>
  <c r="FM11" i="2" s="1"/>
  <c r="FM9" i="2" a="1"/>
  <c r="FM9" i="2" s="1"/>
  <c r="FM14" i="2" a="1"/>
  <c r="FM14" i="2" s="1"/>
  <c r="FM10" i="2" a="1"/>
  <c r="FM10" i="2" s="1"/>
  <c r="FM8" i="2" a="1"/>
  <c r="FM8" i="2" s="1"/>
  <c r="FM13" i="2" a="1"/>
  <c r="FM13" i="2" s="1"/>
  <c r="FM12" i="2" a="1"/>
  <c r="FM12" i="2" s="1"/>
  <c r="FM5" i="2" a="1"/>
  <c r="FM5" i="2" s="1"/>
  <c r="FM4" i="2" a="1"/>
  <c r="FM4" i="2" s="1"/>
  <c r="FM6" i="2" a="1"/>
  <c r="FM6" i="2" s="1"/>
  <c r="FY1" i="2"/>
  <c r="FG103" i="2" a="1"/>
  <c r="FG103" i="2" s="1"/>
  <c r="FG102" i="2" a="1"/>
  <c r="FG102" i="2" s="1"/>
  <c r="FG101" i="2" a="1"/>
  <c r="FG101" i="2" s="1"/>
  <c r="FG100" i="2" a="1"/>
  <c r="FG100" i="2" s="1"/>
  <c r="FG99" i="2" a="1"/>
  <c r="FG99" i="2" s="1"/>
  <c r="FG98" i="2" a="1"/>
  <c r="FG98" i="2" s="1"/>
  <c r="FG96" i="2" a="1"/>
  <c r="FG96" i="2" s="1"/>
  <c r="FG97" i="2" a="1"/>
  <c r="FG97" i="2" s="1"/>
  <c r="FG93" i="2" a="1"/>
  <c r="FG93" i="2" s="1"/>
  <c r="FG92" i="2" a="1"/>
  <c r="FG92" i="2" s="1"/>
  <c r="FG91" i="2" a="1"/>
  <c r="FG91" i="2" s="1"/>
  <c r="FG94" i="2" a="1"/>
  <c r="FG94" i="2" s="1"/>
  <c r="FG95" i="2" a="1"/>
  <c r="FG95" i="2" s="1"/>
  <c r="FG89" i="2" a="1"/>
  <c r="FG89" i="2" s="1"/>
  <c r="FG88" i="2" a="1"/>
  <c r="FG88" i="2" s="1"/>
  <c r="FG87" i="2" a="1"/>
  <c r="FG87" i="2" s="1"/>
  <c r="FG90" i="2" a="1"/>
  <c r="FG90" i="2" s="1"/>
  <c r="FG86" i="2" a="1"/>
  <c r="FG86" i="2" s="1"/>
  <c r="FG85" i="2" a="1"/>
  <c r="FG85" i="2" s="1"/>
  <c r="FG84" i="2" a="1"/>
  <c r="FG84" i="2" s="1"/>
  <c r="FG80" i="2" a="1"/>
  <c r="FG80" i="2" s="1"/>
  <c r="FG83" i="2" a="1"/>
  <c r="FG83" i="2" s="1"/>
  <c r="FG82" i="2" a="1"/>
  <c r="FG82" i="2" s="1"/>
  <c r="FG81" i="2" a="1"/>
  <c r="FG81" i="2" s="1"/>
  <c r="FG79" i="2" a="1"/>
  <c r="FG79" i="2" s="1"/>
  <c r="FG78" i="2" a="1"/>
  <c r="FG78" i="2" s="1"/>
  <c r="FG75" i="2" a="1"/>
  <c r="FG75" i="2" s="1"/>
  <c r="FG76" i="2" a="1"/>
  <c r="FG76" i="2" s="1"/>
  <c r="FG77" i="2" a="1"/>
  <c r="FG77" i="2" s="1"/>
  <c r="FG72" i="2" a="1"/>
  <c r="FG72" i="2" s="1"/>
  <c r="FG73" i="2" a="1"/>
  <c r="FG73" i="2" s="1"/>
  <c r="FG74" i="2" a="1"/>
  <c r="FG74" i="2" s="1"/>
  <c r="FG70" i="2" a="1"/>
  <c r="FG70" i="2" s="1"/>
  <c r="FG71" i="2" a="1"/>
  <c r="FG71" i="2" s="1"/>
  <c r="FG69" i="2" a="1"/>
  <c r="FG69" i="2" s="1"/>
  <c r="FG68" i="2" a="1"/>
  <c r="FG68" i="2" s="1"/>
  <c r="FG67" i="2" a="1"/>
  <c r="FG67" i="2" s="1"/>
  <c r="FG64" i="2" a="1"/>
  <c r="FG64" i="2" s="1"/>
  <c r="FG63" i="2" a="1"/>
  <c r="FG63" i="2" s="1"/>
  <c r="FG65" i="2" a="1"/>
  <c r="FG65" i="2" s="1"/>
  <c r="FG66" i="2" a="1"/>
  <c r="FG66" i="2" s="1"/>
  <c r="FG62" i="2" a="1"/>
  <c r="FG62" i="2" s="1"/>
  <c r="FG61" i="2" a="1"/>
  <c r="FG61" i="2" s="1"/>
  <c r="FG60" i="2" a="1"/>
  <c r="FG60" i="2" s="1"/>
  <c r="FG57" i="2" a="1"/>
  <c r="FG57" i="2" s="1"/>
  <c r="FG59" i="2" a="1"/>
  <c r="FG59" i="2" s="1"/>
  <c r="FG56" i="2" a="1"/>
  <c r="FG56" i="2" s="1"/>
  <c r="FG58" i="2" a="1"/>
  <c r="FG58" i="2" s="1"/>
  <c r="FG51" i="2" a="1"/>
  <c r="FG51" i="2" s="1"/>
  <c r="FG53" i="2" a="1"/>
  <c r="FG53" i="2" s="1"/>
  <c r="FG50" i="2" a="1"/>
  <c r="FG50" i="2" s="1"/>
  <c r="FG49" i="2" a="1"/>
  <c r="FG49" i="2" s="1"/>
  <c r="FG55" i="2" a="1"/>
  <c r="FG55" i="2" s="1"/>
  <c r="FG54" i="2" a="1"/>
  <c r="FG54" i="2" s="1"/>
  <c r="FG48" i="2" a="1"/>
  <c r="FG48" i="2" s="1"/>
  <c r="FG52" i="2" a="1"/>
  <c r="FG52" i="2" s="1"/>
  <c r="FG47" i="2" a="1"/>
  <c r="FG47" i="2" s="1"/>
  <c r="FG43" i="2" a="1"/>
  <c r="FG43" i="2" s="1"/>
  <c r="FG44" i="2" a="1"/>
  <c r="FG44" i="2" s="1"/>
  <c r="FG46" i="2" a="1"/>
  <c r="FG46" i="2" s="1"/>
  <c r="FG45" i="2" a="1"/>
  <c r="FG45" i="2" s="1"/>
  <c r="FG42" i="2" a="1"/>
  <c r="FG42" i="2" s="1"/>
  <c r="FG40" i="2" a="1"/>
  <c r="FG40" i="2" s="1"/>
  <c r="FG41" i="2" a="1"/>
  <c r="FG41" i="2" s="1"/>
  <c r="FG39" i="2" a="1"/>
  <c r="FG39" i="2" s="1"/>
  <c r="FG35" i="2" a="1"/>
  <c r="FG35" i="2" s="1"/>
  <c r="FG34" i="2" a="1"/>
  <c r="FG34" i="2" s="1"/>
  <c r="FG38" i="2" a="1"/>
  <c r="FG38" i="2" s="1"/>
  <c r="FG37" i="2" a="1"/>
  <c r="FG37" i="2" s="1"/>
  <c r="FG36" i="2" a="1"/>
  <c r="FG36" i="2" s="1"/>
  <c r="FG33" i="2" a="1"/>
  <c r="FG33" i="2" s="1"/>
  <c r="FG28" i="2" a="1"/>
  <c r="FG28" i="2" s="1"/>
  <c r="FG27" i="2" a="1"/>
  <c r="FG27" i="2" s="1"/>
  <c r="FG26" i="2" a="1"/>
  <c r="FG26" i="2" s="1"/>
  <c r="FG25" i="2" a="1"/>
  <c r="FG25" i="2" s="1"/>
  <c r="FG31" i="2" a="1"/>
  <c r="FG31" i="2" s="1"/>
  <c r="FG30" i="2" a="1"/>
  <c r="FG30" i="2" s="1"/>
  <c r="FG29" i="2" a="1"/>
  <c r="FG29" i="2" s="1"/>
  <c r="FG32" i="2" a="1"/>
  <c r="FG32" i="2" s="1"/>
  <c r="FG15" i="2" a="1"/>
  <c r="FG15" i="2" s="1"/>
  <c r="FG17" i="2" a="1"/>
  <c r="FG17" i="2" s="1"/>
  <c r="FG23" i="2" a="1"/>
  <c r="FG23" i="2" s="1"/>
  <c r="FG22" i="2" a="1"/>
  <c r="FG22" i="2" s="1"/>
  <c r="FG21" i="2" a="1"/>
  <c r="FG21" i="2" s="1"/>
  <c r="FG20" i="2" a="1"/>
  <c r="FG20" i="2" s="1"/>
  <c r="FG19" i="2" a="1"/>
  <c r="FG19" i="2" s="1"/>
  <c r="FG18" i="2" a="1"/>
  <c r="FG18" i="2" s="1"/>
  <c r="FG24" i="2" a="1"/>
  <c r="FG24" i="2" s="1"/>
  <c r="FG16" i="2" a="1"/>
  <c r="FG16" i="2" s="1"/>
  <c r="FG14" i="2" a="1"/>
  <c r="FG14" i="2" s="1"/>
  <c r="FG10" i="2" a="1"/>
  <c r="FG10" i="2" s="1"/>
  <c r="FG13" i="2" a="1"/>
  <c r="FG13" i="2" s="1"/>
  <c r="FG8" i="2" a="1"/>
  <c r="FG8" i="2" s="1"/>
  <c r="FG12" i="2" a="1"/>
  <c r="FG12" i="2" s="1"/>
  <c r="FG11" i="2" a="1"/>
  <c r="FG11" i="2" s="1"/>
  <c r="FG9" i="2" a="1"/>
  <c r="FG9" i="2" s="1"/>
  <c r="FG7" i="2" a="1"/>
  <c r="FG7" i="2" s="1"/>
  <c r="FG5" i="2" a="1"/>
  <c r="FG5" i="2" s="1"/>
  <c r="FG6" i="2" a="1"/>
  <c r="FG6" i="2" s="1"/>
  <c r="FG4" i="2" a="1"/>
  <c r="FG4" i="2" s="1"/>
  <c r="FS1" i="2"/>
  <c r="EZ108" i="2"/>
  <c r="FA104" i="2"/>
  <c r="FA108" i="2" s="1"/>
  <c r="ET104" i="2"/>
  <c r="ET108" i="2" s="1"/>
  <c r="B108" i="2"/>
  <c r="M107" i="2"/>
  <c r="DE107" i="2"/>
  <c r="CT108" i="2"/>
  <c r="DE109" i="2" s="1"/>
  <c r="BJ108" i="2"/>
  <c r="BU109" i="2" s="1"/>
  <c r="BU107" i="2"/>
  <c r="CG107" i="2"/>
  <c r="BV108" i="2"/>
  <c r="CG109" i="2" s="1"/>
  <c r="EP108" i="2"/>
  <c r="FA107" i="2"/>
  <c r="Y107" i="2"/>
  <c r="N108" i="2"/>
  <c r="Y109" i="2" s="1"/>
  <c r="DF108" i="2"/>
  <c r="DQ109" i="2" s="1"/>
  <c r="DQ107" i="2"/>
  <c r="AW107" i="2"/>
  <c r="AL108" i="2"/>
  <c r="AW109" i="2" s="1"/>
  <c r="FY107" i="2"/>
  <c r="FM107" i="2"/>
  <c r="ED108" i="2"/>
  <c r="EO107" i="2"/>
  <c r="AX108" i="2"/>
  <c r="BI109" i="2" s="1"/>
  <c r="BI107" i="2"/>
  <c r="Z108" i="2"/>
  <c r="AK109" i="2" s="1"/>
  <c r="AK107" i="2"/>
  <c r="CS107" i="2"/>
  <c r="CH108" i="2"/>
  <c r="CS109" i="2" s="1"/>
  <c r="DR108" i="2"/>
  <c r="EC109" i="2" s="1"/>
  <c r="EC107" i="2"/>
  <c r="EO109" i="2" l="1"/>
  <c r="FM104" i="2"/>
  <c r="FM108" i="2" s="1"/>
  <c r="FV99" i="2" a="1"/>
  <c r="FV99" i="2" s="1"/>
  <c r="FV103" i="2" a="1"/>
  <c r="FV103" i="2" s="1"/>
  <c r="FV102" i="2" a="1"/>
  <c r="FV102" i="2" s="1"/>
  <c r="FV101" i="2" a="1"/>
  <c r="FV101" i="2" s="1"/>
  <c r="FV100" i="2" a="1"/>
  <c r="FV100" i="2" s="1"/>
  <c r="FV98" i="2" a="1"/>
  <c r="FV98" i="2" s="1"/>
  <c r="FV96" i="2" a="1"/>
  <c r="FV96" i="2" s="1"/>
  <c r="FV97" i="2" a="1"/>
  <c r="FV97" i="2" s="1"/>
  <c r="FV95" i="2" a="1"/>
  <c r="FV95" i="2" s="1"/>
  <c r="FV94" i="2" a="1"/>
  <c r="FV94" i="2" s="1"/>
  <c r="FV93" i="2" a="1"/>
  <c r="FV93" i="2" s="1"/>
  <c r="FV92" i="2" a="1"/>
  <c r="FV92" i="2" s="1"/>
  <c r="FV91" i="2" a="1"/>
  <c r="FV91" i="2" s="1"/>
  <c r="FV90" i="2" a="1"/>
  <c r="FV90" i="2" s="1"/>
  <c r="FV89" i="2" a="1"/>
  <c r="FV89" i="2" s="1"/>
  <c r="FV88" i="2" a="1"/>
  <c r="FV88" i="2" s="1"/>
  <c r="FV87" i="2" a="1"/>
  <c r="FV87" i="2" s="1"/>
  <c r="FV85" i="2" a="1"/>
  <c r="FV85" i="2" s="1"/>
  <c r="FV84" i="2" a="1"/>
  <c r="FV84" i="2" s="1"/>
  <c r="FV86" i="2" a="1"/>
  <c r="FV86" i="2" s="1"/>
  <c r="FV82" i="2" a="1"/>
  <c r="FV82" i="2" s="1"/>
  <c r="FV81" i="2" a="1"/>
  <c r="FV81" i="2" s="1"/>
  <c r="FV80" i="2" a="1"/>
  <c r="FV80" i="2" s="1"/>
  <c r="FV83" i="2" a="1"/>
  <c r="FV83" i="2" s="1"/>
  <c r="FV79" i="2" a="1"/>
  <c r="FV79" i="2" s="1"/>
  <c r="FV77" i="2" a="1"/>
  <c r="FV77" i="2" s="1"/>
  <c r="FV78" i="2" a="1"/>
  <c r="FV78" i="2" s="1"/>
  <c r="FV76" i="2" a="1"/>
  <c r="FV76" i="2" s="1"/>
  <c r="FV73" i="2" a="1"/>
  <c r="FV73" i="2" s="1"/>
  <c r="FV75" i="2" a="1"/>
  <c r="FV75" i="2" s="1"/>
  <c r="FV72" i="2" a="1"/>
  <c r="FV72" i="2" s="1"/>
  <c r="FV74" i="2" a="1"/>
  <c r="FV74" i="2" s="1"/>
  <c r="FV70" i="2" a="1"/>
  <c r="FV70" i="2" s="1"/>
  <c r="FV67" i="2" a="1"/>
  <c r="FV67" i="2" s="1"/>
  <c r="FV71" i="2" a="1"/>
  <c r="FV71" i="2" s="1"/>
  <c r="FV69" i="2" a="1"/>
  <c r="FV69" i="2" s="1"/>
  <c r="FV68" i="2" a="1"/>
  <c r="FV68" i="2" s="1"/>
  <c r="FV66" i="2" a="1"/>
  <c r="FV66" i="2" s="1"/>
  <c r="FV64" i="2" a="1"/>
  <c r="FV64" i="2" s="1"/>
  <c r="FV65" i="2" a="1"/>
  <c r="FV65" i="2" s="1"/>
  <c r="FV62" i="2" a="1"/>
  <c r="FV62" i="2" s="1"/>
  <c r="FV59" i="2" a="1"/>
  <c r="FV59" i="2" s="1"/>
  <c r="FV63" i="2" a="1"/>
  <c r="FV63" i="2" s="1"/>
  <c r="FV61" i="2" a="1"/>
  <c r="FV61" i="2" s="1"/>
  <c r="FV60" i="2" a="1"/>
  <c r="FV60" i="2" s="1"/>
  <c r="FV58" i="2" a="1"/>
  <c r="FV58" i="2" s="1"/>
  <c r="FV57" i="2" a="1"/>
  <c r="FV57" i="2" s="1"/>
  <c r="FV56" i="2" a="1"/>
  <c r="FV56" i="2" s="1"/>
  <c r="FV54" i="2" a="1"/>
  <c r="FV54" i="2" s="1"/>
  <c r="FV52" i="2" a="1"/>
  <c r="FV52" i="2" s="1"/>
  <c r="FV48" i="2" a="1"/>
  <c r="FV48" i="2" s="1"/>
  <c r="FV55" i="2" a="1"/>
  <c r="FV55" i="2" s="1"/>
  <c r="FV53" i="2" a="1"/>
  <c r="FV53" i="2" s="1"/>
  <c r="FV51" i="2" a="1"/>
  <c r="FV51" i="2" s="1"/>
  <c r="FV50" i="2" a="1"/>
  <c r="FV50" i="2" s="1"/>
  <c r="FV49" i="2" a="1"/>
  <c r="FV49" i="2" s="1"/>
  <c r="FV41" i="2" a="1"/>
  <c r="FV41" i="2" s="1"/>
  <c r="FV43" i="2" a="1"/>
  <c r="FV43" i="2" s="1"/>
  <c r="FV39" i="2" a="1"/>
  <c r="FV39" i="2" s="1"/>
  <c r="FV44" i="2" a="1"/>
  <c r="FV44" i="2" s="1"/>
  <c r="FV42" i="2" a="1"/>
  <c r="FV42" i="2" s="1"/>
  <c r="FV47" i="2" a="1"/>
  <c r="FV47" i="2" s="1"/>
  <c r="FV45" i="2" a="1"/>
  <c r="FV45" i="2" s="1"/>
  <c r="FV40" i="2" a="1"/>
  <c r="FV40" i="2" s="1"/>
  <c r="FV46" i="2" a="1"/>
  <c r="FV46" i="2" s="1"/>
  <c r="FV35" i="2" a="1"/>
  <c r="FV35" i="2" s="1"/>
  <c r="FV38" i="2" a="1"/>
  <c r="FV38" i="2" s="1"/>
  <c r="FV34" i="2" a="1"/>
  <c r="FV34" i="2" s="1"/>
  <c r="FV37" i="2" a="1"/>
  <c r="FV37" i="2" s="1"/>
  <c r="FV33" i="2" a="1"/>
  <c r="FV33" i="2" s="1"/>
  <c r="FV36" i="2" a="1"/>
  <c r="FV36" i="2" s="1"/>
  <c r="FV31" i="2" a="1"/>
  <c r="FV31" i="2" s="1"/>
  <c r="FV30" i="2" a="1"/>
  <c r="FV30" i="2" s="1"/>
  <c r="FV29" i="2" a="1"/>
  <c r="FV29" i="2" s="1"/>
  <c r="FV32" i="2" a="1"/>
  <c r="FV32" i="2" s="1"/>
  <c r="FV25" i="2" a="1"/>
  <c r="FV25" i="2" s="1"/>
  <c r="FV28" i="2" a="1"/>
  <c r="FV28" i="2" s="1"/>
  <c r="FV27" i="2" a="1"/>
  <c r="FV27" i="2" s="1"/>
  <c r="FV26" i="2" a="1"/>
  <c r="FV26" i="2" s="1"/>
  <c r="FV16" i="2" a="1"/>
  <c r="FV16" i="2" s="1"/>
  <c r="FV15" i="2" a="1"/>
  <c r="FV15" i="2" s="1"/>
  <c r="FV23" i="2" a="1"/>
  <c r="FV23" i="2" s="1"/>
  <c r="FV22" i="2" a="1"/>
  <c r="FV22" i="2" s="1"/>
  <c r="FV21" i="2" a="1"/>
  <c r="FV21" i="2" s="1"/>
  <c r="FV20" i="2" a="1"/>
  <c r="FV20" i="2" s="1"/>
  <c r="FV19" i="2" a="1"/>
  <c r="FV19" i="2" s="1"/>
  <c r="FV18" i="2" a="1"/>
  <c r="FV18" i="2" s="1"/>
  <c r="FV24" i="2" a="1"/>
  <c r="FV24" i="2" s="1"/>
  <c r="FV17" i="2" a="1"/>
  <c r="FV17" i="2" s="1"/>
  <c r="FV11" i="2" a="1"/>
  <c r="FV11" i="2" s="1"/>
  <c r="FV9" i="2" a="1"/>
  <c r="FV9" i="2" s="1"/>
  <c r="FV14" i="2" a="1"/>
  <c r="FV14" i="2" s="1"/>
  <c r="FV10" i="2" a="1"/>
  <c r="FV10" i="2" s="1"/>
  <c r="FV13" i="2" a="1"/>
  <c r="FV13" i="2" s="1"/>
  <c r="FV8" i="2" a="1"/>
  <c r="FV8" i="2" s="1"/>
  <c r="FV12" i="2" a="1"/>
  <c r="FV12" i="2" s="1"/>
  <c r="FV7" i="2" a="1"/>
  <c r="FV7" i="2" s="1"/>
  <c r="FV5" i="2" a="1"/>
  <c r="FV5" i="2" s="1"/>
  <c r="FV4" i="2" a="1"/>
  <c r="FV4" i="2" s="1"/>
  <c r="FV6" i="2" a="1"/>
  <c r="FV6" i="2" s="1"/>
  <c r="FW99" i="2" a="1"/>
  <c r="FW99" i="2" s="1"/>
  <c r="FW103" i="2" a="1"/>
  <c r="FW103" i="2" s="1"/>
  <c r="FW102" i="2" a="1"/>
  <c r="FW102" i="2" s="1"/>
  <c r="FW101" i="2" a="1"/>
  <c r="FW101" i="2" s="1"/>
  <c r="FW100" i="2" a="1"/>
  <c r="FW100" i="2" s="1"/>
  <c r="FW96" i="2" a="1"/>
  <c r="FW96" i="2" s="1"/>
  <c r="FW97" i="2" a="1"/>
  <c r="FW97" i="2" s="1"/>
  <c r="FW95" i="2" a="1"/>
  <c r="FW95" i="2" s="1"/>
  <c r="FW98" i="2" a="1"/>
  <c r="FW98" i="2" s="1"/>
  <c r="FW94" i="2" a="1"/>
  <c r="FW94" i="2" s="1"/>
  <c r="FW93" i="2" a="1"/>
  <c r="FW93" i="2" s="1"/>
  <c r="FW92" i="2" a="1"/>
  <c r="FW92" i="2" s="1"/>
  <c r="FW91" i="2" a="1"/>
  <c r="FW91" i="2" s="1"/>
  <c r="FW90" i="2" a="1"/>
  <c r="FW90" i="2" s="1"/>
  <c r="FW89" i="2" a="1"/>
  <c r="FW89" i="2" s="1"/>
  <c r="FW88" i="2" a="1"/>
  <c r="FW88" i="2" s="1"/>
  <c r="FW87" i="2" a="1"/>
  <c r="FW87" i="2" s="1"/>
  <c r="FW85" i="2" a="1"/>
  <c r="FW85" i="2" s="1"/>
  <c r="FW84" i="2" a="1"/>
  <c r="FW84" i="2" s="1"/>
  <c r="FW86" i="2" a="1"/>
  <c r="FW86" i="2" s="1"/>
  <c r="FW81" i="2" a="1"/>
  <c r="FW81" i="2" s="1"/>
  <c r="FW82" i="2" a="1"/>
  <c r="FW82" i="2" s="1"/>
  <c r="FW80" i="2" a="1"/>
  <c r="FW80" i="2" s="1"/>
  <c r="FW83" i="2" a="1"/>
  <c r="FW83" i="2" s="1"/>
  <c r="FW77" i="2" a="1"/>
  <c r="FW77" i="2" s="1"/>
  <c r="FW78" i="2" a="1"/>
  <c r="FW78" i="2" s="1"/>
  <c r="FW79" i="2" a="1"/>
  <c r="FW79" i="2" s="1"/>
  <c r="FW76" i="2" a="1"/>
  <c r="FW76" i="2" s="1"/>
  <c r="FW75" i="2" a="1"/>
  <c r="FW75" i="2" s="1"/>
  <c r="FW71" i="2" a="1"/>
  <c r="FW71" i="2" s="1"/>
  <c r="FW72" i="2" a="1"/>
  <c r="FW72" i="2" s="1"/>
  <c r="FW74" i="2" a="1"/>
  <c r="FW74" i="2" s="1"/>
  <c r="FW73" i="2" a="1"/>
  <c r="FW73" i="2" s="1"/>
  <c r="FW67" i="2" a="1"/>
  <c r="FW67" i="2" s="1"/>
  <c r="FW70" i="2" a="1"/>
  <c r="FW70" i="2" s="1"/>
  <c r="FW69" i="2" a="1"/>
  <c r="FW69" i="2" s="1"/>
  <c r="FW68" i="2" a="1"/>
  <c r="FW68" i="2" s="1"/>
  <c r="FW66" i="2" a="1"/>
  <c r="FW66" i="2" s="1"/>
  <c r="FW64" i="2" a="1"/>
  <c r="FW64" i="2" s="1"/>
  <c r="FW65" i="2" a="1"/>
  <c r="FW65" i="2" s="1"/>
  <c r="FW63" i="2" a="1"/>
  <c r="FW63" i="2" s="1"/>
  <c r="FW62" i="2" a="1"/>
  <c r="FW62" i="2" s="1"/>
  <c r="FW59" i="2" a="1"/>
  <c r="FW59" i="2" s="1"/>
  <c r="FW61" i="2" a="1"/>
  <c r="FW61" i="2" s="1"/>
  <c r="FW60" i="2" a="1"/>
  <c r="FW60" i="2" s="1"/>
  <c r="FW57" i="2" a="1"/>
  <c r="FW57" i="2" s="1"/>
  <c r="FW56" i="2" a="1"/>
  <c r="FW56" i="2" s="1"/>
  <c r="FW58" i="2" a="1"/>
  <c r="FW58" i="2" s="1"/>
  <c r="FW55" i="2" a="1"/>
  <c r="FW55" i="2" s="1"/>
  <c r="FW52" i="2" a="1"/>
  <c r="FW52" i="2" s="1"/>
  <c r="FW48" i="2" a="1"/>
  <c r="FW48" i="2" s="1"/>
  <c r="FW53" i="2" a="1"/>
  <c r="FW53" i="2" s="1"/>
  <c r="FW51" i="2" a="1"/>
  <c r="FW51" i="2" s="1"/>
  <c r="FW50" i="2" a="1"/>
  <c r="FW50" i="2" s="1"/>
  <c r="FW49" i="2" a="1"/>
  <c r="FW49" i="2" s="1"/>
  <c r="FW54" i="2" a="1"/>
  <c r="FW54" i="2" s="1"/>
  <c r="FW41" i="2" a="1"/>
  <c r="FW41" i="2" s="1"/>
  <c r="FW43" i="2" a="1"/>
  <c r="FW43" i="2" s="1"/>
  <c r="FW44" i="2" a="1"/>
  <c r="FW44" i="2" s="1"/>
  <c r="FW42" i="2" a="1"/>
  <c r="FW42" i="2" s="1"/>
  <c r="FW47" i="2" a="1"/>
  <c r="FW47" i="2" s="1"/>
  <c r="FW45" i="2" a="1"/>
  <c r="FW45" i="2" s="1"/>
  <c r="FW40" i="2" a="1"/>
  <c r="FW40" i="2" s="1"/>
  <c r="FW46" i="2" a="1"/>
  <c r="FW46" i="2" s="1"/>
  <c r="FW35" i="2" a="1"/>
  <c r="FW35" i="2" s="1"/>
  <c r="FW38" i="2" a="1"/>
  <c r="FW38" i="2" s="1"/>
  <c r="FW34" i="2" a="1"/>
  <c r="FW34" i="2" s="1"/>
  <c r="FW39" i="2" a="1"/>
  <c r="FW39" i="2" s="1"/>
  <c r="FW37" i="2" a="1"/>
  <c r="FW37" i="2" s="1"/>
  <c r="FW36" i="2" a="1"/>
  <c r="FW36" i="2" s="1"/>
  <c r="FW31" i="2" a="1"/>
  <c r="FW31" i="2" s="1"/>
  <c r="FW30" i="2" a="1"/>
  <c r="FW30" i="2" s="1"/>
  <c r="FW29" i="2" a="1"/>
  <c r="FW29" i="2" s="1"/>
  <c r="FW33" i="2" a="1"/>
  <c r="FW33" i="2" s="1"/>
  <c r="FW32" i="2" a="1"/>
  <c r="FW32" i="2" s="1"/>
  <c r="FW25" i="2" a="1"/>
  <c r="FW25" i="2" s="1"/>
  <c r="FW28" i="2" a="1"/>
  <c r="FW28" i="2" s="1"/>
  <c r="FW27" i="2" a="1"/>
  <c r="FW27" i="2" s="1"/>
  <c r="FW26" i="2" a="1"/>
  <c r="FW26" i="2" s="1"/>
  <c r="FW16" i="2" a="1"/>
  <c r="FW16" i="2" s="1"/>
  <c r="FW15" i="2" a="1"/>
  <c r="FW15" i="2" s="1"/>
  <c r="FW23" i="2" a="1"/>
  <c r="FW23" i="2" s="1"/>
  <c r="FW22" i="2" a="1"/>
  <c r="FW22" i="2" s="1"/>
  <c r="FW21" i="2" a="1"/>
  <c r="FW21" i="2" s="1"/>
  <c r="FW20" i="2" a="1"/>
  <c r="FW20" i="2" s="1"/>
  <c r="FW19" i="2" a="1"/>
  <c r="FW19" i="2" s="1"/>
  <c r="FW18" i="2" a="1"/>
  <c r="FW18" i="2" s="1"/>
  <c r="FW24" i="2" a="1"/>
  <c r="FW24" i="2" s="1"/>
  <c r="FW17" i="2" a="1"/>
  <c r="FW17" i="2" s="1"/>
  <c r="FW9" i="2" a="1"/>
  <c r="FW9" i="2" s="1"/>
  <c r="FW14" i="2" a="1"/>
  <c r="FW14" i="2" s="1"/>
  <c r="FW10" i="2" a="1"/>
  <c r="FW10" i="2" s="1"/>
  <c r="FW13" i="2" a="1"/>
  <c r="FW13" i="2" s="1"/>
  <c r="FW8" i="2" a="1"/>
  <c r="FW8" i="2" s="1"/>
  <c r="FW12" i="2" a="1"/>
  <c r="FW12" i="2" s="1"/>
  <c r="FW11" i="2" a="1"/>
  <c r="FW11" i="2" s="1"/>
  <c r="FW5" i="2" a="1"/>
  <c r="FW5" i="2" s="1"/>
  <c r="FW7" i="2" a="1"/>
  <c r="FW7" i="2" s="1"/>
  <c r="FW4" i="2" a="1"/>
  <c r="FW4" i="2" s="1"/>
  <c r="FW6" i="2" a="1"/>
  <c r="FW6" i="2" s="1"/>
  <c r="FL104" i="2"/>
  <c r="FL108" i="2" s="1"/>
  <c r="FF104" i="2"/>
  <c r="FF108" i="2" s="1"/>
  <c r="FK104" i="2"/>
  <c r="FK108" i="2" s="1"/>
  <c r="FJ104" i="2"/>
  <c r="FJ108" i="2" s="1"/>
  <c r="FA105" i="2"/>
  <c r="FY103" i="2" a="1"/>
  <c r="FY103" i="2" s="1"/>
  <c r="FY102" i="2" a="1"/>
  <c r="FY102" i="2" s="1"/>
  <c r="FY101" i="2" a="1"/>
  <c r="FY101" i="2" s="1"/>
  <c r="FY100" i="2" a="1"/>
  <c r="FY100" i="2" s="1"/>
  <c r="FY99" i="2" a="1"/>
  <c r="FY99" i="2" s="1"/>
  <c r="FY95" i="2" a="1"/>
  <c r="FY95" i="2" s="1"/>
  <c r="FY98" i="2" a="1"/>
  <c r="FY98" i="2" s="1"/>
  <c r="FY96" i="2" a="1"/>
  <c r="FY96" i="2" s="1"/>
  <c r="FY97" i="2" a="1"/>
  <c r="FY97" i="2" s="1"/>
  <c r="FY93" i="2" a="1"/>
  <c r="FY93" i="2" s="1"/>
  <c r="FY92" i="2" a="1"/>
  <c r="FY92" i="2" s="1"/>
  <c r="FY94" i="2" a="1"/>
  <c r="FY94" i="2" s="1"/>
  <c r="FY90" i="2" a="1"/>
  <c r="FY90" i="2" s="1"/>
  <c r="FY91" i="2" a="1"/>
  <c r="FY91" i="2" s="1"/>
  <c r="FY89" i="2" a="1"/>
  <c r="FY89" i="2" s="1"/>
  <c r="FY88" i="2" a="1"/>
  <c r="FY88" i="2" s="1"/>
  <c r="FY87" i="2" a="1"/>
  <c r="FY87" i="2" s="1"/>
  <c r="FY84" i="2" a="1"/>
  <c r="FY84" i="2" s="1"/>
  <c r="FY86" i="2" a="1"/>
  <c r="FY86" i="2" s="1"/>
  <c r="FY85" i="2" a="1"/>
  <c r="FY85" i="2" s="1"/>
  <c r="FY83" i="2" a="1"/>
  <c r="FY83" i="2" s="1"/>
  <c r="FY80" i="2" a="1"/>
  <c r="FY80" i="2" s="1"/>
  <c r="FY81" i="2" a="1"/>
  <c r="FY81" i="2" s="1"/>
  <c r="FY82" i="2" a="1"/>
  <c r="FY82" i="2" s="1"/>
  <c r="FY78" i="2" a="1"/>
  <c r="FY78" i="2" s="1"/>
  <c r="FY76" i="2" a="1"/>
  <c r="FY76" i="2" s="1"/>
  <c r="FY75" i="2" a="1"/>
  <c r="FY75" i="2" s="1"/>
  <c r="FY79" i="2" a="1"/>
  <c r="FY79" i="2" s="1"/>
  <c r="FY77" i="2" a="1"/>
  <c r="FY77" i="2" s="1"/>
  <c r="FY72" i="2" a="1"/>
  <c r="FY72" i="2" s="1"/>
  <c r="FY74" i="2" a="1"/>
  <c r="FY74" i="2" s="1"/>
  <c r="FY73" i="2" a="1"/>
  <c r="FY73" i="2" s="1"/>
  <c r="FY70" i="2" a="1"/>
  <c r="FY70" i="2" s="1"/>
  <c r="FY71" i="2" a="1"/>
  <c r="FY71" i="2" s="1"/>
  <c r="FY69" i="2" a="1"/>
  <c r="FY69" i="2" s="1"/>
  <c r="FY68" i="2" a="1"/>
  <c r="FY68" i="2" s="1"/>
  <c r="FY64" i="2" a="1"/>
  <c r="FY64" i="2" s="1"/>
  <c r="FY65" i="2" a="1"/>
  <c r="FY65" i="2" s="1"/>
  <c r="FY63" i="2" a="1"/>
  <c r="FY63" i="2" s="1"/>
  <c r="FY67" i="2" a="1"/>
  <c r="FY67" i="2" s="1"/>
  <c r="FY66" i="2" a="1"/>
  <c r="FY66" i="2" s="1"/>
  <c r="FY62" i="2" a="1"/>
  <c r="FY62" i="2" s="1"/>
  <c r="FY61" i="2" a="1"/>
  <c r="FY61" i="2" s="1"/>
  <c r="FY60" i="2" a="1"/>
  <c r="FY60" i="2" s="1"/>
  <c r="FY57" i="2" a="1"/>
  <c r="FY57" i="2" s="1"/>
  <c r="FY56" i="2" a="1"/>
  <c r="FY56" i="2" s="1"/>
  <c r="FY58" i="2" a="1"/>
  <c r="FY58" i="2" s="1"/>
  <c r="FY59" i="2" a="1"/>
  <c r="FY59" i="2" s="1"/>
  <c r="FY53" i="2" a="1"/>
  <c r="FY53" i="2" s="1"/>
  <c r="FY51" i="2" a="1"/>
  <c r="FY51" i="2" s="1"/>
  <c r="FY50" i="2" a="1"/>
  <c r="FY50" i="2" s="1"/>
  <c r="FY49" i="2" a="1"/>
  <c r="FY49" i="2" s="1"/>
  <c r="FY55" i="2" a="1"/>
  <c r="FY55" i="2" s="1"/>
  <c r="FY54" i="2" a="1"/>
  <c r="FY54" i="2" s="1"/>
  <c r="FY52" i="2" a="1"/>
  <c r="FY52" i="2" s="1"/>
  <c r="FY48" i="2" a="1"/>
  <c r="FY48" i="2" s="1"/>
  <c r="FY43" i="2" a="1"/>
  <c r="FY43" i="2" s="1"/>
  <c r="FY44" i="2" a="1"/>
  <c r="FY44" i="2" s="1"/>
  <c r="FY42" i="2" a="1"/>
  <c r="FY42" i="2" s="1"/>
  <c r="FY47" i="2" a="1"/>
  <c r="FY47" i="2" s="1"/>
  <c r="FY45" i="2" a="1"/>
  <c r="FY45" i="2" s="1"/>
  <c r="FY40" i="2" a="1"/>
  <c r="FY40" i="2" s="1"/>
  <c r="FY46" i="2" a="1"/>
  <c r="FY46" i="2" s="1"/>
  <c r="FY41" i="2" a="1"/>
  <c r="FY41" i="2" s="1"/>
  <c r="FY34" i="2" a="1"/>
  <c r="FY34" i="2" s="1"/>
  <c r="FY39" i="2" a="1"/>
  <c r="FY39" i="2" s="1"/>
  <c r="FY32" i="2" a="1"/>
  <c r="FY32" i="2" s="1"/>
  <c r="FY37" i="2" a="1"/>
  <c r="FY37" i="2" s="1"/>
  <c r="FY33" i="2" a="1"/>
  <c r="FY33" i="2" s="1"/>
  <c r="FY36" i="2" a="1"/>
  <c r="FY36" i="2" s="1"/>
  <c r="FY38" i="2" a="1"/>
  <c r="FY38" i="2" s="1"/>
  <c r="FY35" i="2" a="1"/>
  <c r="FY35" i="2" s="1"/>
  <c r="FY28" i="2" a="1"/>
  <c r="FY28" i="2" s="1"/>
  <c r="FY25" i="2" a="1"/>
  <c r="FY25" i="2" s="1"/>
  <c r="FY27" i="2" a="1"/>
  <c r="FY27" i="2" s="1"/>
  <c r="FY26" i="2" a="1"/>
  <c r="FY26" i="2" s="1"/>
  <c r="FY29" i="2" a="1"/>
  <c r="FY29" i="2" s="1"/>
  <c r="FY31" i="2" a="1"/>
  <c r="FY31" i="2" s="1"/>
  <c r="FY30" i="2" a="1"/>
  <c r="FY30" i="2" s="1"/>
  <c r="FY15" i="2" a="1"/>
  <c r="FY15" i="2" s="1"/>
  <c r="FY23" i="2" a="1"/>
  <c r="FY23" i="2" s="1"/>
  <c r="FY22" i="2" a="1"/>
  <c r="FY22" i="2" s="1"/>
  <c r="FY21" i="2" a="1"/>
  <c r="FY21" i="2" s="1"/>
  <c r="FY20" i="2" a="1"/>
  <c r="FY20" i="2" s="1"/>
  <c r="FY19" i="2" a="1"/>
  <c r="FY19" i="2" s="1"/>
  <c r="FY18" i="2" a="1"/>
  <c r="FY18" i="2" s="1"/>
  <c r="FY17" i="2" a="1"/>
  <c r="FY17" i="2" s="1"/>
  <c r="FY24" i="2" a="1"/>
  <c r="FY24" i="2" s="1"/>
  <c r="FY16" i="2" a="1"/>
  <c r="FY16" i="2" s="1"/>
  <c r="FY14" i="2" a="1"/>
  <c r="FY14" i="2" s="1"/>
  <c r="FY10" i="2" a="1"/>
  <c r="FY10" i="2" s="1"/>
  <c r="FY13" i="2" a="1"/>
  <c r="FY13" i="2" s="1"/>
  <c r="FY8" i="2" a="1"/>
  <c r="FY8" i="2" s="1"/>
  <c r="FY12" i="2" a="1"/>
  <c r="FY12" i="2" s="1"/>
  <c r="FY11" i="2" a="1"/>
  <c r="FY11" i="2" s="1"/>
  <c r="FY9" i="2" a="1"/>
  <c r="FY9" i="2" s="1"/>
  <c r="FY7" i="2" a="1"/>
  <c r="FY7" i="2" s="1"/>
  <c r="FY4" i="2" a="1"/>
  <c r="FY4" i="2" s="1"/>
  <c r="FY6" i="2" a="1"/>
  <c r="FY6" i="2" s="1"/>
  <c r="FY5" i="2" a="1"/>
  <c r="FY5" i="2" s="1"/>
  <c r="FO103" i="2" a="1"/>
  <c r="FO103" i="2" s="1"/>
  <c r="FO102" i="2" a="1"/>
  <c r="FO102" i="2" s="1"/>
  <c r="FO101" i="2" a="1"/>
  <c r="FO101" i="2" s="1"/>
  <c r="FO100" i="2" a="1"/>
  <c r="FO100" i="2" s="1"/>
  <c r="FO99" i="2" a="1"/>
  <c r="FO99" i="2" s="1"/>
  <c r="FO98" i="2" a="1"/>
  <c r="FO98" i="2" s="1"/>
  <c r="FO96" i="2" a="1"/>
  <c r="FO96" i="2" s="1"/>
  <c r="FO97" i="2" a="1"/>
  <c r="FO97" i="2" s="1"/>
  <c r="FO93" i="2" a="1"/>
  <c r="FO93" i="2" s="1"/>
  <c r="FO92" i="2" a="1"/>
  <c r="FO92" i="2" s="1"/>
  <c r="FO95" i="2" a="1"/>
  <c r="FO95" i="2" s="1"/>
  <c r="FO91" i="2" a="1"/>
  <c r="FO91" i="2" s="1"/>
  <c r="FO94" i="2" a="1"/>
  <c r="FO94" i="2" s="1"/>
  <c r="FO90" i="2" a="1"/>
  <c r="FO90" i="2" s="1"/>
  <c r="FO89" i="2" a="1"/>
  <c r="FO89" i="2" s="1"/>
  <c r="FO88" i="2" a="1"/>
  <c r="FO88" i="2" s="1"/>
  <c r="FO87" i="2" a="1"/>
  <c r="FO87" i="2" s="1"/>
  <c r="FO84" i="2" a="1"/>
  <c r="FO84" i="2" s="1"/>
  <c r="FO86" i="2" a="1"/>
  <c r="FO86" i="2" s="1"/>
  <c r="FO83" i="2" a="1"/>
  <c r="FO83" i="2" s="1"/>
  <c r="FO85" i="2" a="1"/>
  <c r="FO85" i="2" s="1"/>
  <c r="FO82" i="2" a="1"/>
  <c r="FO82" i="2" s="1"/>
  <c r="FO81" i="2" a="1"/>
  <c r="FO81" i="2" s="1"/>
  <c r="FO80" i="2" a="1"/>
  <c r="FO80" i="2" s="1"/>
  <c r="FO78" i="2" a="1"/>
  <c r="FO78" i="2" s="1"/>
  <c r="FO76" i="2" a="1"/>
  <c r="FO76" i="2" s="1"/>
  <c r="FO79" i="2" a="1"/>
  <c r="FO79" i="2" s="1"/>
  <c r="FO77" i="2" a="1"/>
  <c r="FO77" i="2" s="1"/>
  <c r="FO72" i="2" a="1"/>
  <c r="FO72" i="2" s="1"/>
  <c r="FO74" i="2" a="1"/>
  <c r="FO74" i="2" s="1"/>
  <c r="FO75" i="2" a="1"/>
  <c r="FO75" i="2" s="1"/>
  <c r="FO73" i="2" a="1"/>
  <c r="FO73" i="2" s="1"/>
  <c r="FO71" i="2" a="1"/>
  <c r="FO71" i="2" s="1"/>
  <c r="FO70" i="2" a="1"/>
  <c r="FO70" i="2" s="1"/>
  <c r="FO69" i="2" a="1"/>
  <c r="FO69" i="2" s="1"/>
  <c r="FO68" i="2" a="1"/>
  <c r="FO68" i="2" s="1"/>
  <c r="FO64" i="2" a="1"/>
  <c r="FO64" i="2" s="1"/>
  <c r="FO63" i="2" a="1"/>
  <c r="FO63" i="2" s="1"/>
  <c r="FO67" i="2" a="1"/>
  <c r="FO67" i="2" s="1"/>
  <c r="FO65" i="2" a="1"/>
  <c r="FO65" i="2" s="1"/>
  <c r="FO66" i="2" a="1"/>
  <c r="FO66" i="2" s="1"/>
  <c r="FO62" i="2" a="1"/>
  <c r="FO62" i="2" s="1"/>
  <c r="FO61" i="2" a="1"/>
  <c r="FO61" i="2" s="1"/>
  <c r="FO60" i="2" a="1"/>
  <c r="FO60" i="2" s="1"/>
  <c r="FO59" i="2" a="1"/>
  <c r="FO59" i="2" s="1"/>
  <c r="FO57" i="2" a="1"/>
  <c r="FO57" i="2" s="1"/>
  <c r="FO56" i="2" a="1"/>
  <c r="FO56" i="2" s="1"/>
  <c r="FO58" i="2" a="1"/>
  <c r="FO58" i="2" s="1"/>
  <c r="FO51" i="2" a="1"/>
  <c r="FO51" i="2" s="1"/>
  <c r="FO53" i="2" a="1"/>
  <c r="FO53" i="2" s="1"/>
  <c r="FO50" i="2" a="1"/>
  <c r="FO50" i="2" s="1"/>
  <c r="FO49" i="2" a="1"/>
  <c r="FO49" i="2" s="1"/>
  <c r="FO48" i="2" a="1"/>
  <c r="FO48" i="2" s="1"/>
  <c r="FO55" i="2" a="1"/>
  <c r="FO55" i="2" s="1"/>
  <c r="FO54" i="2" a="1"/>
  <c r="FO54" i="2" s="1"/>
  <c r="FO52" i="2" a="1"/>
  <c r="FO52" i="2" s="1"/>
  <c r="FO41" i="2" a="1"/>
  <c r="FO41" i="2" s="1"/>
  <c r="FO43" i="2" a="1"/>
  <c r="FO43" i="2" s="1"/>
  <c r="FO47" i="2" a="1"/>
  <c r="FO47" i="2" s="1"/>
  <c r="FO44" i="2" a="1"/>
  <c r="FO44" i="2" s="1"/>
  <c r="FO42" i="2" a="1"/>
  <c r="FO42" i="2" s="1"/>
  <c r="FO45" i="2" a="1"/>
  <c r="FO45" i="2" s="1"/>
  <c r="FO46" i="2" a="1"/>
  <c r="FO46" i="2" s="1"/>
  <c r="FO35" i="2" a="1"/>
  <c r="FO35" i="2" s="1"/>
  <c r="FO39" i="2" a="1"/>
  <c r="FO39" i="2" s="1"/>
  <c r="FO32" i="2" a="1"/>
  <c r="FO32" i="2" s="1"/>
  <c r="FO38" i="2" a="1"/>
  <c r="FO38" i="2" s="1"/>
  <c r="FO34" i="2" a="1"/>
  <c r="FO34" i="2" s="1"/>
  <c r="FO40" i="2" a="1"/>
  <c r="FO40" i="2" s="1"/>
  <c r="FO37" i="2" a="1"/>
  <c r="FO37" i="2" s="1"/>
  <c r="FO36" i="2" a="1"/>
  <c r="FO36" i="2" s="1"/>
  <c r="FO25" i="2" a="1"/>
  <c r="FO25" i="2" s="1"/>
  <c r="FO28" i="2" a="1"/>
  <c r="FO28" i="2" s="1"/>
  <c r="FO27" i="2" a="1"/>
  <c r="FO27" i="2" s="1"/>
  <c r="FO26" i="2" a="1"/>
  <c r="FO26" i="2" s="1"/>
  <c r="FO33" i="2" a="1"/>
  <c r="FO33" i="2" s="1"/>
  <c r="FO31" i="2" a="1"/>
  <c r="FO31" i="2" s="1"/>
  <c r="FO30" i="2" a="1"/>
  <c r="FO30" i="2" s="1"/>
  <c r="FO29" i="2" a="1"/>
  <c r="FO29" i="2" s="1"/>
  <c r="FO23" i="2" a="1"/>
  <c r="FO23" i="2" s="1"/>
  <c r="FO22" i="2" a="1"/>
  <c r="FO22" i="2" s="1"/>
  <c r="FO21" i="2" a="1"/>
  <c r="FO21" i="2" s="1"/>
  <c r="FO20" i="2" a="1"/>
  <c r="FO20" i="2" s="1"/>
  <c r="FO19" i="2" a="1"/>
  <c r="FO19" i="2" s="1"/>
  <c r="FO18" i="2" a="1"/>
  <c r="FO18" i="2" s="1"/>
  <c r="FO16" i="2" a="1"/>
  <c r="FO16" i="2" s="1"/>
  <c r="FO24" i="2" a="1"/>
  <c r="FO24" i="2" s="1"/>
  <c r="FO15" i="2" a="1"/>
  <c r="FO15" i="2" s="1"/>
  <c r="FO17" i="2" a="1"/>
  <c r="FO17" i="2" s="1"/>
  <c r="FO11" i="2" a="1"/>
  <c r="FO11" i="2" s="1"/>
  <c r="FO9" i="2" a="1"/>
  <c r="FO9" i="2" s="1"/>
  <c r="FO14" i="2" a="1"/>
  <c r="FO14" i="2" s="1"/>
  <c r="FO10" i="2" a="1"/>
  <c r="FO10" i="2" s="1"/>
  <c r="FO8" i="2" a="1"/>
  <c r="FO8" i="2" s="1"/>
  <c r="FO13" i="2" a="1"/>
  <c r="FO13" i="2" s="1"/>
  <c r="FO12" i="2" a="1"/>
  <c r="FO12" i="2" s="1"/>
  <c r="FO7" i="2" a="1"/>
  <c r="FO7" i="2" s="1"/>
  <c r="FO5" i="2" a="1"/>
  <c r="FO5" i="2" s="1"/>
  <c r="FO4" i="2" a="1"/>
  <c r="FO4" i="2" s="1"/>
  <c r="FO6" i="2" a="1"/>
  <c r="FO6" i="2" s="1"/>
  <c r="FA109" i="2"/>
  <c r="FU100" i="2" a="1"/>
  <c r="FU100" i="2" s="1"/>
  <c r="FU99" i="2" a="1"/>
  <c r="FU99" i="2" s="1"/>
  <c r="FU103" i="2" a="1"/>
  <c r="FU103" i="2" s="1"/>
  <c r="FU102" i="2" a="1"/>
  <c r="FU102" i="2" s="1"/>
  <c r="FU101" i="2" a="1"/>
  <c r="FU101" i="2" s="1"/>
  <c r="FU98" i="2" a="1"/>
  <c r="FU98" i="2" s="1"/>
  <c r="FU96" i="2" a="1"/>
  <c r="FU96" i="2" s="1"/>
  <c r="FU97" i="2" a="1"/>
  <c r="FU97" i="2" s="1"/>
  <c r="FU95" i="2" a="1"/>
  <c r="FU95" i="2" s="1"/>
  <c r="FU94" i="2" a="1"/>
  <c r="FU94" i="2" s="1"/>
  <c r="FU93" i="2" a="1"/>
  <c r="FU93" i="2" s="1"/>
  <c r="FU92" i="2" a="1"/>
  <c r="FU92" i="2" s="1"/>
  <c r="FU91" i="2" a="1"/>
  <c r="FU91" i="2" s="1"/>
  <c r="FU90" i="2" a="1"/>
  <c r="FU90" i="2" s="1"/>
  <c r="FU89" i="2" a="1"/>
  <c r="FU89" i="2" s="1"/>
  <c r="FU88" i="2" a="1"/>
  <c r="FU88" i="2" s="1"/>
  <c r="FU87" i="2" a="1"/>
  <c r="FU87" i="2" s="1"/>
  <c r="FU86" i="2" a="1"/>
  <c r="FU86" i="2" s="1"/>
  <c r="FU83" i="2" a="1"/>
  <c r="FU83" i="2" s="1"/>
  <c r="FU85" i="2" a="1"/>
  <c r="FU85" i="2" s="1"/>
  <c r="FU84" i="2" a="1"/>
  <c r="FU84" i="2" s="1"/>
  <c r="FU82" i="2" a="1"/>
  <c r="FU82" i="2" s="1"/>
  <c r="FU81" i="2" a="1"/>
  <c r="FU81" i="2" s="1"/>
  <c r="FU80" i="2" a="1"/>
  <c r="FU80" i="2" s="1"/>
  <c r="FU77" i="2" a="1"/>
  <c r="FU77" i="2" s="1"/>
  <c r="FU78" i="2" a="1"/>
  <c r="FU78" i="2" s="1"/>
  <c r="FU76" i="2" a="1"/>
  <c r="FU76" i="2" s="1"/>
  <c r="FU79" i="2" a="1"/>
  <c r="FU79" i="2" s="1"/>
  <c r="FU74" i="2" a="1"/>
  <c r="FU74" i="2" s="1"/>
  <c r="FU73" i="2" a="1"/>
  <c r="FU73" i="2" s="1"/>
  <c r="FU75" i="2" a="1"/>
  <c r="FU75" i="2" s="1"/>
  <c r="FU72" i="2" a="1"/>
  <c r="FU72" i="2" s="1"/>
  <c r="FU69" i="2" a="1"/>
  <c r="FU69" i="2" s="1"/>
  <c r="FU68" i="2" a="1"/>
  <c r="FU68" i="2" s="1"/>
  <c r="FU70" i="2" a="1"/>
  <c r="FU70" i="2" s="1"/>
  <c r="FU71" i="2" a="1"/>
  <c r="FU71" i="2" s="1"/>
  <c r="FU65" i="2" a="1"/>
  <c r="FU65" i="2" s="1"/>
  <c r="FU63" i="2" a="1"/>
  <c r="FU63" i="2" s="1"/>
  <c r="FU67" i="2" a="1"/>
  <c r="FU67" i="2" s="1"/>
  <c r="FU66" i="2" a="1"/>
  <c r="FU66" i="2" s="1"/>
  <c r="FU64" i="2" a="1"/>
  <c r="FU64" i="2" s="1"/>
  <c r="FU60" i="2" a="1"/>
  <c r="FU60" i="2" s="1"/>
  <c r="FU62" i="2" a="1"/>
  <c r="FU62" i="2" s="1"/>
  <c r="FU59" i="2" a="1"/>
  <c r="FU59" i="2" s="1"/>
  <c r="FU61" i="2" a="1"/>
  <c r="FU61" i="2" s="1"/>
  <c r="FU56" i="2" a="1"/>
  <c r="FU56" i="2" s="1"/>
  <c r="FU55" i="2" a="1"/>
  <c r="FU55" i="2" s="1"/>
  <c r="FU58" i="2" a="1"/>
  <c r="FU58" i="2" s="1"/>
  <c r="FU57" i="2" a="1"/>
  <c r="FU57" i="2" s="1"/>
  <c r="FU49" i="2" a="1"/>
  <c r="FU49" i="2" s="1"/>
  <c r="FU54" i="2" a="1"/>
  <c r="FU54" i="2" s="1"/>
  <c r="FU52" i="2" a="1"/>
  <c r="FU52" i="2" s="1"/>
  <c r="FU48" i="2" a="1"/>
  <c r="FU48" i="2" s="1"/>
  <c r="FU53" i="2" a="1"/>
  <c r="FU53" i="2" s="1"/>
  <c r="FU51" i="2" a="1"/>
  <c r="FU51" i="2" s="1"/>
  <c r="FU50" i="2" a="1"/>
  <c r="FU50" i="2" s="1"/>
  <c r="FU41" i="2" a="1"/>
  <c r="FU41" i="2" s="1"/>
  <c r="FU43" i="2" a="1"/>
  <c r="FU43" i="2" s="1"/>
  <c r="FU44" i="2" a="1"/>
  <c r="FU44" i="2" s="1"/>
  <c r="FU47" i="2" a="1"/>
  <c r="FU47" i="2" s="1"/>
  <c r="FU42" i="2" a="1"/>
  <c r="FU42" i="2" s="1"/>
  <c r="FU46" i="2" a="1"/>
  <c r="FU46" i="2" s="1"/>
  <c r="FU45" i="2" a="1"/>
  <c r="FU45" i="2" s="1"/>
  <c r="FU40" i="2" a="1"/>
  <c r="FU40" i="2" s="1"/>
  <c r="FU36" i="2" a="1"/>
  <c r="FU36" i="2" s="1"/>
  <c r="FU35" i="2" a="1"/>
  <c r="FU35" i="2" s="1"/>
  <c r="FU39" i="2" a="1"/>
  <c r="FU39" i="2" s="1"/>
  <c r="FU38" i="2" a="1"/>
  <c r="FU38" i="2" s="1"/>
  <c r="FU34" i="2" a="1"/>
  <c r="FU34" i="2" s="1"/>
  <c r="FU37" i="2" a="1"/>
  <c r="FU37" i="2" s="1"/>
  <c r="FU33" i="2" a="1"/>
  <c r="FU33" i="2" s="1"/>
  <c r="FU26" i="2" a="1"/>
  <c r="FU26" i="2" s="1"/>
  <c r="FU31" i="2" a="1"/>
  <c r="FU31" i="2" s="1"/>
  <c r="FU30" i="2" a="1"/>
  <c r="FU30" i="2" s="1"/>
  <c r="FU29" i="2" a="1"/>
  <c r="FU29" i="2" s="1"/>
  <c r="FU25" i="2" a="1"/>
  <c r="FU25" i="2" s="1"/>
  <c r="FU32" i="2" a="1"/>
  <c r="FU32" i="2" s="1"/>
  <c r="FU28" i="2" a="1"/>
  <c r="FU28" i="2" s="1"/>
  <c r="FU27" i="2" a="1"/>
  <c r="FU27" i="2" s="1"/>
  <c r="FU16" i="2" a="1"/>
  <c r="FU16" i="2" s="1"/>
  <c r="FU15" i="2" a="1"/>
  <c r="FU15" i="2" s="1"/>
  <c r="FU23" i="2" a="1"/>
  <c r="FU23" i="2" s="1"/>
  <c r="FU22" i="2" a="1"/>
  <c r="FU22" i="2" s="1"/>
  <c r="FU21" i="2" a="1"/>
  <c r="FU21" i="2" s="1"/>
  <c r="FU20" i="2" a="1"/>
  <c r="FU20" i="2" s="1"/>
  <c r="FU19" i="2" a="1"/>
  <c r="FU19" i="2" s="1"/>
  <c r="FU18" i="2" a="1"/>
  <c r="FU18" i="2" s="1"/>
  <c r="FU24" i="2" a="1"/>
  <c r="FU24" i="2" s="1"/>
  <c r="FU17" i="2" a="1"/>
  <c r="FU17" i="2" s="1"/>
  <c r="FU11" i="2" a="1"/>
  <c r="FU11" i="2" s="1"/>
  <c r="FU9" i="2" a="1"/>
  <c r="FU9" i="2" s="1"/>
  <c r="FU14" i="2" a="1"/>
  <c r="FU14" i="2" s="1"/>
  <c r="FU10" i="2" a="1"/>
  <c r="FU10" i="2" s="1"/>
  <c r="FU13" i="2" a="1"/>
  <c r="FU13" i="2" s="1"/>
  <c r="FU8" i="2" a="1"/>
  <c r="FU8" i="2" s="1"/>
  <c r="FU12" i="2" a="1"/>
  <c r="FU12" i="2" s="1"/>
  <c r="FU7" i="2" a="1"/>
  <c r="FU7" i="2" s="1"/>
  <c r="FU5" i="2" a="1"/>
  <c r="FU5" i="2" s="1"/>
  <c r="FU4" i="2" a="1"/>
  <c r="FU4" i="2" s="1"/>
  <c r="FU6" i="2" a="1"/>
  <c r="FU6" i="2" s="1"/>
  <c r="FN99" i="2" a="1"/>
  <c r="FN99" i="2" s="1"/>
  <c r="FN103" i="2" a="1"/>
  <c r="FN103" i="2" s="1"/>
  <c r="FN102" i="2" a="1"/>
  <c r="FN102" i="2" s="1"/>
  <c r="FN101" i="2" a="1"/>
  <c r="FN101" i="2" s="1"/>
  <c r="FN100" i="2" a="1"/>
  <c r="FN100" i="2" s="1"/>
  <c r="FN97" i="2" a="1"/>
  <c r="FN97" i="2" s="1"/>
  <c r="FN95" i="2" a="1"/>
  <c r="FN95" i="2" s="1"/>
  <c r="FN98" i="2" a="1"/>
  <c r="FN98" i="2" s="1"/>
  <c r="FN96" i="2" a="1"/>
  <c r="FN96" i="2" s="1"/>
  <c r="FN94" i="2" a="1"/>
  <c r="FN94" i="2" s="1"/>
  <c r="FN93" i="2" a="1"/>
  <c r="FN93" i="2" s="1"/>
  <c r="FN92" i="2" a="1"/>
  <c r="FN92" i="2" s="1"/>
  <c r="FN90" i="2" a="1"/>
  <c r="FN90" i="2" s="1"/>
  <c r="FN89" i="2" a="1"/>
  <c r="FN89" i="2" s="1"/>
  <c r="FN88" i="2" a="1"/>
  <c r="FN88" i="2" s="1"/>
  <c r="FN87" i="2" a="1"/>
  <c r="FN87" i="2" s="1"/>
  <c r="FN91" i="2" a="1"/>
  <c r="FN91" i="2" s="1"/>
  <c r="FN85" i="2" a="1"/>
  <c r="FN85" i="2" s="1"/>
  <c r="FN84" i="2" a="1"/>
  <c r="FN84" i="2" s="1"/>
  <c r="FN86" i="2" a="1"/>
  <c r="FN86" i="2" s="1"/>
  <c r="FN83" i="2" a="1"/>
  <c r="FN83" i="2" s="1"/>
  <c r="FN82" i="2" a="1"/>
  <c r="FN82" i="2" s="1"/>
  <c r="FN81" i="2" a="1"/>
  <c r="FN81" i="2" s="1"/>
  <c r="FN80" i="2" a="1"/>
  <c r="FN80" i="2" s="1"/>
  <c r="FN77" i="2" a="1"/>
  <c r="FN77" i="2" s="1"/>
  <c r="FN78" i="2" a="1"/>
  <c r="FN78" i="2" s="1"/>
  <c r="FN79" i="2" a="1"/>
  <c r="FN79" i="2" s="1"/>
  <c r="FN76" i="2" a="1"/>
  <c r="FN76" i="2" s="1"/>
  <c r="FN72" i="2" a="1"/>
  <c r="FN72" i="2" s="1"/>
  <c r="FN74" i="2" a="1"/>
  <c r="FN74" i="2" s="1"/>
  <c r="FN73" i="2" a="1"/>
  <c r="FN73" i="2" s="1"/>
  <c r="FN75" i="2" a="1"/>
  <c r="FN75" i="2" s="1"/>
  <c r="FN71" i="2" a="1"/>
  <c r="FN71" i="2" s="1"/>
  <c r="FN67" i="2" a="1"/>
  <c r="FN67" i="2" s="1"/>
  <c r="FN70" i="2" a="1"/>
  <c r="FN70" i="2" s="1"/>
  <c r="FN69" i="2" a="1"/>
  <c r="FN69" i="2" s="1"/>
  <c r="FN68" i="2" a="1"/>
  <c r="FN68" i="2" s="1"/>
  <c r="FN66" i="2" a="1"/>
  <c r="FN66" i="2" s="1"/>
  <c r="FN64" i="2" a="1"/>
  <c r="FN64" i="2" s="1"/>
  <c r="FN63" i="2" a="1"/>
  <c r="FN63" i="2" s="1"/>
  <c r="FN65" i="2" a="1"/>
  <c r="FN65" i="2" s="1"/>
  <c r="FN62" i="2" a="1"/>
  <c r="FN62" i="2" s="1"/>
  <c r="FN59" i="2" a="1"/>
  <c r="FN59" i="2" s="1"/>
  <c r="FN61" i="2" a="1"/>
  <c r="FN61" i="2" s="1"/>
  <c r="FN60" i="2" a="1"/>
  <c r="FN60" i="2" s="1"/>
  <c r="FN58" i="2" a="1"/>
  <c r="FN58" i="2" s="1"/>
  <c r="FN57" i="2" a="1"/>
  <c r="FN57" i="2" s="1"/>
  <c r="FN56" i="2" a="1"/>
  <c r="FN56" i="2" s="1"/>
  <c r="FN55" i="2" a="1"/>
  <c r="FN55" i="2" s="1"/>
  <c r="FN52" i="2" a="1"/>
  <c r="FN52" i="2" s="1"/>
  <c r="FN53" i="2" a="1"/>
  <c r="FN53" i="2" s="1"/>
  <c r="FN51" i="2" a="1"/>
  <c r="FN51" i="2" s="1"/>
  <c r="FN50" i="2" a="1"/>
  <c r="FN50" i="2" s="1"/>
  <c r="FN49" i="2" a="1"/>
  <c r="FN49" i="2" s="1"/>
  <c r="FN54" i="2" a="1"/>
  <c r="FN54" i="2" s="1"/>
  <c r="FN48" i="2" a="1"/>
  <c r="FN48" i="2" s="1"/>
  <c r="FN41" i="2" a="1"/>
  <c r="FN41" i="2" s="1"/>
  <c r="FN43" i="2" a="1"/>
  <c r="FN43" i="2" s="1"/>
  <c r="FN44" i="2" a="1"/>
  <c r="FN44" i="2" s="1"/>
  <c r="FN47" i="2" a="1"/>
  <c r="FN47" i="2" s="1"/>
  <c r="FN42" i="2" a="1"/>
  <c r="FN42" i="2" s="1"/>
  <c r="FN45" i="2" a="1"/>
  <c r="FN45" i="2" s="1"/>
  <c r="FN40" i="2" a="1"/>
  <c r="FN40" i="2" s="1"/>
  <c r="FN46" i="2" a="1"/>
  <c r="FN46" i="2" s="1"/>
  <c r="FN35" i="2" a="1"/>
  <c r="FN35" i="2" s="1"/>
  <c r="FN39" i="2" a="1"/>
  <c r="FN39" i="2" s="1"/>
  <c r="FN38" i="2" a="1"/>
  <c r="FN38" i="2" s="1"/>
  <c r="FN34" i="2" a="1"/>
  <c r="FN34" i="2" s="1"/>
  <c r="FN33" i="2" a="1"/>
  <c r="FN33" i="2" s="1"/>
  <c r="FN37" i="2" a="1"/>
  <c r="FN37" i="2" s="1"/>
  <c r="FN36" i="2" a="1"/>
  <c r="FN36" i="2" s="1"/>
  <c r="FN31" i="2" a="1"/>
  <c r="FN31" i="2" s="1"/>
  <c r="FN30" i="2" a="1"/>
  <c r="FN30" i="2" s="1"/>
  <c r="FN29" i="2" a="1"/>
  <c r="FN29" i="2" s="1"/>
  <c r="FN25" i="2" a="1"/>
  <c r="FN25" i="2" s="1"/>
  <c r="FN32" i="2" a="1"/>
  <c r="FN32" i="2" s="1"/>
  <c r="FN28" i="2" a="1"/>
  <c r="FN28" i="2" s="1"/>
  <c r="FN27" i="2" a="1"/>
  <c r="FN27" i="2" s="1"/>
  <c r="FN26" i="2" a="1"/>
  <c r="FN26" i="2" s="1"/>
  <c r="FN23" i="2" a="1"/>
  <c r="FN23" i="2" s="1"/>
  <c r="FN22" i="2" a="1"/>
  <c r="FN22" i="2" s="1"/>
  <c r="FN21" i="2" a="1"/>
  <c r="FN21" i="2" s="1"/>
  <c r="FN20" i="2" a="1"/>
  <c r="FN20" i="2" s="1"/>
  <c r="FN19" i="2" a="1"/>
  <c r="FN19" i="2" s="1"/>
  <c r="FN18" i="2" a="1"/>
  <c r="FN18" i="2" s="1"/>
  <c r="FN16" i="2" a="1"/>
  <c r="FN16" i="2" s="1"/>
  <c r="FN24" i="2" a="1"/>
  <c r="FN24" i="2" s="1"/>
  <c r="FN15" i="2" a="1"/>
  <c r="FN15" i="2" s="1"/>
  <c r="FN17" i="2" a="1"/>
  <c r="FN17" i="2" s="1"/>
  <c r="FN11" i="2" a="1"/>
  <c r="FN11" i="2" s="1"/>
  <c r="FN9" i="2" a="1"/>
  <c r="FN9" i="2" s="1"/>
  <c r="FN14" i="2" a="1"/>
  <c r="FN14" i="2" s="1"/>
  <c r="FN10" i="2" a="1"/>
  <c r="FN10" i="2" s="1"/>
  <c r="FN8" i="2" a="1"/>
  <c r="FN8" i="2" s="1"/>
  <c r="FN13" i="2" a="1"/>
  <c r="FN13" i="2" s="1"/>
  <c r="FN12" i="2" a="1"/>
  <c r="FN12" i="2" s="1"/>
  <c r="FN5" i="2" a="1"/>
  <c r="FN5" i="2" s="1"/>
  <c r="FN4" i="2" a="1"/>
  <c r="FN4" i="2" s="1"/>
  <c r="FN7" i="2" a="1"/>
  <c r="FN7" i="2" s="1"/>
  <c r="FN6" i="2" a="1"/>
  <c r="FN6" i="2" s="1"/>
  <c r="FQ103" i="2" a="1"/>
  <c r="FQ103" i="2" s="1"/>
  <c r="FQ102" i="2" a="1"/>
  <c r="FQ102" i="2" s="1"/>
  <c r="FQ101" i="2" a="1"/>
  <c r="FQ101" i="2" s="1"/>
  <c r="FQ100" i="2" a="1"/>
  <c r="FQ100" i="2" s="1"/>
  <c r="FQ99" i="2" a="1"/>
  <c r="FQ99" i="2" s="1"/>
  <c r="FQ95" i="2" a="1"/>
  <c r="FQ95" i="2" s="1"/>
  <c r="FQ98" i="2" a="1"/>
  <c r="FQ98" i="2" s="1"/>
  <c r="FQ96" i="2" a="1"/>
  <c r="FQ96" i="2" s="1"/>
  <c r="FQ97" i="2" a="1"/>
  <c r="FQ97" i="2" s="1"/>
  <c r="FQ92" i="2" a="1"/>
  <c r="FQ92" i="2" s="1"/>
  <c r="FQ91" i="2" a="1"/>
  <c r="FQ91" i="2" s="1"/>
  <c r="FQ94" i="2" a="1"/>
  <c r="FQ94" i="2" s="1"/>
  <c r="FQ93" i="2" a="1"/>
  <c r="FQ93" i="2" s="1"/>
  <c r="FQ88" i="2" a="1"/>
  <c r="FQ88" i="2" s="1"/>
  <c r="FQ87" i="2" a="1"/>
  <c r="FQ87" i="2" s="1"/>
  <c r="FQ90" i="2" a="1"/>
  <c r="FQ90" i="2" s="1"/>
  <c r="FQ89" i="2" a="1"/>
  <c r="FQ89" i="2" s="1"/>
  <c r="FQ86" i="2" a="1"/>
  <c r="FQ86" i="2" s="1"/>
  <c r="FQ85" i="2" a="1"/>
  <c r="FQ85" i="2" s="1"/>
  <c r="FQ84" i="2" a="1"/>
  <c r="FQ84" i="2" s="1"/>
  <c r="FQ80" i="2" a="1"/>
  <c r="FQ80" i="2" s="1"/>
  <c r="FQ83" i="2" a="1"/>
  <c r="FQ83" i="2" s="1"/>
  <c r="FQ82" i="2" a="1"/>
  <c r="FQ82" i="2" s="1"/>
  <c r="FQ81" i="2" a="1"/>
  <c r="FQ81" i="2" s="1"/>
  <c r="FQ78" i="2" a="1"/>
  <c r="FQ78" i="2" s="1"/>
  <c r="FQ76" i="2" a="1"/>
  <c r="FQ76" i="2" s="1"/>
  <c r="FQ79" i="2" a="1"/>
  <c r="FQ79" i="2" s="1"/>
  <c r="FQ77" i="2" a="1"/>
  <c r="FQ77" i="2" s="1"/>
  <c r="FQ72" i="2" a="1"/>
  <c r="FQ72" i="2" s="1"/>
  <c r="FQ74" i="2" a="1"/>
  <c r="FQ74" i="2" s="1"/>
  <c r="FQ73" i="2" a="1"/>
  <c r="FQ73" i="2" s="1"/>
  <c r="FQ75" i="2" a="1"/>
  <c r="FQ75" i="2" s="1"/>
  <c r="FQ69" i="2" a="1"/>
  <c r="FQ69" i="2" s="1"/>
  <c r="FQ68" i="2" a="1"/>
  <c r="FQ68" i="2" s="1"/>
  <c r="FQ67" i="2" a="1"/>
  <c r="FQ67" i="2" s="1"/>
  <c r="FQ71" i="2" a="1"/>
  <c r="FQ71" i="2" s="1"/>
  <c r="FQ70" i="2" a="1"/>
  <c r="FQ70" i="2" s="1"/>
  <c r="FQ64" i="2" a="1"/>
  <c r="FQ64" i="2" s="1"/>
  <c r="FQ65" i="2" a="1"/>
  <c r="FQ65" i="2" s="1"/>
  <c r="FQ63" i="2" a="1"/>
  <c r="FQ63" i="2" s="1"/>
  <c r="FQ66" i="2" a="1"/>
  <c r="FQ66" i="2" s="1"/>
  <c r="FQ62" i="2" a="1"/>
  <c r="FQ62" i="2" s="1"/>
  <c r="FQ59" i="2" a="1"/>
  <c r="FQ59" i="2" s="1"/>
  <c r="FQ61" i="2" a="1"/>
  <c r="FQ61" i="2" s="1"/>
  <c r="FQ60" i="2" a="1"/>
  <c r="FQ60" i="2" s="1"/>
  <c r="FQ56" i="2" a="1"/>
  <c r="FQ56" i="2" s="1"/>
  <c r="FQ58" i="2" a="1"/>
  <c r="FQ58" i="2" s="1"/>
  <c r="FQ57" i="2" a="1"/>
  <c r="FQ57" i="2" s="1"/>
  <c r="FQ51" i="2" a="1"/>
  <c r="FQ51" i="2" s="1"/>
  <c r="FQ53" i="2" a="1"/>
  <c r="FQ53" i="2" s="1"/>
  <c r="FQ50" i="2" a="1"/>
  <c r="FQ50" i="2" s="1"/>
  <c r="FQ49" i="2" a="1"/>
  <c r="FQ49" i="2" s="1"/>
  <c r="FQ55" i="2" a="1"/>
  <c r="FQ55" i="2" s="1"/>
  <c r="FQ52" i="2" a="1"/>
  <c r="FQ52" i="2" s="1"/>
  <c r="FQ48" i="2" a="1"/>
  <c r="FQ48" i="2" s="1"/>
  <c r="FQ54" i="2" a="1"/>
  <c r="FQ54" i="2" s="1"/>
  <c r="FQ47" i="2" a="1"/>
  <c r="FQ47" i="2" s="1"/>
  <c r="FQ43" i="2" a="1"/>
  <c r="FQ43" i="2" s="1"/>
  <c r="FQ44" i="2" a="1"/>
  <c r="FQ44" i="2" s="1"/>
  <c r="FQ42" i="2" a="1"/>
  <c r="FQ42" i="2" s="1"/>
  <c r="FQ46" i="2" a="1"/>
  <c r="FQ46" i="2" s="1"/>
  <c r="FQ45" i="2" a="1"/>
  <c r="FQ45" i="2" s="1"/>
  <c r="FQ40" i="2" a="1"/>
  <c r="FQ40" i="2" s="1"/>
  <c r="FQ41" i="2" a="1"/>
  <c r="FQ41" i="2" s="1"/>
  <c r="FQ38" i="2" a="1"/>
  <c r="FQ38" i="2" s="1"/>
  <c r="FQ34" i="2" a="1"/>
  <c r="FQ34" i="2" s="1"/>
  <c r="FQ37" i="2" a="1"/>
  <c r="FQ37" i="2" s="1"/>
  <c r="FQ33" i="2" a="1"/>
  <c r="FQ33" i="2" s="1"/>
  <c r="FQ36" i="2" a="1"/>
  <c r="FQ36" i="2" s="1"/>
  <c r="FQ35" i="2" a="1"/>
  <c r="FQ35" i="2" s="1"/>
  <c r="FQ39" i="2" a="1"/>
  <c r="FQ39" i="2" s="1"/>
  <c r="FQ27" i="2" a="1"/>
  <c r="FQ27" i="2" s="1"/>
  <c r="FQ26" i="2" a="1"/>
  <c r="FQ26" i="2" s="1"/>
  <c r="FQ31" i="2" a="1"/>
  <c r="FQ31" i="2" s="1"/>
  <c r="FQ30" i="2" a="1"/>
  <c r="FQ30" i="2" s="1"/>
  <c r="FQ29" i="2" a="1"/>
  <c r="FQ29" i="2" s="1"/>
  <c r="FQ25" i="2" a="1"/>
  <c r="FQ25" i="2" s="1"/>
  <c r="FQ32" i="2" a="1"/>
  <c r="FQ32" i="2" s="1"/>
  <c r="FQ28" i="2" a="1"/>
  <c r="FQ28" i="2" s="1"/>
  <c r="FQ15" i="2" a="1"/>
  <c r="FQ15" i="2" s="1"/>
  <c r="FQ24" i="2" a="1"/>
  <c r="FQ24" i="2" s="1"/>
  <c r="FQ17" i="2" a="1"/>
  <c r="FQ17" i="2" s="1"/>
  <c r="FQ16" i="2" a="1"/>
  <c r="FQ16" i="2" s="1"/>
  <c r="FQ23" i="2" a="1"/>
  <c r="FQ23" i="2" s="1"/>
  <c r="FQ22" i="2" a="1"/>
  <c r="FQ22" i="2" s="1"/>
  <c r="FQ21" i="2" a="1"/>
  <c r="FQ21" i="2" s="1"/>
  <c r="FQ20" i="2" a="1"/>
  <c r="FQ20" i="2" s="1"/>
  <c r="FQ19" i="2" a="1"/>
  <c r="FQ19" i="2" s="1"/>
  <c r="FQ18" i="2" a="1"/>
  <c r="FQ18" i="2" s="1"/>
  <c r="FQ13" i="2" a="1"/>
  <c r="FQ13" i="2" s="1"/>
  <c r="FQ8" i="2" a="1"/>
  <c r="FQ8" i="2" s="1"/>
  <c r="FQ12" i="2" a="1"/>
  <c r="FQ12" i="2" s="1"/>
  <c r="FQ7" i="2" a="1"/>
  <c r="FQ7" i="2" s="1"/>
  <c r="FQ11" i="2" a="1"/>
  <c r="FQ11" i="2" s="1"/>
  <c r="FQ9" i="2" a="1"/>
  <c r="FQ9" i="2" s="1"/>
  <c r="FQ14" i="2" a="1"/>
  <c r="FQ14" i="2" s="1"/>
  <c r="FQ10" i="2" a="1"/>
  <c r="FQ10" i="2" s="1"/>
  <c r="FQ6" i="2" a="1"/>
  <c r="FQ6" i="2" s="1"/>
  <c r="FQ5" i="2" a="1"/>
  <c r="FQ5" i="2" s="1"/>
  <c r="FQ4" i="2" a="1"/>
  <c r="FQ4" i="2" s="1"/>
  <c r="FC104" i="2"/>
  <c r="FC108" i="2" s="1"/>
  <c r="FI104" i="2"/>
  <c r="FI108" i="2" s="1"/>
  <c r="FB104" i="2"/>
  <c r="FP103" i="2" a="1"/>
  <c r="FP103" i="2" s="1"/>
  <c r="FP102" i="2" a="1"/>
  <c r="FP102" i="2" s="1"/>
  <c r="FP101" i="2" a="1"/>
  <c r="FP101" i="2" s="1"/>
  <c r="FP100" i="2" a="1"/>
  <c r="FP100" i="2" s="1"/>
  <c r="FP99" i="2" a="1"/>
  <c r="FP99" i="2" s="1"/>
  <c r="FP95" i="2" a="1"/>
  <c r="FP95" i="2" s="1"/>
  <c r="FP98" i="2" a="1"/>
  <c r="FP98" i="2" s="1"/>
  <c r="FP96" i="2" a="1"/>
  <c r="FP96" i="2" s="1"/>
  <c r="FP97" i="2" a="1"/>
  <c r="FP97" i="2" s="1"/>
  <c r="FP93" i="2" a="1"/>
  <c r="FP93" i="2" s="1"/>
  <c r="FP92" i="2" a="1"/>
  <c r="FP92" i="2" s="1"/>
  <c r="FP94" i="2" a="1"/>
  <c r="FP94" i="2" s="1"/>
  <c r="FP90" i="2" a="1"/>
  <c r="FP90" i="2" s="1"/>
  <c r="FP89" i="2" a="1"/>
  <c r="FP89" i="2" s="1"/>
  <c r="FP88" i="2" a="1"/>
  <c r="FP88" i="2" s="1"/>
  <c r="FP91" i="2" a="1"/>
  <c r="FP91" i="2" s="1"/>
  <c r="FP86" i="2" a="1"/>
  <c r="FP86" i="2" s="1"/>
  <c r="FP83" i="2" a="1"/>
  <c r="FP83" i="2" s="1"/>
  <c r="FP85" i="2" a="1"/>
  <c r="FP85" i="2" s="1"/>
  <c r="FP84" i="2" a="1"/>
  <c r="FP84" i="2" s="1"/>
  <c r="FP87" i="2" a="1"/>
  <c r="FP87" i="2" s="1"/>
  <c r="FP80" i="2" a="1"/>
  <c r="FP80" i="2" s="1"/>
  <c r="FP82" i="2" a="1"/>
  <c r="FP82" i="2" s="1"/>
  <c r="FP81" i="2" a="1"/>
  <c r="FP81" i="2" s="1"/>
  <c r="FP78" i="2" a="1"/>
  <c r="FP78" i="2" s="1"/>
  <c r="FP76" i="2" a="1"/>
  <c r="FP76" i="2" s="1"/>
  <c r="FP75" i="2" a="1"/>
  <c r="FP75" i="2" s="1"/>
  <c r="FP79" i="2" a="1"/>
  <c r="FP79" i="2" s="1"/>
  <c r="FP77" i="2" a="1"/>
  <c r="FP77" i="2" s="1"/>
  <c r="FP72" i="2" a="1"/>
  <c r="FP72" i="2" s="1"/>
  <c r="FP74" i="2" a="1"/>
  <c r="FP74" i="2" s="1"/>
  <c r="FP73" i="2" a="1"/>
  <c r="FP73" i="2" s="1"/>
  <c r="FP70" i="2" a="1"/>
  <c r="FP70" i="2" s="1"/>
  <c r="FP69" i="2" a="1"/>
  <c r="FP69" i="2" s="1"/>
  <c r="FP68" i="2" a="1"/>
  <c r="FP68" i="2" s="1"/>
  <c r="FP71" i="2" a="1"/>
  <c r="FP71" i="2" s="1"/>
  <c r="FP64" i="2" a="1"/>
  <c r="FP64" i="2" s="1"/>
  <c r="FP67" i="2" a="1"/>
  <c r="FP67" i="2" s="1"/>
  <c r="FP65" i="2" a="1"/>
  <c r="FP65" i="2" s="1"/>
  <c r="FP63" i="2" a="1"/>
  <c r="FP63" i="2" s="1"/>
  <c r="FP66" i="2" a="1"/>
  <c r="FP66" i="2" s="1"/>
  <c r="FP62" i="2" a="1"/>
  <c r="FP62" i="2" s="1"/>
  <c r="FP61" i="2" a="1"/>
  <c r="FP61" i="2" s="1"/>
  <c r="FP60" i="2" a="1"/>
  <c r="FP60" i="2" s="1"/>
  <c r="FP59" i="2" a="1"/>
  <c r="FP59" i="2" s="1"/>
  <c r="FP57" i="2" a="1"/>
  <c r="FP57" i="2" s="1"/>
  <c r="FP56" i="2" a="1"/>
  <c r="FP56" i="2" s="1"/>
  <c r="FP58" i="2" a="1"/>
  <c r="FP58" i="2" s="1"/>
  <c r="FP51" i="2" a="1"/>
  <c r="FP51" i="2" s="1"/>
  <c r="FP53" i="2" a="1"/>
  <c r="FP53" i="2" s="1"/>
  <c r="FP50" i="2" a="1"/>
  <c r="FP50" i="2" s="1"/>
  <c r="FP49" i="2" a="1"/>
  <c r="FP49" i="2" s="1"/>
  <c r="FP52" i="2" a="1"/>
  <c r="FP52" i="2" s="1"/>
  <c r="FP48" i="2" a="1"/>
  <c r="FP48" i="2" s="1"/>
  <c r="FP55" i="2" a="1"/>
  <c r="FP55" i="2" s="1"/>
  <c r="FP54" i="2" a="1"/>
  <c r="FP54" i="2" s="1"/>
  <c r="FP41" i="2" a="1"/>
  <c r="FP41" i="2" s="1"/>
  <c r="FP47" i="2" a="1"/>
  <c r="FP47" i="2" s="1"/>
  <c r="FP43" i="2" a="1"/>
  <c r="FP43" i="2" s="1"/>
  <c r="FP44" i="2" a="1"/>
  <c r="FP44" i="2" s="1"/>
  <c r="FP42" i="2" a="1"/>
  <c r="FP42" i="2" s="1"/>
  <c r="FP46" i="2" a="1"/>
  <c r="FP46" i="2" s="1"/>
  <c r="FP45" i="2" a="1"/>
  <c r="FP45" i="2" s="1"/>
  <c r="FP40" i="2" a="1"/>
  <c r="FP40" i="2" s="1"/>
  <c r="FP39" i="2" a="1"/>
  <c r="FP39" i="2" s="1"/>
  <c r="FP38" i="2" a="1"/>
  <c r="FP38" i="2" s="1"/>
  <c r="FP34" i="2" a="1"/>
  <c r="FP34" i="2" s="1"/>
  <c r="FP37" i="2" a="1"/>
  <c r="FP37" i="2" s="1"/>
  <c r="FP33" i="2" a="1"/>
  <c r="FP33" i="2" s="1"/>
  <c r="FP36" i="2" a="1"/>
  <c r="FP36" i="2" s="1"/>
  <c r="FP35" i="2" a="1"/>
  <c r="FP35" i="2" s="1"/>
  <c r="FP28" i="2" a="1"/>
  <c r="FP28" i="2" s="1"/>
  <c r="FP32" i="2" a="1"/>
  <c r="FP32" i="2" s="1"/>
  <c r="FP27" i="2" a="1"/>
  <c r="FP27" i="2" s="1"/>
  <c r="FP26" i="2" a="1"/>
  <c r="FP26" i="2" s="1"/>
  <c r="FP31" i="2" a="1"/>
  <c r="FP31" i="2" s="1"/>
  <c r="FP30" i="2" a="1"/>
  <c r="FP30" i="2" s="1"/>
  <c r="FP29" i="2" a="1"/>
  <c r="FP29" i="2" s="1"/>
  <c r="FP25" i="2" a="1"/>
  <c r="FP25" i="2" s="1"/>
  <c r="FP24" i="2" a="1"/>
  <c r="FP24" i="2" s="1"/>
  <c r="FP15" i="2" a="1"/>
  <c r="FP15" i="2" s="1"/>
  <c r="FP17" i="2" a="1"/>
  <c r="FP17" i="2" s="1"/>
  <c r="FP23" i="2" a="1"/>
  <c r="FP23" i="2" s="1"/>
  <c r="FP22" i="2" a="1"/>
  <c r="FP22" i="2" s="1"/>
  <c r="FP21" i="2" a="1"/>
  <c r="FP21" i="2" s="1"/>
  <c r="FP20" i="2" a="1"/>
  <c r="FP20" i="2" s="1"/>
  <c r="FP19" i="2" a="1"/>
  <c r="FP19" i="2" s="1"/>
  <c r="FP18" i="2" a="1"/>
  <c r="FP18" i="2" s="1"/>
  <c r="FP16" i="2" a="1"/>
  <c r="FP16" i="2" s="1"/>
  <c r="FP14" i="2" a="1"/>
  <c r="FP14" i="2" s="1"/>
  <c r="FP10" i="2" a="1"/>
  <c r="FP10" i="2" s="1"/>
  <c r="FP8" i="2" a="1"/>
  <c r="FP8" i="2" s="1"/>
  <c r="FP13" i="2" a="1"/>
  <c r="FP13" i="2" s="1"/>
  <c r="FP12" i="2" a="1"/>
  <c r="FP12" i="2" s="1"/>
  <c r="FP7" i="2" a="1"/>
  <c r="FP7" i="2" s="1"/>
  <c r="FP11" i="2" a="1"/>
  <c r="FP11" i="2" s="1"/>
  <c r="FP9" i="2" a="1"/>
  <c r="FP9" i="2" s="1"/>
  <c r="FP4" i="2" a="1"/>
  <c r="FP4" i="2" s="1"/>
  <c r="FP6" i="2" a="1"/>
  <c r="FP6" i="2" s="1"/>
  <c r="FP5" i="2" a="1"/>
  <c r="FP5" i="2" s="1"/>
  <c r="FT100" i="2" a="1"/>
  <c r="FT100" i="2" s="1"/>
  <c r="FT99" i="2" a="1"/>
  <c r="FT99" i="2" s="1"/>
  <c r="FT103" i="2" a="1"/>
  <c r="FT103" i="2" s="1"/>
  <c r="FT102" i="2" a="1"/>
  <c r="FT102" i="2" s="1"/>
  <c r="FT101" i="2" a="1"/>
  <c r="FT101" i="2" s="1"/>
  <c r="FT95" i="2" a="1"/>
  <c r="FT95" i="2" s="1"/>
  <c r="FT98" i="2" a="1"/>
  <c r="FT98" i="2" s="1"/>
  <c r="FT96" i="2" a="1"/>
  <c r="FT96" i="2" s="1"/>
  <c r="FT97" i="2" a="1"/>
  <c r="FT97" i="2" s="1"/>
  <c r="FT94" i="2" a="1"/>
  <c r="FT94" i="2" s="1"/>
  <c r="FT93" i="2" a="1"/>
  <c r="FT93" i="2" s="1"/>
  <c r="FT92" i="2" a="1"/>
  <c r="FT92" i="2" s="1"/>
  <c r="FT91" i="2" a="1"/>
  <c r="FT91" i="2" s="1"/>
  <c r="FT90" i="2" a="1"/>
  <c r="FT90" i="2" s="1"/>
  <c r="FT89" i="2" a="1"/>
  <c r="FT89" i="2" s="1"/>
  <c r="FT88" i="2" a="1"/>
  <c r="FT88" i="2" s="1"/>
  <c r="FT86" i="2" a="1"/>
  <c r="FT86" i="2" s="1"/>
  <c r="FT85" i="2" a="1"/>
  <c r="FT85" i="2" s="1"/>
  <c r="FT84" i="2" a="1"/>
  <c r="FT84" i="2" s="1"/>
  <c r="FT87" i="2" a="1"/>
  <c r="FT87" i="2" s="1"/>
  <c r="FT82" i="2" a="1"/>
  <c r="FT82" i="2" s="1"/>
  <c r="FT81" i="2" a="1"/>
  <c r="FT81" i="2" s="1"/>
  <c r="FT83" i="2" a="1"/>
  <c r="FT83" i="2" s="1"/>
  <c r="FT80" i="2" a="1"/>
  <c r="FT80" i="2" s="1"/>
  <c r="FT79" i="2" a="1"/>
  <c r="FT79" i="2" s="1"/>
  <c r="FT77" i="2" a="1"/>
  <c r="FT77" i="2" s="1"/>
  <c r="FT78" i="2" a="1"/>
  <c r="FT78" i="2" s="1"/>
  <c r="FT75" i="2" a="1"/>
  <c r="FT75" i="2" s="1"/>
  <c r="FT76" i="2" a="1"/>
  <c r="FT76" i="2" s="1"/>
  <c r="FT74" i="2" a="1"/>
  <c r="FT74" i="2" s="1"/>
  <c r="FT73" i="2" a="1"/>
  <c r="FT73" i="2" s="1"/>
  <c r="FT71" i="2" a="1"/>
  <c r="FT71" i="2" s="1"/>
  <c r="FT72" i="2" a="1"/>
  <c r="FT72" i="2" s="1"/>
  <c r="FT69" i="2" a="1"/>
  <c r="FT69" i="2" s="1"/>
  <c r="FT68" i="2" a="1"/>
  <c r="FT68" i="2" s="1"/>
  <c r="FT70" i="2" a="1"/>
  <c r="FT70" i="2" s="1"/>
  <c r="FT65" i="2" a="1"/>
  <c r="FT65" i="2" s="1"/>
  <c r="FT63" i="2" a="1"/>
  <c r="FT63" i="2" s="1"/>
  <c r="FT67" i="2" a="1"/>
  <c r="FT67" i="2" s="1"/>
  <c r="FT66" i="2" a="1"/>
  <c r="FT66" i="2" s="1"/>
  <c r="FT64" i="2" a="1"/>
  <c r="FT64" i="2" s="1"/>
  <c r="FT60" i="2" a="1"/>
  <c r="FT60" i="2" s="1"/>
  <c r="FT62" i="2" a="1"/>
  <c r="FT62" i="2" s="1"/>
  <c r="FT59" i="2" a="1"/>
  <c r="FT59" i="2" s="1"/>
  <c r="FT61" i="2" a="1"/>
  <c r="FT61" i="2" s="1"/>
  <c r="FT56" i="2" a="1"/>
  <c r="FT56" i="2" s="1"/>
  <c r="FT58" i="2" a="1"/>
  <c r="FT58" i="2" s="1"/>
  <c r="FT57" i="2" a="1"/>
  <c r="FT57" i="2" s="1"/>
  <c r="FT50" i="2" a="1"/>
  <c r="FT50" i="2" s="1"/>
  <c r="FT49" i="2" a="1"/>
  <c r="FT49" i="2" s="1"/>
  <c r="FT55" i="2" a="1"/>
  <c r="FT55" i="2" s="1"/>
  <c r="FT54" i="2" a="1"/>
  <c r="FT54" i="2" s="1"/>
  <c r="FT52" i="2" a="1"/>
  <c r="FT52" i="2" s="1"/>
  <c r="FT48" i="2" a="1"/>
  <c r="FT48" i="2" s="1"/>
  <c r="FT53" i="2" a="1"/>
  <c r="FT53" i="2" s="1"/>
  <c r="FT51" i="2" a="1"/>
  <c r="FT51" i="2" s="1"/>
  <c r="FT46" i="2" a="1"/>
  <c r="FT46" i="2" s="1"/>
  <c r="FT41" i="2" a="1"/>
  <c r="FT41" i="2" s="1"/>
  <c r="FT43" i="2" a="1"/>
  <c r="FT43" i="2" s="1"/>
  <c r="FT47" i="2" a="1"/>
  <c r="FT47" i="2" s="1"/>
  <c r="FT44" i="2" a="1"/>
  <c r="FT44" i="2" s="1"/>
  <c r="FT45" i="2" a="1"/>
  <c r="FT45" i="2" s="1"/>
  <c r="FT42" i="2" a="1"/>
  <c r="FT42" i="2" s="1"/>
  <c r="FT40" i="2" a="1"/>
  <c r="FT40" i="2" s="1"/>
  <c r="FT36" i="2" a="1"/>
  <c r="FT36" i="2" s="1"/>
  <c r="FT35" i="2" a="1"/>
  <c r="FT35" i="2" s="1"/>
  <c r="FT39" i="2" a="1"/>
  <c r="FT39" i="2" s="1"/>
  <c r="FT38" i="2" a="1"/>
  <c r="FT38" i="2" s="1"/>
  <c r="FT34" i="2" a="1"/>
  <c r="FT34" i="2" s="1"/>
  <c r="FT37" i="2" a="1"/>
  <c r="FT37" i="2" s="1"/>
  <c r="FT26" i="2" a="1"/>
  <c r="FT26" i="2" s="1"/>
  <c r="FT31" i="2" a="1"/>
  <c r="FT31" i="2" s="1"/>
  <c r="FT30" i="2" a="1"/>
  <c r="FT30" i="2" s="1"/>
  <c r="FT33" i="2" a="1"/>
  <c r="FT33" i="2" s="1"/>
  <c r="FT29" i="2" a="1"/>
  <c r="FT29" i="2" s="1"/>
  <c r="FT25" i="2" a="1"/>
  <c r="FT25" i="2" s="1"/>
  <c r="FT32" i="2" a="1"/>
  <c r="FT32" i="2" s="1"/>
  <c r="FT28" i="2" a="1"/>
  <c r="FT28" i="2" s="1"/>
  <c r="FT27" i="2" a="1"/>
  <c r="FT27" i="2" s="1"/>
  <c r="FT16" i="2" a="1"/>
  <c r="FT16" i="2" s="1"/>
  <c r="FT15" i="2" a="1"/>
  <c r="FT15" i="2" s="1"/>
  <c r="FT23" i="2" a="1"/>
  <c r="FT23" i="2" s="1"/>
  <c r="FT22" i="2" a="1"/>
  <c r="FT22" i="2" s="1"/>
  <c r="FT21" i="2" a="1"/>
  <c r="FT21" i="2" s="1"/>
  <c r="FT20" i="2" a="1"/>
  <c r="FT20" i="2" s="1"/>
  <c r="FT19" i="2" a="1"/>
  <c r="FT19" i="2" s="1"/>
  <c r="FT18" i="2" a="1"/>
  <c r="FT18" i="2" s="1"/>
  <c r="FT24" i="2" a="1"/>
  <c r="FT24" i="2" s="1"/>
  <c r="FT17" i="2" a="1"/>
  <c r="FT17" i="2" s="1"/>
  <c r="FT7" i="2" a="1"/>
  <c r="FT7" i="2" s="1"/>
  <c r="FT11" i="2" a="1"/>
  <c r="FT11" i="2" s="1"/>
  <c r="FT9" i="2" a="1"/>
  <c r="FT9" i="2" s="1"/>
  <c r="FT14" i="2" a="1"/>
  <c r="FT14" i="2" s="1"/>
  <c r="FT10" i="2" a="1"/>
  <c r="FT10" i="2" s="1"/>
  <c r="FT13" i="2" a="1"/>
  <c r="FT13" i="2" s="1"/>
  <c r="FT8" i="2" a="1"/>
  <c r="FT8" i="2" s="1"/>
  <c r="FT12" i="2" a="1"/>
  <c r="FT12" i="2" s="1"/>
  <c r="FT6" i="2" a="1"/>
  <c r="FT6" i="2" s="1"/>
  <c r="FT5" i="2" a="1"/>
  <c r="FT5" i="2" s="1"/>
  <c r="FT4" i="2" a="1"/>
  <c r="FT4" i="2" s="1"/>
  <c r="FS103" i="2" a="1"/>
  <c r="FS103" i="2" s="1"/>
  <c r="FS102" i="2" a="1"/>
  <c r="FS102" i="2" s="1"/>
  <c r="FS101" i="2" a="1"/>
  <c r="FS101" i="2" s="1"/>
  <c r="FS100" i="2" a="1"/>
  <c r="FS100" i="2" s="1"/>
  <c r="FS99" i="2" a="1"/>
  <c r="FS99" i="2" s="1"/>
  <c r="FS95" i="2" a="1"/>
  <c r="FS95" i="2" s="1"/>
  <c r="FS98" i="2" a="1"/>
  <c r="FS98" i="2" s="1"/>
  <c r="FS96" i="2" a="1"/>
  <c r="FS96" i="2" s="1"/>
  <c r="FS97" i="2" a="1"/>
  <c r="FS97" i="2" s="1"/>
  <c r="FS92" i="2" a="1"/>
  <c r="FS92" i="2" s="1"/>
  <c r="FS91" i="2" a="1"/>
  <c r="FS91" i="2" s="1"/>
  <c r="FS94" i="2" a="1"/>
  <c r="FS94" i="2" s="1"/>
  <c r="FS93" i="2" a="1"/>
  <c r="FS93" i="2" s="1"/>
  <c r="FS88" i="2" a="1"/>
  <c r="FS88" i="2" s="1"/>
  <c r="FS87" i="2" a="1"/>
  <c r="FS87" i="2" s="1"/>
  <c r="FS89" i="2" a="1"/>
  <c r="FS89" i="2" s="1"/>
  <c r="FS90" i="2" a="1"/>
  <c r="FS90" i="2" s="1"/>
  <c r="FS86" i="2" a="1"/>
  <c r="FS86" i="2" s="1"/>
  <c r="FS85" i="2" a="1"/>
  <c r="FS85" i="2" s="1"/>
  <c r="FS84" i="2" a="1"/>
  <c r="FS84" i="2" s="1"/>
  <c r="FS82" i="2" a="1"/>
  <c r="FS82" i="2" s="1"/>
  <c r="FS81" i="2" a="1"/>
  <c r="FS81" i="2" s="1"/>
  <c r="FS83" i="2" a="1"/>
  <c r="FS83" i="2" s="1"/>
  <c r="FS80" i="2" a="1"/>
  <c r="FS80" i="2" s="1"/>
  <c r="FS79" i="2" a="1"/>
  <c r="FS79" i="2" s="1"/>
  <c r="FS76" i="2" a="1"/>
  <c r="FS76" i="2" s="1"/>
  <c r="FS77" i="2" a="1"/>
  <c r="FS77" i="2" s="1"/>
  <c r="FS78" i="2" a="1"/>
  <c r="FS78" i="2" s="1"/>
  <c r="FS75" i="2" a="1"/>
  <c r="FS75" i="2" s="1"/>
  <c r="FS74" i="2" a="1"/>
  <c r="FS74" i="2" s="1"/>
  <c r="FS73" i="2" a="1"/>
  <c r="FS73" i="2" s="1"/>
  <c r="FS71" i="2" a="1"/>
  <c r="FS71" i="2" s="1"/>
  <c r="FS72" i="2" a="1"/>
  <c r="FS72" i="2" s="1"/>
  <c r="FS69" i="2" a="1"/>
  <c r="FS69" i="2" s="1"/>
  <c r="FS68" i="2" a="1"/>
  <c r="FS68" i="2" s="1"/>
  <c r="FS70" i="2" a="1"/>
  <c r="FS70" i="2" s="1"/>
  <c r="FS65" i="2" a="1"/>
  <c r="FS65" i="2" s="1"/>
  <c r="FS67" i="2" a="1"/>
  <c r="FS67" i="2" s="1"/>
  <c r="FS66" i="2" a="1"/>
  <c r="FS66" i="2" s="1"/>
  <c r="FS64" i="2" a="1"/>
  <c r="FS64" i="2" s="1"/>
  <c r="FS61" i="2" a="1"/>
  <c r="FS61" i="2" s="1"/>
  <c r="FS60" i="2" a="1"/>
  <c r="FS60" i="2" s="1"/>
  <c r="FS63" i="2" a="1"/>
  <c r="FS63" i="2" s="1"/>
  <c r="FS62" i="2" a="1"/>
  <c r="FS62" i="2" s="1"/>
  <c r="FS59" i="2" a="1"/>
  <c r="FS59" i="2" s="1"/>
  <c r="FS56" i="2" a="1"/>
  <c r="FS56" i="2" s="1"/>
  <c r="FS58" i="2" a="1"/>
  <c r="FS58" i="2" s="1"/>
  <c r="FS57" i="2" a="1"/>
  <c r="FS57" i="2" s="1"/>
  <c r="FS50" i="2" a="1"/>
  <c r="FS50" i="2" s="1"/>
  <c r="FS49" i="2" a="1"/>
  <c r="FS49" i="2" s="1"/>
  <c r="FS55" i="2" a="1"/>
  <c r="FS55" i="2" s="1"/>
  <c r="FS54" i="2" a="1"/>
  <c r="FS54" i="2" s="1"/>
  <c r="FS52" i="2" a="1"/>
  <c r="FS52" i="2" s="1"/>
  <c r="FS48" i="2" a="1"/>
  <c r="FS48" i="2" s="1"/>
  <c r="FS51" i="2" a="1"/>
  <c r="FS51" i="2" s="1"/>
  <c r="FS53" i="2" a="1"/>
  <c r="FS53" i="2" s="1"/>
  <c r="FS45" i="2" a="1"/>
  <c r="FS45" i="2" s="1"/>
  <c r="FS42" i="2" a="1"/>
  <c r="FS42" i="2" s="1"/>
  <c r="FS46" i="2" a="1"/>
  <c r="FS46" i="2" s="1"/>
  <c r="FS40" i="2" a="1"/>
  <c r="FS40" i="2" s="1"/>
  <c r="FS41" i="2" a="1"/>
  <c r="FS41" i="2" s="1"/>
  <c r="FS43" i="2" a="1"/>
  <c r="FS43" i="2" s="1"/>
  <c r="FS47" i="2" a="1"/>
  <c r="FS47" i="2" s="1"/>
  <c r="FS44" i="2" a="1"/>
  <c r="FS44" i="2" s="1"/>
  <c r="FS37" i="2" a="1"/>
  <c r="FS37" i="2" s="1"/>
  <c r="FS36" i="2" a="1"/>
  <c r="FS36" i="2" s="1"/>
  <c r="FS35" i="2" a="1"/>
  <c r="FS35" i="2" s="1"/>
  <c r="FS39" i="2" a="1"/>
  <c r="FS39" i="2" s="1"/>
  <c r="FS38" i="2" a="1"/>
  <c r="FS38" i="2" s="1"/>
  <c r="FS34" i="2" a="1"/>
  <c r="FS34" i="2" s="1"/>
  <c r="FS27" i="2" a="1"/>
  <c r="FS27" i="2" s="1"/>
  <c r="FS26" i="2" a="1"/>
  <c r="FS26" i="2" s="1"/>
  <c r="FS31" i="2" a="1"/>
  <c r="FS31" i="2" s="1"/>
  <c r="FS33" i="2" a="1"/>
  <c r="FS33" i="2" s="1"/>
  <c r="FS30" i="2" a="1"/>
  <c r="FS30" i="2" s="1"/>
  <c r="FS29" i="2" a="1"/>
  <c r="FS29" i="2" s="1"/>
  <c r="FS25" i="2" a="1"/>
  <c r="FS25" i="2" s="1"/>
  <c r="FS32" i="2" a="1"/>
  <c r="FS32" i="2" s="1"/>
  <c r="FS28" i="2" a="1"/>
  <c r="FS28" i="2" s="1"/>
  <c r="FS17" i="2" a="1"/>
  <c r="FS17" i="2" s="1"/>
  <c r="FS16" i="2" a="1"/>
  <c r="FS16" i="2" s="1"/>
  <c r="FS23" i="2" a="1"/>
  <c r="FS23" i="2" s="1"/>
  <c r="FS22" i="2" a="1"/>
  <c r="FS22" i="2" s="1"/>
  <c r="FS21" i="2" a="1"/>
  <c r="FS21" i="2" s="1"/>
  <c r="FS20" i="2" a="1"/>
  <c r="FS20" i="2" s="1"/>
  <c r="FS19" i="2" a="1"/>
  <c r="FS19" i="2" s="1"/>
  <c r="FS18" i="2" a="1"/>
  <c r="FS18" i="2" s="1"/>
  <c r="FS15" i="2" a="1"/>
  <c r="FS15" i="2" s="1"/>
  <c r="FS24" i="2" a="1"/>
  <c r="FS24" i="2" s="1"/>
  <c r="FS12" i="2" a="1"/>
  <c r="FS12" i="2" s="1"/>
  <c r="FS11" i="2" a="1"/>
  <c r="FS11" i="2" s="1"/>
  <c r="FS9" i="2" a="1"/>
  <c r="FS9" i="2" s="1"/>
  <c r="FS14" i="2" a="1"/>
  <c r="FS14" i="2" s="1"/>
  <c r="FS10" i="2" a="1"/>
  <c r="FS10" i="2" s="1"/>
  <c r="FS13" i="2" a="1"/>
  <c r="FS13" i="2" s="1"/>
  <c r="FS8" i="2" a="1"/>
  <c r="FS8" i="2" s="1"/>
  <c r="FS6" i="2" a="1"/>
  <c r="FS6" i="2" s="1"/>
  <c r="FS7" i="2" a="1"/>
  <c r="FS7" i="2" s="1"/>
  <c r="FS5" i="2" a="1"/>
  <c r="FS5" i="2" s="1"/>
  <c r="FS4" i="2" a="1"/>
  <c r="FS4" i="2" s="1"/>
  <c r="FE104" i="2"/>
  <c r="FE108" i="2" s="1"/>
  <c r="FX103" i="2" a="1"/>
  <c r="FX103" i="2" s="1"/>
  <c r="FX102" i="2" a="1"/>
  <c r="FX102" i="2" s="1"/>
  <c r="FX101" i="2" a="1"/>
  <c r="FX101" i="2" s="1"/>
  <c r="FX100" i="2" a="1"/>
  <c r="FX100" i="2" s="1"/>
  <c r="FX99" i="2" a="1"/>
  <c r="FX99" i="2" s="1"/>
  <c r="FX97" i="2" a="1"/>
  <c r="FX97" i="2" s="1"/>
  <c r="FX95" i="2" a="1"/>
  <c r="FX95" i="2" s="1"/>
  <c r="FX98" i="2" a="1"/>
  <c r="FX98" i="2" s="1"/>
  <c r="FX96" i="2" a="1"/>
  <c r="FX96" i="2" s="1"/>
  <c r="FX93" i="2" a="1"/>
  <c r="FX93" i="2" s="1"/>
  <c r="FX92" i="2" a="1"/>
  <c r="FX92" i="2" s="1"/>
  <c r="FX91" i="2" a="1"/>
  <c r="FX91" i="2" s="1"/>
  <c r="FX94" i="2" a="1"/>
  <c r="FX94" i="2" s="1"/>
  <c r="FX90" i="2" a="1"/>
  <c r="FX90" i="2" s="1"/>
  <c r="FX89" i="2" a="1"/>
  <c r="FX89" i="2" s="1"/>
  <c r="FX88" i="2" a="1"/>
  <c r="FX88" i="2" s="1"/>
  <c r="FX87" i="2" a="1"/>
  <c r="FX87" i="2" s="1"/>
  <c r="FX84" i="2" a="1"/>
  <c r="FX84" i="2" s="1"/>
  <c r="FX86" i="2" a="1"/>
  <c r="FX86" i="2" s="1"/>
  <c r="FX85" i="2" a="1"/>
  <c r="FX85" i="2" s="1"/>
  <c r="FX83" i="2" a="1"/>
  <c r="FX83" i="2" s="1"/>
  <c r="FX82" i="2" a="1"/>
  <c r="FX82" i="2" s="1"/>
  <c r="FX80" i="2" a="1"/>
  <c r="FX80" i="2" s="1"/>
  <c r="FX79" i="2" a="1"/>
  <c r="FX79" i="2" s="1"/>
  <c r="FX81" i="2" a="1"/>
  <c r="FX81" i="2" s="1"/>
  <c r="FX77" i="2" a="1"/>
  <c r="FX77" i="2" s="1"/>
  <c r="FX78" i="2" a="1"/>
  <c r="FX78" i="2" s="1"/>
  <c r="FX75" i="2" a="1"/>
  <c r="FX75" i="2" s="1"/>
  <c r="FX76" i="2" a="1"/>
  <c r="FX76" i="2" s="1"/>
  <c r="FX72" i="2" a="1"/>
  <c r="FX72" i="2" s="1"/>
  <c r="FX74" i="2" a="1"/>
  <c r="FX74" i="2" s="1"/>
  <c r="FX73" i="2" a="1"/>
  <c r="FX73" i="2" s="1"/>
  <c r="FX71" i="2" a="1"/>
  <c r="FX71" i="2" s="1"/>
  <c r="FX70" i="2" a="1"/>
  <c r="FX70" i="2" s="1"/>
  <c r="FX69" i="2" a="1"/>
  <c r="FX69" i="2" s="1"/>
  <c r="FX68" i="2" a="1"/>
  <c r="FX68" i="2" s="1"/>
  <c r="FX66" i="2" a="1"/>
  <c r="FX66" i="2" s="1"/>
  <c r="FX64" i="2" a="1"/>
  <c r="FX64" i="2" s="1"/>
  <c r="FX65" i="2" a="1"/>
  <c r="FX65" i="2" s="1"/>
  <c r="FX63" i="2" a="1"/>
  <c r="FX63" i="2" s="1"/>
  <c r="FX67" i="2" a="1"/>
  <c r="FX67" i="2" s="1"/>
  <c r="FX62" i="2" a="1"/>
  <c r="FX62" i="2" s="1"/>
  <c r="FX59" i="2" a="1"/>
  <c r="FX59" i="2" s="1"/>
  <c r="FX61" i="2" a="1"/>
  <c r="FX61" i="2" s="1"/>
  <c r="FX60" i="2" a="1"/>
  <c r="FX60" i="2" s="1"/>
  <c r="FX57" i="2" a="1"/>
  <c r="FX57" i="2" s="1"/>
  <c r="FX56" i="2" a="1"/>
  <c r="FX56" i="2" s="1"/>
  <c r="FX58" i="2" a="1"/>
  <c r="FX58" i="2" s="1"/>
  <c r="FX53" i="2" a="1"/>
  <c r="FX53" i="2" s="1"/>
  <c r="FX51" i="2" a="1"/>
  <c r="FX51" i="2" s="1"/>
  <c r="FX50" i="2" a="1"/>
  <c r="FX50" i="2" s="1"/>
  <c r="FX49" i="2" a="1"/>
  <c r="FX49" i="2" s="1"/>
  <c r="FX54" i="2" a="1"/>
  <c r="FX54" i="2" s="1"/>
  <c r="FX55" i="2" a="1"/>
  <c r="FX55" i="2" s="1"/>
  <c r="FX52" i="2" a="1"/>
  <c r="FX52" i="2" s="1"/>
  <c r="FX48" i="2" a="1"/>
  <c r="FX48" i="2" s="1"/>
  <c r="FX41" i="2" a="1"/>
  <c r="FX41" i="2" s="1"/>
  <c r="FX43" i="2" a="1"/>
  <c r="FX43" i="2" s="1"/>
  <c r="FX44" i="2" a="1"/>
  <c r="FX44" i="2" s="1"/>
  <c r="FX42" i="2" a="1"/>
  <c r="FX42" i="2" s="1"/>
  <c r="FX45" i="2" a="1"/>
  <c r="FX45" i="2" s="1"/>
  <c r="FX40" i="2" a="1"/>
  <c r="FX40" i="2" s="1"/>
  <c r="FX47" i="2" a="1"/>
  <c r="FX47" i="2" s="1"/>
  <c r="FX46" i="2" a="1"/>
  <c r="FX46" i="2" s="1"/>
  <c r="FX35" i="2" a="1"/>
  <c r="FX35" i="2" s="1"/>
  <c r="FX38" i="2" a="1"/>
  <c r="FX38" i="2" s="1"/>
  <c r="FX34" i="2" a="1"/>
  <c r="FX34" i="2" s="1"/>
  <c r="FX39" i="2" a="1"/>
  <c r="FX39" i="2" s="1"/>
  <c r="FX37" i="2" a="1"/>
  <c r="FX37" i="2" s="1"/>
  <c r="FX36" i="2" a="1"/>
  <c r="FX36" i="2" s="1"/>
  <c r="FX31" i="2" a="1"/>
  <c r="FX31" i="2" s="1"/>
  <c r="FX30" i="2" a="1"/>
  <c r="FX30" i="2" s="1"/>
  <c r="FX29" i="2" a="1"/>
  <c r="FX29" i="2" s="1"/>
  <c r="FX33" i="2" a="1"/>
  <c r="FX33" i="2" s="1"/>
  <c r="FX32" i="2" a="1"/>
  <c r="FX32" i="2" s="1"/>
  <c r="FX25" i="2" a="1"/>
  <c r="FX25" i="2" s="1"/>
  <c r="FX24" i="2" a="1"/>
  <c r="FX24" i="2" s="1"/>
  <c r="FX28" i="2" a="1"/>
  <c r="FX28" i="2" s="1"/>
  <c r="FX27" i="2" a="1"/>
  <c r="FX27" i="2" s="1"/>
  <c r="FX26" i="2" a="1"/>
  <c r="FX26" i="2" s="1"/>
  <c r="FX15" i="2" a="1"/>
  <c r="FX15" i="2" s="1"/>
  <c r="FX23" i="2" a="1"/>
  <c r="FX23" i="2" s="1"/>
  <c r="FX22" i="2" a="1"/>
  <c r="FX22" i="2" s="1"/>
  <c r="FX21" i="2" a="1"/>
  <c r="FX21" i="2" s="1"/>
  <c r="FX20" i="2" a="1"/>
  <c r="FX20" i="2" s="1"/>
  <c r="FX19" i="2" a="1"/>
  <c r="FX19" i="2" s="1"/>
  <c r="FX18" i="2" a="1"/>
  <c r="FX18" i="2" s="1"/>
  <c r="FX17" i="2" a="1"/>
  <c r="FX17" i="2" s="1"/>
  <c r="FX16" i="2" a="1"/>
  <c r="FX16" i="2" s="1"/>
  <c r="FX14" i="2" a="1"/>
  <c r="FX14" i="2" s="1"/>
  <c r="FX10" i="2" a="1"/>
  <c r="FX10" i="2" s="1"/>
  <c r="FX13" i="2" a="1"/>
  <c r="FX13" i="2" s="1"/>
  <c r="FX8" i="2" a="1"/>
  <c r="FX8" i="2" s="1"/>
  <c r="FX12" i="2" a="1"/>
  <c r="FX12" i="2" s="1"/>
  <c r="FX7" i="2" a="1"/>
  <c r="FX7" i="2" s="1"/>
  <c r="FX11" i="2" a="1"/>
  <c r="FX11" i="2" s="1"/>
  <c r="FX9" i="2" a="1"/>
  <c r="FX9" i="2" s="1"/>
  <c r="FX4" i="2" a="1"/>
  <c r="FX4" i="2" s="1"/>
  <c r="FX6" i="2" a="1"/>
  <c r="FX6" i="2" s="1"/>
  <c r="FX5" i="2" a="1"/>
  <c r="FX5" i="2" s="1"/>
  <c r="FG104" i="2"/>
  <c r="FG108" i="2" s="1"/>
  <c r="FR103" i="2" a="1"/>
  <c r="FR103" i="2" s="1"/>
  <c r="FR102" i="2" a="1"/>
  <c r="FR102" i="2" s="1"/>
  <c r="FR101" i="2" a="1"/>
  <c r="FR101" i="2" s="1"/>
  <c r="FR100" i="2" a="1"/>
  <c r="FR100" i="2" s="1"/>
  <c r="FZ100" i="2" s="1"/>
  <c r="FR99" i="2" a="1"/>
  <c r="FR99" i="2" s="1"/>
  <c r="FR95" i="2" a="1"/>
  <c r="FR95" i="2" s="1"/>
  <c r="FR98" i="2" a="1"/>
  <c r="FR98" i="2" s="1"/>
  <c r="FR96" i="2" a="1"/>
  <c r="FR96" i="2" s="1"/>
  <c r="FR97" i="2" a="1"/>
  <c r="FR97" i="2" s="1"/>
  <c r="FR92" i="2" a="1"/>
  <c r="FR92" i="2" s="1"/>
  <c r="FR94" i="2" a="1"/>
  <c r="FR94" i="2" s="1"/>
  <c r="FR93" i="2" a="1"/>
  <c r="FR93" i="2" s="1"/>
  <c r="FR88" i="2" a="1"/>
  <c r="FR88" i="2" s="1"/>
  <c r="FR87" i="2" a="1"/>
  <c r="FR87" i="2" s="1"/>
  <c r="FR91" i="2" a="1"/>
  <c r="FR91" i="2" s="1"/>
  <c r="FR90" i="2" a="1"/>
  <c r="FR90" i="2" s="1"/>
  <c r="FR89" i="2" a="1"/>
  <c r="FR89" i="2" s="1"/>
  <c r="FR86" i="2" a="1"/>
  <c r="FR86" i="2" s="1"/>
  <c r="FR83" i="2" a="1"/>
  <c r="FR83" i="2" s="1"/>
  <c r="FR85" i="2" a="1"/>
  <c r="FR85" i="2" s="1"/>
  <c r="FR84" i="2" a="1"/>
  <c r="FR84" i="2" s="1"/>
  <c r="FR80" i="2" a="1"/>
  <c r="FR80" i="2" s="1"/>
  <c r="FR82" i="2" a="1"/>
  <c r="FR82" i="2" s="1"/>
  <c r="FR81" i="2" a="1"/>
  <c r="FR81" i="2" s="1"/>
  <c r="FR78" i="2" a="1"/>
  <c r="FR78" i="2" s="1"/>
  <c r="FR76" i="2" a="1"/>
  <c r="FR76" i="2" s="1"/>
  <c r="FZ76" i="2" s="1"/>
  <c r="FR79" i="2" a="1"/>
  <c r="FR79" i="2" s="1"/>
  <c r="FR77" i="2" a="1"/>
  <c r="FR77" i="2" s="1"/>
  <c r="FR74" i="2" a="1"/>
  <c r="FR74" i="2" s="1"/>
  <c r="FR73" i="2" a="1"/>
  <c r="FR73" i="2" s="1"/>
  <c r="FR75" i="2" a="1"/>
  <c r="FR75" i="2" s="1"/>
  <c r="FR71" i="2" a="1"/>
  <c r="FR71" i="2" s="1"/>
  <c r="FR72" i="2" a="1"/>
  <c r="FR72" i="2" s="1"/>
  <c r="FR69" i="2" a="1"/>
  <c r="FR69" i="2" s="1"/>
  <c r="FR68" i="2" a="1"/>
  <c r="FR68" i="2" s="1"/>
  <c r="FR70" i="2" a="1"/>
  <c r="FR70" i="2" s="1"/>
  <c r="FR64" i="2" a="1"/>
  <c r="FR64" i="2" s="1"/>
  <c r="FR65" i="2" a="1"/>
  <c r="FR65" i="2" s="1"/>
  <c r="FZ65" i="2" s="1"/>
  <c r="FR63" i="2" a="1"/>
  <c r="FR63" i="2" s="1"/>
  <c r="FR67" i="2" a="1"/>
  <c r="FR67" i="2" s="1"/>
  <c r="FR66" i="2" a="1"/>
  <c r="FR66" i="2" s="1"/>
  <c r="FR62" i="2" a="1"/>
  <c r="FR62" i="2" s="1"/>
  <c r="FR61" i="2" a="1"/>
  <c r="FR61" i="2" s="1"/>
  <c r="FR59" i="2" a="1"/>
  <c r="FR59" i="2" s="1"/>
  <c r="FR60" i="2" a="1"/>
  <c r="FR60" i="2" s="1"/>
  <c r="FR56" i="2" a="1"/>
  <c r="FR56" i="2" s="1"/>
  <c r="FR58" i="2" a="1"/>
  <c r="FR58" i="2" s="1"/>
  <c r="FR57" i="2" a="1"/>
  <c r="FR57" i="2" s="1"/>
  <c r="FR51" i="2" a="1"/>
  <c r="FR51" i="2" s="1"/>
  <c r="FR53" i="2" a="1"/>
  <c r="FR53" i="2" s="1"/>
  <c r="FR50" i="2" a="1"/>
  <c r="FR50" i="2" s="1"/>
  <c r="FR49" i="2" a="1"/>
  <c r="FR49" i="2" s="1"/>
  <c r="FZ49" i="2" s="1"/>
  <c r="FR55" i="2" a="1"/>
  <c r="FR55" i="2" s="1"/>
  <c r="FR54" i="2" a="1"/>
  <c r="FR54" i="2" s="1"/>
  <c r="FR52" i="2" a="1"/>
  <c r="FR52" i="2" s="1"/>
  <c r="FR47" i="2" a="1"/>
  <c r="FR47" i="2" s="1"/>
  <c r="FZ47" i="2" s="1"/>
  <c r="FR44" i="2" a="1"/>
  <c r="FR44" i="2" s="1"/>
  <c r="FR45" i="2" a="1"/>
  <c r="FR45" i="2" s="1"/>
  <c r="FR42" i="2" a="1"/>
  <c r="FR42" i="2" s="1"/>
  <c r="FR48" i="2" a="1"/>
  <c r="FR48" i="2" s="1"/>
  <c r="FR46" i="2" a="1"/>
  <c r="FR46" i="2" s="1"/>
  <c r="FR41" i="2" a="1"/>
  <c r="FR41" i="2" s="1"/>
  <c r="FR43" i="2" a="1"/>
  <c r="FR43" i="2" s="1"/>
  <c r="FR37" i="2" a="1"/>
  <c r="FR37" i="2" s="1"/>
  <c r="FR40" i="2" a="1"/>
  <c r="FR40" i="2" s="1"/>
  <c r="FR36" i="2" a="1"/>
  <c r="FR36" i="2" s="1"/>
  <c r="FR35" i="2" a="1"/>
  <c r="FR35" i="2" s="1"/>
  <c r="FR39" i="2" a="1"/>
  <c r="FR39" i="2" s="1"/>
  <c r="FR38" i="2" a="1"/>
  <c r="FR38" i="2" s="1"/>
  <c r="FR34" i="2" a="1"/>
  <c r="FR34" i="2" s="1"/>
  <c r="FR27" i="2" a="1"/>
  <c r="FR27" i="2" s="1"/>
  <c r="FR26" i="2" a="1"/>
  <c r="FR26" i="2" s="1"/>
  <c r="FR31" i="2" a="1"/>
  <c r="FR31" i="2" s="1"/>
  <c r="FR33" i="2" a="1"/>
  <c r="FR33" i="2" s="1"/>
  <c r="FR30" i="2" a="1"/>
  <c r="FR30" i="2" s="1"/>
  <c r="FR29" i="2" a="1"/>
  <c r="FR29" i="2" s="1"/>
  <c r="FR25" i="2" a="1"/>
  <c r="FR25" i="2" s="1"/>
  <c r="FR32" i="2" a="1"/>
  <c r="FR32" i="2" s="1"/>
  <c r="FR28" i="2" a="1"/>
  <c r="FR28" i="2" s="1"/>
  <c r="FR24" i="2" a="1"/>
  <c r="FR24" i="2" s="1"/>
  <c r="FR17" i="2" a="1"/>
  <c r="FR17" i="2" s="1"/>
  <c r="FR16" i="2" a="1"/>
  <c r="FR16" i="2" s="1"/>
  <c r="FR23" i="2" a="1"/>
  <c r="FR23" i="2" s="1"/>
  <c r="FR22" i="2" a="1"/>
  <c r="FR22" i="2" s="1"/>
  <c r="FR21" i="2" a="1"/>
  <c r="FR21" i="2" s="1"/>
  <c r="FR20" i="2" a="1"/>
  <c r="FR20" i="2" s="1"/>
  <c r="FR19" i="2" a="1"/>
  <c r="FR19" i="2" s="1"/>
  <c r="FR18" i="2" a="1"/>
  <c r="FR18" i="2" s="1"/>
  <c r="FR15" i="2" a="1"/>
  <c r="FR15" i="2" s="1"/>
  <c r="FR13" i="2" a="1"/>
  <c r="FR13" i="2" s="1"/>
  <c r="FR8" i="2" a="1"/>
  <c r="FR8" i="2" s="1"/>
  <c r="FR12" i="2" a="1"/>
  <c r="FR12" i="2" s="1"/>
  <c r="FR7" i="2" a="1"/>
  <c r="FR7" i="2" s="1"/>
  <c r="FR11" i="2" a="1"/>
  <c r="FR11" i="2" s="1"/>
  <c r="FR9" i="2" a="1"/>
  <c r="FR9" i="2" s="1"/>
  <c r="FR14" i="2" a="1"/>
  <c r="FR14" i="2" s="1"/>
  <c r="FR10" i="2" a="1"/>
  <c r="FR10" i="2" s="1"/>
  <c r="FR6" i="2" a="1"/>
  <c r="FR6" i="2" s="1"/>
  <c r="FR5" i="2" a="1"/>
  <c r="FR5" i="2" s="1"/>
  <c r="FR4" i="2" a="1"/>
  <c r="FR4" i="2" s="1"/>
  <c r="FD104" i="2"/>
  <c r="FD108" i="2" s="1"/>
  <c r="FH104" i="2"/>
  <c r="FH108" i="2" s="1"/>
  <c r="M109" i="2"/>
  <c r="B112" i="2"/>
  <c r="C112" i="2" s="1"/>
  <c r="D112" i="2" s="1"/>
  <c r="E112" i="2" s="1"/>
  <c r="F112" i="2" s="1"/>
  <c r="G112" i="2" s="1"/>
  <c r="H112" i="2" s="1"/>
  <c r="I112" i="2" s="1"/>
  <c r="J112" i="2" s="1"/>
  <c r="K112" i="2" s="1"/>
  <c r="L112" i="2" s="1"/>
  <c r="M112" i="2" s="1"/>
  <c r="N112" i="2" s="1"/>
  <c r="O112" i="2" s="1"/>
  <c r="P112" i="2" s="1"/>
  <c r="Q112" i="2" s="1"/>
  <c r="R112" i="2" s="1"/>
  <c r="S112" i="2" s="1"/>
  <c r="T112" i="2" s="1"/>
  <c r="U112" i="2" s="1"/>
  <c r="V112" i="2" s="1"/>
  <c r="W112" i="2" s="1"/>
  <c r="X112" i="2" s="1"/>
  <c r="Y112" i="2" s="1"/>
  <c r="Z112" i="2" s="1"/>
  <c r="AA112" i="2" s="1"/>
  <c r="AB112" i="2" s="1"/>
  <c r="AC112" i="2" s="1"/>
  <c r="AD112" i="2" s="1"/>
  <c r="AE112" i="2" s="1"/>
  <c r="AF112" i="2" s="1"/>
  <c r="AG112" i="2" s="1"/>
  <c r="AH112" i="2" s="1"/>
  <c r="AI112" i="2" s="1"/>
  <c r="AJ112" i="2" s="1"/>
  <c r="AK112" i="2" s="1"/>
  <c r="AL112" i="2" s="1"/>
  <c r="AM112" i="2" s="1"/>
  <c r="AN112" i="2" s="1"/>
  <c r="AO112" i="2" s="1"/>
  <c r="AP112" i="2" s="1"/>
  <c r="AQ112" i="2" s="1"/>
  <c r="AR112" i="2" s="1"/>
  <c r="AS112" i="2" s="1"/>
  <c r="AT112" i="2" s="1"/>
  <c r="AU112" i="2" s="1"/>
  <c r="AV112" i="2" s="1"/>
  <c r="AW112" i="2" s="1"/>
  <c r="AX112" i="2" s="1"/>
  <c r="AY112" i="2" s="1"/>
  <c r="AZ112" i="2" s="1"/>
  <c r="BA112" i="2" s="1"/>
  <c r="BB112" i="2" s="1"/>
  <c r="BC112" i="2" s="1"/>
  <c r="BD112" i="2" s="1"/>
  <c r="BE112" i="2" s="1"/>
  <c r="BF112" i="2" s="1"/>
  <c r="BG112" i="2" s="1"/>
  <c r="BH112" i="2" s="1"/>
  <c r="BI112" i="2" s="1"/>
  <c r="BJ112" i="2" s="1"/>
  <c r="BK112" i="2" s="1"/>
  <c r="BL112" i="2" s="1"/>
  <c r="BM112" i="2" s="1"/>
  <c r="BN112" i="2" s="1"/>
  <c r="BO112" i="2" s="1"/>
  <c r="BP112" i="2" s="1"/>
  <c r="BQ112" i="2" s="1"/>
  <c r="BR112" i="2" s="1"/>
  <c r="BS112" i="2" s="1"/>
  <c r="BT112" i="2" s="1"/>
  <c r="BU112" i="2" s="1"/>
  <c r="BV112" i="2" s="1"/>
  <c r="BW112" i="2" s="1"/>
  <c r="BX112" i="2" s="1"/>
  <c r="BY112" i="2" s="1"/>
  <c r="BZ112" i="2" s="1"/>
  <c r="CA112" i="2" s="1"/>
  <c r="CB112" i="2" s="1"/>
  <c r="CC112" i="2" s="1"/>
  <c r="CD112" i="2" s="1"/>
  <c r="CE112" i="2" s="1"/>
  <c r="CF112" i="2" s="1"/>
  <c r="CG112" i="2" s="1"/>
  <c r="CH112" i="2" s="1"/>
  <c r="CI112" i="2" s="1"/>
  <c r="CJ112" i="2" s="1"/>
  <c r="CK112" i="2" s="1"/>
  <c r="CL112" i="2" s="1"/>
  <c r="CM112" i="2" s="1"/>
  <c r="CN112" i="2" s="1"/>
  <c r="CO112" i="2" s="1"/>
  <c r="CP112" i="2" s="1"/>
  <c r="CQ112" i="2" s="1"/>
  <c r="CR112" i="2" s="1"/>
  <c r="CS112" i="2" s="1"/>
  <c r="CT112" i="2" s="1"/>
  <c r="CU112" i="2" s="1"/>
  <c r="CV112" i="2" s="1"/>
  <c r="CW112" i="2" s="1"/>
  <c r="CX112" i="2" s="1"/>
  <c r="CY112" i="2" s="1"/>
  <c r="CZ112" i="2" s="1"/>
  <c r="DA112" i="2" s="1"/>
  <c r="DB112" i="2" s="1"/>
  <c r="DC112" i="2" s="1"/>
  <c r="DD112" i="2" s="1"/>
  <c r="DE112" i="2" s="1"/>
  <c r="DF112" i="2" s="1"/>
  <c r="DG112" i="2" s="1"/>
  <c r="DH112" i="2" s="1"/>
  <c r="DI112" i="2" s="1"/>
  <c r="DJ112" i="2" s="1"/>
  <c r="DK112" i="2" s="1"/>
  <c r="DL112" i="2" s="1"/>
  <c r="DM112" i="2" s="1"/>
  <c r="DN112" i="2" s="1"/>
  <c r="DO112" i="2" s="1"/>
  <c r="DP112" i="2" s="1"/>
  <c r="DQ112" i="2" s="1"/>
  <c r="DR112" i="2" s="1"/>
  <c r="DS112" i="2" s="1"/>
  <c r="DT112" i="2" s="1"/>
  <c r="DU112" i="2" s="1"/>
  <c r="DV112" i="2" s="1"/>
  <c r="DW112" i="2" s="1"/>
  <c r="DX112" i="2" s="1"/>
  <c r="DY112" i="2" s="1"/>
  <c r="DZ112" i="2" s="1"/>
  <c r="EA112" i="2" s="1"/>
  <c r="EB112" i="2" s="1"/>
  <c r="EC112" i="2" s="1"/>
  <c r="ED112" i="2" s="1"/>
  <c r="EE112" i="2" s="1"/>
  <c r="EF112" i="2" s="1"/>
  <c r="EG112" i="2" s="1"/>
  <c r="EH112" i="2" s="1"/>
  <c r="EI112" i="2" s="1"/>
  <c r="EJ112" i="2" s="1"/>
  <c r="EK112" i="2" s="1"/>
  <c r="EL112" i="2" s="1"/>
  <c r="EM112" i="2" s="1"/>
  <c r="EN112" i="2" s="1"/>
  <c r="EO112" i="2" s="1"/>
  <c r="EP112" i="2" s="1"/>
  <c r="EQ112" i="2" s="1"/>
  <c r="ER112" i="2" s="1"/>
  <c r="ES112" i="2" s="1"/>
  <c r="ET112" i="2" s="1"/>
  <c r="EU112" i="2" s="1"/>
  <c r="EV112" i="2" s="1"/>
  <c r="EW112" i="2" s="1"/>
  <c r="EX112" i="2" s="1"/>
  <c r="EY112" i="2" s="1"/>
  <c r="EZ112" i="2" s="1"/>
  <c r="FA112" i="2" s="1"/>
  <c r="FZ17" i="2" l="1"/>
  <c r="FZ22" i="2"/>
  <c r="FZ36" i="2"/>
  <c r="FZ44" i="2"/>
  <c r="FZ56" i="2"/>
  <c r="FZ71" i="2"/>
  <c r="FZ80" i="2"/>
  <c r="FZ93" i="2"/>
  <c r="FZ15" i="2"/>
  <c r="FZ33" i="2"/>
  <c r="FZ43" i="2"/>
  <c r="FZ57" i="2"/>
  <c r="FZ70" i="2"/>
  <c r="FZ83" i="2"/>
  <c r="FZ97" i="2"/>
  <c r="FZ37" i="2"/>
  <c r="FZ48" i="2"/>
  <c r="FZ60" i="2"/>
  <c r="FZ73" i="2"/>
  <c r="FZ85" i="2"/>
  <c r="FZ96" i="2"/>
  <c r="FZ62" i="2"/>
  <c r="FZ74" i="2"/>
  <c r="FZ10" i="2"/>
  <c r="FZ52" i="2"/>
  <c r="FZ61" i="2"/>
  <c r="FZ86" i="2"/>
  <c r="FZ98" i="2"/>
  <c r="FZ50" i="2"/>
  <c r="FZ14" i="2"/>
  <c r="FZ31" i="2"/>
  <c r="FZ54" i="2"/>
  <c r="FZ72" i="2"/>
  <c r="FZ84" i="2"/>
  <c r="FZ95" i="2"/>
  <c r="FZ87" i="2"/>
  <c r="FZ29" i="2"/>
  <c r="FZ34" i="2"/>
  <c r="FZ55" i="2"/>
  <c r="FZ66" i="2"/>
  <c r="FZ77" i="2"/>
  <c r="FZ99" i="2"/>
  <c r="FZ24" i="2"/>
  <c r="FZ26" i="2"/>
  <c r="FZ41" i="2"/>
  <c r="FZ67" i="2"/>
  <c r="FZ79" i="2"/>
  <c r="FZ101" i="2"/>
  <c r="FZ27" i="2"/>
  <c r="FZ46" i="2"/>
  <c r="FZ63" i="2"/>
  <c r="FZ75" i="2"/>
  <c r="FZ89" i="2"/>
  <c r="FZ18" i="2"/>
  <c r="FZ40" i="2"/>
  <c r="FZ51" i="2"/>
  <c r="FZ91" i="2"/>
  <c r="FZ102" i="2"/>
  <c r="FZ32" i="2"/>
  <c r="FZ19" i="2"/>
  <c r="FZ45" i="2"/>
  <c r="FZ53" i="2"/>
  <c r="FZ64" i="2"/>
  <c r="FZ90" i="2"/>
  <c r="FZ103" i="2"/>
  <c r="FZ35" i="2"/>
  <c r="FZ59" i="2"/>
  <c r="FZ68" i="2"/>
  <c r="FZ82" i="2"/>
  <c r="FZ94" i="2"/>
  <c r="FZ38" i="2"/>
  <c r="FZ42" i="2"/>
  <c r="FZ58" i="2"/>
  <c r="FZ69" i="2"/>
  <c r="FZ81" i="2"/>
  <c r="FZ92" i="2"/>
  <c r="FZ7" i="2"/>
  <c r="FZ28" i="2"/>
  <c r="FZ78" i="2"/>
  <c r="FQ104" i="2"/>
  <c r="FQ108" i="2" s="1"/>
  <c r="FU104" i="2"/>
  <c r="FU108" i="2" s="1"/>
  <c r="FZ9" i="2"/>
  <c r="FZ20" i="2"/>
  <c r="FS104" i="2"/>
  <c r="FS108" i="2" s="1"/>
  <c r="FZ11" i="2"/>
  <c r="FZ21" i="2"/>
  <c r="FZ12" i="2"/>
  <c r="FV104" i="2"/>
  <c r="FV108" i="2" s="1"/>
  <c r="FP104" i="2"/>
  <c r="FP108" i="2" s="1"/>
  <c r="FZ8" i="2"/>
  <c r="FZ23" i="2"/>
  <c r="FZ13" i="2"/>
  <c r="FO104" i="2"/>
  <c r="FO108" i="2" s="1"/>
  <c r="FZ30" i="2"/>
  <c r="FZ4" i="2"/>
  <c r="FZ39" i="2"/>
  <c r="FM105" i="2"/>
  <c r="FB108" i="2"/>
  <c r="FM109" i="2" s="1"/>
  <c r="FZ16" i="2"/>
  <c r="FR104" i="2"/>
  <c r="FR108" i="2" s="1"/>
  <c r="FT104" i="2"/>
  <c r="FT108" i="2" s="1"/>
  <c r="FZ5" i="2"/>
  <c r="FZ88" i="2"/>
  <c r="FN104" i="2"/>
  <c r="FZ6" i="2"/>
  <c r="FX104" i="2"/>
  <c r="FX108" i="2" s="1"/>
  <c r="FY104" i="2"/>
  <c r="FY108" i="2" s="1"/>
  <c r="FZ25" i="2"/>
  <c r="FW104" i="2"/>
  <c r="FW108" i="2" s="1"/>
  <c r="FB112" i="2" l="1"/>
  <c r="FC112" i="2" s="1"/>
  <c r="FD112" i="2" s="1"/>
  <c r="FE112" i="2" s="1"/>
  <c r="FF112" i="2" s="1"/>
  <c r="FG112" i="2" s="1"/>
  <c r="FH112" i="2" s="1"/>
  <c r="FI112" i="2" s="1"/>
  <c r="FJ112" i="2" s="1"/>
  <c r="FK112" i="2" s="1"/>
  <c r="FL112" i="2" s="1"/>
  <c r="FM112" i="2" s="1"/>
  <c r="FZ104" i="2"/>
  <c r="FY105" i="2"/>
  <c r="FN108" i="2"/>
  <c r="FY109" i="2" s="1"/>
  <c r="FN112" i="2" l="1"/>
  <c r="FO112" i="2" s="1"/>
  <c r="FP112" i="2" s="1"/>
  <c r="FQ112" i="2" s="1"/>
  <c r="FR112" i="2" s="1"/>
  <c r="FS112" i="2" s="1"/>
  <c r="FT112" i="2" s="1"/>
  <c r="FU112" i="2" s="1"/>
  <c r="FV112" i="2" s="1"/>
  <c r="FW112" i="2" s="1"/>
  <c r="FX112" i="2" s="1"/>
  <c r="FY11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Jennifer Cabrera</author>
  </authors>
  <commentList>
    <comment ref="E60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FACTURA : D1856442-B945</t>
        </r>
      </text>
    </comment>
    <comment ref="E60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FACTURAS:  AAA137D0 </t>
        </r>
        <r>
          <rPr>
            <sz val="8"/>
            <color indexed="81"/>
            <rFont val="Tahoma"/>
            <family val="2"/>
          </rPr>
          <t xml:space="preserve">(18-ENE-19) </t>
        </r>
        <r>
          <rPr>
            <b/>
            <sz val="9"/>
            <color indexed="81"/>
            <rFont val="Tahoma"/>
            <family val="2"/>
          </rPr>
          <t xml:space="preserve">846E3F46   </t>
        </r>
        <r>
          <rPr>
            <sz val="8"/>
            <color indexed="81"/>
            <rFont val="Tahoma"/>
            <family val="2"/>
          </rPr>
          <t>(11-FEB-19)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0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FACTURA : D1856442-B945</t>
        </r>
      </text>
    </comment>
    <comment ref="E61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FACTURA : 1E30C302</t>
        </r>
      </text>
    </comment>
    <comment ref="E61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FACTURA : 1E30C302</t>
        </r>
      </text>
    </comment>
    <comment ref="E62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FACTURA: 14CC7DB5 </t>
        </r>
        <r>
          <rPr>
            <sz val="9"/>
            <color indexed="81"/>
            <rFont val="Tahoma"/>
            <family val="2"/>
          </rPr>
          <t>(26-Mar-19)</t>
        </r>
      </text>
    </comment>
    <comment ref="E62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FACTURA: 14CC7DB5 </t>
        </r>
        <r>
          <rPr>
            <sz val="9"/>
            <color indexed="81"/>
            <rFont val="Tahoma"/>
            <family val="2"/>
          </rPr>
          <t>(26-Mar-19)</t>
        </r>
      </text>
    </comment>
    <comment ref="E626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FACTURA: 3E89F28B</t>
        </r>
      </text>
    </comment>
    <comment ref="E63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FACTURA: 3E89F28B</t>
        </r>
      </text>
    </comment>
    <comment ref="E636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37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38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39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0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4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5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6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8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49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0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1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2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3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4" authorId="0" shapeId="0" xr:uid="{00000000-0006-0000-0100-00001C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5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6" authorId="0" shapeId="0" xr:uid="{00000000-0006-0000-0100-00001E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7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8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59" authorId="0" shapeId="0" xr:uid="{00000000-0006-0000-0100-000021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0" authorId="0" shapeId="0" xr:uid="{00000000-0006-0000-0100-000022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1" authorId="0" shapeId="0" xr:uid="{00000000-0006-0000-0100-000023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2" authorId="0" shapeId="0" xr:uid="{00000000-0006-0000-0100-000024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3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4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E665" authorId="0" shapeId="0" xr:uid="{00000000-0006-0000-0100-000027000000}">
      <text>
        <r>
          <rPr>
            <b/>
            <sz val="9"/>
            <color indexed="81"/>
            <rFont val="Tahoma"/>
            <family val="2"/>
          </rPr>
          <t>FACTURA: 15C83AE5-6515-44B9</t>
        </r>
      </text>
    </comment>
    <comment ref="D67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 xml:space="preserve">FACTURA: 
RPP : 4812406 </t>
        </r>
        <r>
          <rPr>
            <sz val="9"/>
            <color indexed="81"/>
            <rFont val="Tahoma"/>
            <family val="2"/>
          </rPr>
          <t xml:space="preserve">(20-May-19) 
</t>
        </r>
        <r>
          <rPr>
            <b/>
            <sz val="9"/>
            <color indexed="81"/>
            <rFont val="Tahoma"/>
            <family val="2"/>
          </rPr>
          <t>TELMEX:</t>
        </r>
        <r>
          <rPr>
            <sz val="9"/>
            <color indexed="81"/>
            <rFont val="Tahoma"/>
            <family val="2"/>
          </rPr>
          <t xml:space="preserve"> ($1,725.05) Mes de abril facturado el (03-May-19)
</t>
        </r>
      </text>
    </comment>
    <comment ref="E70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FACTURA : B17654D2-C762</t>
        </r>
      </text>
    </comment>
    <comment ref="E701" authorId="0" shapeId="0" xr:uid="{00000000-0006-0000-0100-00002A000000}">
      <text>
        <r>
          <rPr>
            <b/>
            <sz val="9"/>
            <color indexed="81"/>
            <rFont val="Tahoma"/>
            <family val="2"/>
          </rPr>
          <t>FACTURA : B17654D2-C762</t>
        </r>
      </text>
    </comment>
    <comment ref="E704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Se pago el 23 de Julio y no hay factura</t>
        </r>
      </text>
    </comment>
    <comment ref="E744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 xml:space="preserve">Se realiza el reembolso el </t>
        </r>
        <r>
          <rPr>
            <sz val="9"/>
            <color indexed="81"/>
            <rFont val="Tahoma"/>
            <family val="2"/>
          </rPr>
          <t>30-Nov-19</t>
        </r>
      </text>
    </comment>
    <comment ref="E749" authorId="0" shapeId="0" xr:uid="{00000000-0006-0000-0100-00002D000000}">
      <text>
        <r>
          <rPr>
            <b/>
            <sz val="9"/>
            <color indexed="81"/>
            <rFont val="Tahoma"/>
            <family val="2"/>
          </rPr>
          <t xml:space="preserve">Aparece la factura ya en ceros el día </t>
        </r>
        <r>
          <rPr>
            <sz val="9"/>
            <color indexed="81"/>
            <rFont val="Tahoma"/>
            <family val="2"/>
          </rPr>
          <t xml:space="preserve">(07-Ene-20) con el folio </t>
        </r>
        <r>
          <rPr>
            <b/>
            <sz val="9"/>
            <color indexed="81"/>
            <rFont val="Tahoma"/>
            <family val="2"/>
          </rPr>
          <t>9E652A3C</t>
        </r>
      </text>
    </comment>
    <comment ref="E753" authorId="0" shapeId="0" xr:uid="{00000000-0006-0000-0100-00002E000000}">
      <text>
        <r>
          <rPr>
            <b/>
            <sz val="9"/>
            <color indexed="81"/>
            <rFont val="Tahoma"/>
            <family val="2"/>
          </rPr>
          <t>LA FACTURA 002B066C aparece liquidada</t>
        </r>
      </text>
    </comment>
    <comment ref="E754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FACTURA  049CBC28 EN CEROS $3,364.00</t>
        </r>
      </text>
    </comment>
    <comment ref="E762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 xml:space="preserve">La factura 63C97EF6 es por un monto total de $1,015.00 </t>
        </r>
      </text>
    </comment>
    <comment ref="E765" authorId="0" shapeId="0" xr:uid="{00000000-0006-0000-0100-000031000000}">
      <text>
        <r>
          <rPr>
            <b/>
            <sz val="9"/>
            <color indexed="81"/>
            <rFont val="Tahoma"/>
            <family val="2"/>
          </rPr>
          <t xml:space="preserve">La factura 63C97EF6 es por un monto total de $1,015.00 </t>
        </r>
      </text>
    </comment>
    <comment ref="E766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Se realizo la factura 7a0abdca sin embargo no se había cobrado el IVA, el monto total fue por $278.40</t>
        </r>
      </text>
    </comment>
    <comment ref="E767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Se realizo la factura 7a0abdca sin embargo no se había cobrado el IVA, el monto total fue por $278.40</t>
        </r>
      </text>
    </comment>
    <comment ref="E785" authorId="0" shapeId="0" xr:uid="{00000000-0006-0000-0100-000034000000}">
      <text>
        <r>
          <rPr>
            <b/>
            <sz val="9"/>
            <color indexed="81"/>
            <rFont val="Tahoma"/>
            <family val="2"/>
          </rPr>
          <t>Se solicito el servicio en Feb y se cubrio el pago con la tarjeta personal de Jennifer Cabrera</t>
        </r>
      </text>
    </comment>
    <comment ref="E786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Se realiza el pago al RPP con la tarjeta personal de Jennifer Cabrera. FACTURA: CF1C9F9C</t>
        </r>
      </text>
    </comment>
    <comment ref="E787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Se realiza el pago al RPP con la tarjeta personal de Jennifer Cabrera. FACTURA: 03D37C14</t>
        </r>
      </text>
    </comment>
    <comment ref="E788" authorId="0" shapeId="0" xr:uid="{00000000-0006-0000-0100-000037000000}">
      <text>
        <r>
          <rPr>
            <b/>
            <sz val="9"/>
            <color indexed="81"/>
            <rFont val="Tahoma"/>
            <family val="2"/>
          </rPr>
          <t>Se realiza el pago con la tarjeta personal de la factura: AAA1CA3D</t>
        </r>
      </text>
    </comment>
    <comment ref="E789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>Se realiza la factura: 45847b26</t>
        </r>
      </text>
    </comment>
    <comment ref="E800" authorId="0" shapeId="0" xr:uid="{00000000-0006-0000-0100-000039000000}">
      <text>
        <r>
          <rPr>
            <b/>
            <sz val="9"/>
            <color indexed="81"/>
            <rFont val="Tahoma"/>
            <family val="2"/>
          </rPr>
          <t>Se relaiza un anticipo del 70% de lafactura: 6CDD0AF4 que es de un monto de $23,693.00</t>
        </r>
      </text>
    </comment>
    <comment ref="E809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>Se relaiza un anticipo del 70% de lafactura: 6CDD0AF4 que es de un monto de $23,693.00</t>
        </r>
      </text>
    </comment>
    <comment ref="E813" authorId="0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Aparece la factura A6DBEFBCliquidada al día 27-May-20 </t>
        </r>
      </text>
    </comment>
  </commentList>
</comments>
</file>

<file path=xl/sharedStrings.xml><?xml version="1.0" encoding="utf-8"?>
<sst xmlns="http://schemas.openxmlformats.org/spreadsheetml/2006/main" count="3446" uniqueCount="995">
  <si>
    <t>FECHA</t>
  </si>
  <si>
    <t>DESCRIPCION</t>
  </si>
  <si>
    <t>MONTO</t>
  </si>
  <si>
    <t>Mes SAT</t>
  </si>
  <si>
    <t>Mes SAT 2</t>
  </si>
  <si>
    <t>Mes SAT 3</t>
  </si>
  <si>
    <t>CATALOGO</t>
  </si>
  <si>
    <t>MESES</t>
  </si>
  <si>
    <t>INTERNET CASETA</t>
  </si>
  <si>
    <t>Ene</t>
  </si>
  <si>
    <t>Feb</t>
  </si>
  <si>
    <t>Mar</t>
  </si>
  <si>
    <t>Abr</t>
  </si>
  <si>
    <t>May</t>
  </si>
  <si>
    <t>JOSE MANUEL ALFARO MOLINA</t>
  </si>
  <si>
    <t>Jun</t>
  </si>
  <si>
    <t>Jul</t>
  </si>
  <si>
    <t>Ago</t>
  </si>
  <si>
    <t>Sep</t>
  </si>
  <si>
    <t>Oct</t>
  </si>
  <si>
    <t>Nov</t>
  </si>
  <si>
    <t>Dic</t>
  </si>
  <si>
    <t>JARDINERIA Y PODA CEDROS LIMON</t>
  </si>
  <si>
    <t>MES DE ABRIL Y MAYO</t>
  </si>
  <si>
    <t>LAMPARAS</t>
  </si>
  <si>
    <t>LIQUIDACION ADM JULIO 2014</t>
  </si>
  <si>
    <t>JULIO</t>
  </si>
  <si>
    <t>PINTURA REJA JULIO</t>
  </si>
  <si>
    <t>1ERA. PARTE JULIO</t>
  </si>
  <si>
    <t>X</t>
  </si>
  <si>
    <t>AGOSTO</t>
  </si>
  <si>
    <t>RECONEXION DE AGUA JULIO</t>
  </si>
  <si>
    <t>MANTENIMIENTO CASETA</t>
  </si>
  <si>
    <t>RECONEXION DE AGUA</t>
  </si>
  <si>
    <t>MITAD DE ULTIMO PAGO DE CAMARA</t>
  </si>
  <si>
    <t>RFC CUENTA DE DEPOSITO CEA</t>
  </si>
  <si>
    <t>ADM. OCTUBRE 2ND. PAGO</t>
  </si>
  <si>
    <t>ADM. OCT/ NOV</t>
  </si>
  <si>
    <t>PAGO AGUSTIN</t>
  </si>
  <si>
    <t>ARREGLOS NAVIDEÑOS</t>
  </si>
  <si>
    <t>ADORNOS NAVIDAD</t>
  </si>
  <si>
    <t>PAGO CAMARA EXTRA</t>
  </si>
  <si>
    <t>CONSERJE ULTIMO PAGO</t>
  </si>
  <si>
    <t>HERBICIDA</t>
  </si>
  <si>
    <t>CONSTRUCCION BODEGA</t>
  </si>
  <si>
    <t>TRABAJOS MTTO.</t>
  </si>
  <si>
    <t>CANDADOS</t>
  </si>
  <si>
    <t>NO BREAKE</t>
  </si>
  <si>
    <t>MATERIAL MTTO CONDO</t>
  </si>
  <si>
    <t>JORGE VAZQUEZ</t>
  </si>
  <si>
    <t>ADELANTO AGOSTO</t>
  </si>
  <si>
    <t>SUM. Y COL. PUERTA HERRERIA CA</t>
  </si>
  <si>
    <t>PINTURA GUARNICIONES</t>
  </si>
  <si>
    <t>COMPRA DE CETOS PARA PERIMETRO</t>
  </si>
  <si>
    <t>ANTICIPO SEÑALETICA</t>
  </si>
  <si>
    <t>ANTICIPO JUEGOS</t>
  </si>
  <si>
    <t>LIQUIDACION SEÑALETICA</t>
  </si>
  <si>
    <t>PAGO CORTE CEDRO LIMON</t>
  </si>
  <si>
    <t>PAGO QUINTA SEMANA CONSERJE</t>
  </si>
  <si>
    <t>JARDINERIA AGOSTO 2015</t>
  </si>
  <si>
    <t>JORGE ALBERTO VAZQUEZ CONTRERAS</t>
  </si>
  <si>
    <t xml:space="preserve">ARREGLO PUERTA CONTENEDOR </t>
  </si>
  <si>
    <t>AUMENTO EN COLOCACION DE MALLA</t>
  </si>
  <si>
    <t>ARREGLO FUGA AGUA POTABLE</t>
  </si>
  <si>
    <t>AGUINALDO CONSERJE</t>
  </si>
  <si>
    <t>HERBICIDA MARZO</t>
  </si>
  <si>
    <t>ARREGLO CABLEADO MALLA</t>
  </si>
  <si>
    <t>JARDINERIA 2DA. PODA</t>
  </si>
  <si>
    <t>PAGO LUZ JULIO PUENTEO</t>
  </si>
  <si>
    <t>IVA DE PAGO CONSERJE</t>
  </si>
  <si>
    <t>REMANENTE PAGO CONSERJE</t>
  </si>
  <si>
    <t>ARREGLO PISTON ACCESO PEATONAL</t>
  </si>
  <si>
    <t>ARREGLO ELECTRICO PORTON VEHICULAR</t>
  </si>
  <si>
    <t>PAGO DE PROTOCOLIZACION CAMBIO MESA</t>
  </si>
  <si>
    <t>PAGO JARDINERIA NOVIEMBRE</t>
  </si>
  <si>
    <t>PUENTEO PAGO CFE</t>
  </si>
  <si>
    <t>PAGO DICIEMBRE</t>
  </si>
  <si>
    <t>PAGO ENERO</t>
  </si>
  <si>
    <t>0258748 SPEI A BANAMEX</t>
  </si>
  <si>
    <t>PAGO FEBRERO</t>
  </si>
  <si>
    <t>REF: 0050443014</t>
  </si>
  <si>
    <t>"SERVICIO FEBRERO"</t>
  </si>
  <si>
    <t>PAGO MARZO</t>
  </si>
  <si>
    <t>MTTO. MARZO 2017</t>
  </si>
  <si>
    <t>SEMANAS CONSERJE</t>
  </si>
  <si>
    <t>POR MANTENER SALDO INFERIOR AL MINIMO</t>
  </si>
  <si>
    <t>IVA COM. SDO. INFERIOR MIN</t>
  </si>
  <si>
    <t>LAMPARAS E40 220 VTS 80W</t>
  </si>
  <si>
    <t>MANTENIMIENTO PORTON Y SENSORES</t>
  </si>
  <si>
    <t>MANTENIMIENTO PUERTA Y SENSORES</t>
  </si>
  <si>
    <t>REPARACION TARJETA</t>
  </si>
  <si>
    <t>CAMBIO TEJUELA Y SOLERA</t>
  </si>
  <si>
    <t>TARJETA PUERTAS</t>
  </si>
  <si>
    <t>BASURA MAYO</t>
  </si>
  <si>
    <t>BASURA JUNIO</t>
  </si>
  <si>
    <t>ADEUDO AGUA</t>
  </si>
  <si>
    <t>CAPACITACION CONSOLA</t>
  </si>
  <si>
    <t>CONTROLES NUEVA MESA DIRECTIVA</t>
  </si>
  <si>
    <t>PINTURA DIEGO ROJAS ACOSTA</t>
  </si>
  <si>
    <t>FERRETERÍA</t>
  </si>
  <si>
    <t>REPARACIÓN CERCA ELÉCTRICA</t>
  </si>
  <si>
    <t>GASTOS DIVERSOS</t>
  </si>
  <si>
    <t>MES DE OCTUBRE</t>
  </si>
  <si>
    <t>GASTOS VARIOS</t>
  </si>
  <si>
    <t>GASTOS NANCY DELGADO</t>
  </si>
  <si>
    <t>BANCOMER</t>
  </si>
  <si>
    <t>JUAN MANUEL BARCENAS (CONSERJERIA)</t>
  </si>
  <si>
    <t>PAGO CORRESPONDIENTE AL MES DE DICIEMBRE</t>
  </si>
  <si>
    <t>PAGO DEL MES DEL 07-NOV-18 AL 05-DIC-18</t>
  </si>
  <si>
    <t xml:space="preserve">RFC GOBE </t>
  </si>
  <si>
    <t>RFC DESN</t>
  </si>
  <si>
    <t>RFC BABJ</t>
  </si>
  <si>
    <t>JESÚS BENJAMIN CASTRO GONZÁLEZ</t>
  </si>
  <si>
    <t xml:space="preserve">RECOLECCIÓN DE BASURA MES DE ENERO </t>
  </si>
  <si>
    <t>REPARACION PORTON</t>
  </si>
  <si>
    <t>PAGO PERIÓDO 05-DIC-18 AL 07-ENE-19</t>
  </si>
  <si>
    <t>LIQUIDACION PORTON</t>
  </si>
  <si>
    <t xml:space="preserve">MANTENIMIENTO </t>
  </si>
  <si>
    <t>PERIÓDO 18-DIC-18 AL 18-FEB-19</t>
  </si>
  <si>
    <t xml:space="preserve">RECOLECCIÓN DE BASURA MES DE FEBRERO </t>
  </si>
  <si>
    <t>CERCA ELECT. Y DISCO DURO CÁM. (GUSTAVO ALEJANDRO RONDON ZERPA)</t>
  </si>
  <si>
    <t>ROBERTO REYES OLVERA (RECIBO DE HONORARIOS)</t>
  </si>
  <si>
    <t>COCC920321557 (COLLADA CANTERO) PIZARRÓN</t>
  </si>
  <si>
    <t>PAGO PERIÓDO 07-ENE-19 AL 06-FEB-19</t>
  </si>
  <si>
    <t>REEMBOLSO PAPELERIA</t>
  </si>
  <si>
    <t>LIQUIDACION FACTURA SPEI A BANORTE</t>
  </si>
  <si>
    <r>
      <t xml:space="preserve">REEMBOLSO PAPELERIA (NANCY DELGADO)  </t>
    </r>
    <r>
      <rPr>
        <sz val="9"/>
        <color rgb="FFFF0000"/>
        <rFont val="Calibri"/>
        <family val="2"/>
        <scheme val="minor"/>
      </rPr>
      <t>MATERIAL LIMPIEZA)</t>
    </r>
  </si>
  <si>
    <t>JESUS BENJAMIN CASTRO GONZALEZ SPEI A BANAMEX</t>
  </si>
  <si>
    <t>SERVICIOS CONTABLES (SPEI A INBURSA)</t>
  </si>
  <si>
    <t>FACTURA MANTENIMIENTO AGUA LIQUIDACIÓN SPEI A BANORTE</t>
  </si>
  <si>
    <t>RECOLECCIÓN DE BASURA MES DE MARZO</t>
  </si>
  <si>
    <t>PAGO ABRIL (CONSTRUCCIONES Y PROYECTOS GEOSMA)</t>
  </si>
  <si>
    <t>COMPRA DE MANGERA</t>
  </si>
  <si>
    <t>COM. COPIA ESTADO DE CUENTA</t>
  </si>
  <si>
    <t>IVA. COPIA ESTADO DE CUENTA</t>
  </si>
  <si>
    <t>VALVULA DE AGUA</t>
  </si>
  <si>
    <t>PAGO ABRIL</t>
  </si>
  <si>
    <t>06-Ma-19</t>
  </si>
  <si>
    <t>CONSTRUCCIONES Y PROYECTOS GEOSMA</t>
  </si>
  <si>
    <t>PERIÓDO DEL 18-FEB-19 AL 17-ABR-19</t>
  </si>
  <si>
    <t>RECOLECCIÓN DE BASURA MES DE ABRIL</t>
  </si>
  <si>
    <t>LIQUIDACION CONTADORA "ENFOQUE CONTABLE ASESORES S.C.</t>
  </si>
  <si>
    <t>JARDINERIA (JUAN MANUEL BARCENAS BOCANEGRA)</t>
  </si>
  <si>
    <t xml:space="preserve">FUMIGACIÓN DEL 24 DE MAYO </t>
  </si>
  <si>
    <t>NO HAY COMPROBANTE</t>
  </si>
  <si>
    <t>RENTA DE MOVILIARIO PARA ASAMBLEA (POLKADOT)</t>
  </si>
  <si>
    <t>PAGO MAYO</t>
  </si>
  <si>
    <t>?????</t>
  </si>
  <si>
    <t>RECOLECCIÓN DE BASURA MES DE MAYO</t>
  </si>
  <si>
    <t>PAGO JUNIO (CONSTRUCCIONES Y PROYECTOS GEOSMA)</t>
  </si>
  <si>
    <t>CTA 0001836547 BANORTE</t>
  </si>
  <si>
    <t>RECAUDACION DE IMPUESTOS</t>
  </si>
  <si>
    <t>PAGO JUNIO</t>
  </si>
  <si>
    <t>PAGO JULIO GEOSMA</t>
  </si>
  <si>
    <t>JOSE ALBERTO CHANG RESENDIZ</t>
  </si>
  <si>
    <t>RECOLECCIÓN DE BASURA MES DE  JUNIO</t>
  </si>
  <si>
    <t>JARDINERIA DEL 24 Y 25 DE JULIO 2019</t>
  </si>
  <si>
    <t>JOSE ALBERTO CHANG RESENDIZ (HONORARIOS JULIO)</t>
  </si>
  <si>
    <t>LUIS ENRIQUE OLVERA SEPTIEN</t>
  </si>
  <si>
    <t>JUAN MANUEL BARCENAS (JARDINERIA 24 Y 25 DE JULIO)</t>
  </si>
  <si>
    <t>RECOLECCIÓN DE BASURA MES DE  JULIO</t>
  </si>
  <si>
    <t>JOSE ALBERTO CHANG RESENDIZ (HONORARIOS AGOSTO)</t>
  </si>
  <si>
    <t>SPEI DEVUELTO AL PROVEEDOR IAPSA</t>
  </si>
  <si>
    <t>MANTENIMIENTO</t>
  </si>
  <si>
    <t>PAGO AGOSTO</t>
  </si>
  <si>
    <t>PERIODO DEL 18-JUN-19 AL 16-AGO-19</t>
  </si>
  <si>
    <t>BNET  2628486271</t>
  </si>
  <si>
    <t>JOSE ALBERTO CHANG (HONORARIOS X)</t>
  </si>
  <si>
    <t>FE DE CONVOCATORIA (JUAN ALBERTO REYES CARRILLO)</t>
  </si>
  <si>
    <t xml:space="preserve">RECOLECCIÓN DE BASURA MES DE  AGOSTO </t>
  </si>
  <si>
    <t>PAGO SEPTIEMBRE</t>
  </si>
  <si>
    <t>RECOLECCIÓN DE BASURA SEPTIEMBRE</t>
  </si>
  <si>
    <t>JOSE ALBERTO CHANG RESENDIZ (HONORARIOS OCTUBRE)</t>
  </si>
  <si>
    <t>PERIODO DEL 13-AGO-19 AL 06-SEP-19</t>
  </si>
  <si>
    <t>JUAN GABRIEL HERNANDEZ HERNANDEZ</t>
  </si>
  <si>
    <t>CFE   (OCTUBRE A DICIEMBRE 2019)</t>
  </si>
  <si>
    <t>Pend ref conta</t>
  </si>
  <si>
    <t>SERVICIO BANCA POR INTERNET</t>
  </si>
  <si>
    <t>OPERACIONES SERVICIO BANCA POR INTERNET</t>
  </si>
  <si>
    <t>IVA COMISIONES SERVICIO BANCA POR INTERNET</t>
  </si>
  <si>
    <t>INGENIERIA APLICADA  (RECOL. BASURA NOV 2019)</t>
  </si>
  <si>
    <t>INGENIERIA APLICADA  (RECOL. BASURA DIC 2019)</t>
  </si>
  <si>
    <t>CEA  ( 6 SEPTIEMBRE A  9 DICIEMBRE 2019)</t>
  </si>
  <si>
    <t>TELMEX  (ENERO 2020)</t>
  </si>
  <si>
    <t>JARDINERIA   (PODA 30 ENERO 2020)</t>
  </si>
  <si>
    <t>JARDINERIA PINO Y ARBUSTOS    (PODA 30 ENERO 2020)</t>
  </si>
  <si>
    <t>ANTICIPO IMPRENTA RECIBOS CUOTAS MANTENIMIENTO</t>
  </si>
  <si>
    <t>VISITA PARA ASESORÍA CONTROLES DE ACCESO</t>
  </si>
  <si>
    <t>PAPELERIA PARA ADMINISTRACIÓN</t>
  </si>
  <si>
    <t>LIQUIDACIÓN IMPRENTA RECIBOS CUOTAS MANTENIMIENTO</t>
  </si>
  <si>
    <t>COPIA CERTIFICADA ACTAS  (PROCESOS LEGALES)</t>
  </si>
  <si>
    <t xml:space="preserve">IVA COPIAS CERTIFICADAS ACTAS  (PROCESOS LEGALES) </t>
  </si>
  <si>
    <t xml:space="preserve">TELMEX   (FEBRERO 2020)  </t>
  </si>
  <si>
    <t>CEA  ( 9 DICIEMBRE 2019  A 8 ENERO 2020)</t>
  </si>
  <si>
    <t>INGENIERIA APLICADA   (RECOL. BASURA ENE 2020)</t>
  </si>
  <si>
    <t xml:space="preserve">PAGO DE  (13,18,20,23,25 y 27 de Sep 2019), 
(10, 11,12,13,14,17,18,19,20,21,24,25,26,27 y 28 de Feb 2020 </t>
  </si>
  <si>
    <t>CFE    (18 DICIEMBRE 2019 A 18 FEBRERO 2020)</t>
  </si>
  <si>
    <t>JARDINERIA  (PODA 6 Y 7 MARZO 2020)</t>
  </si>
  <si>
    <t>CONSERJE    (2, 3, 4, 5 Y 6 MARZO 2020)</t>
  </si>
  <si>
    <t>CONSERJE    (11, 12, 13 ,16, 17, 18,  19 Y 20 MARZO 2020)</t>
  </si>
  <si>
    <t>CEA  (8 ENERO 2020  A 10 FEBRERO 2020)</t>
  </si>
  <si>
    <t>CONSERJE    (23, 24, 25 Y 26 MARZO 2020)</t>
  </si>
  <si>
    <t>INGENIERIA APLICADA (RECOL. BASURA FEBRERO 2020)</t>
  </si>
  <si>
    <t>JARDINERIA   (PODA 27 Y 28 MARZO 2020)</t>
  </si>
  <si>
    <t>PROTOCOLIZACIÓN ASAMBLEA  ( CELEBRADA SEPTIEMBRE 2019)</t>
  </si>
  <si>
    <t>REEMBOLSO JCS (VIAJE AGUA PIPA / 04 FEBRERO 2020)</t>
  </si>
  <si>
    <t>REEMBOLSO JCS (PODER EJECUTIVO DEL ESTADO DE QRO/ 11 FEB 2020)</t>
  </si>
  <si>
    <t>REEMBOLSO JCS (TINTA IMPRESORA ADMINISTRACIÓN)</t>
  </si>
  <si>
    <t>TELMEX  (MARZO 2020)</t>
  </si>
  <si>
    <t>TELMEX  (ABRIL 2020)</t>
  </si>
  <si>
    <t>CONSERJE   (30 Y 31 MARZO) Y (1, 2 Y 3 ABRIL 2020)</t>
  </si>
  <si>
    <t>CONSERJE   (6, 7, 8  Y 9 ABRIL 2020)</t>
  </si>
  <si>
    <t>JARDINERIA (PODA 16 MARZO 2020)</t>
  </si>
  <si>
    <t>INGENIERIA APLICADA (RECOL.BASURA MARZO 2020)</t>
  </si>
  <si>
    <t>CONSERJE   (13, 14, 15, 16 Y 17 ABRIL 2020)</t>
  </si>
  <si>
    <t>AUTOMATIZACIÓN Y CAMBIO DE PISTONES/ANTICIPO 70 %  (PORTÓN 26 ABR 2020)</t>
  </si>
  <si>
    <t>CEA  (10 FEBRERO 2020 A 04 MARZO 2020)</t>
  </si>
  <si>
    <t>CONSERJE   (20, 21, 22 Y 23 ABRIL 2020)</t>
  </si>
  <si>
    <t>CONSERJE    (27, 28, 29 Y 30 ABRIL 2020) Y (01 MAYO 2020)</t>
  </si>
  <si>
    <t>INGENIERIA APLICADA (RECOL.BASURA ABRIL 2020)</t>
  </si>
  <si>
    <t>CFE  (18 FEB A 20 ABR 2020)</t>
  </si>
  <si>
    <t>AUTOMATIZACIÓN Y CAMBIO DE PISTONES/LIQUIDACIÓN  30%  (PORTÓN 26 ABR 2020)</t>
  </si>
  <si>
    <t>JARDINERIA  (PODA 5 MAYO 2020)</t>
  </si>
  <si>
    <t>CONSERJE    (4, 6, 7 Y 8 MAYO 2020) Y (11, 12, 13, 14 Y 15 MAYO 2020)</t>
  </si>
  <si>
    <t>CONSERJE    (18, 19, 20, 21 Y 22 MAYO 2020)</t>
  </si>
  <si>
    <t>CEA   (04 MARZO 2020 A 06 ABRIL 2020)</t>
  </si>
  <si>
    <t>JARDINERIA   (PODA 28 MAYO 2020)</t>
  </si>
  <si>
    <t>CONSERJE    (25, 26, 27 Y 29 MAYO 2020)</t>
  </si>
  <si>
    <t>INGENIERIA APLICADA (RECOL.BASURA MAYO 2020)</t>
  </si>
  <si>
    <t xml:space="preserve">JARDINERIA   (PODA 11 JUNIO 2020) </t>
  </si>
  <si>
    <t>CONSERJE    (1, 2, 3, 4, 5, 9, 10 Y 12 JUNIO 2020)</t>
  </si>
  <si>
    <t>COPIAS CERTIFICADAS PROCESOS LEGALES</t>
  </si>
  <si>
    <t>CONSERJE     (15, 16, 17, 18 Y 19 JUNIO 2020)</t>
  </si>
  <si>
    <t>CEA   (06 ABR 2020 A 07 MAYO 2020)</t>
  </si>
  <si>
    <t>JARDINERIA  (PODA 25 JUNIO 2020)</t>
  </si>
  <si>
    <t>CFE   (20 ABRIL A 17 JUNIO 2020)</t>
  </si>
  <si>
    <t>CONSERJE   (22, 23, 24, 26, 29, 30 JUNIO) Y (1, 2 Y 3 JULIO 2020)</t>
  </si>
  <si>
    <t>CERRAJERÍA PUERTA PEATONAL/ CAMBIO DE CHAPA   (30 JUNIO 2020)</t>
  </si>
  <si>
    <t>INGENIERIA APLICADA (RECOL.BASURA JUNIO 2020)</t>
  </si>
  <si>
    <t>CONSERJE   (6, 7, 8, 9, Y 10 JULIO)</t>
  </si>
  <si>
    <t>TELMEX   (MAYO Y JUNIO 2020)</t>
  </si>
  <si>
    <t xml:space="preserve">JARDINERIA   (PODA ÁREAS VERDES, DURANTAS Y CEDROS 8 AL 10 DE JULIO 2020) </t>
  </si>
  <si>
    <t>FUMIGACIÓN EN ÁREAS VERDES/REGISTROS DE LÁMPARAS Y COMPLEMENTO DE CEDROS LIMÓN  (13 Y 14 JULIO 2020)</t>
  </si>
  <si>
    <t>CONSERJE   (13, 14, 15, 16 Y 17 JULIO 2020)</t>
  </si>
  <si>
    <t>DEVOLUCIÓN DE GARANTÍA DE CONSTRUCCIÓN CASA 32</t>
  </si>
  <si>
    <t>CONSERJE   (20, 21, 22, 23 Y 24 JULIO 2020)</t>
  </si>
  <si>
    <t>CEA   (07 MAYO 2020 A 04 JUNIO 2020)</t>
  </si>
  <si>
    <t>JARDINERIA   (PODA 30 JULIO 2020)</t>
  </si>
  <si>
    <t>CONSERJE   (27, 28, 29, 30 Y 31 JULIO 2020)</t>
  </si>
  <si>
    <t>RECAUDACIÓN DE IMPUESTOS  (MAYO 2019)</t>
  </si>
  <si>
    <t>RECAUDACIÓN DE IMPUESTOS  (JUNIO 2019)</t>
  </si>
  <si>
    <t>RECAUDACIÓN DE IMPUESTOS  (JULIO 2019)</t>
  </si>
  <si>
    <t>RECAUDACIÓN DE IMPUESTOS  (AGOSTO 2019)</t>
  </si>
  <si>
    <t>RECAUDACIÓN DE IMPUESTOS  (SEPTIEMBRE 2019)</t>
  </si>
  <si>
    <t>RECAUDACIÓN DE IMPUESTOS  (OCTUBRE 2019)</t>
  </si>
  <si>
    <t>RECAUDACIÓN DE IMPUESTOS  (NOVIEMBRE 2019)</t>
  </si>
  <si>
    <t>RECAUDACIÓN DE IMPUESTOS  (FEBRERO 2020)</t>
  </si>
  <si>
    <t>RECAUDACIÓN DE IMPUESTOS  (MARZO 2020)</t>
  </si>
  <si>
    <t>RECAUDACIÓN DE IMPUESTOS  (ABRIL 2020)</t>
  </si>
  <si>
    <t>RECAUDACIÓN DE IMPUESTOS  (MAYO 2020)</t>
  </si>
  <si>
    <t>RECAUDACIÓN DE IMPUESTOS  (JUNIO 2020)</t>
  </si>
  <si>
    <t>INGENIERIA APLICADA (RECOL.BASURA JULIO 2020)</t>
  </si>
  <si>
    <t>CONSERJE   (3, 4, 5, 6 Y 7 JULIO 2020)</t>
  </si>
  <si>
    <t>PRESENTACIÓN DE DECLARACIONES SAT (MAYO 2019 A JUNIO 2020) DESPACHO</t>
  </si>
  <si>
    <t>CAMBIO DE CABLEADO EN LUMINARIA (TOQUES Y CHISPAS EN POSTE) 14 AGO 2020</t>
  </si>
  <si>
    <t>CONSERJE   (10, 12, 14, 17 Y 19 JULIO 2020)</t>
  </si>
  <si>
    <t>JARDINERIA (PODA  20 AGO 2020)</t>
  </si>
  <si>
    <t>CEA  (04 JUNIO 2020 A 06 JULIO 2020)</t>
  </si>
  <si>
    <t>CONSERJE   (24, 26 Y 28 JULIO 2020)</t>
  </si>
  <si>
    <t>CFE   (17 JUNIO 2020 A 18 AGOSTO 2020)</t>
  </si>
  <si>
    <t>CONSERJE   (31 AGOSTO , 2 Y 4 SEPTIEMBRE 2020)</t>
  </si>
  <si>
    <t xml:space="preserve">CONSERJE   (7, 9 Y 11 SEPTIEMBRE 2020)  </t>
  </si>
  <si>
    <t>JARDINERIA  (PODA 14 SEPTIEMBRE 2020)</t>
  </si>
  <si>
    <t>CONSERJE     (16 Y 18 SEPTIEMBRE 2020)</t>
  </si>
  <si>
    <t>CEA  (06 JULIO 2020 A 05 DE AGOSTO 2020)</t>
  </si>
  <si>
    <t>CONSERJE   (21, 23 Y 25 SEPTIEMBRE 2020)</t>
  </si>
  <si>
    <t>INGENIERIA APLICADA (RECOL.BASURA AGOSTO 2020)</t>
  </si>
  <si>
    <t>CONSERJE   (28 SEPTIEMBRE Y 2 OCTUBRE 2020)</t>
  </si>
  <si>
    <t>COPIA ESTADO DE CUENTA</t>
  </si>
  <si>
    <t>IVA COPIA EDO. DE CTA</t>
  </si>
  <si>
    <t>INGENIERIA APLICADA (RECOL.BASURA SEPTIEMBRE 2020)</t>
  </si>
  <si>
    <t>JARDINERIA  (PODA  FRENTE DE  CASAS Y PODA DE CEDROS 16 OCT 2020)</t>
  </si>
  <si>
    <t>CONSERJE   (5, 7, 12, 14 Y 16 OCTUBRE 2020)</t>
  </si>
  <si>
    <t>CEA  (05 AGOSTO 2020 A 04 SEPTIEMBRE 2020)</t>
  </si>
  <si>
    <t>CFE   (18 AGOSTO A 16 OCTUBRE 2020)</t>
  </si>
  <si>
    <t>CONSERJE   (19, 21, 23, 26, 28 Y 30 OCTUBRE 2020)</t>
  </si>
  <si>
    <t>INGENIERIA APLICADA (RECOL.BASURA OCTUBRE 2020)</t>
  </si>
  <si>
    <t>CONSERJE   (2, 4, 6, 9, 11 Y 13 NOVIEMBRE 2020)</t>
  </si>
  <si>
    <t>JARDINERIA   (PODA 23 NOVIEMBRE 2020)</t>
  </si>
  <si>
    <t>CEA  (04 SEP 2020 A 25 NOV 2020)</t>
  </si>
  <si>
    <t>CONSERJE   (16, 18, 20, 23, 25, 27, 30 NOV Y 2, 4 DIC 2020)</t>
  </si>
  <si>
    <t>INGENIERIA APLICADA (RECOL.BASURA NOVIEMBRE 2020)</t>
  </si>
  <si>
    <t>TELMEX  (JUL 2020 A OCT 2020)</t>
  </si>
  <si>
    <t>JARDINERIA  (PODA 22 DICIEMBRE 2020)</t>
  </si>
  <si>
    <t>CEA  (25 NOV A  04 DIC 2020)</t>
  </si>
  <si>
    <t>CFE   (16 OCTUBRE A 17 DICIEMBRE 2020)</t>
  </si>
  <si>
    <t>CONSERJE  (7, 9,11,14,16,18,21,23,25,28 Y 30 DIC 2020)</t>
  </si>
  <si>
    <t>CONSERJE  (1 ENERO 2021)</t>
  </si>
  <si>
    <t>CONSERJE    (4, 6, 8, 11, 13 Y 15 ENERO 2021)</t>
  </si>
  <si>
    <t>INGENIERIA APLICADA (RECOL.BASURA DICIEMBRE 2020)</t>
  </si>
  <si>
    <t>RECAUDACIÓN DE IMPUESTOS SAT  (JULIO 2020)</t>
  </si>
  <si>
    <t>RECAUDACIÓN DE IMPUESTOS SAT  (AGOSTO 2020)</t>
  </si>
  <si>
    <t>RECAUDACIÓN DE IMPUESTOS SAT   (SEPTIEMBRE 2020)</t>
  </si>
  <si>
    <t>RECAUDACIÓN DE IMPUESTOS SAT  (OCTUBRE 2020)</t>
  </si>
  <si>
    <t>RECAUDACIÓN DE IMPUESTOS SAT  (NOVIEMBRE 2020)</t>
  </si>
  <si>
    <t>RECAUDACIÓN DE IMPUESTOS SAT   (DICIEMBRE 2020)</t>
  </si>
  <si>
    <t>CEA   (09 NOV 2020 AL 04 DIC 2020)</t>
  </si>
  <si>
    <t>PRESENTACIÓN DE DECLARACIONES SAT (JUL 2020 A DIC 2020) DESPACHO</t>
  </si>
  <si>
    <t>JARDINERIA  (PODA 25 ENERO 2021)</t>
  </si>
  <si>
    <t>CONSERJE    (25, 27 Y 29 ENERO 2021)</t>
  </si>
  <si>
    <t>PODA PINOS  (3 FEBRERO 2021)</t>
  </si>
  <si>
    <t>CONSERJE     (1, 3 Y 5 FEBRRERO 2021)</t>
  </si>
  <si>
    <t>INGENIERIA APLICADA (RECOL.BASURA ENERO 2021)</t>
  </si>
  <si>
    <t>REPARACIÓN DE LUMINARIA   (16 FEB 2021)</t>
  </si>
  <si>
    <t>CONSERJE    (8, 10, 12, 15, 17 Y 19 FEBRERO 2021)</t>
  </si>
  <si>
    <t>CEA   (04 DIC 2020 A 08 ENE 2021)</t>
  </si>
  <si>
    <t>JARDINERIA (PODA 22 Y 23 FEB 2021)</t>
  </si>
  <si>
    <t>JARDINERIA (DESHIERBE Y FUMIGACIÓN ÁREAS VERDES 22 Y 23 FEB 2021)</t>
  </si>
  <si>
    <t>CONSERJE SEP 2019  (22,24 Y 26 FEBRERO 2021)</t>
  </si>
  <si>
    <t>CFE  (17 DICIEMBRE 2020 A 17 FEBRERO 2021)</t>
  </si>
  <si>
    <t>CONSERJE     (1, 3 Y 5 MARZO 2021)</t>
  </si>
  <si>
    <t>INGENIERIA APLICADA (RECOL. BASURA FEB 2021)</t>
  </si>
  <si>
    <t>RECAUDACIÓN DE IMPUESTOS  (FEBRERO 2021)</t>
  </si>
  <si>
    <t>RECAUDACIÓN DE IMPUESTOS   (ENERO 2021)</t>
  </si>
  <si>
    <t>HONORARIOS PRESENTACIÓN DE DECLARACIÓN  (ENE Y FEB 2021)</t>
  </si>
  <si>
    <t>PAQUETE DE HOJAS BLANCAS</t>
  </si>
  <si>
    <t>COMPRA BROCHAS PARA PINTAR GUARNICIONES</t>
  </si>
  <si>
    <t>THINER PARA LIMPIAR BROCHAS</t>
  </si>
  <si>
    <t>CONSERJE   (8, 10, 12, 15, 17 Y 20 MARZO 2021)</t>
  </si>
  <si>
    <t>CEA    (08 ENERO 2021 A 05 FEBRERO 2021)</t>
  </si>
  <si>
    <t>COMPRA DE ADHESIVO PARA PEGAR CÁMARA DE ACCESO PRINCIPAL  (25 MAR 2021)</t>
  </si>
  <si>
    <t>CONSERJE    (22, 24 Y 27 MARZO 2021)</t>
  </si>
  <si>
    <t xml:space="preserve">JARDINERIA   (PODA 26 DE MARZO 2021) </t>
  </si>
  <si>
    <t>CONSERJE   (29 ,31 MARZO Y  5, 7 Y 9  ABRIL 2021)</t>
  </si>
  <si>
    <t>INGENIERIA APLICADA (RECOL.BASURA MARZO 2021)</t>
  </si>
  <si>
    <t>HONORARIOS POR RECUPERACIÓN DE CARTERA (CASA 75)</t>
  </si>
  <si>
    <t>RECAUDACIÓN DE IMPUESTOS   (MARZO 2021)</t>
  </si>
  <si>
    <t>HONORARIOS PRESENTACIÓN DE DECLARACIÓN (MARZO 2021)</t>
  </si>
  <si>
    <t>CONSERJE   (12, 14 Y 16 ABRIL 2021)</t>
  </si>
  <si>
    <t>CONSERJE   (19,  21,  Y  23  ABRIL 2021)</t>
  </si>
  <si>
    <t>HONORARIOS POR RECUPERACIÓN DE CARTERA  (CASA 26)</t>
  </si>
  <si>
    <t>HONORARIOS ESTADO DE CUENTA   (CASA 26)</t>
  </si>
  <si>
    <t>CEA   (05 FEB 2021 A 02 MARZO 2021)</t>
  </si>
  <si>
    <t>JARDINERIA  (PODA 27 ABRIL 2021)</t>
  </si>
  <si>
    <t>CONSERJE   (26, 28 Y 30 ABRIL 2021)</t>
  </si>
  <si>
    <t>TELMEX  FEB,MAR,ABR C/ RECONECCIÓN (3 MESES + RECONEXIÓN $232.00)</t>
  </si>
  <si>
    <t>CFE   (17 FEBRERO 2021 A 20 ABRIL 2021)</t>
  </si>
  <si>
    <t>CONSERJE    (3, 5, 7, 10, 12 Y 14  MAYO 2021)</t>
  </si>
  <si>
    <t>INGENIERIA APLICADA (RECOL.BASURA ABRIL 2021)</t>
  </si>
  <si>
    <t>RECAUDACIÓN DE IMPUESTOS  (ABRIL 2021)</t>
  </si>
  <si>
    <t>HONORARIOS PRESENTACIÓN DE DECLARACIÓN  (ABRIL 2021)</t>
  </si>
  <si>
    <t>CEA  (02 MARZO 2021 A 07 ABRIL 2021)</t>
  </si>
  <si>
    <t xml:space="preserve">JARDINERIA   (PODA 27 DE MAYO 2021) </t>
  </si>
  <si>
    <t>CONSERJE   (17, 19, 21, 24, 26 Y 28 MAYO 2021)</t>
  </si>
  <si>
    <t>PAPELERIA ADMINISTRACIÓN</t>
  </si>
  <si>
    <t>CONSERJE   (31 MAYO Y  2, 4, 7, 9 Y 11 JUNIO 2021)</t>
  </si>
  <si>
    <t>RECAUDACIÓN DE IMPUESTOS  (MAYO 2021)</t>
  </si>
  <si>
    <t>HONORARIOS PRESENTACIÓN DE DECLARACIÓN  (MAYO 2021)</t>
  </si>
  <si>
    <t>CONSERJE    (14, 16 Y 18 JUNIO 2021)</t>
  </si>
  <si>
    <t>CEA   (07 ABRIL 2021 A 07 MAYO 2021)</t>
  </si>
  <si>
    <t xml:space="preserve">JARDINERIA   (PODA 24 JUNIO 2021) </t>
  </si>
  <si>
    <t>CONSERJE   (21, 23 Y 25 JUNIO 2021)</t>
  </si>
  <si>
    <t>ACCESORIOS CONSERJERIA: ATOMIZADOR PLAGA EN CONTENEDOR DE BASURA 1 LTR ($68.97) , PALA ESCAMARRÁN ($118.97)</t>
  </si>
  <si>
    <t>ACCESORIOS CONSERJERIA: RECOGEDOR PLÁSTICO ($30.17), GUANTES ($25.86) Y MARTELINA HACHA ($185.34)</t>
  </si>
  <si>
    <t>CFE  (20 ABRIL 2021 A 17 JUNIO 2021)</t>
  </si>
  <si>
    <t>CONSERJE   (28 , 30 JUNIO Y 2 JULIO 2021)</t>
  </si>
  <si>
    <t>INGENIERIA APLICADA (RECOL.BASURA MAYO 2021)</t>
  </si>
  <si>
    <t>INGENIERIA APLICADA (RECOL.BASURA JUNIO 2021)</t>
  </si>
  <si>
    <t>ELABORACIÓN DE EDO. DE CTA.   (CASA 17)</t>
  </si>
  <si>
    <t>TONER PARA ADMINISTRACIÓN</t>
  </si>
  <si>
    <t>CONSERJE   (5, 7 Y 9 JULIO 2021)</t>
  </si>
  <si>
    <t>RECAUDACIÓN DE IMPUESTOS  (JUNIO 2021)</t>
  </si>
  <si>
    <t>HONORARIOS PRESENTACIÓN DE DECLARACIÓN  (JUNIO 2021)</t>
  </si>
  <si>
    <t>PODA CEDROS LIMÓN  (PINOS 16 JULIO 2021)</t>
  </si>
  <si>
    <t>CONSERJE   (12 Y 14 JULIO 2021)</t>
  </si>
  <si>
    <t>JARDINERIA   (PODA 22 JULIO 2021)</t>
  </si>
  <si>
    <t>CONSERJE     (19, 21 Y 23 JULIO 2021)</t>
  </si>
  <si>
    <t>CEA   (07 MAYO 2021 A 04 JUNIO 2021)</t>
  </si>
  <si>
    <t>TELMEX  MAYO C/RECONEXION, JUN, JUL Y AGO 2021  (RECONEXIÓN DE $232.00)</t>
  </si>
  <si>
    <t>REEMPLAZO DE FOCO DE LUMINARIA   (30 JULIO 2021)</t>
  </si>
  <si>
    <t>CONSERJE  (26, 28 Y 30 JULIO 2021) SE REALIZA EL PAGO EL 31 DE JULIO Y SE REFLEJA EN EDO. CTA. EN AGOSTO</t>
  </si>
  <si>
    <t>INGENIERIA APLICADA (RECOL.BASURA JULIO 2021)</t>
  </si>
  <si>
    <t>REPARACIÓN CERCA ELÉCTRICA  (02 AGOSTO 2021)</t>
  </si>
  <si>
    <t>CONSERJE   (2, 4 Y 6 AGOSTO 2021)</t>
  </si>
  <si>
    <t>JARDINERIA   (PODA 9 AGOSTO 2021)</t>
  </si>
  <si>
    <t>CONSERJE   (9, 11 Y 13 AGOSTO 2021)</t>
  </si>
  <si>
    <t>CONSERJE   (16, 18 Y 20 AGOSTO 2021)</t>
  </si>
  <si>
    <t>RECAUDACIÓN DE IMPUESTOS  (JULIO 2021)</t>
  </si>
  <si>
    <t>JARDINERIA   (PODA 23 AGOSTO 2021)</t>
  </si>
  <si>
    <t>CEA   (04 JUNIO 2021 A 07 JULIO 2021)</t>
  </si>
  <si>
    <t>HONORARIOS PRESENTACIÓN DE DECLARACIÓN  (JULIO 2021)</t>
  </si>
  <si>
    <t>CONSERJE   (23, 25 Y 27 AGOSTO 2021)</t>
  </si>
  <si>
    <t>CFE   (17 JUNIO 2021 A  17 AGOSTO 2021)</t>
  </si>
  <si>
    <t>FUMIGACIÓN DE HORMIGAS  (ÁREAS VERDES Y FRENTE DE CASAS 01 SEP 2021)</t>
  </si>
  <si>
    <t>TELMEX  (AGOSTO 2021)</t>
  </si>
  <si>
    <t>CONSERJE   (30 AGOSTO Y 1, 3 SEPTIEMBRE 2021)</t>
  </si>
  <si>
    <t>ANTICIPO RESTAURACIÓN DE FACHADA CONDOMINIO  (9 SEP 2021)</t>
  </si>
  <si>
    <t>INGENIERIA APLICADA (RECOL.BASURA AGOSTO 2021)</t>
  </si>
  <si>
    <t>RECAUDACIÓN DE IMPUESTOS   (AGOSTO 2021)</t>
  </si>
  <si>
    <t>HONORARIOS PRESENTACIÓN DE DECLARACIÓN  (AGOSTO 2021)</t>
  </si>
  <si>
    <t>CONSERJE   (6, 8 Y 10 SEPTIEMBRE 2021)</t>
  </si>
  <si>
    <t>LIQUIDACIÓN RESTAURACIÓN DE FACHADA CONDOMINIO  (17 SEP 2021)</t>
  </si>
  <si>
    <t>FUMIGACIÓN ÁREAS VERDES Y FRENTE DE CASAS   ( 18 SEPTIEMBRE 2021)</t>
  </si>
  <si>
    <t>CONSERJE   (13 Y 15 SEPTIEMBRE 2021)</t>
  </si>
  <si>
    <t>CEA   (07 JULIO 2021 A 06 AGOSTO 2021 )</t>
  </si>
  <si>
    <t>JARDINERIA   (PODA 24 SEPTIEMBRE 2021)</t>
  </si>
  <si>
    <t>CONSERJE   (20, 22 Y 24 SEPTIEMBRE 2021)</t>
  </si>
  <si>
    <t>IMPERMEABILIZACIÓN (CASETA Y BODEGA ACCESO PRINCIPAL CONDOMINIO 20 SEP 2021)</t>
  </si>
  <si>
    <t>CONSERJE    (27, 29 SEPTIEMBRE Y 1 OCTUBRE 2021)</t>
  </si>
  <si>
    <t>TELMEX  (SEPTIEMBRE 2021)</t>
  </si>
  <si>
    <t>REPARACIÓN CERCA ELÉCTRICA   (09 OCTUBRE 2021)</t>
  </si>
  <si>
    <t>INGENIERIA APLICADA (RECOL.BASURA SEPTIEMBRE 2021)</t>
  </si>
  <si>
    <t>CONSERJE    (4, 6 Y 8 OCTUBRE 2021)</t>
  </si>
  <si>
    <t>CONSERJE PAGO A SUPLENCIA DE CONSERJE TERESA  (20 ENE 2021)</t>
  </si>
  <si>
    <t>CONSERJE   (11, 13 Y 15 OCTUBRE 2021)</t>
  </si>
  <si>
    <t>CEA   (06 AGOSTO 2021 A 07 SEPTIEMBRE 2021)</t>
  </si>
  <si>
    <t>JARDINERIA   (PODA 19 OCTUBRE 2021)</t>
  </si>
  <si>
    <t>RECAUDACIÓN DE IMPUESTOS   (SEPTIEMBRE 2021)</t>
  </si>
  <si>
    <t>CONSERJE   (18, 20, 22, 25, 27 Y 29 OCTUBRE 2021)</t>
  </si>
  <si>
    <t>CFE  (17AGO 2021 A 18-OCT-2021)</t>
  </si>
  <si>
    <t>CONSERJE   (1, 3 Y 5 NOVIEMBRE 2021)</t>
  </si>
  <si>
    <t>INGENIERIA APLICADA (RECOL.BASURA OCTUBRE 2021)</t>
  </si>
  <si>
    <t>TELMEX  (OCTUBRE 2021)</t>
  </si>
  <si>
    <t>CONSERJE   (8, 10 Y 12 NOVIEMBRE 2021)</t>
  </si>
  <si>
    <t>CEA   (07 SEPTIEMBRE 2021 A 06 OCTUBRE 2021 )</t>
  </si>
  <si>
    <t>JARDINERIA  (PODA 22 NOVIEMBRE 2021)</t>
  </si>
  <si>
    <t>CONSERJE   (15,17, 19, 22, 24 Y 26 NOVIEMBRE 2021)</t>
  </si>
  <si>
    <t>CONSERJE   (29 NOV, 1 Y 3 DICIEMBRE 2021)</t>
  </si>
  <si>
    <t>TELMEX   (NOVIEMBRE 2021)</t>
  </si>
  <si>
    <t>CONSERJE   (6, 8 Y 10 DICIEMBRE 2021)</t>
  </si>
  <si>
    <t>INGENIERIA APLICADA (RECOL.BASURA NOVIEMBRE 2021)</t>
  </si>
  <si>
    <t>HONORARIOS POR RECUPERACIÓN DE CARTERA (CASA 79)</t>
  </si>
  <si>
    <t>ELABORACIÓN DE EDO. DE CTA.   (CASA 60)</t>
  </si>
  <si>
    <t>PODA CEDROS LIMÓN   (PINOS  06 DICIEMBRE 2021)</t>
  </si>
  <si>
    <t>CONSERJE   (13,15 Y 17 DICIEMBRE 2021)</t>
  </si>
  <si>
    <t>CEA   (06 OCTUBRE 2021 A  05 NOVIEMBRE )</t>
  </si>
  <si>
    <t>CONSERJE   (20, 22 Y 24 DICIEMBRE 2021)</t>
  </si>
  <si>
    <t xml:space="preserve">JARDINERIA   (PODA 21 DICIEMBRE 2021) </t>
  </si>
  <si>
    <t>CFE  (18 OCTUBRE 2021 A 17 DICIEMBRE 2021)</t>
  </si>
  <si>
    <t>CONSERJE    (27,29 y 31 DICIEMBRE 2021)</t>
  </si>
  <si>
    <t>TELMEX   (DICIEMBRE 2021)</t>
  </si>
  <si>
    <t>CONSERJE    (3 Y 7 ENERO 2022)</t>
  </si>
  <si>
    <t>CONSERJE    (10,12 Y 14 ENERO 2022)</t>
  </si>
  <si>
    <t>PACHA MAMA (RECOLECCIÓN DE BASURA 07-ENE-2022)</t>
  </si>
  <si>
    <t>CONSERJE    (17,19 Y 21 ENERO 2022)</t>
  </si>
  <si>
    <t>CEA   (05 NOVIEMBRE A 03 DICIEMBRE)</t>
  </si>
  <si>
    <t>JARDINERIA  (PODA 25 ENERO 2022)</t>
  </si>
  <si>
    <t>CONSERJE    (24, 26 Y 28 ENERO 2022)</t>
  </si>
  <si>
    <t>REPARACIÓN DE MONITOR CÁMARAS</t>
  </si>
  <si>
    <t>COPIAS PARA JUICIOS</t>
  </si>
  <si>
    <t>DESHIERBE EN ÁREAS VERDES COMUNES</t>
  </si>
  <si>
    <t>TELMEX   (ENERO 2022)</t>
  </si>
  <si>
    <t>CONSERJE    (31 ENERO, 2 Y 4 DE FEBRERO 2022)</t>
  </si>
  <si>
    <t>CONSERJE    (7, 8, 9, 10 Y 11 FEBRERO 2022)</t>
  </si>
  <si>
    <t>CONSERJE    (14, 15, 16, 17 Y 18 FEBRERO 2022)</t>
  </si>
  <si>
    <t>INGENIERIA APLICADA (RECOL.BASURA ENERO 2022)</t>
  </si>
  <si>
    <t>CEA   (03 DIC 2021 A 07 ENE 2022)</t>
  </si>
  <si>
    <t>CONSERJE    (22, 23, 24 Y 25 FEBRERO 2022)</t>
  </si>
  <si>
    <t>CFE  (17 DICIEMBRE 2021 A 16 FEBRERO 2022)</t>
  </si>
  <si>
    <t xml:space="preserve">JARDINERIA   (PODA 25 DE FEBRERO 2022) </t>
  </si>
  <si>
    <t>TELMEX   (FEBRERO 2022)</t>
  </si>
  <si>
    <t>CONSERJE   (28 DE FEB, 1, 2, 3 Y 4 DE MARZO 2022)</t>
  </si>
  <si>
    <t>INGENIERIA APLICADA (RECOL. BASURA FEBRERO 2022)</t>
  </si>
  <si>
    <t>INSTALACIÓN DE CÁMARAS EN CIRCUITO CONDOMINIO (ANTICIPO 50%)</t>
  </si>
  <si>
    <t>CONSERJE   (07, 08, 09, 10 y 11 DE MARZO 2022)</t>
  </si>
  <si>
    <t>RECAUDACIÓN DE IMPUESTOS  (DICIEMBRE 2022)</t>
  </si>
  <si>
    <t>RECAUDACIÓN DE IMPUESTOS  (ENERO 2022)</t>
  </si>
  <si>
    <t>CONSERJE   (14, 15, 16, 17 Y 18 DE MARZO 2022)</t>
  </si>
  <si>
    <t>REEMPLAZO DE FOCO DE LUMINARIA  (3 FOCOS 17 MARZO 2022)</t>
  </si>
  <si>
    <t>INSTALACIÓN DE CÁMARAS EN CIRCUITO CONDOMINIO (LIQUIDACIÓN 50%)</t>
  </si>
  <si>
    <t>DVR PARA SOPORTE DE CÁMARAS EN TODO EL CIRCUITO</t>
  </si>
  <si>
    <t>CEA   (07 ENE 2022 A 04 FEBRERO 2022)</t>
  </si>
  <si>
    <t>COPIAS SIMPLES PARA PROCESOS</t>
  </si>
  <si>
    <t xml:space="preserve">CERTIFICACIÓN DE DOCUMENTOS POR EL PODER JUDICIAL DEL ESTADO </t>
  </si>
  <si>
    <t xml:space="preserve">JARDINERIA   (PODA 29 DE MARZO 2022) </t>
  </si>
  <si>
    <t>CONSERJE   (21, 22, 23, 24, 25, 28, 29, 30, 31 DE MARZO  Y 01 ABRIL 2022)</t>
  </si>
  <si>
    <t>TELMEX   (MARZO 2022)</t>
  </si>
  <si>
    <t>COPIAS FOTOSTATICAS PARA PROCESOS LEGALES</t>
  </si>
  <si>
    <t>CONSERJE   (04, 05, 06, 07 Y 08 DE ABRIL 2022)</t>
  </si>
  <si>
    <t>INGENIERIA APLICADA (RECOL. BASURA MARZO 2022)</t>
  </si>
  <si>
    <t>CONSERJE   (11, 12, 13 Y 14 DE ABRIL 2022)</t>
  </si>
  <si>
    <t>CONSERJE   (18, 19, 20, 21, 22 DE ABRIL 2022)</t>
  </si>
  <si>
    <t>CEA   (04 FEBRERO 2022 A 03 MARZO 2022)</t>
  </si>
  <si>
    <t>CONSERJE   (25, 26, 27, 28 Y 29 DE ABRIL 2022)</t>
  </si>
  <si>
    <t>CFE   (17 FEBRERO 2021 A 20 ABRIL 2022)</t>
  </si>
  <si>
    <t>CONSERJE   (02, 03, 04 Y 05 DE MAYO 2022)</t>
  </si>
  <si>
    <t xml:space="preserve">JARDINERIA   (PODA 27 DE ABRIL 2022) </t>
  </si>
  <si>
    <t>TELMEX   (ABRIL 2022)</t>
  </si>
  <si>
    <t>CONSERJE   (09, 10, 11, 12 Y 13 DE MAYO 2022)</t>
  </si>
  <si>
    <t>INGENIERIA APLICADA (RECOL. BASURA ABRIL 2022)</t>
  </si>
  <si>
    <t>CONSERJE   (16, 17, 18, 19 Y 20 DE MAYO 2022)</t>
  </si>
  <si>
    <t>CONSERJE   (23, 24, 25, 26 y 27 DE MAYO 2022)</t>
  </si>
  <si>
    <t xml:space="preserve">JARDINERIA   (PODA 27 DE MAYO 2022) </t>
  </si>
  <si>
    <t>CONSERJE   (30, 31 MAYO, 1, 2, Y 3  JUNIO 2022)</t>
  </si>
  <si>
    <t>TELMEX   (MAYO 2022)</t>
  </si>
  <si>
    <t>CONSERJE   (6, 7, 8, Y 10  JUNIO 2022)</t>
  </si>
  <si>
    <t>1er.-PAGO CEA PERIODOS (03 MARZO A 7 ABRIL 2022) Y  (07 ABRIL A 06 MAYO 2022)</t>
  </si>
  <si>
    <t>CONSERJE   (13, 14, 15, 16 Y 17 JUNIO 2022)</t>
  </si>
  <si>
    <t>CONSERJE    (20, 21, 22, 23 y 24 JUNIO 2022)</t>
  </si>
  <si>
    <t>2do.-PAGO CEA LIQUIDACIÓN PERIÓDO (07 ABRIL 2021 A 06 MAYO 2022)</t>
  </si>
  <si>
    <t>CONSERJE  (27, 28, 29, 30 JUNIO Y 01 JULIO 2022)</t>
  </si>
  <si>
    <t>INGENIERIA APLICADA (RECOL.BASURA MAYO 2022)</t>
  </si>
  <si>
    <t>CFE  (19 ABRIL 2022 A 17 JUNIO 2022)</t>
  </si>
  <si>
    <t>CONSERJE   (4, 5, 6, 7 Y 8  JULIO 2022)</t>
  </si>
  <si>
    <t>REPARACIÓN DE TORNILLOS DE PISTONES POR GOLPE A PORTÓN Y MANTENIMIENTO PREVENTIVO</t>
  </si>
  <si>
    <t>CONSERJE  (11, 12, 13, 14  Y 15 JULIO 2022)</t>
  </si>
  <si>
    <t>JARDINERIA   (PODA 28 JUNIO 2022)</t>
  </si>
  <si>
    <t>CONSERJE  (18, 19, 20, 21  Y 22 JULIO 2022)</t>
  </si>
  <si>
    <t>CONSERJE  (25, 27, 28, 29  JULIO 2022)</t>
  </si>
  <si>
    <r>
      <t>PAGO REALIZADO A LA CEA</t>
    </r>
    <r>
      <rPr>
        <b/>
        <sz val="9"/>
        <color rgb="FFFF0000"/>
        <rFont val="Calibri"/>
        <family val="2"/>
        <scheme val="minor"/>
      </rPr>
      <t xml:space="preserve"> PERO REALIZAN LA DEVOLUCIÓN EL MISMO DÍA POR EL MONTO DE $31,915.00</t>
    </r>
  </si>
  <si>
    <t>INGENIERIA APLICADA (RECOL.BASURA JUNIO 2022)</t>
  </si>
  <si>
    <t>TELMEX   (JUNIO Y JULIO 2022)</t>
  </si>
  <si>
    <t>CONSERJE   (1, 2, 3, 4 Y 5 AGOSTO 2022)</t>
  </si>
  <si>
    <t>CONSERJE   (9, 10, 11 Y 12 AGOSTO 2021)</t>
  </si>
  <si>
    <r>
      <t xml:space="preserve">1er.-PAGO </t>
    </r>
    <r>
      <rPr>
        <b/>
        <sz val="9"/>
        <color theme="1"/>
        <rFont val="Calibri"/>
        <family val="2"/>
        <scheme val="minor"/>
      </rPr>
      <t>CEA</t>
    </r>
    <r>
      <rPr>
        <sz val="9"/>
        <color theme="1"/>
        <rFont val="Calibri"/>
        <family val="2"/>
        <scheme val="minor"/>
      </rPr>
      <t xml:space="preserve"> PERIODOS (06 MAYO A JUNIO  2022) </t>
    </r>
  </si>
  <si>
    <t>JARDINERIA   (PODA 16 AGOSTO 2022)</t>
  </si>
  <si>
    <t>PAPELERIA (HOJAS TAMAÑO OFICIO, CARTA Y GRAPAS)</t>
  </si>
  <si>
    <t>TONER IMPRESORA</t>
  </si>
  <si>
    <t>CONSERJE   (15, 16, 17, 18 Y 19 AGOSTO 2022)</t>
  </si>
  <si>
    <t>PAPELERIA (HOJAS TAMAÑO OFICIO)</t>
  </si>
  <si>
    <r>
      <t xml:space="preserve">2do.-PAGO </t>
    </r>
    <r>
      <rPr>
        <b/>
        <sz val="9"/>
        <color theme="1"/>
        <rFont val="Calibri"/>
        <family val="2"/>
        <scheme val="minor"/>
      </rPr>
      <t>CEA</t>
    </r>
    <r>
      <rPr>
        <sz val="9"/>
        <color theme="1"/>
        <rFont val="Calibri"/>
        <family val="2"/>
        <scheme val="minor"/>
      </rPr>
      <t xml:space="preserve"> PERIODOS (06 JUNIO A 06 JULIO  2022) </t>
    </r>
  </si>
  <si>
    <t>CONSERJE   (22, 23, 24, 25, 26, 29, 30 Y 31 AGOSTO Y 1, 2 SEPTIEMBRE 2022)</t>
  </si>
  <si>
    <t>CFE  (17 JUNIO 2022 A 18 AGOSTO 2022)</t>
  </si>
  <si>
    <t>INGENIERIA APLICADA (RECOL.BASURA AGOSTO 2022)</t>
  </si>
  <si>
    <t>REPARACIÓN DE LUMINARIA (FRENTE A CASA 24 Y 25)</t>
  </si>
  <si>
    <t>TELMEX   (AGOSTO 2022)</t>
  </si>
  <si>
    <t>CONSERJE   (5, 6, 7, 8  Y 9 SEPTIEMBRE 2022)</t>
  </si>
  <si>
    <t>JARDINERIA   (PODA 15 SEPTIEMBRE 2022)</t>
  </si>
  <si>
    <t>CONSERJE   (12, 13, 14 Y 15 SEPTIEMBRE 2022)</t>
  </si>
  <si>
    <t>CONSERJE   (19, 20, 21, 22 Y 23 SEPTIEMBRE 2022)</t>
  </si>
  <si>
    <t>CONSERJE    (26, 27, 28, 29 Y 30 SEPTIEMBRE 2022)</t>
  </si>
  <si>
    <t>CEA   (06 JULIO 2022 A 04 AGOSTO 2022)</t>
  </si>
  <si>
    <t>CONSERJE (3, 4, 5, 6 Y 7 OCTUBRE 2022)</t>
  </si>
  <si>
    <t xml:space="preserve">COPIAS SIMPLES DE TODAS LAS ACTAS PARA PROCESOS LEGALES </t>
  </si>
  <si>
    <t>CONSERJE (10, 11, 12, 13  Y 14 OCTUBRE 2022)</t>
  </si>
  <si>
    <t>CONSERJE (17, 18, 19, 20  Y 21 OCTUBRE 2022)</t>
  </si>
  <si>
    <t xml:space="preserve">2do.-PAGO CEA PERIODO (06 AGOSTO  A 06 SEPTIEMBRE  2022) </t>
  </si>
  <si>
    <t>CONSERJE   (24, 25, 26, 27 Y 28 NOVIEMBRE 2022)</t>
  </si>
  <si>
    <t>CFE  (18 AGOSTO 2022 A 19 OCTUBRE 2022)</t>
  </si>
  <si>
    <t>TELMEX  (SEPTIEMBRE Y OCTUBRE 2022)</t>
  </si>
  <si>
    <t>INGENIERIA APLICADA (RECOL.BASURA SEP 2022)</t>
  </si>
  <si>
    <t>CONSERJE   (31 OCTUBRE Y 1, 2, 3  Y 4 NOVIEMBRE 2022)</t>
  </si>
  <si>
    <t>CONSERJE   (7, 8, 9, 10  Y 11 NOVIEMBRE 2022)</t>
  </si>
  <si>
    <t>1er.PAGO CEA   (05 SEPTIEMBRE 2022 A  06 OCTUBRE 2022 )</t>
  </si>
  <si>
    <t>CONSERJE   (14, 15 , 16 , 17 Y  18 DE  NOVIEMBRE 2022)</t>
  </si>
  <si>
    <t>2do.PAGO CEA   (05 SEPTIEMBRE 2022 A  06 OCTUBRE 2022 )</t>
  </si>
  <si>
    <t>CONSERJE   (21, 22, 23, 24, 25, 28,29, 30 NOV , 01 Y 02 DIC 2022)</t>
  </si>
  <si>
    <t xml:space="preserve">REPARACIÓN CIRCUITO EN LA SERIE DE LUMINIARIAS LINEA 2 </t>
  </si>
  <si>
    <t xml:space="preserve">JARDINERIA   (PODA 09 DICIEMBRE 2022) </t>
  </si>
  <si>
    <t>CONSERJE   (05, 06, 07, 08 Y 09 DIC 2022)</t>
  </si>
  <si>
    <t>CONSERJE   (12, 13, 14, 15 Y 16  DIC 2022)</t>
  </si>
  <si>
    <t>CONSERJE   (19, 20, 21, 22 Y 23  DIC 2022)</t>
  </si>
  <si>
    <t>3er.PAGO CEA   (06 OCTUBRE 2022 A  09 NOVIEMBRE 2022 )</t>
  </si>
  <si>
    <t>4to.PAGO CEA   (06 OCTUBRE 2022 A  09 NOVIEMBRE 2022 )</t>
  </si>
  <si>
    <t>CLASIFICACIÓN</t>
  </si>
  <si>
    <t>RESUMEN</t>
  </si>
  <si>
    <t>COMPARATIVA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</si>
  <si>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</si>
  <si>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</si>
  <si>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</si>
  <si>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</si>
  <si>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</si>
  <si>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</si>
  <si>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</si>
  <si>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</si>
  <si>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</si>
  <si>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</si>
  <si>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</si>
  <si>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</si>
  <si>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TOTAL</t>
  </si>
  <si>
    <t>SALDO APROX</t>
  </si>
  <si>
    <t>Diferencia</t>
  </si>
  <si>
    <t>a</t>
  </si>
  <si>
    <t>TOTAL MENSUAL</t>
  </si>
  <si>
    <t>TOTAL ANUAL</t>
  </si>
  <si>
    <t>Ingresos-&gt;</t>
  </si>
  <si>
    <t>Ingresos menos Egresos -&gt;</t>
  </si>
  <si>
    <t>f</t>
  </si>
  <si>
    <t>r</t>
  </si>
  <si>
    <t>Facturas</t>
  </si>
  <si>
    <t>Total</t>
  </si>
  <si>
    <t>CONSERJE    (26, 28 y 30 DICIEMBRE 2022)</t>
  </si>
  <si>
    <t>CFE  (19 OCTUBRE  2022 A 20 DICIEMBRE 2022)</t>
  </si>
  <si>
    <t>CONSERJE    (02, 04 y 06 ENERO 2023)</t>
  </si>
  <si>
    <t>INGENIERIA APLICADA (RECOL.BASURA OCTUBRE 2022)</t>
  </si>
  <si>
    <t>INGENIERIA APLICADA (RECOL.BASURA NOVIEMBRE 2022)</t>
  </si>
  <si>
    <t>INGENIERIA APLICADA (RECOL.BASURA DICIEMBRE 2022)</t>
  </si>
  <si>
    <t>TELMEX  (NOVIEMBRE Y DICIEMBRE 2022)</t>
  </si>
  <si>
    <t xml:space="preserve">REEMPLAZO DE FOCO DE LUMINARIA  ENTRE CASA 14 Y 17  </t>
  </si>
  <si>
    <t>CONSERJE    (16 , 18 Y 20 DE ENERO 2023)</t>
  </si>
  <si>
    <t>CONSERJE    (09 , 11 Y 13 DE ENERO 2023)</t>
  </si>
  <si>
    <t>PROCESO LEGAL DAÑO CERCA ELÉCTRICA, ÁREAS VERDES Y REJA DEL CONDOMINIO)</t>
  </si>
  <si>
    <t>CEA   (09 NOV 2022 A 07 DIC 2022)</t>
  </si>
  <si>
    <t>CONSERJE    (23, 25 Y 27 ENERO 2023)</t>
  </si>
  <si>
    <t>JARDINERIA (PODA 30-ENE-23)</t>
  </si>
  <si>
    <t>CONSERJE (30 DE ENERO, 1 Y 3 DE FEBRERO)</t>
  </si>
  <si>
    <t xml:space="preserve">DEVOLUCIÓN DE DEPÓSITO DE GARANTÍA A CASA 60 POR USO DE ÁREAS VERDES </t>
  </si>
  <si>
    <t>CONSERJE    ( 6, 7 Y 10 DE FEBRERO 2023)</t>
  </si>
  <si>
    <t>PAPELERIA (HOJAS TAMAÑO OFICIO, CARTA Y PROTECTORES DE HOJAS)</t>
  </si>
  <si>
    <t>CONSERJE    (13, 15 Y 17 DE FEBRERO 2022)</t>
  </si>
  <si>
    <t xml:space="preserve">DEVOLUCIÓN DE DEPÓSITO DE GARANTÍA A CASA 32 POR USO DE ÁREAS VERDES </t>
  </si>
  <si>
    <t>CEA   (07 DIC 2022 A 11 ENE 2023)</t>
  </si>
  <si>
    <t>CONSERJE    (20, 22 Y 24 DE  FEBRERO 2023)</t>
  </si>
  <si>
    <t>CFE  (20 DICIEMBRE 2022 A 16 FEBRERO 2023)</t>
  </si>
  <si>
    <t>CONSERJE   (27 DE FEB, 1 Y 3 DE MARZO 2023)</t>
  </si>
  <si>
    <t>INGENIERIA APLICADA (RECOL. BASURA ENERO 2023)</t>
  </si>
  <si>
    <t>INGENIERIA APLICADA (RECOL. BASURA FEBRERO 2023)</t>
  </si>
  <si>
    <t>CONSERJE   (06, 08 Y 10 DE MARZO 2023)</t>
  </si>
  <si>
    <t>COMPRA DE TINTA IMPRESORA ADMINISTRACIÓN (SE HACE REEMBOLSO DE $104.00)</t>
  </si>
  <si>
    <t>REPARACIÓN DE FUGA DE AGUA EN EL EXTERIOR  (FIRMA GARANTÍA DE TRABAJO)</t>
  </si>
  <si>
    <t>CONSERJE   (13, 15 Y  17  DE MARZO 2023)</t>
  </si>
  <si>
    <t>CONSERJE   (20, 22 Y 24 DE MARZO 2023)</t>
  </si>
  <si>
    <t>CEA   (11 ENE 2023 A 09 FEBRERO 2023)</t>
  </si>
  <si>
    <t>PROCESO DE COBRANZA JUDICIAL</t>
  </si>
  <si>
    <t xml:space="preserve">JARDINERIA   (PODA 30 DE MARZO 2023) </t>
  </si>
  <si>
    <t>CONSERJE   (27, 29 Y 31 DE MARZO 2023)</t>
  </si>
  <si>
    <t>CONSERJE   (03, 04  Y 05 ABRIL 2023)</t>
  </si>
  <si>
    <t>INGENIERIA APLICADA (RECOL. BASURA MARZO 2023)</t>
  </si>
  <si>
    <t>TELMEX  (ENERO, FEBRERO Y MARZO 2023)</t>
  </si>
  <si>
    <t>CONSERJE   (10, 12 Y 14 DE ABRIL 2023)</t>
  </si>
  <si>
    <t>CONSERJE   (17, 19 Y 21 DE ABRIL 2023)</t>
  </si>
  <si>
    <t>CEA   (09 FEBRERO 2023 A 03 MARZO 2023)</t>
  </si>
  <si>
    <t>CONSERJE   (24, 26 Y 28 DE ABRIL 2023)</t>
  </si>
  <si>
    <t>CFE  (16 FEBRERO 2023 A 18 ABRIL 2023)</t>
  </si>
  <si>
    <t>SERVICIO PIPA AGUA TRATADA ÁREAS VERDES 1,3,8,11 Y 18 DE MARZO (20 MIL LTS)</t>
  </si>
  <si>
    <t xml:space="preserve">JARDINERIA   (PODA 20 DE ABRIL 2023) </t>
  </si>
  <si>
    <t>CONSERJE   (01, 03 Y 05 DE MAYO 2023)</t>
  </si>
  <si>
    <t>INGENIERIA APLICADA (RECOL. BASURA ABRIL 2023)</t>
  </si>
  <si>
    <t>CONSERJE   (08, 10 Y  12 DE MAYO 2023)</t>
  </si>
  <si>
    <t>SERVICIO DE PIPA AGUA TRATADA ÁREAS VERDES 29 DE MAR, 1,5,26,29 DE ABR (20 MIL LTS)</t>
  </si>
  <si>
    <t>CONSERJE   (15, 17 Y 19 DE MAYO 2023)</t>
  </si>
  <si>
    <t>TELMEX  ( ABRIL Y MAYO 2023)</t>
  </si>
  <si>
    <t>CEA   (03 MARZO 2023 A 12 ABRIL 2023)</t>
  </si>
  <si>
    <t>CONSERJE   (22, 24 Y 26 DE MAYO 2023)</t>
  </si>
  <si>
    <t>CONSERJE   (29 , 31 MAYO Y 02 DE JUNIO 2023)</t>
  </si>
  <si>
    <t xml:space="preserve">JARDINERIA   (PODA 18 DE MAYO 2023) </t>
  </si>
  <si>
    <t>INGENIERIA APLICADA (RECOL. BASURA MAYO 2023)</t>
  </si>
  <si>
    <t>CONSERJE   (05, 07 Y 09 DE JUNIO 2023)</t>
  </si>
  <si>
    <t>SERVICIO DE PIPA AGUA TRATADA ÁREAS VERDES 17 MAYO  (20 MIL LTS)</t>
  </si>
  <si>
    <t>CONSERJE   (12, 14 Y 16 DE JUNIO 2023)</t>
  </si>
  <si>
    <t>CEA (12 ABRIL 2023 A 05 MAYO 2023)</t>
  </si>
  <si>
    <t>CONSERJE   (19, 21 Y 23 DE JUNIO 2023)</t>
  </si>
  <si>
    <t>CFE  (18 ABRIL 2023 A 19 JUNIO 2023)</t>
  </si>
  <si>
    <t>CONSERJE  (26, 28 Y 30 DE JUNIO 2023)</t>
  </si>
  <si>
    <t>CONSERJE   (3, 5 Y 7 DE JULIO 2023)</t>
  </si>
  <si>
    <t xml:space="preserve">JARDINERIA   (PODA 27 DE JUNIO 2023) </t>
  </si>
  <si>
    <t>SERVICIO DE PIPA AGUA TRATADA ÁREAS VERDES  14, 21 Y 28 DE JUNIO   (20 MIL LTS)</t>
  </si>
  <si>
    <t>INGENIERIA APLICADA (RECOL. BASURA JUNIO 2023)</t>
  </si>
  <si>
    <t>CONSERJE  (10, 12 y 14 DE JULIO 2023)</t>
  </si>
  <si>
    <t>CEA (05 MAYO 2023 A 06 JUNIO 2023)</t>
  </si>
  <si>
    <t>CONSERJE  (17, 19 Y  21 DE JULIO 2023)</t>
  </si>
  <si>
    <t>PAGO DE LONA PARA PROPIETARIOS DE COBRANZA  (PARA COLOCAR EN AGOSTO)</t>
  </si>
  <si>
    <t>CONSERJE  (24, 26 Y 28 DE  JULIO 2023)</t>
  </si>
  <si>
    <t xml:space="preserve">JARDINERIA   (PODA 20 DE JULIO 2023) </t>
  </si>
  <si>
    <t>CONSERJE   (31 JULIO , 2 Y  4 AGOSTO 2023)</t>
  </si>
  <si>
    <t>SERVICIO PIPA DE  AGUA TRATADA  PARA ÁREAS VERDES  19 DE JULIO   (20 MIL LTS)</t>
  </si>
  <si>
    <t>TELMEX  ( JUNIO Y JULIO 2023)</t>
  </si>
  <si>
    <t>COPIAS DE EXPEDIENTE (PROCESOS LEGALES)</t>
  </si>
  <si>
    <t xml:space="preserve">CONSERJE   (07, 09 Y  11 DE AGOSTO 2023) </t>
  </si>
  <si>
    <t>INGENIERIA APLICADA (RECOL. BASURA JULIO 2023)</t>
  </si>
  <si>
    <t>CONSERJE   (14, 16 Y 18 DE AGOSTO 2023)</t>
  </si>
  <si>
    <t xml:space="preserve">1er.-PAGO PARCIAL CEA PERIODO (06 JUNIO A 07 JULIO  2023) </t>
  </si>
  <si>
    <t xml:space="preserve">2do.-PAGO LIQUIDACIÓN CEA PERIODO (06 JUNIO A 07 JULIO  2023) </t>
  </si>
  <si>
    <t>CFE  (19 JUNIO 2023 A 21 AGOSTO 2023)</t>
  </si>
  <si>
    <t>CONSERJE   (21, 23, 25, 28, 30 AGOSTO Y 1 SEPTIEMBRE 2023)</t>
  </si>
  <si>
    <t>CONSERJE   (4, 6 Y 8  SEPTIEMBRE 2023)</t>
  </si>
  <si>
    <t>CONSERJE   (11, 13 Y 15  SEPTIEMBRE 2023)</t>
  </si>
  <si>
    <t>INGENIERIA APLICADA (RECOL. BASURA AGOSTO 2023)</t>
  </si>
  <si>
    <t xml:space="preserve">JARDINERIA   (PODA 19 DE AGOSTO 2023) </t>
  </si>
  <si>
    <t>CONSERJE   (18, 20 Y 22  SEPTIEMBRE 2023)</t>
  </si>
  <si>
    <t xml:space="preserve">1er.-PAGO PARCIAL CEA PERIODO (07 JULIO A 08 AGOSTO  2023) </t>
  </si>
  <si>
    <t xml:space="preserve">2do.-PAGO CEA PERIODO (07 JULIO  A 08 AGOSTO  2023) </t>
  </si>
  <si>
    <t>CONSERJE    (25, 27 y 29  SEPTIEMBRE 2023)</t>
  </si>
  <si>
    <t>CONSERJE (2, 4, Y 6 OCTUBRE 2023)</t>
  </si>
  <si>
    <t>REPARACIÓN DE CHAPA PUERTA PEATONAL (10 DE OCTUBR3 2023)</t>
  </si>
  <si>
    <t>SERVICIO PIPA DE  AGUA TRATADA  PARA ÁREAS VERDES  16 DE AGO 2023 (20 MIL LTS)</t>
  </si>
  <si>
    <t xml:space="preserve">DEVOLUCIÓN DE DEPÓSITO GARANTÍA A CASA 60 (USO DE ÁREAS VERDES) </t>
  </si>
  <si>
    <t>CONSERJE (11 Y 13 OCTUBRE 2023)</t>
  </si>
  <si>
    <t xml:space="preserve">JARDINERIA   (PODA 11 DE SEPTIEMBRE 2023) </t>
  </si>
  <si>
    <t>INGENIERIA APLICADA (RECOL.BASURA SEPTIEMBRE 2023)</t>
  </si>
  <si>
    <t>CONSERJE (16, 18 Y 20 OCTUBRE 2023)</t>
  </si>
  <si>
    <t xml:space="preserve">1er.-PAGO CEA PERIODO (08 AGOSTO  A 06 SEPTIEMBRE  2023) </t>
  </si>
  <si>
    <t>CONSERJE   (23, 25, 27, 30 OCTUBRE  Y 01 Y 03 DE NOVIEMBRE 2023)</t>
  </si>
  <si>
    <t>CONSERJE   (6, 8, Y 10  NOVIEMBRE 2023)</t>
  </si>
  <si>
    <t>INGENIERIA APLICADA (RECOL.BASURA OCTUBRE 2023)</t>
  </si>
  <si>
    <t>INGENIERIA APLICADA (RECOL.BASURA DE 5 DÍAS DE NOVIEMBRE 2023)</t>
  </si>
  <si>
    <t xml:space="preserve">2do.-PAGO CEA PERIODO (08 AGOSTO  A 06 SEPTIEMBRE  2023) </t>
  </si>
  <si>
    <t>CONSERJE   (11, 13,15 Y 17 NOVIEMBRE 2023)</t>
  </si>
  <si>
    <t>CONSERJE   (20, 22 Y 24 NOVIEMBRE 2023)</t>
  </si>
  <si>
    <t>CONSERJE   (27, 29 DE  NOVIEMBRE Y 01 DE DICIEMBRE 2023)</t>
  </si>
  <si>
    <t xml:space="preserve">JARDINERIA   (PODA 20 DE OCTUBRE 2023) </t>
  </si>
  <si>
    <t>2do.PAGO CEA   (06 SEPTIEMBRE 2023 A  06 OCTUBRE 2023 )</t>
  </si>
  <si>
    <t>IMPRENTA RECIBOS CUOTAS MANTENIMIENTO</t>
  </si>
  <si>
    <t>CONSERJE   (EL 04 SE QUEDÓ MÁS HORAS, 06 Y 08 DIC 2023)</t>
  </si>
  <si>
    <t>CARTUCHOS DE TINTA IMPRESORA</t>
  </si>
  <si>
    <t>CONSERJE   (11, 13 Y 15  DIC 2023)</t>
  </si>
  <si>
    <t xml:space="preserve">JARDINERIA   (PODA 05 DE DICIEMBRE 2023) </t>
  </si>
  <si>
    <t>CONSERJE (15 SOLO CUBRIO UN PAR DE HORAS, 18, 20 Y 22 DIC 2023)</t>
  </si>
  <si>
    <t xml:space="preserve">1er.-PAGO CEA PERIODO (06 OCTUBRE A 09 NOVIEMBRE  2023) </t>
  </si>
  <si>
    <t>CONSERJE   (25, 27 Y 29  DIC 2023)</t>
  </si>
  <si>
    <t>CONSERJE    (03 Y 05 ENERO 2024)</t>
  </si>
  <si>
    <t>1er.PAGO CEA LIQUIDACIÓN  (06 OCTUBRE 2023 A  09 NOVIEMBRE 2023)</t>
  </si>
  <si>
    <t>CONSERJE    (08, 10 Y 12 DE ENERO 2024)</t>
  </si>
  <si>
    <t>CFE  (19 OCTUBRE  2023 A 18 DICIEMBRE 2023)</t>
  </si>
  <si>
    <t>CONSERJE    (15 , 17 Y 19 DE ENERO 2024)</t>
  </si>
  <si>
    <t>2do.PAGO CEA PAGO EN UNA SOLA EXHIBICIÓN(06 OCTUBRE 2023 A  09 NOVIEMBRE 2023)</t>
  </si>
  <si>
    <t>CONSERJE    (22, 24 Y 26 ENERO 2024)</t>
  </si>
  <si>
    <t>CONSERJE (29, 31 DE ENERO Y 02 DE FEBRERO)</t>
  </si>
  <si>
    <t>CONSERJE    ( 05, 07 Y 09 DE FEBRERO 2024)</t>
  </si>
  <si>
    <t>CONSERJE    ( 12, 14 Y 16 DE FEBRERO 2024)</t>
  </si>
  <si>
    <t>CEA   (07 DIC 2023 A 08 ENE 2024)</t>
  </si>
  <si>
    <t>CONSERJE    (19, 21 Y 23 DE  FEBRERO 2024)</t>
  </si>
  <si>
    <t>REPARACIÓN DE CÁMARA EN ÁREA VERDE</t>
  </si>
  <si>
    <t xml:space="preserve">JARDINERIA   (PODA 19 DE FEBRERO 2024) </t>
  </si>
  <si>
    <t>RIEGO</t>
  </si>
  <si>
    <t>V. ABOGADO</t>
  </si>
  <si>
    <t>V. ADMINISTRACION</t>
  </si>
  <si>
    <t>ABONO V. ADMINISTRACION</t>
  </si>
  <si>
    <t>V. ADMINISTRACION ABRIL</t>
  </si>
  <si>
    <t>V. ADMINISTRACION MAYO</t>
  </si>
  <si>
    <t>V. ADMINISTRACION JUNIO</t>
  </si>
  <si>
    <t>V. CAMARAS</t>
  </si>
  <si>
    <t>V. CAMARAS VIDEO</t>
  </si>
  <si>
    <t>DISCO DURO V. CAMARAS</t>
  </si>
  <si>
    <t>V. CAMARAS TERCER PAGO</t>
  </si>
  <si>
    <t>ULTIMO PAGO V. CAMARAS</t>
  </si>
  <si>
    <t>V. CERCA ELECTRICA</t>
  </si>
  <si>
    <t>V. CERRAJERIA</t>
  </si>
  <si>
    <t>V. CERRAJERIA JOSE HILARIO AYALA HERNANDEZ (DETALLE DE CFDI)</t>
  </si>
  <si>
    <t>V. BALANCE CONTABLE</t>
  </si>
  <si>
    <t>V. CHEQUE</t>
  </si>
  <si>
    <t>V. CHEQUE PAGADO NO. 98</t>
  </si>
  <si>
    <t>V. CHEQUE PAGADO NO. 97</t>
  </si>
  <si>
    <t>V. CHEQUE PAGADO 99</t>
  </si>
  <si>
    <t>V. CHEQUE PAGADO NO. 101</t>
  </si>
  <si>
    <t>V. CHEQUE PAGADO NO. 102</t>
  </si>
  <si>
    <t>V. CHEQUE PAGADO NO. 103</t>
  </si>
  <si>
    <t>V. CHEQUE PAGADO NO. 104</t>
  </si>
  <si>
    <t xml:space="preserve">RFC CUENTA DE DEPÓSITO: REOR55111585A (V. CHEQUE 108)  </t>
  </si>
  <si>
    <t>V. CHEQUE PAGADO NO. 110</t>
  </si>
  <si>
    <t>V. COM. CHQ. LIBRADOS PAGADOS</t>
  </si>
  <si>
    <t>V. CONSOLA / CONTROLES</t>
  </si>
  <si>
    <t>V. COPIAS ESTADOS DE CUENTA</t>
  </si>
  <si>
    <t>V. DEPOSITOS A CUENTA 1455228174</t>
  </si>
  <si>
    <t>V. DEPOSITOS A CUENTA ***3693</t>
  </si>
  <si>
    <t>V. DEPOSITOS A CUENTA 0001517322 JENNIFER CABRERA</t>
  </si>
  <si>
    <t>V. DEPOSITOS A CUENTA 0170850187</t>
  </si>
  <si>
    <t>V. DEPOSITOS A CUENTA 0147364954</t>
  </si>
  <si>
    <t>V. DEPOSITOS A CUENTA 016695663</t>
  </si>
  <si>
    <t>V. DEPOSITOS A CUENTA 1187902425</t>
  </si>
  <si>
    <t>V. DEPOSITOS A CUENTA 1574811771</t>
  </si>
  <si>
    <t>V. DEPOSITOS A CUENTA 2852941333</t>
  </si>
  <si>
    <t>V. DEPOSITOS A CUENTA 409851301740</t>
  </si>
  <si>
    <t>JOSE MANUEL ALFARO MOLINA (V. DEPOSITOS A CUENTA 1455228174)</t>
  </si>
  <si>
    <t>V. DEPOSITOS A CUENTA 0002710856 PATRICIA</t>
  </si>
  <si>
    <t>V. DESPACHO JURIDICO</t>
  </si>
  <si>
    <t>V. DEVOLUCION DE DINERO DE PROVEEDORES</t>
  </si>
  <si>
    <t>V. DEVOLUCION DE GARANTIA DE CONSTRUCCION</t>
  </si>
  <si>
    <t>V. FUMIGACION</t>
  </si>
  <si>
    <t xml:space="preserve">V. FUMIGACION JULIO </t>
  </si>
  <si>
    <t>V. FUMIGACION AREA COMUN Y FRENTE</t>
  </si>
  <si>
    <t>V. IMPERMEABILIZACION FACHADA</t>
  </si>
  <si>
    <t>V. JESUS CASTILLO ARIAS</t>
  </si>
  <si>
    <t>V. LUMINARIAS</t>
  </si>
  <si>
    <t>CAMBIO V. LUMINARIAS, ARREGLO LIN</t>
  </si>
  <si>
    <t>REEMPLAZO DE V. LUMINARIAS/ ANTICIPO 70 %  (6 FOCOS LED EL 07 JULIO 2020)</t>
  </si>
  <si>
    <t>REEMPLAZO DE V. LUMINARIAS/ LIQUIDACIÓN 30 %   (6 FOCOS LED EL 07 JULIO 2020)</t>
  </si>
  <si>
    <t>REPARACIÓN DE V. LUMINARIAS (FRENTE A CASAS 31-32, 35-36 Y 43-44)</t>
  </si>
  <si>
    <t>V. MANTTO</t>
  </si>
  <si>
    <t>V. MANTTO. ELECTRICO</t>
  </si>
  <si>
    <t>V. MANTTO AGUA</t>
  </si>
  <si>
    <t>V. NOTARIA</t>
  </si>
  <si>
    <t>PAGO V. NOTARIA LUIS ENRIQUE OLVERA SEPTIEN</t>
  </si>
  <si>
    <t>REEMBOLSO DE PROTOCOLIZACION V. NOTARIA 7</t>
  </si>
  <si>
    <t>PODER V. NOTARIAL PARA COBRANZA V. NOTARIA 7  (DESPACHO)</t>
  </si>
  <si>
    <t>V. OTROS CONCEPTOS</t>
  </si>
  <si>
    <t>V. PAGO CUENTA DE TERCERO</t>
  </si>
  <si>
    <t>V. PAGO INTERBANCARIO TDC</t>
  </si>
  <si>
    <t>V. PAGOS EN EFECTIVO</t>
  </si>
  <si>
    <t>V. PAPELERIA</t>
  </si>
  <si>
    <t>V. PATRICIA</t>
  </si>
  <si>
    <t>V. PINTURA HERRERIA FACHADA</t>
  </si>
  <si>
    <t>V. PORTON</t>
  </si>
  <si>
    <t>V. PROCESOS LEGALES</t>
  </si>
  <si>
    <t>V. RECIBOS</t>
  </si>
  <si>
    <t>V. RECONEXIONES AGUA</t>
  </si>
  <si>
    <t>V. REGISTRO PUBLICO DE LA PROPIEDAD</t>
  </si>
  <si>
    <t>V. RESTAURACION FACHADA</t>
  </si>
  <si>
    <t>V. RETIRO EN EFECTIVO</t>
  </si>
  <si>
    <t>V. SAT</t>
  </si>
  <si>
    <t>F. CEA</t>
  </si>
  <si>
    <t>F. CFE</t>
  </si>
  <si>
    <t>F. CONSERJE</t>
  </si>
  <si>
    <t>F. IAPSA</t>
  </si>
  <si>
    <t>F. IVA CHQS LIBRADOS PAGADOS</t>
  </si>
  <si>
    <t>F. IVA SERV BANCA INTERNET</t>
  </si>
  <si>
    <t>F. JARDINERIA</t>
  </si>
  <si>
    <t>F. OPS SERV BCA IN</t>
  </si>
  <si>
    <t>F. RECOLECCION DE BASURA</t>
  </si>
  <si>
    <t>F. SERV BANCA INTERNET</t>
  </si>
  <si>
    <t>F. SPEI ENVIADO LIBERTAD</t>
  </si>
  <si>
    <t>F. TELMEX</t>
  </si>
  <si>
    <t>F. RIEGO PIPA AGUA TRATADA</t>
  </si>
  <si>
    <t>Saldo en cuenta -&gt;</t>
  </si>
  <si>
    <t>PAGO DE SERVICIO DE BASURA RED RECOLECTOR (MES DE DICIEMBRE)</t>
  </si>
  <si>
    <t>CFE  (18 DICIEMBRE 2023 A 16 FEBRERO 2024)</t>
  </si>
  <si>
    <t>CONSERJE   (26, 28 DE FEB Y 1 DE MARZO 2024)</t>
  </si>
  <si>
    <t>CONSERJE   (04, 06 Y 08 DE MARZO 2024)</t>
  </si>
  <si>
    <t>TELMEX  ( NOVIEMBRE, DICIEMBRE, ENERO Y FEBRERO 2024)</t>
  </si>
  <si>
    <t>CONSERJE   (11, 13 Y 15 DE MARZO 2024)</t>
  </si>
  <si>
    <t>CEA   (08 ENERO 2024 A 07 FEBRERO 2024)</t>
  </si>
  <si>
    <t>CONSERJE   (18, 20 Y 22 DE MARZO 2024)</t>
  </si>
  <si>
    <t>CONSERJE   (25 Y 27 MAR 2024)</t>
  </si>
  <si>
    <t>CONSERJE   (01, 03 Y 05 DE ABRIL 2024)</t>
  </si>
  <si>
    <t>CONSERJE   (08, 10 Y 12 DE ABRIL 2024)</t>
  </si>
  <si>
    <t>TELMEX  (MARZO 2024)</t>
  </si>
  <si>
    <t>MANTENIMIENTO EN REGISTROS DE CABLEADO DE LÁMPARAS</t>
  </si>
  <si>
    <t>CONSERJE   (15, 17 Y 19 DE ABRIL 2024)</t>
  </si>
  <si>
    <t>CEA   (07 FEBRERO 2024 A 06 MARZO 2024)</t>
  </si>
  <si>
    <t>CONSERJE   (22, 24 Y 26 DE ABRIL 2024)</t>
  </si>
  <si>
    <t>CFE  (16 FEBRERO 2024 A 17 ABRIL 2024)</t>
  </si>
  <si>
    <t xml:space="preserve">JARDINERIA   (PODA 05 DE ABRIL 2024) </t>
  </si>
  <si>
    <t>RED RECOLECTOR S.A. DE C.V. (RECOLECCIÓN DE BASURA MES DE ENE 2024)</t>
  </si>
  <si>
    <t>RED RECOLECTOR S.A. DE C.V. (RECOLECCIÓN DE BASURA MES DE FEB 2024)</t>
  </si>
  <si>
    <t>RED RECOLECTOR S.A. DE C.V. (RECOLECCIÓN DE BASURA MES DE MAR 2024)</t>
  </si>
  <si>
    <t>RED RECOLECTOR S.A. DE C.V. (RECOLECCIÓN DE BASURA MES DE ABR 2024)</t>
  </si>
  <si>
    <t>CONSERJE   (29 DE ABRIL , 01, 02, 03, 06, 07, 08 Y 10 DE MAYO 2024)</t>
  </si>
  <si>
    <t>CONSERJE   (13, 15 Y 17 DE MAYO 2024)</t>
  </si>
  <si>
    <t>SERVICIO DE PIPA AGUA TRATADA ÁREAS VERDES 2, 6, 13 Y 15  (2 VIAJE POR DÍA);
 7, 8, 9 Y 10 DE MAY  (1 VIAJE POR DÍA) DE 10 MIL LTS)</t>
  </si>
  <si>
    <t>REPARACIÓN DE CÁMARA POR GOLPE</t>
  </si>
  <si>
    <t>ROLLO PASTO PARA PRUEBA PILOTO</t>
  </si>
  <si>
    <t>CONSERJE   (20, 22, Y 24 DE MAYO 2024)</t>
  </si>
  <si>
    <t>CEA   (06 MARZO 2024 A 05 ABRIL 2024)</t>
  </si>
  <si>
    <t xml:space="preserve">JARDINERIA   (PODA 30 DE MAYO 2024) </t>
  </si>
  <si>
    <t>SERVICIO DE PIPA AGUA TRATADA ÁREAS VERDES 17-31 MAYO  (10 MIL LTS)</t>
  </si>
  <si>
    <t>CONSERJE   (29 , 31 MAYO, 03 Y 05 DE JUNIO 2024)</t>
  </si>
  <si>
    <t>TELMEX  (MAYO 2024)</t>
  </si>
  <si>
    <t>REMPLAZO DE 2 FOTO CELDAS DE LUMINARIAS (EXTERIOR)</t>
  </si>
  <si>
    <t>SERVICIO DE PIPA AGUA TRATADA ÁREAS VERDES 04-13 JUNIO (10 MIL LTS)</t>
  </si>
  <si>
    <t>CEA (05 ABRIL 2024 A 08 MAYO 2024)</t>
  </si>
  <si>
    <t>CONSERJE   (10, 12 Y 14 DE JUNIO 2024)</t>
  </si>
  <si>
    <t>RED RECOLECTOR S.A. DE C.V. (RECOLECCIÓN DE BASURA MES DE MAY 2024)</t>
  </si>
  <si>
    <t>CONSERJE   (17, 19 Y 21 DE JUNIO 2024)</t>
  </si>
  <si>
    <t>CONSERJE   (24, 26 Y 28 DE JUNIO 2024)</t>
  </si>
  <si>
    <t>SERVICIO DE PIPA AGUA TRATADA ÁREAS VERDES 17 Y 19 JUNIO (10 MIL LTS)</t>
  </si>
  <si>
    <t>CFE  (17 ABRIL 2024 A 18 JUNIO 2024)</t>
  </si>
  <si>
    <t>CONSERJE   (1 Y 5 DE JULIO 2024)</t>
  </si>
  <si>
    <t>RED RECOLECTOR S.A. DE C.V. (RECOLECCIÓN DE BASURA MES DE JUN 2024)</t>
  </si>
  <si>
    <t>TELMEX  (JUNIO 2024)</t>
  </si>
  <si>
    <t>CEA (08 MAYO 2024 A 05 JUNIO 2024)</t>
  </si>
  <si>
    <t xml:space="preserve">JARDINERIA   (PODA 05 Y 06 DE JULIO 2024) </t>
  </si>
  <si>
    <t>CAMBIO DE BATERIAS DE PORTÓN PARA CONTROL DE ACCESO CUANDO NO HAY LUZ</t>
  </si>
  <si>
    <t>CONSERJE  (10, 12, 15, 17 Y 19 DE  JULIO 2024)</t>
  </si>
  <si>
    <t>CEA PAGO DE MACROMEDIDOR ($20,416.00) Y PAGO DE INSTALACIÓN ($1,637.00)</t>
  </si>
  <si>
    <t>TELMEX  ( JULIO 2024)</t>
  </si>
  <si>
    <t xml:space="preserve">CONSERJE   (23, 30 JULIO Y 02 DE AGOSTO 2024) </t>
  </si>
  <si>
    <t>RED RECOLECTOR S.A. DE C.V. (RECOLECCIÓN DE BASURA MES DE JULIO 2024)</t>
  </si>
  <si>
    <t>REPARACIÓN DE CERCA ELÉCTRICA (ÁREA DE CONTENEDOR DE BASURA, PORTÓN, CASETA Y PARTE LATERAL DE AV. ANDAMAXEI)</t>
  </si>
  <si>
    <t>DEVOLUCIÓN DE GARANTÍA DE CONSTRUCCIÓN (CASA 73)</t>
  </si>
  <si>
    <t xml:space="preserve">CONSERJE   (06, 08 Y 10 DE AGOSTO 2024) </t>
  </si>
  <si>
    <t>CEA (05 JUNIO 2024 A 04 JULIO 2024)</t>
  </si>
  <si>
    <t xml:space="preserve">CONSERJE   (17, 20 Y 24 DE AGOSTO 2024 Y HORAS EXTRAS 17 Y 24) </t>
  </si>
  <si>
    <t>DESHIERBE DE ÁREAS VERDES (16 AGOSTO 2 HRS) Y (19, 21 Y 23 DE AGOSTO 4 HRS POR DÍA)</t>
  </si>
  <si>
    <t>CFE  (18 JUNIO 2024 A 20 AGOSTO 2024)</t>
  </si>
  <si>
    <t>TELMEX  ( AGOSTO 2024)</t>
  </si>
  <si>
    <t xml:space="preserve">JARDINERIA   (PODA 29 DE JULIO Y  PODA DE ÁRBOLES EL 31-JULIO) </t>
  </si>
  <si>
    <t xml:space="preserve">JARDINERIA   (PODA 16 DE AGOSTO 2024) </t>
  </si>
  <si>
    <t>RED RECOLECTOR S.A. DE C.V. (RECOLECCIÓN DE BASURA MES DE AGOSTO 2024)</t>
  </si>
  <si>
    <t>CONSERJE 27 Y 31 AGOSTO Y LAVADO DE CONTENEDOR DE BASURA ( 2 DÍAS 2024)</t>
  </si>
  <si>
    <t>DICTAMEN DE FACTIBILIDAD DE TALA ÁRBOLES</t>
  </si>
  <si>
    <t>DESHIERBE DE ÁREAS VERDES (ASISTEN 3 PERSONAS  X 3 DÍAS)</t>
  </si>
  <si>
    <t xml:space="preserve">1er.-PAGO PARCIAL CEA PERIODO (04 JULIO A 07 AGOSTO  2024) </t>
  </si>
  <si>
    <t>CONSERJE   (06,16 Y 21  SEPTIEMBRE 2024)</t>
  </si>
  <si>
    <t>COMPRA DE TARJETA ELECTRÓNICA DE PORTÓN AUTOMÁTICO</t>
  </si>
  <si>
    <t>DESHIERBE ÁREAS VERDES COMUNES</t>
  </si>
  <si>
    <t>RED RECOLECTOR S.A. DE C.V.(RECOLECCIÓN DE BASURA MES DE SEP 2024)</t>
  </si>
  <si>
    <t>CONSERJE (2 Y 5 OCTUBRE 2024)</t>
  </si>
  <si>
    <t>TELMEX  ( SEPTIEMBRE 2024)</t>
  </si>
  <si>
    <t>JARDINERIA   (PODA 24 DE SEPTIEMBRE 2024 + COSTO ADICIONAL POR CRECIMIENTO)</t>
  </si>
  <si>
    <t xml:space="preserve">2do.-PAGO CEA PERIODO  (04 JULIO A 07 AGOSTO  2024) </t>
  </si>
  <si>
    <t>RED RECOLECTOR S.A. DE C.V.(RECOLECCIÓN DE BASURA MES DE OCT 2024)</t>
  </si>
  <si>
    <t>TELMEX  (OCTUBRE 2024)</t>
  </si>
  <si>
    <t xml:space="preserve">1er.-PAGO CEA PERIODO (07 AGOSTO A 06 SEPTIEMBRE  2024) </t>
  </si>
  <si>
    <t xml:space="preserve">2do.-PAGO CEA PERIODO (07 AGOSTO A 06 SEPTIEMBRE  2024) </t>
  </si>
  <si>
    <t>RED RECOLECTOR S.A. DE C.V.(RECOLECCIÓN DE BASURA MES DE NOV 2024)</t>
  </si>
  <si>
    <t>JARDINERIA   (PODA 30 DE OCTUBRE 2024)</t>
  </si>
  <si>
    <t>TELMEX  (NOVIEMBRE 2024)</t>
  </si>
  <si>
    <t>SERVICIO DE PIPA AGUA TRATADA ÁREAS VERDES 17,23,25,28 Y 30 OCT (10 MIL LTS)</t>
  </si>
  <si>
    <t>CFE  (21 OCTUBRE 2024 A 18 DICIEMBRE 2024)</t>
  </si>
  <si>
    <t>1er.PAGO CEA LIQUIDACIÓN  (06 SEPTIEMBRE 2024 A  04 OCTUBRE 2024)</t>
  </si>
  <si>
    <t>RED RECOLECTOR S.A. DE C.V.(RECOLECCIÓN DE BASURA MES DE DIC 2024)</t>
  </si>
  <si>
    <t>TELMEX  (DICIEMBRE 2024)</t>
  </si>
  <si>
    <t>JARDINERIA   (PODA 27 DE NOVIEMBRE 2024)</t>
  </si>
  <si>
    <t>2do.PAGO CEA PAGO EN UNA SOLA EXHIBICIÓN  ( 04 OCTUBRE 2024 A 06 NOVIEMBRE 2024)</t>
  </si>
  <si>
    <t>SERVICIO DE PIPA AGUA TRATADA ÁREAS VERDES 6,8,11,15,18,20,22 Y 27 NOV (10 MIL LTS)</t>
  </si>
  <si>
    <t>3er.PAGO CEA LIQUIDACIÓN  (06 NOVIEMBRE 2024 A  06 DICIEMBRE 2024)</t>
  </si>
  <si>
    <t>TELMEX  (ENERO 2025)</t>
  </si>
  <si>
    <t>PAGO DE SERVICIO DE BASURA RED RECOLECTOR (MES DE ENERO)</t>
  </si>
  <si>
    <t>1er.PAGO CEA LIQUIDACIÓN  (06 DICIEMBRE 2024 A  08 ENERO 2025)</t>
  </si>
  <si>
    <t>PERIODO DIC 2019 A ENERO 2025</t>
  </si>
  <si>
    <t>REEMBOLSO A JENNIFER PAGÓ RECIBO CFE (18-DIC-24  A 17-FEB-25)</t>
  </si>
  <si>
    <t>SERVICIO DE PIPA AGUA TRATADA ÁREAS VERDES 18, 21 Y 30 DIC 2024  (10 MIL LTS)</t>
  </si>
  <si>
    <t>TELMEX  (FEBRERO 2025)</t>
  </si>
  <si>
    <t>CONSERJE (03, 04, 08, 11, 15 Y 18 DE ENE 2025) ADICIONALES CONTENEDOR(04,11 Y 18)</t>
  </si>
  <si>
    <t>CONSERJE 22, 25, 27 Y 29 DE ENERO 2025)ADICIONAL RETIRO ADORNOS NAVIDEÑOS (25)</t>
  </si>
  <si>
    <t>PAGO DE SERVICIO DE BASURA RED RECOLECTOR (MES DE FEBRERO 2025)</t>
  </si>
  <si>
    <t xml:space="preserve">1er.-PAGO PARCIAL CEA PERIODO (08 ENERO A 10 FEBRERO 2025) </t>
  </si>
  <si>
    <t>JARDINERIA   (PODA 26 DE FEBRERO 2025)</t>
  </si>
  <si>
    <t>PAGO DE SERVICIO DE BASURA OBED (MES DE MARZO 2025)</t>
  </si>
  <si>
    <t>SERVICIO  PIPA AGUA TRATADA ÁREAS VERDES 01,05,12,15,19,22 Y 28 FEB 2025  (10 MIL LTS)</t>
  </si>
  <si>
    <t>CFE  (17 FEBRERO 2025 A 16 ABRIL 2025)</t>
  </si>
  <si>
    <t>TELMEX  (ABRIL 2025)</t>
  </si>
  <si>
    <t>CEA 2do PAGO: LIQUIDACIÓN DE RECIBO (08 ENE A 10 FEB 2025)</t>
  </si>
  <si>
    <t>PAGO DE SERVICIO DE BASURA OBED (MES DE ABRIL 2025)</t>
  </si>
  <si>
    <t xml:space="preserve">1er.-PAGO PARCIAL CEA PERIODO (10 FEBRERO A 06 MARZO 2025) </t>
  </si>
  <si>
    <t xml:space="preserve">JARDINERIA   (PODA 30 DE ABRIL 2025) </t>
  </si>
  <si>
    <t>CAMBIO DE CABLE DE SENSOR DE MASA DE PORTÓN (21-MAR-25)</t>
  </si>
  <si>
    <t>CONSERJE (01, 05, 08, 12, 15, 19, 22, 24, 25 FEB 2025) (ADICIONAL 25 ENE 2025)</t>
  </si>
  <si>
    <t>CONSERJE   (01, 05, 08, 09, 12, 15, 19, 22, 26 Y 29 MARZO 2025)</t>
  </si>
  <si>
    <t>TELMEX  (MAYO 2025)</t>
  </si>
  <si>
    <t>PAGO DE SERVICIO DE BASURA OBED (MES DE MAYO 2025)</t>
  </si>
  <si>
    <t>CEA 2do PAGO: LIQUIDACIÓN DE RECIBO (10 FEB A 06 MAR 2025)</t>
  </si>
  <si>
    <t>CFE  (16 ABRIL 2024 A 18 JUNIO 2025)</t>
  </si>
  <si>
    <t>PAGO DE SERVICIO DE BASURA OBED (MES DE JUNIO 2025)</t>
  </si>
  <si>
    <t>TELMEX  (JUNIO 2025)</t>
  </si>
  <si>
    <t>SERVICIO DE PIPA AGUA TRATADA ÁREAS VERDES 5,7,19,21,28 MARZO Y 02 ABRIL 2025  (10 MIL LTS)</t>
  </si>
  <si>
    <t>CEA PAGO DE RECIBO MAYO (06 MARZO AL 04 ABRIL)</t>
  </si>
  <si>
    <t>PAGO DE SERVICIO DE BASURA OBED (MES DE JULIO 2025)</t>
  </si>
  <si>
    <t>TELMEX  (JULIO 2025)</t>
  </si>
  <si>
    <t>SERVICIO DE PIPA AGUA TRATADA ÁREAS VERDES 30 ABR, 01,07 Y 09 MAYO 2025 (8 MIL LTS)</t>
  </si>
  <si>
    <t>1ER.-PAGO PARCIAL CEA PERIODO (04 ABRIL AL 07 DE MAYO 2025)</t>
  </si>
  <si>
    <t>CEA 2do PAGO: LIQUIDACIÓN DE RECIBO (04 ABRIL AL 07 DE MAYO 2025)</t>
  </si>
  <si>
    <t>PENALIZ SDO PROM MIN POR MANTENER SALDO INFERIOR AL MÍNIMO</t>
  </si>
  <si>
    <t>IVA PENALIZACIÓN SDO PROM 16%</t>
  </si>
  <si>
    <t>CFE  (18 JUNIO 2025 A 19 AGOSTO 2025)</t>
  </si>
  <si>
    <t>TELMEX  (AGOSTO 2025)</t>
  </si>
  <si>
    <t>PAGO DE SERVICIO DE BASURA OBED (MES DE AGOSTO 2025)</t>
  </si>
  <si>
    <t>1ER. PODA FRENTE DE CASAS Y ÁREA COMÚN (12-JUN-25)</t>
  </si>
  <si>
    <t>CONSERJE   (02, 05, 09, 12, 16, 19, 23, 26 Y 30 ABRIL 2025)</t>
  </si>
  <si>
    <t>CEA PERIODO (07 MAYO AL 09 DE JUNIO 2025)</t>
  </si>
  <si>
    <t>SERVICIO DE PIPA AGUA TRATADA ÁREAS VERDES 14 Y 16 MAYO 2025 (8 MIL LTS)</t>
  </si>
  <si>
    <t>2DA. PODA FRENTE DE CASAS Y ÁREAS VERDES</t>
  </si>
  <si>
    <t>REVISIÓN DE CÁMARAS CON FALLA VISUAL</t>
  </si>
  <si>
    <t>V. PENALIZACIÓN ESTADO PROMEDIO SALDO INFERIOR</t>
  </si>
  <si>
    <t>IVA PENALIZACIÓN ESTADO PRO. 16 %</t>
  </si>
  <si>
    <t xml:space="preserve">REEMPLAZO DE TEJUELO DEL PORTÓN  (14 ABR 2021) Y PAGO DE CAMBIO DE NOBREAK </t>
  </si>
  <si>
    <t>PAGO DE SERVICIO DE BASURA OBED (MES DE SEPTIEMBRE 2025)</t>
  </si>
  <si>
    <t>TELMEX  (SEPTIEMBRE 2025)</t>
  </si>
  <si>
    <t>CEA PERIODO (09 JUNIO AL 03 DE JULIO 2025)</t>
  </si>
  <si>
    <t>PODA ÁRBOLES Y RETIRO DE PINO SECO</t>
  </si>
  <si>
    <t>PODA FRENTE A CASA 57</t>
  </si>
  <si>
    <t>PODA FRENTE DE CASAS Y ÁREAS VERDES (28-JUL-2025)</t>
  </si>
  <si>
    <t>CONSERJE (02, 07, 10, 14, 17, 21, 24, 28 Y 31 MAYO 2025)</t>
  </si>
  <si>
    <t>PODA FRENTE DE CASAS Y ÁREAS VERDES (29-AGO-2025)</t>
  </si>
  <si>
    <t>CONSERJE (04, 07, 11, 14, 18 Y 25 JUNIO 2025)</t>
  </si>
  <si>
    <t>ARTES GRÁFICAS INDUSTRIALES (RECIBOS)</t>
  </si>
  <si>
    <t>DEVOLUCIÓN DEL DINERO A LA CASA 24 POR MEDIDOR, DEBÍA SER A LA CUENTA DEL PROVEEDOR</t>
  </si>
  <si>
    <t>FERRETERIA TORNILLOS TOMAS DE AGUA CAJA DE BANQUETA</t>
  </si>
  <si>
    <t>CFE  (19 AGOSTO 2025 A 20 OCTUBRE 2025)</t>
  </si>
  <si>
    <t>V. FERRETERIA</t>
  </si>
  <si>
    <t>DEVOLUCIÓN DEL DINERO A LA CASA 49 POR MEDIDOR, DEBÍA SER A LA CUENTA DEL PROVEEDOR</t>
  </si>
  <si>
    <t>TELMEX  (OCTUBRE 2025)</t>
  </si>
  <si>
    <t>PAGO DE SERVICIO DE BASURA OBED (MES DE OCTUBRE 2025)</t>
  </si>
  <si>
    <t>CEA PERIODO (03 JULIO AL 05 DE AGOSTO 2025)</t>
  </si>
  <si>
    <t>CEA PERIODO (05 AGOSTO AL 03 DE SEPTIEMBRE 2025)</t>
  </si>
  <si>
    <t>CONSERJE (02, 09, 12, 16, 19, 23, 26 Y 30 JULIO 2025)</t>
  </si>
  <si>
    <t>CONSERJE (02, 06, 09, 13, 16, 20, 23, 27 Y 30 AGOSTO 2025)</t>
  </si>
  <si>
    <t>CONSERJE (03, 06, 10, 13, 17, 20, 24 Y 27 SEPTEMBRE 2025)</t>
  </si>
  <si>
    <t>CONSERJE (01, 04, 08, 11, 15 Y 18 OCTUBRE 2025)</t>
  </si>
  <si>
    <t>PODA FRENTE DE CASAS Y ÁREAS VERDES (21-SEP-2025)</t>
  </si>
  <si>
    <t>PODA FRENTE DE CASAS Y ÁREAS VERDES (30-OCT-2025)</t>
  </si>
  <si>
    <t>DEVOLUCIÓN DE RETENSIONES SAT</t>
  </si>
  <si>
    <t>CONSERJE ( 22, 25 Y 29 OCTUBRE 2025)</t>
  </si>
  <si>
    <t>CONSERJE (01, 05, 08, 12, 15, 19  Y 22 NOVIEMBRE 2025)</t>
  </si>
  <si>
    <t>PAGO DE SERVICIO DE BASURA OBED (MES DE NOVIEMBRE 2025)</t>
  </si>
  <si>
    <t>CONSERJE (26 Y 29 NOVIEMBRE 2025)</t>
  </si>
  <si>
    <t>CEA PERIODO (03 SEPTIEMBRE AL 03 DE OCTUBRE 2025)</t>
  </si>
  <si>
    <t xml:space="preserve">ANTICIPO DEL 50%  CAMBIO DE TEJUELOS Y BIBELES , PROG. DE PORTÓN Y REPAR. SENSOR DE MASA </t>
  </si>
  <si>
    <t>MANTENIMIENTO PISTONES Y CAMBIO DE TORNILLOS</t>
  </si>
  <si>
    <t xml:space="preserve">LIQUIDACIÓN DEL 50%  CAMBIO DE TEJUELOS Y BIBELES , PROG. DE PORTÓN Y REPAR. SENSOR DE MASA </t>
  </si>
  <si>
    <t>CEA PERIODO (03 OCTUBRE AL 07 DE NOVIEMBRE 2025)</t>
  </si>
  <si>
    <t>CONSERJE (13, 17 Y 20 DICIEMBRE 2025)</t>
  </si>
  <si>
    <t>RECOLECCIÓN DE TILICHES (24 SEPTIEMBRE)</t>
  </si>
  <si>
    <t>FUMIGACIÓN</t>
  </si>
  <si>
    <t>V. TILICHES CONDOMINOS</t>
  </si>
  <si>
    <t>Fijos</t>
  </si>
  <si>
    <t>CEA</t>
  </si>
  <si>
    <t>Variables</t>
  </si>
  <si>
    <t>Año</t>
  </si>
  <si>
    <t>Egresos</t>
  </si>
  <si>
    <t>Ingresos</t>
  </si>
  <si>
    <t>Adeudos</t>
  </si>
  <si>
    <t>Egresos+Adeudo</t>
  </si>
  <si>
    <r>
      <t xml:space="preserve">1er.-PAGO </t>
    </r>
    <r>
      <rPr>
        <b/>
        <u/>
        <sz val="9"/>
        <color theme="1"/>
        <rFont val="Calibri"/>
        <family val="2"/>
        <scheme val="minor"/>
      </rPr>
      <t>CEA</t>
    </r>
    <r>
      <rPr>
        <u/>
        <sz val="9"/>
        <color theme="1"/>
        <rFont val="Calibri"/>
        <family val="2"/>
        <scheme val="minor"/>
      </rPr>
      <t xml:space="preserve"> PERIODOS (06 MAYO A 06 JUNIO  2022) </t>
    </r>
  </si>
  <si>
    <r>
      <t xml:space="preserve">2do.-PAGO </t>
    </r>
    <r>
      <rPr>
        <b/>
        <u/>
        <sz val="9"/>
        <color theme="1"/>
        <rFont val="Calibri"/>
        <family val="2"/>
        <scheme val="minor"/>
      </rPr>
      <t>CEA</t>
    </r>
    <r>
      <rPr>
        <u/>
        <sz val="9"/>
        <color theme="1"/>
        <rFont val="Calibri"/>
        <family val="2"/>
        <scheme val="minor"/>
      </rPr>
      <t xml:space="preserve"> PERIODOS (06 JUNIO A 06 JULIO  2022)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</si>
</sst>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164" formatCode="dd/mmm/yy"/>
    <numFmt numFmtId="165" formatCode="dd/mmm/yyyy"/>
    <numFmt numFmtId="166" formatCode="_-&quot;$&quot;* #,##0.0_-;\-&quot;$&quot;* #,##0.0_-;_-&quot;$&quot;* &quot;-&quot;??_-;_-@_-"/>
    <numFmt numFmtId="167" formatCode="&quot;$&quot;\ #,##0.00"/>
    <numFmt numFmtId="168" formatCode="&quot;$&quot;#,##0.00"/>
    <numFmt numFmtId="169" formatCode="&quot;$&quot;#,##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i/>
      <sz val="14"/>
      <color theme="1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i/>
      <sz val="11"/>
      <color rgb="FFFFC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u/>
      <sz val="11"/>
      <color rgb="FFC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BFCC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DDFC7"/>
        <bgColor indexed="64"/>
      </patternFill>
    </fill>
    <fill>
      <patternFill patternType="solid">
        <fgColor rgb="FF69E2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5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 style="medium">
        <color rgb="FF00B050"/>
      </left>
      <right/>
      <top/>
      <bottom/>
      <diagonal/>
    </border>
    <border>
      <left/>
      <right style="thick">
        <color rgb="FF002060"/>
      </right>
      <top/>
      <bottom/>
      <diagonal/>
    </border>
    <border>
      <left style="medium">
        <color rgb="FFFFC000"/>
      </left>
      <right style="medium">
        <color rgb="FFFFC000"/>
      </right>
      <top/>
      <bottom style="medium">
        <color rgb="FFFFC000"/>
      </bottom>
      <diagonal/>
    </border>
    <border>
      <left style="thick">
        <color rgb="FFC00000"/>
      </left>
      <right style="thick">
        <color rgb="FFC00000"/>
      </right>
      <top style="medium">
        <color rgb="FFC00000"/>
      </top>
      <bottom style="thick">
        <color rgb="FFC00000"/>
      </bottom>
      <diagonal/>
    </border>
    <border>
      <left style="thick">
        <color rgb="FFC00000"/>
      </left>
      <right style="thick">
        <color rgb="FF0070C0"/>
      </right>
      <top style="medium">
        <color rgb="FFC00000"/>
      </top>
      <bottom style="thick">
        <color rgb="FFC00000"/>
      </bottom>
      <diagonal/>
    </border>
    <border>
      <left style="thick">
        <color rgb="FF0070C0"/>
      </left>
      <right style="thick">
        <color rgb="FF002060"/>
      </right>
      <top style="medium">
        <color rgb="FF0070C0"/>
      </top>
      <bottom style="thick">
        <color rgb="FF0070C0"/>
      </bottom>
      <diagonal/>
    </border>
    <border>
      <left/>
      <right style="thick">
        <color rgb="FF0070C0"/>
      </right>
      <top/>
      <bottom/>
      <diagonal/>
    </border>
    <border>
      <left style="thick">
        <color rgb="FFC00000"/>
      </left>
      <right style="thick">
        <color rgb="FFC00000"/>
      </right>
      <top style="medium">
        <color rgb="FFFAB882"/>
      </top>
      <bottom/>
      <diagonal/>
    </border>
    <border>
      <left/>
      <right style="thick">
        <color rgb="FF0070C0"/>
      </right>
      <top style="medium">
        <color rgb="FFFAB882"/>
      </top>
      <bottom/>
      <diagonal/>
    </border>
    <border>
      <left/>
      <right style="thick">
        <color rgb="FF002060"/>
      </right>
      <top style="medium">
        <color rgb="FFFAB882"/>
      </top>
      <bottom/>
      <diagonal/>
    </border>
    <border>
      <left/>
      <right/>
      <top style="thick">
        <color rgb="FF007A37"/>
      </top>
      <bottom style="thick">
        <color rgb="FF007A37"/>
      </bottom>
      <diagonal/>
    </border>
    <border>
      <left style="thick">
        <color rgb="FF007A37"/>
      </left>
      <right/>
      <top style="thick">
        <color rgb="FF007A37"/>
      </top>
      <bottom style="thick">
        <color rgb="FF007A37"/>
      </bottom>
      <diagonal/>
    </border>
    <border>
      <left style="thick">
        <color rgb="FF007A37"/>
      </left>
      <right style="thick">
        <color rgb="FF007A37"/>
      </right>
      <top style="thick">
        <color rgb="FF007A37"/>
      </top>
      <bottom style="thick">
        <color rgb="FF007A37"/>
      </bottom>
      <diagonal/>
    </border>
    <border>
      <left style="thick">
        <color rgb="FF007A37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/>
    <xf numFmtId="0" fontId="0" fillId="3" borderId="0" xfId="0" applyFill="1"/>
    <xf numFmtId="164" fontId="3" fillId="4" borderId="1" xfId="0" applyNumberFormat="1" applyFont="1" applyFill="1" applyBorder="1" applyAlignment="1">
      <alignment horizontal="center"/>
    </xf>
    <xf numFmtId="16" fontId="3" fillId="4" borderId="1" xfId="0" applyNumberFormat="1" applyFont="1" applyFill="1" applyBorder="1"/>
    <xf numFmtId="0" fontId="4" fillId="4" borderId="1" xfId="0" applyFont="1" applyFill="1" applyBorder="1"/>
    <xf numFmtId="44" fontId="3" fillId="4" borderId="1" xfId="2" applyFont="1" applyFill="1" applyBorder="1"/>
    <xf numFmtId="164" fontId="3" fillId="0" borderId="0" xfId="0" applyNumberFormat="1" applyFont="1" applyAlignment="1">
      <alignment horizontal="center" vertical="center"/>
    </xf>
    <xf numFmtId="0" fontId="3" fillId="0" borderId="0" xfId="0" applyFont="1"/>
    <xf numFmtId="0" fontId="5" fillId="5" borderId="0" xfId="0" applyFont="1" applyFill="1"/>
    <xf numFmtId="0" fontId="5" fillId="6" borderId="0" xfId="0" applyFont="1" applyFill="1"/>
    <xf numFmtId="0" fontId="5" fillId="0" borderId="0" xfId="0" applyFont="1"/>
    <xf numFmtId="44" fontId="3" fillId="4" borderId="1" xfId="1" applyFont="1" applyFill="1" applyBorder="1"/>
    <xf numFmtId="7" fontId="3" fillId="4" borderId="1" xfId="1" applyNumberFormat="1" applyFont="1" applyFill="1" applyBorder="1"/>
    <xf numFmtId="164" fontId="3" fillId="4" borderId="1" xfId="0" applyNumberFormat="1" applyFont="1" applyFill="1" applyBorder="1"/>
    <xf numFmtId="16" fontId="4" fillId="4" borderId="1" xfId="0" applyNumberFormat="1" applyFont="1" applyFill="1" applyBorder="1"/>
    <xf numFmtId="164" fontId="4" fillId="4" borderId="1" xfId="0" applyNumberFormat="1" applyFont="1" applyFill="1" applyBorder="1"/>
    <xf numFmtId="0" fontId="5" fillId="7" borderId="0" xfId="0" applyFont="1" applyFill="1"/>
    <xf numFmtId="17" fontId="4" fillId="4" borderId="1" xfId="0" applyNumberFormat="1" applyFont="1" applyFill="1" applyBorder="1"/>
    <xf numFmtId="16" fontId="3" fillId="4" borderId="2" xfId="0" applyNumberFormat="1" applyFont="1" applyFill="1" applyBorder="1"/>
    <xf numFmtId="7" fontId="4" fillId="4" borderId="1" xfId="1" applyNumberFormat="1" applyFont="1" applyFill="1" applyBorder="1"/>
    <xf numFmtId="14" fontId="3" fillId="4" borderId="1" xfId="1" applyNumberFormat="1" applyFont="1" applyFill="1" applyBorder="1" applyAlignment="1">
      <alignment horizontal="center"/>
    </xf>
    <xf numFmtId="44" fontId="4" fillId="4" borderId="1" xfId="1" applyFont="1" applyFill="1" applyBorder="1"/>
    <xf numFmtId="164" fontId="3" fillId="8" borderId="0" xfId="0" applyNumberFormat="1" applyFont="1" applyFill="1" applyAlignment="1">
      <alignment horizontal="center" vertical="center"/>
    </xf>
    <xf numFmtId="164" fontId="3" fillId="9" borderId="0" xfId="0" applyNumberFormat="1" applyFont="1" applyFill="1" applyAlignment="1">
      <alignment horizontal="center" vertical="center"/>
    </xf>
    <xf numFmtId="164" fontId="3" fillId="10" borderId="0" xfId="0" applyNumberFormat="1" applyFont="1" applyFill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/>
    <xf numFmtId="164" fontId="7" fillId="4" borderId="1" xfId="0" applyNumberFormat="1" applyFont="1" applyFill="1" applyBorder="1"/>
    <xf numFmtId="44" fontId="6" fillId="4" borderId="1" xfId="1" applyFont="1" applyFill="1" applyBorder="1"/>
    <xf numFmtId="14" fontId="3" fillId="0" borderId="0" xfId="0" applyNumberFormat="1" applyFont="1"/>
    <xf numFmtId="164" fontId="9" fillId="4" borderId="1" xfId="0" applyNumberFormat="1" applyFont="1" applyFill="1" applyBorder="1" applyAlignment="1">
      <alignment horizontal="center"/>
    </xf>
    <xf numFmtId="16" fontId="9" fillId="4" borderId="1" xfId="0" applyNumberFormat="1" applyFont="1" applyFill="1" applyBorder="1"/>
    <xf numFmtId="0" fontId="10" fillId="4" borderId="1" xfId="0" applyFont="1" applyFill="1" applyBorder="1"/>
    <xf numFmtId="44" fontId="9" fillId="4" borderId="1" xfId="1" applyFont="1" applyFill="1" applyBorder="1"/>
    <xf numFmtId="164" fontId="3" fillId="11" borderId="0" xfId="0" applyNumberFormat="1" applyFont="1" applyFill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4" fontId="11" fillId="11" borderId="0" xfId="0" applyNumberFormat="1" applyFont="1" applyFill="1" applyAlignment="1">
      <alignment horizontal="center" vertical="center"/>
    </xf>
    <xf numFmtId="164" fontId="12" fillId="4" borderId="1" xfId="0" applyNumberFormat="1" applyFont="1" applyFill="1" applyBorder="1" applyAlignment="1">
      <alignment horizontal="center"/>
    </xf>
    <xf numFmtId="16" fontId="12" fillId="4" borderId="1" xfId="0" applyNumberFormat="1" applyFont="1" applyFill="1" applyBorder="1"/>
    <xf numFmtId="0" fontId="13" fillId="4" borderId="1" xfId="0" applyFont="1" applyFill="1" applyBorder="1"/>
    <xf numFmtId="44" fontId="12" fillId="4" borderId="1" xfId="1" applyFont="1" applyFill="1" applyBorder="1"/>
    <xf numFmtId="0" fontId="14" fillId="4" borderId="1" xfId="0" applyFont="1" applyFill="1" applyBorder="1"/>
    <xf numFmtId="164" fontId="3" fillId="4" borderId="0" xfId="0" applyNumberFormat="1" applyFont="1" applyFill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16" fontId="3" fillId="4" borderId="1" xfId="0" applyNumberFormat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44" fontId="3" fillId="4" borderId="1" xfId="2" applyFont="1" applyFill="1" applyBorder="1" applyAlignment="1">
      <alignment vertical="center"/>
    </xf>
    <xf numFmtId="0" fontId="4" fillId="4" borderId="1" xfId="0" applyFont="1" applyFill="1" applyBorder="1" applyAlignment="1">
      <alignment wrapText="1"/>
    </xf>
    <xf numFmtId="164" fontId="3" fillId="1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4" borderId="3" xfId="0" applyFont="1" applyFill="1" applyBorder="1"/>
    <xf numFmtId="164" fontId="3" fillId="0" borderId="1" xfId="0" applyNumberFormat="1" applyFont="1" applyBorder="1" applyAlignment="1">
      <alignment horizontal="center"/>
    </xf>
    <xf numFmtId="16" fontId="3" fillId="0" borderId="1" xfId="0" applyNumberFormat="1" applyFont="1" applyBorder="1"/>
    <xf numFmtId="0" fontId="4" fillId="0" borderId="1" xfId="0" applyFont="1" applyBorder="1"/>
    <xf numFmtId="44" fontId="3" fillId="0" borderId="1" xfId="2" applyFont="1" applyFill="1" applyBorder="1"/>
    <xf numFmtId="0" fontId="20" fillId="13" borderId="4" xfId="0" applyFont="1" applyFill="1" applyBorder="1" applyAlignment="1">
      <alignment horizontal="center" vertical="center"/>
    </xf>
    <xf numFmtId="0" fontId="20" fillId="13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14" borderId="0" xfId="0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22" fillId="16" borderId="7" xfId="0" applyFont="1" applyFill="1" applyBorder="1" applyAlignment="1">
      <alignment horizontal="center"/>
    </xf>
    <xf numFmtId="0" fontId="23" fillId="17" borderId="8" xfId="0" applyFont="1" applyFill="1" applyBorder="1" applyAlignment="1">
      <alignment horizontal="center" vertical="center"/>
    </xf>
    <xf numFmtId="0" fontId="23" fillId="17" borderId="9" xfId="0" applyFont="1" applyFill="1" applyBorder="1" applyAlignment="1">
      <alignment horizontal="center" vertical="center"/>
    </xf>
    <xf numFmtId="0" fontId="24" fillId="18" borderId="10" xfId="0" applyFont="1" applyFill="1" applyBorder="1" applyAlignment="1">
      <alignment horizontal="center" vertical="center"/>
    </xf>
    <xf numFmtId="0" fontId="25" fillId="16" borderId="0" xfId="0" applyFont="1" applyFill="1" applyAlignment="1">
      <alignment horizontal="center"/>
    </xf>
    <xf numFmtId="0" fontId="26" fillId="17" borderId="0" xfId="0" applyFont="1" applyFill="1" applyAlignment="1">
      <alignment horizontal="center"/>
    </xf>
    <xf numFmtId="0" fontId="26" fillId="17" borderId="11" xfId="0" applyFont="1" applyFill="1" applyBorder="1" applyAlignment="1">
      <alignment horizontal="center"/>
    </xf>
    <xf numFmtId="0" fontId="26" fillId="17" borderId="6" xfId="0" applyFont="1" applyFill="1" applyBorder="1" applyAlignment="1">
      <alignment horizontal="center"/>
    </xf>
    <xf numFmtId="165" fontId="27" fillId="14" borderId="0" xfId="0" applyNumberFormat="1" applyFont="1" applyFill="1" applyAlignment="1">
      <alignment horizontal="center"/>
    </xf>
    <xf numFmtId="165" fontId="27" fillId="15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28" fillId="13" borderId="0" xfId="0" applyFont="1" applyFill="1"/>
    <xf numFmtId="44" fontId="27" fillId="0" borderId="0" xfId="1" applyFont="1" applyAlignment="1">
      <alignment horizontal="center"/>
    </xf>
    <xf numFmtId="44" fontId="0" fillId="17" borderId="12" xfId="1" applyFont="1" applyFill="1" applyBorder="1" applyAlignment="1">
      <alignment horizontal="center"/>
    </xf>
    <xf numFmtId="44" fontId="0" fillId="17" borderId="13" xfId="1" applyFont="1" applyFill="1" applyBorder="1" applyAlignment="1">
      <alignment horizontal="center"/>
    </xf>
    <xf numFmtId="7" fontId="29" fillId="18" borderId="14" xfId="1" applyNumberFormat="1" applyFont="1" applyFill="1" applyBorder="1" applyAlignment="1">
      <alignment horizontal="center"/>
    </xf>
    <xf numFmtId="7" fontId="27" fillId="0" borderId="0" xfId="0" applyNumberFormat="1" applyFont="1" applyAlignment="1">
      <alignment horizontal="center"/>
    </xf>
    <xf numFmtId="44" fontId="0" fillId="17" borderId="11" xfId="1" applyFont="1" applyFill="1" applyBorder="1" applyAlignment="1">
      <alignment horizontal="center"/>
    </xf>
    <xf numFmtId="166" fontId="27" fillId="0" borderId="0" xfId="1" applyNumberFormat="1" applyFont="1" applyAlignment="1">
      <alignment horizontal="center"/>
    </xf>
    <xf numFmtId="44" fontId="0" fillId="18" borderId="6" xfId="1" applyFont="1" applyFill="1" applyBorder="1" applyAlignment="1">
      <alignment horizontal="center"/>
    </xf>
    <xf numFmtId="0" fontId="30" fillId="19" borderId="15" xfId="0" applyFont="1" applyFill="1" applyBorder="1" applyAlignment="1">
      <alignment horizontal="center"/>
    </xf>
    <xf numFmtId="44" fontId="31" fillId="19" borderId="16" xfId="0" applyNumberFormat="1" applyFont="1" applyFill="1" applyBorder="1" applyAlignment="1">
      <alignment horizontal="center"/>
    </xf>
    <xf numFmtId="44" fontId="31" fillId="19" borderId="15" xfId="0" applyNumberFormat="1" applyFont="1" applyFill="1" applyBorder="1" applyAlignment="1">
      <alignment horizontal="center"/>
    </xf>
    <xf numFmtId="44" fontId="31" fillId="19" borderId="17" xfId="0" applyNumberFormat="1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Alignment="1">
      <alignment horizontal="right"/>
    </xf>
    <xf numFmtId="167" fontId="0" fillId="20" borderId="0" xfId="0" applyNumberFormat="1" applyFill="1" applyAlignment="1">
      <alignment horizontal="center"/>
    </xf>
    <xf numFmtId="44" fontId="32" fillId="20" borderId="0" xfId="0" applyNumberFormat="1" applyFont="1" applyFill="1" applyAlignment="1">
      <alignment horizontal="center"/>
    </xf>
    <xf numFmtId="168" fontId="0" fillId="21" borderId="0" xfId="0" applyNumberFormat="1" applyFill="1" applyAlignment="1">
      <alignment horizontal="center"/>
    </xf>
    <xf numFmtId="44" fontId="32" fillId="22" borderId="0" xfId="0" applyNumberFormat="1" applyFont="1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23" borderId="0" xfId="0" applyFill="1" applyAlignment="1">
      <alignment horizontal="center"/>
    </xf>
    <xf numFmtId="44" fontId="3" fillId="0" borderId="0" xfId="0" applyNumberFormat="1" applyFont="1"/>
    <xf numFmtId="8" fontId="34" fillId="0" borderId="0" xfId="0" applyNumberFormat="1" applyFont="1" applyAlignment="1">
      <alignment horizontal="center"/>
    </xf>
    <xf numFmtId="0" fontId="8" fillId="4" borderId="1" xfId="0" applyFont="1" applyFill="1" applyBorder="1"/>
    <xf numFmtId="44" fontId="0" fillId="0" borderId="0" xfId="0" applyNumberFormat="1" applyAlignment="1">
      <alignment horizontal="center"/>
    </xf>
    <xf numFmtId="0" fontId="29" fillId="0" borderId="0" xfId="0" applyFont="1" applyAlignment="1">
      <alignment horizontal="center"/>
    </xf>
    <xf numFmtId="0" fontId="29" fillId="5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169" fontId="29" fillId="6" borderId="0" xfId="0" applyNumberFormat="1" applyFont="1" applyFill="1" applyAlignment="1">
      <alignment horizontal="center"/>
    </xf>
    <xf numFmtId="169" fontId="29" fillId="0" borderId="0" xfId="0" applyNumberFormat="1" applyFont="1" applyAlignment="1">
      <alignment horizontal="center"/>
    </xf>
    <xf numFmtId="169" fontId="36" fillId="0" borderId="0" xfId="0" applyNumberFormat="1" applyFont="1" applyAlignment="1">
      <alignment horizontal="center"/>
    </xf>
    <xf numFmtId="169" fontId="29" fillId="21" borderId="0" xfId="0" applyNumberFormat="1" applyFont="1" applyFill="1" applyAlignment="1">
      <alignment horizontal="center"/>
    </xf>
    <xf numFmtId="169" fontId="36" fillId="21" borderId="0" xfId="0" applyNumberFormat="1" applyFont="1" applyFill="1" applyAlignment="1">
      <alignment horizontal="center"/>
    </xf>
    <xf numFmtId="169" fontId="37" fillId="0" borderId="0" xfId="0" applyNumberFormat="1" applyFont="1" applyAlignment="1">
      <alignment horizontal="center"/>
    </xf>
    <xf numFmtId="0" fontId="0" fillId="0" borderId="0" xfId="0" applyAlignment="1">
      <alignment horizontal="center" shrinkToFit="1"/>
    </xf>
    <xf numFmtId="169" fontId="38" fillId="0" borderId="0" xfId="0" applyNumberFormat="1" applyFont="1" applyAlignment="1">
      <alignment horizontal="center"/>
    </xf>
    <xf numFmtId="0" fontId="39" fillId="4" borderId="1" xfId="0" applyFont="1" applyFill="1" applyBorder="1"/>
    <xf numFmtId="0" fontId="19" fillId="10" borderId="0" xfId="0" applyFont="1" applyFill="1" applyAlignment="1">
      <alignment horizontal="center" vertical="center"/>
    </xf>
    <xf numFmtId="0" fontId="19" fillId="13" borderId="5" xfId="0" applyFont="1" applyFill="1" applyBorder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19" fillId="13" borderId="6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Egresos</a:t>
            </a:r>
          </a:p>
        </c:rich>
      </c:tx>
      <c:layout>
        <c:manualLayout>
          <c:xMode val="edge"/>
          <c:yMode val="edge"/>
          <c:x val="0.4341388888888889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Presupuesto!$GM$3</c:f>
              <c:strCache>
                <c:ptCount val="1"/>
                <c:pt idx="0">
                  <c:v>CEA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Presupuesto!$GM$10:$GM$15</c:f>
              <c:numCache>
                <c:formatCode>"$"#,##0</c:formatCode>
                <c:ptCount val="6"/>
                <c:pt idx="0">
                  <c:v>298901</c:v>
                </c:pt>
                <c:pt idx="1">
                  <c:v>317264</c:v>
                </c:pt>
                <c:pt idx="2">
                  <c:v>349990</c:v>
                </c:pt>
                <c:pt idx="3">
                  <c:v>335145</c:v>
                </c:pt>
                <c:pt idx="4">
                  <c:v>312898</c:v>
                </c:pt>
                <c:pt idx="5">
                  <c:v>471752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C-419E-9708-2E92A9316A70}"/>
            </c:ext>
          </c:extLst>
        </c:ser>
        <c:ser>
          <c:idx val="1"/>
          <c:order val="1"/>
          <c:tx>
            <c:strRef>
              <c:f>Presupuesto!$GN$3</c:f>
              <c:strCache>
                <c:ptCount val="1"/>
                <c:pt idx="0">
                  <c:v>Fijos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Presupuesto!$GN$10:$GN$15</c:f>
              <c:numCache>
                <c:formatCode>"$"#,##0</c:formatCode>
                <c:ptCount val="6"/>
                <c:pt idx="0">
                  <c:v>224600.88</c:v>
                </c:pt>
                <c:pt idx="1">
                  <c:v>214926.80000000002</c:v>
                </c:pt>
                <c:pt idx="2">
                  <c:v>201705.32</c:v>
                </c:pt>
                <c:pt idx="3">
                  <c:v>183148.27000000002</c:v>
                </c:pt>
                <c:pt idx="4">
                  <c:v>208390.16</c:v>
                </c:pt>
                <c:pt idx="5">
                  <c:v>244507.87999999998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C-419E-9708-2E92A9316A70}"/>
            </c:ext>
          </c:extLst>
        </c:ser>
        <c:ser>
          <c:idx val="2"/>
          <c:order val="2"/>
          <c:tx>
            <c:strRef>
              <c:f>Presupuesto!$GO$3</c:f>
              <c:strCache>
                <c:ptCount val="1"/>
                <c:pt idx="0">
                  <c:v>Variables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Presupuesto!$GO$10:$GO$15</c:f>
              <c:numCache>
                <c:formatCode>"$"#,##0</c:formatCode>
                <c:ptCount val="6"/>
                <c:pt idx="0">
                  <c:v>88413.45</c:v>
                </c:pt>
                <c:pt idx="1">
                  <c:v>80551.299999999988</c:v>
                </c:pt>
                <c:pt idx="2">
                  <c:v>104122.35</c:v>
                </c:pt>
                <c:pt idx="3">
                  <c:v>20897.64</c:v>
                </c:pt>
                <c:pt idx="4">
                  <c:v>23751.8</c:v>
                </c:pt>
                <c:pt idx="5">
                  <c:v>38424.79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C-419E-9708-2E92A931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88737712"/>
        <c:axId val="2088744368"/>
        <c:axId val="0"/>
      </c:bar3DChart>
      <c:catAx>
        <c:axId val="20887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44368"/>
        <c:crosses val="autoZero"/>
        <c:auto val="1"/>
        <c:lblAlgn val="ctr"/>
        <c:lblOffset val="100"/>
        <c:noMultiLvlLbl val="0"/>
      </c:catAx>
      <c:valAx>
        <c:axId val="208874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3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Ingresos</a:t>
            </a:r>
            <a:r>
              <a:rPr lang="es-MX" baseline="0"/>
              <a:t> vs Egresos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Presupuesto!$GQ$2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4067388688327317E-2"/>
                  <c:y val="-3.4532897128316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D-444A-888B-4246E2FE4090}"/>
                </c:ext>
              </c:extLst>
            </c:dLbl>
            <c:dLbl>
              <c:idx val="1"/>
              <c:layout>
                <c:manualLayout>
                  <c:x val="-3.0084235860409144E-2"/>
                  <c:y val="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D-444A-888B-4246E2FE4090}"/>
                </c:ext>
              </c:extLst>
            </c:dLbl>
            <c:dLbl>
              <c:idx val="2"/>
              <c:layout>
                <c:manualLayout>
                  <c:x val="-2.7677496991576414E-2"/>
                  <c:y val="-3.81679389312977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EED-444A-888B-4246E2FE4090}"/>
                </c:ext>
              </c:extLst>
            </c:dLbl>
            <c:dLbl>
              <c:idx val="3"/>
              <c:layout>
                <c:manualLayout>
                  <c:x val="-2.5270758122743681E-2"/>
                  <c:y val="3.4532897128316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D-444A-888B-4246E2FE4090}"/>
                </c:ext>
              </c:extLst>
            </c:dLbl>
            <c:dLbl>
              <c:idx val="4"/>
              <c:layout>
                <c:manualLayout>
                  <c:x val="-2.8880866425992868E-2"/>
                  <c:y val="3.998545983278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D-444A-888B-4246E2FE4090}"/>
                </c:ext>
              </c:extLst>
            </c:dLbl>
            <c:dLbl>
              <c:idx val="5"/>
              <c:layout>
                <c:manualLayout>
                  <c:x val="-3.2490974729242054E-2"/>
                  <c:y val="-2.72628135223555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D-444A-888B-4246E2FE40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Presupuesto!$GQ$10:$GQ$15</c:f>
              <c:numCache>
                <c:formatCode>"$"#,##0</c:formatCode>
                <c:ptCount val="6"/>
                <c:pt idx="0">
                  <c:v>611915.32999999996</c:v>
                </c:pt>
                <c:pt idx="1">
                  <c:v>612742.10000000009</c:v>
                </c:pt>
                <c:pt idx="2">
                  <c:v>655817.67000000004</c:v>
                </c:pt>
                <c:pt idx="3">
                  <c:v>539190.91</c:v>
                </c:pt>
                <c:pt idx="4">
                  <c:v>545039.96000000008</c:v>
                </c:pt>
                <c:pt idx="5">
                  <c:v>754684.67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ED-444A-888B-4246E2FE4090}"/>
            </c:ext>
          </c:extLst>
        </c:ser>
        <c:ser>
          <c:idx val="1"/>
          <c:order val="1"/>
          <c:tx>
            <c:strRef>
              <c:f>Presupuesto!$GP$2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660649819494584E-2"/>
                  <c:y val="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EED-444A-888B-4246E2FE4090}"/>
                </c:ext>
              </c:extLst>
            </c:dLbl>
            <c:dLbl>
              <c:idx val="1"/>
              <c:layout>
                <c:manualLayout>
                  <c:x val="-3.2490974729241923E-2"/>
                  <c:y val="-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EED-444A-888B-4246E2FE4090}"/>
                </c:ext>
              </c:extLst>
            </c:dLbl>
            <c:dLbl>
              <c:idx val="2"/>
              <c:layout>
                <c:manualLayout>
                  <c:x val="-3.0084235860409144E-2"/>
                  <c:y val="4.5438022537259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D-444A-888B-4246E2FE4090}"/>
                </c:ext>
              </c:extLst>
            </c:dLbl>
            <c:dLbl>
              <c:idx val="3"/>
              <c:layout>
                <c:manualLayout>
                  <c:x val="-2.6474127557160047E-2"/>
                  <c:y val="-4.3620501635768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D-444A-888B-4246E2FE4090}"/>
                </c:ext>
              </c:extLst>
            </c:dLbl>
            <c:dLbl>
              <c:idx val="4"/>
              <c:layout>
                <c:manualLayout>
                  <c:x val="-3.1287605294825514E-2"/>
                  <c:y val="-5.6343147946201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ED-444A-888B-4246E2FE4090}"/>
                </c:ext>
              </c:extLst>
            </c:dLbl>
            <c:dLbl>
              <c:idx val="5"/>
              <c:layout>
                <c:manualLayout>
                  <c:x val="-2.2864019253911128E-2"/>
                  <c:y val="4.3620501635768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D-444A-888B-4246E2FE40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Presupuesto!$GP$10:$GP$15</c:f>
              <c:numCache>
                <c:formatCode>"$"#,##0</c:formatCode>
                <c:ptCount val="6"/>
                <c:pt idx="0">
                  <c:v>551251.71999999974</c:v>
                </c:pt>
                <c:pt idx="1">
                  <c:v>660187.5199999999</c:v>
                </c:pt>
                <c:pt idx="2">
                  <c:v>597609.22</c:v>
                </c:pt>
                <c:pt idx="3">
                  <c:v>568560.55699999991</c:v>
                </c:pt>
                <c:pt idx="4">
                  <c:v>567858</c:v>
                </c:pt>
                <c:pt idx="5">
                  <c:v>747606.09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ED-444A-888B-4246E2FE4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0499744"/>
        <c:axId val="2120424384"/>
      </c:lineChart>
      <c:catAx>
        <c:axId val="210049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424384"/>
        <c:crosses val="autoZero"/>
        <c:auto val="1"/>
        <c:lblAlgn val="ctr"/>
        <c:lblOffset val="100"/>
        <c:noMultiLvlLbl val="0"/>
      </c:catAx>
      <c:valAx>
        <c:axId val="21204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9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Ingresos</a:t>
            </a:r>
            <a:r>
              <a:rPr lang="es-MX" baseline="0"/>
              <a:t> vs Egresos+Adeudo 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Presupuesto!$GP$2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5868005738881356E-3"/>
                  <c:y val="-1.3757861635220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728-4A26-8B78-CC4B02DD1498}"/>
                </c:ext>
              </c:extLst>
            </c:dLbl>
            <c:dLbl>
              <c:idx val="2"/>
              <c:layout>
                <c:manualLayout>
                  <c:x val="-8.3692013390722145E-3"/>
                  <c:y val="3.5377358490566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728-4A26-8B78-CC4B02DD1498}"/>
                </c:ext>
              </c:extLst>
            </c:dLbl>
            <c:dLbl>
              <c:idx val="3"/>
              <c:layout>
                <c:manualLayout>
                  <c:x val="-2.6303204208512673E-2"/>
                  <c:y val="-6.09276729559749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728-4A26-8B78-CC4B02DD1498}"/>
                </c:ext>
              </c:extLst>
            </c:dLbl>
            <c:dLbl>
              <c:idx val="4"/>
              <c:layout>
                <c:manualLayout>
                  <c:x val="-3.9454806312769007E-2"/>
                  <c:y val="-3.5377358490566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728-4A26-8B78-CC4B02DD1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Presupuesto!$GP$10:$GP$15</c:f>
              <c:numCache>
                <c:formatCode>"$"#,##0</c:formatCode>
                <c:ptCount val="6"/>
                <c:pt idx="0">
                  <c:v>551251.71999999974</c:v>
                </c:pt>
                <c:pt idx="1">
                  <c:v>660187.5199999999</c:v>
                </c:pt>
                <c:pt idx="2">
                  <c:v>597609.22</c:v>
                </c:pt>
                <c:pt idx="3">
                  <c:v>568560.55699999991</c:v>
                </c:pt>
                <c:pt idx="4">
                  <c:v>567858</c:v>
                </c:pt>
                <c:pt idx="5">
                  <c:v>747606.09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28-4A26-8B78-CC4B02DD1498}"/>
            </c:ext>
          </c:extLst>
        </c:ser>
        <c:ser>
          <c:idx val="1"/>
          <c:order val="1"/>
          <c:tx>
            <c:strRef>
              <c:f>Presupuesto!$GQ$2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Presupuesto!$GQ$10:$GQ$15</c:f>
              <c:numCache>
                <c:formatCode>"$"#,##0</c:formatCode>
                <c:ptCount val="6"/>
                <c:pt idx="0">
                  <c:v>611915.32999999996</c:v>
                </c:pt>
                <c:pt idx="1">
                  <c:v>612742.10000000009</c:v>
                </c:pt>
                <c:pt idx="2">
                  <c:v>655817.67000000004</c:v>
                </c:pt>
                <c:pt idx="3">
                  <c:v>539190.91</c:v>
                </c:pt>
                <c:pt idx="4">
                  <c:v>545039.96000000008</c:v>
                </c:pt>
                <c:pt idx="5">
                  <c:v>754684.67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28-4A26-8B78-CC4B02DD1498}"/>
            </c:ext>
          </c:extLst>
        </c:ser>
        <c:ser>
          <c:idx val="2"/>
          <c:order val="2"/>
          <c:tx>
            <c:strRef>
              <c:f>Presupuesto!$GR$2</c:f>
              <c:strCache>
                <c:ptCount val="1"/>
                <c:pt idx="0">
                  <c:v>Egresos+Adeudo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5868005738880918E-3"/>
                  <c:y val="-2.16194968553459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728-4A26-8B78-CC4B02DD1498}"/>
                </c:ext>
              </c:extLst>
            </c:dLbl>
            <c:dLbl>
              <c:idx val="1"/>
              <c:layout>
                <c:manualLayout>
                  <c:x val="4.7824007651841227E-3"/>
                  <c:y val="5.89622641509433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728-4A26-8B78-CC4B02DD1498}"/>
                </c:ext>
              </c:extLst>
            </c:dLbl>
            <c:dLbl>
              <c:idx val="3"/>
              <c:layout>
                <c:manualLayout>
                  <c:x val="7.173601147776096E-3"/>
                  <c:y val="6.2893081761006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28-4A26-8B78-CC4B02DD1498}"/>
                </c:ext>
              </c:extLst>
            </c:dLbl>
            <c:dLbl>
              <c:idx val="4"/>
              <c:layout>
                <c:manualLayout>
                  <c:x val="-1.7535266903442172E-16"/>
                  <c:y val="1.76886792452829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728-4A26-8B78-CC4B02DD1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Presupuesto!$GR$10:$GR$15</c:f>
              <c:numCache>
                <c:formatCode>"$"#,##0</c:formatCode>
                <c:ptCount val="6"/>
                <c:pt idx="0">
                  <c:v>649220.31999999995</c:v>
                </c:pt>
                <c:pt idx="1">
                  <c:v>648808.10000000009</c:v>
                </c:pt>
                <c:pt idx="2">
                  <c:v>700513.67</c:v>
                </c:pt>
                <c:pt idx="3">
                  <c:v>580215.91</c:v>
                </c:pt>
                <c:pt idx="4">
                  <c:v>740694.96000000008</c:v>
                </c:pt>
                <c:pt idx="5">
                  <c:v>807536.17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28-4A26-8B78-CC4B02DD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884912"/>
        <c:axId val="1583894896"/>
      </c:lineChart>
      <c:catAx>
        <c:axId val="15838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894896"/>
        <c:crosses val="autoZero"/>
        <c:auto val="1"/>
        <c:lblAlgn val="ctr"/>
        <c:lblOffset val="100"/>
        <c:noMultiLvlLbl val="0"/>
      </c:catAx>
      <c:valAx>
        <c:axId val="15838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8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v>Cuotas</c:v>
          </c:tx>
          <c:spPr>
            <a:solidFill>
              <a:srgbClr val="00B05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</c:numLit>
          </c:cat>
          <c:val>
            <c:numLit>
              <c:formatCode>General</c:formatCode>
              <c:ptCount val="6"/>
              <c:pt idx="0">
                <c:v>311660.30999999994</c:v>
              </c:pt>
              <c:pt idx="1">
                <c:v>341778.04</c:v>
              </c:pt>
              <c:pt idx="2">
                <c:v>369056.29000000004</c:v>
              </c:pt>
              <c:pt idx="3">
                <c:v>330166.73700000002</c:v>
              </c:pt>
              <c:pt idx="4">
                <c:v>365522.26999999996</c:v>
              </c:pt>
              <c:pt idx="5">
                <c:v>363182.25</c:v>
              </c:pt>
            </c:numLit>
          </c:val>
          <c:extLst>
            <c:ext xmlns:c16="http://schemas.microsoft.com/office/drawing/2014/chart" uri="{C3380CC4-5D6E-409C-BE32-E72D297353CC}">
              <c16:uniqueId val="{00000000-2ED1-4A96-83BC-A9D0AACE85C6}"/>
            </c:ext>
          </c:extLst>
        </c:ser>
        <c:ser>
          <c:idx val="1"/>
          <c:order val="1"/>
          <c:tx>
            <c:v>Cobranza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</c:numLit>
          </c:cat>
          <c:val>
            <c:numLit>
              <c:formatCode>General</c:formatCode>
              <c:ptCount val="6"/>
              <c:pt idx="0">
                <c:v>225530.08999999985</c:v>
              </c:pt>
              <c:pt idx="1">
                <c:v>291978.89</c:v>
              </c:pt>
              <c:pt idx="2">
                <c:v>195137.06999999995</c:v>
              </c:pt>
              <c:pt idx="3">
                <c:v>232784.71999999991</c:v>
              </c:pt>
              <c:pt idx="4">
                <c:v>202335.73</c:v>
              </c:pt>
              <c:pt idx="5">
                <c:v>378201.59999999998</c:v>
              </c:pt>
            </c:numLit>
          </c:val>
          <c:extLst>
            <c:ext xmlns:c16="http://schemas.microsoft.com/office/drawing/2014/chart" uri="{C3380CC4-5D6E-409C-BE32-E72D297353CC}">
              <c16:uniqueId val="{00000001-2ED1-4A96-83BC-A9D0AACE85C6}"/>
            </c:ext>
          </c:extLst>
        </c:ser>
        <c:ser>
          <c:idx val="2"/>
          <c:order val="2"/>
          <c:tx>
            <c:v>Varios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6"/>
              <c:pt idx="0">
                <c:v>2020</c:v>
              </c:pt>
              <c:pt idx="1">
                <c:v>2021</c:v>
              </c:pt>
              <c:pt idx="2">
                <c:v>2022</c:v>
              </c:pt>
              <c:pt idx="3">
                <c:v>2023</c:v>
              </c:pt>
              <c:pt idx="4">
                <c:v>2024</c:v>
              </c:pt>
              <c:pt idx="5">
                <c:v>2025</c:v>
              </c:pt>
            </c:numLit>
          </c:cat>
          <c:val>
            <c:numLit>
              <c:formatCode>General</c:formatCode>
              <c:ptCount val="6"/>
              <c:pt idx="0">
                <c:v>14061.32</c:v>
              </c:pt>
              <c:pt idx="1">
                <c:v>26430.589999999997</c:v>
              </c:pt>
              <c:pt idx="2">
                <c:v>33415.86</c:v>
              </c:pt>
              <c:pt idx="3">
                <c:v>5609.1</c:v>
              </c:pt>
              <c:pt idx="4">
                <c:v>0</c:v>
              </c:pt>
              <c:pt idx="5">
                <c:v>6222.24</c:v>
              </c:pt>
            </c:numLit>
          </c:val>
          <c:extLst>
            <c:ext xmlns:c16="http://schemas.microsoft.com/office/drawing/2014/chart" uri="{C3380CC4-5D6E-409C-BE32-E72D297353CC}">
              <c16:uniqueId val="{00000002-2ED1-4A96-83BC-A9D0AACE8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21685120"/>
        <c:axId val="1221681376"/>
        <c:axId val="0"/>
      </c:bar3DChart>
      <c:catAx>
        <c:axId val="12216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681376"/>
        <c:crosses val="autoZero"/>
        <c:auto val="1"/>
        <c:lblAlgn val="ctr"/>
        <c:lblOffset val="100"/>
        <c:noMultiLvlLbl val="0"/>
      </c:catAx>
      <c:valAx>
        <c:axId val="122168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68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Egresos</a:t>
            </a:r>
          </a:p>
        </c:rich>
      </c:tx>
      <c:layout>
        <c:manualLayout>
          <c:xMode val="edge"/>
          <c:yMode val="edge"/>
          <c:x val="0.4341388888888889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Presupuesto!$GM$3</c:f>
              <c:strCache>
                <c:ptCount val="1"/>
                <c:pt idx="0">
                  <c:v>CEA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Presupuesto!$GM$10:$GM$15</c:f>
              <c:numCache>
                <c:formatCode>"$"#,##0</c:formatCode>
                <c:ptCount val="6"/>
                <c:pt idx="0">
                  <c:v>298901</c:v>
                </c:pt>
                <c:pt idx="1">
                  <c:v>317264</c:v>
                </c:pt>
                <c:pt idx="2">
                  <c:v>349990</c:v>
                </c:pt>
                <c:pt idx="3">
                  <c:v>335145</c:v>
                </c:pt>
                <c:pt idx="4">
                  <c:v>312898</c:v>
                </c:pt>
                <c:pt idx="5">
                  <c:v>471752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83-4CC5-A76A-C4503E077B76}"/>
            </c:ext>
          </c:extLst>
        </c:ser>
        <c:ser>
          <c:idx val="1"/>
          <c:order val="1"/>
          <c:tx>
            <c:strRef>
              <c:f>Presupuesto!$GN$3</c:f>
              <c:strCache>
                <c:ptCount val="1"/>
                <c:pt idx="0">
                  <c:v>Fijos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Presupuesto!$GN$10:$GN$15</c:f>
              <c:numCache>
                <c:formatCode>"$"#,##0</c:formatCode>
                <c:ptCount val="6"/>
                <c:pt idx="0">
                  <c:v>224600.88</c:v>
                </c:pt>
                <c:pt idx="1">
                  <c:v>214926.80000000002</c:v>
                </c:pt>
                <c:pt idx="2">
                  <c:v>201705.32</c:v>
                </c:pt>
                <c:pt idx="3">
                  <c:v>183148.27000000002</c:v>
                </c:pt>
                <c:pt idx="4">
                  <c:v>208390.16</c:v>
                </c:pt>
                <c:pt idx="5">
                  <c:v>244507.87999999998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83-4CC5-A76A-C4503E077B76}"/>
            </c:ext>
          </c:extLst>
        </c:ser>
        <c:ser>
          <c:idx val="2"/>
          <c:order val="2"/>
          <c:tx>
            <c:strRef>
              <c:f>Presupuesto!$GO$3</c:f>
              <c:strCache>
                <c:ptCount val="1"/>
                <c:pt idx="0">
                  <c:v>Variables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Presupuesto!$GO$10:$GO$15</c:f>
              <c:numCache>
                <c:formatCode>"$"#,##0</c:formatCode>
                <c:ptCount val="6"/>
                <c:pt idx="0">
                  <c:v>88413.45</c:v>
                </c:pt>
                <c:pt idx="1">
                  <c:v>80551.299999999988</c:v>
                </c:pt>
                <c:pt idx="2">
                  <c:v>104122.35</c:v>
                </c:pt>
                <c:pt idx="3">
                  <c:v>20897.64</c:v>
                </c:pt>
                <c:pt idx="4">
                  <c:v>23751.8</c:v>
                </c:pt>
                <c:pt idx="5">
                  <c:v>38424.79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83-4CC5-A76A-C4503E077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88737712"/>
        <c:axId val="2088744368"/>
        <c:axId val="0"/>
      </c:bar3DChart>
      <c:catAx>
        <c:axId val="20887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44368"/>
        <c:crosses val="autoZero"/>
        <c:auto val="1"/>
        <c:lblAlgn val="ctr"/>
        <c:lblOffset val="100"/>
        <c:noMultiLvlLbl val="0"/>
      </c:catAx>
      <c:valAx>
        <c:axId val="208874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73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Ingresos</a:t>
            </a:r>
            <a:r>
              <a:rPr lang="es-MX" baseline="0"/>
              <a:t> vs Egresos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Presupuesto!$GQ$2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4067388688327317E-2"/>
                  <c:y val="-3.4532897128316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89B-413B-86E6-645ADF68E59E}"/>
                </c:ext>
              </c:extLst>
            </c:dLbl>
            <c:dLbl>
              <c:idx val="1"/>
              <c:layout>
                <c:manualLayout>
                  <c:x val="-3.0084235860409144E-2"/>
                  <c:y val="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9B-413B-86E6-645ADF68E59E}"/>
                </c:ext>
              </c:extLst>
            </c:dLbl>
            <c:dLbl>
              <c:idx val="2"/>
              <c:layout>
                <c:manualLayout>
                  <c:x val="-2.7677496991576414E-2"/>
                  <c:y val="-3.81679389312977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9B-413B-86E6-645ADF68E59E}"/>
                </c:ext>
              </c:extLst>
            </c:dLbl>
            <c:dLbl>
              <c:idx val="3"/>
              <c:layout>
                <c:manualLayout>
                  <c:x val="-2.5270758122743681E-2"/>
                  <c:y val="3.45328971283169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9B-413B-86E6-645ADF68E59E}"/>
                </c:ext>
              </c:extLst>
            </c:dLbl>
            <c:dLbl>
              <c:idx val="4"/>
              <c:layout>
                <c:manualLayout>
                  <c:x val="-2.8880866425992868E-2"/>
                  <c:y val="3.99854598327880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9B-413B-86E6-645ADF68E59E}"/>
                </c:ext>
              </c:extLst>
            </c:dLbl>
            <c:dLbl>
              <c:idx val="5"/>
              <c:layout>
                <c:manualLayout>
                  <c:x val="-3.2490974729242054E-2"/>
                  <c:y val="-2.72628135223555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9B-413B-86E6-645ADF68E5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Presupuesto!$GQ$10:$GQ$15</c:f>
              <c:numCache>
                <c:formatCode>"$"#,##0</c:formatCode>
                <c:ptCount val="6"/>
                <c:pt idx="0">
                  <c:v>611915.32999999996</c:v>
                </c:pt>
                <c:pt idx="1">
                  <c:v>612742.10000000009</c:v>
                </c:pt>
                <c:pt idx="2">
                  <c:v>655817.67000000004</c:v>
                </c:pt>
                <c:pt idx="3">
                  <c:v>539190.91</c:v>
                </c:pt>
                <c:pt idx="4">
                  <c:v>545039.96000000008</c:v>
                </c:pt>
                <c:pt idx="5">
                  <c:v>754684.67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9B-413B-86E6-645ADF68E59E}"/>
            </c:ext>
          </c:extLst>
        </c:ser>
        <c:ser>
          <c:idx val="1"/>
          <c:order val="1"/>
          <c:tx>
            <c:strRef>
              <c:f>Presupuesto!$GP$2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660649819494584E-2"/>
                  <c:y val="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9B-413B-86E6-645ADF68E59E}"/>
                </c:ext>
              </c:extLst>
            </c:dLbl>
            <c:dLbl>
              <c:idx val="1"/>
              <c:layout>
                <c:manualLayout>
                  <c:x val="-3.2490974729241923E-2"/>
                  <c:y val="-2.9080334423845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9B-413B-86E6-645ADF68E59E}"/>
                </c:ext>
              </c:extLst>
            </c:dLbl>
            <c:dLbl>
              <c:idx val="2"/>
              <c:layout>
                <c:manualLayout>
                  <c:x val="-3.0084235860409144E-2"/>
                  <c:y val="4.5438022537259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9B-413B-86E6-645ADF68E59E}"/>
                </c:ext>
              </c:extLst>
            </c:dLbl>
            <c:dLbl>
              <c:idx val="3"/>
              <c:layout>
                <c:manualLayout>
                  <c:x val="-2.6474127557160047E-2"/>
                  <c:y val="-4.3620501635768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89B-413B-86E6-645ADF68E59E}"/>
                </c:ext>
              </c:extLst>
            </c:dLbl>
            <c:dLbl>
              <c:idx val="4"/>
              <c:layout>
                <c:manualLayout>
                  <c:x val="-3.1287605294825514E-2"/>
                  <c:y val="-5.6343147946201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9B-413B-86E6-645ADF68E59E}"/>
                </c:ext>
              </c:extLst>
            </c:dLbl>
            <c:dLbl>
              <c:idx val="5"/>
              <c:layout>
                <c:manualLayout>
                  <c:x val="-2.2864019253911128E-2"/>
                  <c:y val="4.36205016357688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89B-413B-86E6-645ADF68E5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Presupuesto!$GP$10:$GP$15</c:f>
              <c:numCache>
                <c:formatCode>"$"#,##0</c:formatCode>
                <c:ptCount val="6"/>
                <c:pt idx="0">
                  <c:v>551251.71999999974</c:v>
                </c:pt>
                <c:pt idx="1">
                  <c:v>660187.5199999999</c:v>
                </c:pt>
                <c:pt idx="2">
                  <c:v>597609.22</c:v>
                </c:pt>
                <c:pt idx="3">
                  <c:v>568560.55699999991</c:v>
                </c:pt>
                <c:pt idx="4">
                  <c:v>567858</c:v>
                </c:pt>
                <c:pt idx="5">
                  <c:v>747606.09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89B-413B-86E6-645ADF68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00499744"/>
        <c:axId val="2120424384"/>
      </c:lineChart>
      <c:catAx>
        <c:axId val="210049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0424384"/>
        <c:crosses val="autoZero"/>
        <c:auto val="1"/>
        <c:lblAlgn val="ctr"/>
        <c:lblOffset val="100"/>
        <c:noMultiLvlLbl val="0"/>
      </c:catAx>
      <c:valAx>
        <c:axId val="21204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49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Ingresos</a:t>
            </a:r>
            <a:r>
              <a:rPr lang="es-MX" baseline="0"/>
              <a:t> vs Egresos+Adeudo 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601354888027805E-2"/>
          <c:y val="7.1895054737636868E-2"/>
          <c:w val="0.92824704300771588"/>
          <c:h val="0.84302871682376057"/>
        </c:manualLayout>
      </c:layout>
      <c:lineChart>
        <c:grouping val="standard"/>
        <c:varyColors val="0"/>
        <c:ser>
          <c:idx val="0"/>
          <c:order val="0"/>
          <c:tx>
            <c:strRef>
              <c:f>Presupuesto!$GP$2</c:f>
              <c:strCache>
                <c:ptCount val="1"/>
                <c:pt idx="0">
                  <c:v>Ingresos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3.6780385339069001E-2"/>
                  <c:y val="-4.86145057263677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E77-4450-9376-09D4B1FDF168}"/>
                </c:ext>
              </c:extLst>
            </c:dLbl>
            <c:dLbl>
              <c:idx val="2"/>
              <c:layout>
                <c:manualLayout>
                  <c:x val="-9.5948831319310288E-3"/>
                  <c:y val="3.889160458109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E77-4450-9376-09D4B1FDF168}"/>
                </c:ext>
              </c:extLst>
            </c:dLbl>
            <c:dLbl>
              <c:idx val="3"/>
              <c:layout>
                <c:manualLayout>
                  <c:x val="-6.3965887546206853E-3"/>
                  <c:y val="7.53524838758698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E77-4450-9376-09D4B1FDF168}"/>
                </c:ext>
              </c:extLst>
            </c:dLbl>
            <c:dLbl>
              <c:idx val="4"/>
              <c:layout>
                <c:manualLayout>
                  <c:x val="1.4392324697896542E-2"/>
                  <c:y val="3.8891604581094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E77-4450-9376-09D4B1FDF1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Presupuesto!$GP$10:$GP$15</c:f>
              <c:numCache>
                <c:formatCode>"$"#,##0</c:formatCode>
                <c:ptCount val="6"/>
                <c:pt idx="0">
                  <c:v>551251.71999999974</c:v>
                </c:pt>
                <c:pt idx="1">
                  <c:v>660187.5199999999</c:v>
                </c:pt>
                <c:pt idx="2">
                  <c:v>597609.22</c:v>
                </c:pt>
                <c:pt idx="3">
                  <c:v>568560.55699999991</c:v>
                </c:pt>
                <c:pt idx="4">
                  <c:v>567858</c:v>
                </c:pt>
                <c:pt idx="5">
                  <c:v>747606.09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77-4450-9376-09D4B1FDF168}"/>
            </c:ext>
          </c:extLst>
        </c:ser>
        <c:ser>
          <c:idx val="1"/>
          <c:order val="1"/>
          <c:tx>
            <c:strRef>
              <c:f>Presupuesto!$GQ$2</c:f>
              <c:strCache>
                <c:ptCount val="1"/>
                <c:pt idx="0">
                  <c:v>Egresos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Presupuesto!$GQ$10:$GQ$15</c:f>
              <c:numCache>
                <c:formatCode>"$"#,##0</c:formatCode>
                <c:ptCount val="6"/>
                <c:pt idx="0">
                  <c:v>611915.32999999996</c:v>
                </c:pt>
                <c:pt idx="1">
                  <c:v>612742.10000000009</c:v>
                </c:pt>
                <c:pt idx="2">
                  <c:v>655817.67000000004</c:v>
                </c:pt>
                <c:pt idx="3">
                  <c:v>539190.91</c:v>
                </c:pt>
                <c:pt idx="4">
                  <c:v>545039.96000000008</c:v>
                </c:pt>
                <c:pt idx="5">
                  <c:v>754684.67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77-4450-9376-09D4B1FDF168}"/>
            </c:ext>
          </c:extLst>
        </c:ser>
        <c:ser>
          <c:idx val="2"/>
          <c:order val="2"/>
          <c:tx>
            <c:strRef>
              <c:f>Presupuesto!$GR$2</c:f>
              <c:strCache>
                <c:ptCount val="1"/>
                <c:pt idx="0">
                  <c:v>Egresos+Adeudo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1982943773103427E-3"/>
                  <c:y val="-2.43072528631838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E77-4450-9376-09D4B1FDF168}"/>
                </c:ext>
              </c:extLst>
            </c:dLbl>
            <c:dLbl>
              <c:idx val="1"/>
              <c:layout>
                <c:manualLayout>
                  <c:x val="-9.5948831319310861E-3"/>
                  <c:y val="8.0213934448506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E77-4450-9376-09D4B1FDF168}"/>
                </c:ext>
              </c:extLst>
            </c:dLbl>
            <c:dLbl>
              <c:idx val="2"/>
              <c:layout>
                <c:manualLayout>
                  <c:x val="3.1982943773103427E-3"/>
                  <c:y val="-3.40301540084573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E77-4450-9376-09D4B1FDF168}"/>
                </c:ext>
              </c:extLst>
            </c:dLbl>
            <c:dLbl>
              <c:idx val="3"/>
              <c:layout>
                <c:manualLayout>
                  <c:x val="-3.3582090961758598E-2"/>
                  <c:y val="-6.07681321579596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E77-4450-9376-09D4B1FDF168}"/>
                </c:ext>
              </c:extLst>
            </c:dLbl>
            <c:dLbl>
              <c:idx val="4"/>
              <c:layout>
                <c:manualLayout>
                  <c:x val="-3.1982943773103427E-3"/>
                  <c:y val="2.4307252863183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E77-4450-9376-09D4B1FDF1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Presupuesto!$GL$10:$GL$15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Presupuesto!$GR$10:$GR$15</c:f>
              <c:numCache>
                <c:formatCode>"$"#,##0</c:formatCode>
                <c:ptCount val="6"/>
                <c:pt idx="0">
                  <c:v>649220.31999999995</c:v>
                </c:pt>
                <c:pt idx="1">
                  <c:v>648808.10000000009</c:v>
                </c:pt>
                <c:pt idx="2">
                  <c:v>700513.67</c:v>
                </c:pt>
                <c:pt idx="3">
                  <c:v>580215.91</c:v>
                </c:pt>
                <c:pt idx="4">
                  <c:v>740694.96000000008</c:v>
                </c:pt>
                <c:pt idx="5">
                  <c:v>807536.17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77-4450-9376-09D4B1FDF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884912"/>
        <c:axId val="1583894896"/>
      </c:lineChart>
      <c:catAx>
        <c:axId val="15838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894896"/>
        <c:crosses val="autoZero"/>
        <c:auto val="1"/>
        <c:lblAlgn val="ctr"/>
        <c:lblOffset val="100"/>
        <c:noMultiLvlLbl val="0"/>
      </c:catAx>
      <c:valAx>
        <c:axId val="15838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8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5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192</xdr:col>
      <xdr:colOff>7620</xdr:colOff>
      <xdr:row>17</xdr:row>
      <xdr:rowOff>38100</xdr:rowOff>
    </xdr:from>
    <xdr:to>
      <xdr:col>204</xdr:col>
      <xdr:colOff>762000</xdr:colOff>
      <xdr:row>54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3F6254-5166-4134-B80E-5366BD3136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192</xdr:col>
      <xdr:colOff>22860</xdr:colOff>
      <xdr:row>54</xdr:row>
      <xdr:rowOff>144780</xdr:rowOff>
    </xdr:from>
    <xdr:to>
      <xdr:col>204</xdr:col>
      <xdr:colOff>723900</xdr:colOff>
      <xdr:row>91</xdr:row>
      <xdr:rowOff>83820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1710924-84FF-419A-8BBE-7CC5B6812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191</xdr:col>
      <xdr:colOff>769620</xdr:colOff>
      <xdr:row>91</xdr:row>
      <xdr:rowOff>137160</xdr:rowOff>
    </xdr:from>
    <xdr:to>
      <xdr:col>204</xdr:col>
      <xdr:colOff>746760</xdr:colOff>
      <xdr:row>125</xdr:row>
      <xdr:rowOff>121920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4CAA4E2-DDD1-4331-AD87-020945CCCE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7621</xdr:colOff>
      <xdr:row>0</xdr:row>
      <xdr:rowOff>0</xdr:rowOff>
    </xdr:from>
    <xdr:to>
      <xdr:col>9</xdr:col>
      <xdr:colOff>778933</xdr:colOff>
      <xdr:row>28</xdr:row>
      <xdr:rowOff>8466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10AEFCD-EEA9-4A73-BC43-31EE25E16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183727</xdr:rowOff>
    </xdr:from>
    <xdr:to>
      <xdr:col>9</xdr:col>
      <xdr:colOff>788247</xdr:colOff>
      <xdr:row>56</xdr:row>
      <xdr:rowOff>177801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7EE8601-0949-42D6-88C2-BA4931592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16933</xdr:rowOff>
    </xdr:from>
    <xdr:to>
      <xdr:col>10</xdr:col>
      <xdr:colOff>8465</xdr:colOff>
      <xdr:row>85</xdr:row>
      <xdr:rowOff>16933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56B025-F170-4145-8AF7-DC94AC76EE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85</xdr:row>
      <xdr:rowOff>168488</xdr:rowOff>
    </xdr:from>
    <xdr:to>
      <xdr:col>9</xdr:col>
      <xdr:colOff>778933</xdr:colOff>
      <xdr:row>113</xdr:row>
      <xdr:rowOff>143934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12739F6-23F9-4DF0-8888-AA27C1E085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GS2060"/>
  <sheetViews>
    <sheetView workbookViewId="0">
      <pane xSplit="1" ySplit="3" topLeftCell="DP4" activePane="bottomRight" state="frozen"/>
      <selection pane="topRight" activeCell="B1" sqref="B1"/>
      <selection pane="bottomLeft" activeCell="A4" sqref="A4"/>
      <selection pane="bottomRight" activeCell="A18" sqref="A18"/>
    </sheetView>
  </sheetViews>
  <sheetFormatPr baseColWidth="10" defaultColWidth="11.453125" defaultRowHeight="14.5" x14ac:dyDescent="0.35"/>
  <cols>
    <col min="1" max="1" width="35.08984375" style="60" bestFit="1" customWidth="1"/>
    <col min="2" max="4" width="13.6328125" style="60" bestFit="1" customWidth="1"/>
    <col min="5" max="5" width="11.453125" style="60" bestFit="1" customWidth="1"/>
    <col min="6" max="12" width="13.6328125" style="60" bestFit="1" customWidth="1"/>
    <col min="13" max="13" width="15" style="60" bestFit="1" customWidth="1"/>
    <col min="14" max="24" width="13.6328125" style="60" bestFit="1" customWidth="1"/>
    <col min="25" max="25" width="15" style="60" bestFit="1" customWidth="1"/>
    <col min="26" max="36" width="13.6328125" style="60" bestFit="1" customWidth="1"/>
    <col min="37" max="37" width="15" style="60" bestFit="1" customWidth="1"/>
    <col min="38" max="48" width="13.6328125" style="60" bestFit="1" customWidth="1"/>
    <col min="49" max="49" width="15" style="60" bestFit="1" customWidth="1"/>
    <col min="50" max="60" width="13.6328125" style="60" bestFit="1" customWidth="1"/>
    <col min="61" max="61" width="15" style="60" bestFit="1" customWidth="1"/>
    <col min="62" max="71" width="13.6328125" style="60" bestFit="1" customWidth="1"/>
    <col min="72" max="72" width="12.453125" style="60" bestFit="1" customWidth="1"/>
    <col min="73" max="73" width="15" style="60" bestFit="1" customWidth="1"/>
    <col min="74" max="84" width="13.6328125" style="60" bestFit="1" customWidth="1"/>
    <col min="85" max="85" width="15" style="60" bestFit="1" customWidth="1"/>
    <col min="86" max="96" width="13.6328125" style="60" bestFit="1" customWidth="1"/>
    <col min="97" max="97" width="15" style="60" bestFit="1" customWidth="1"/>
    <col min="98" max="99" width="13.6328125" style="60" bestFit="1" customWidth="1"/>
    <col min="100" max="100" width="15" style="60" bestFit="1" customWidth="1"/>
    <col min="101" max="104" width="13.6328125" style="60" bestFit="1" customWidth="1"/>
    <col min="105" max="105" width="15" style="60" bestFit="1" customWidth="1"/>
    <col min="106" max="108" width="13.6328125" style="60" bestFit="1" customWidth="1"/>
    <col min="109" max="109" width="15" style="60" bestFit="1" customWidth="1"/>
    <col min="110" max="120" width="13.6328125" style="60" bestFit="1" customWidth="1"/>
    <col min="121" max="121" width="15" style="60" bestFit="1" customWidth="1"/>
    <col min="122" max="138" width="15" style="60" customWidth="1"/>
    <col min="139" max="146" width="15.36328125" style="60" customWidth="1"/>
    <col min="147" max="181" width="0.6328125" style="60" customWidth="1"/>
    <col min="182" max="182" width="16.6328125" style="94" bestFit="1" customWidth="1"/>
    <col min="183" max="183" width="14.90625" style="94" bestFit="1" customWidth="1"/>
    <col min="184" max="184" width="15" style="94" bestFit="1" customWidth="1"/>
    <col min="185" max="185" width="14.54296875" style="60" bestFit="1" customWidth="1"/>
    <col min="186" max="186" width="12.6328125" style="60" bestFit="1" customWidth="1"/>
    <col min="187" max="187" width="3.453125" style="60" bestFit="1" customWidth="1"/>
    <col min="188" max="189" width="12.6328125" style="60" bestFit="1" customWidth="1"/>
    <col min="190" max="190" width="3.453125" style="60" bestFit="1" customWidth="1"/>
    <col min="191" max="191" width="12" style="60" bestFit="1" customWidth="1"/>
    <col min="192" max="192" width="11.54296875" style="60" bestFit="1" customWidth="1"/>
    <col min="193" max="193" width="15.54296875" style="60" bestFit="1" customWidth="1"/>
    <col min="194" max="194" width="11.453125" style="60"/>
    <col min="195" max="197" width="12" style="60" bestFit="1" customWidth="1"/>
    <col min="198" max="198" width="11.453125" style="60"/>
    <col min="199" max="199" width="12" style="60" bestFit="1" customWidth="1"/>
    <col min="200" max="16384" width="11.453125" style="60"/>
  </cols>
  <sheetData>
    <row r="1" spans="1:201" ht="19" thickBot="1" x14ac:dyDescent="0.4">
      <c r="A1" s="111" t="s">
        <v>554</v>
      </c>
      <c r="B1" s="58">
        <v>2014</v>
      </c>
      <c r="C1" s="58">
        <v>2014</v>
      </c>
      <c r="D1" s="58">
        <v>2014</v>
      </c>
      <c r="E1" s="58">
        <v>2014</v>
      </c>
      <c r="F1" s="58">
        <v>2014</v>
      </c>
      <c r="G1" s="58">
        <v>2014</v>
      </c>
      <c r="H1" s="58">
        <v>2014</v>
      </c>
      <c r="I1" s="58">
        <v>2014</v>
      </c>
      <c r="J1" s="58">
        <v>2014</v>
      </c>
      <c r="K1" s="58">
        <v>2014</v>
      </c>
      <c r="L1" s="58">
        <v>2014</v>
      </c>
      <c r="M1" s="58">
        <v>2014</v>
      </c>
      <c r="N1" s="58">
        <v>2015</v>
      </c>
      <c r="O1" s="58">
        <v>2015</v>
      </c>
      <c r="P1" s="58">
        <v>2015</v>
      </c>
      <c r="Q1" s="58">
        <v>2015</v>
      </c>
      <c r="R1" s="58">
        <v>2015</v>
      </c>
      <c r="S1" s="58">
        <v>2015</v>
      </c>
      <c r="T1" s="58">
        <v>2015</v>
      </c>
      <c r="U1" s="58">
        <v>2015</v>
      </c>
      <c r="V1" s="58">
        <v>2015</v>
      </c>
      <c r="W1" s="58">
        <v>2015</v>
      </c>
      <c r="X1" s="58">
        <v>2015</v>
      </c>
      <c r="Y1" s="58">
        <v>2015</v>
      </c>
      <c r="Z1" s="58">
        <v>2016</v>
      </c>
      <c r="AA1" s="58">
        <v>2016</v>
      </c>
      <c r="AB1" s="58">
        <v>2016</v>
      </c>
      <c r="AC1" s="58">
        <v>2016</v>
      </c>
      <c r="AD1" s="58">
        <v>2016</v>
      </c>
      <c r="AE1" s="58">
        <v>2016</v>
      </c>
      <c r="AF1" s="58">
        <v>2016</v>
      </c>
      <c r="AG1" s="58">
        <v>2016</v>
      </c>
      <c r="AH1" s="58">
        <v>2016</v>
      </c>
      <c r="AI1" s="58">
        <v>2016</v>
      </c>
      <c r="AJ1" s="58">
        <v>2016</v>
      </c>
      <c r="AK1" s="58">
        <v>2016</v>
      </c>
      <c r="AL1" s="58">
        <v>2017</v>
      </c>
      <c r="AM1" s="58">
        <v>2017</v>
      </c>
      <c r="AN1" s="58">
        <v>2017</v>
      </c>
      <c r="AO1" s="58">
        <v>2017</v>
      </c>
      <c r="AP1" s="58">
        <v>2017</v>
      </c>
      <c r="AQ1" s="58">
        <v>2017</v>
      </c>
      <c r="AR1" s="58">
        <v>2017</v>
      </c>
      <c r="AS1" s="58">
        <v>2017</v>
      </c>
      <c r="AT1" s="58">
        <v>2017</v>
      </c>
      <c r="AU1" s="58">
        <v>2017</v>
      </c>
      <c r="AV1" s="58">
        <v>2017</v>
      </c>
      <c r="AW1" s="58">
        <v>2017</v>
      </c>
      <c r="AX1" s="58">
        <v>2018</v>
      </c>
      <c r="AY1" s="58">
        <v>2018</v>
      </c>
      <c r="AZ1" s="58">
        <v>2018</v>
      </c>
      <c r="BA1" s="58">
        <v>2018</v>
      </c>
      <c r="BB1" s="58">
        <v>2018</v>
      </c>
      <c r="BC1" s="58">
        <v>2018</v>
      </c>
      <c r="BD1" s="58">
        <v>2018</v>
      </c>
      <c r="BE1" s="58">
        <v>2018</v>
      </c>
      <c r="BF1" s="58">
        <v>2018</v>
      </c>
      <c r="BG1" s="58">
        <v>2018</v>
      </c>
      <c r="BH1" s="58">
        <v>2018</v>
      </c>
      <c r="BI1" s="58">
        <v>2018</v>
      </c>
      <c r="BJ1" s="58">
        <v>2019</v>
      </c>
      <c r="BK1" s="58">
        <v>2019</v>
      </c>
      <c r="BL1" s="58">
        <v>2019</v>
      </c>
      <c r="BM1" s="58">
        <v>2019</v>
      </c>
      <c r="BN1" s="58">
        <v>2019</v>
      </c>
      <c r="BO1" s="58">
        <v>2019</v>
      </c>
      <c r="BP1" s="58">
        <v>2019</v>
      </c>
      <c r="BQ1" s="58">
        <v>2019</v>
      </c>
      <c r="BR1" s="58">
        <v>2019</v>
      </c>
      <c r="BS1" s="58">
        <v>2019</v>
      </c>
      <c r="BT1" s="58">
        <v>2019</v>
      </c>
      <c r="BU1" s="58">
        <v>2019</v>
      </c>
      <c r="BV1" s="58">
        <v>2020</v>
      </c>
      <c r="BW1" s="58">
        <v>2020</v>
      </c>
      <c r="BX1" s="58">
        <v>2020</v>
      </c>
      <c r="BY1" s="58">
        <v>2020</v>
      </c>
      <c r="BZ1" s="58">
        <v>2020</v>
      </c>
      <c r="CA1" s="58">
        <v>2020</v>
      </c>
      <c r="CB1" s="58">
        <v>2020</v>
      </c>
      <c r="CC1" s="58">
        <v>2020</v>
      </c>
      <c r="CD1" s="58">
        <v>2020</v>
      </c>
      <c r="CE1" s="58">
        <v>2020</v>
      </c>
      <c r="CF1" s="58">
        <v>2020</v>
      </c>
      <c r="CG1" s="58">
        <v>2020</v>
      </c>
      <c r="CH1" s="59">
        <f>BV1+1</f>
        <v>2021</v>
      </c>
      <c r="CI1" s="59">
        <f t="shared" ref="CI1:DQ1" si="0">BW1+1</f>
        <v>2021</v>
      </c>
      <c r="CJ1" s="59">
        <f t="shared" si="0"/>
        <v>2021</v>
      </c>
      <c r="CK1" s="59">
        <f t="shared" si="0"/>
        <v>2021</v>
      </c>
      <c r="CL1" s="59">
        <f t="shared" si="0"/>
        <v>2021</v>
      </c>
      <c r="CM1" s="59">
        <f t="shared" si="0"/>
        <v>2021</v>
      </c>
      <c r="CN1" s="59">
        <f t="shared" si="0"/>
        <v>2021</v>
      </c>
      <c r="CO1" s="59">
        <f t="shared" si="0"/>
        <v>2021</v>
      </c>
      <c r="CP1" s="59">
        <f t="shared" si="0"/>
        <v>2021</v>
      </c>
      <c r="CQ1" s="59">
        <f t="shared" si="0"/>
        <v>2021</v>
      </c>
      <c r="CR1" s="59">
        <f t="shared" si="0"/>
        <v>2021</v>
      </c>
      <c r="CS1" s="59">
        <f t="shared" si="0"/>
        <v>2021</v>
      </c>
      <c r="CT1" s="59">
        <f t="shared" si="0"/>
        <v>2022</v>
      </c>
      <c r="CU1" s="59">
        <f t="shared" si="0"/>
        <v>2022</v>
      </c>
      <c r="CV1" s="59">
        <f t="shared" si="0"/>
        <v>2022</v>
      </c>
      <c r="CW1" s="59">
        <f t="shared" si="0"/>
        <v>2022</v>
      </c>
      <c r="CX1" s="59">
        <f t="shared" si="0"/>
        <v>2022</v>
      </c>
      <c r="CY1" s="59">
        <f t="shared" si="0"/>
        <v>2022</v>
      </c>
      <c r="CZ1" s="59">
        <f t="shared" si="0"/>
        <v>2022</v>
      </c>
      <c r="DA1" s="59">
        <f t="shared" si="0"/>
        <v>2022</v>
      </c>
      <c r="DB1" s="59">
        <f t="shared" si="0"/>
        <v>2022</v>
      </c>
      <c r="DC1" s="59">
        <f t="shared" si="0"/>
        <v>2022</v>
      </c>
      <c r="DD1" s="59">
        <f t="shared" si="0"/>
        <v>2022</v>
      </c>
      <c r="DE1" s="59">
        <f t="shared" si="0"/>
        <v>2022</v>
      </c>
      <c r="DF1" s="59">
        <f t="shared" si="0"/>
        <v>2023</v>
      </c>
      <c r="DG1" s="59">
        <f t="shared" si="0"/>
        <v>2023</v>
      </c>
      <c r="DH1" s="59">
        <f t="shared" si="0"/>
        <v>2023</v>
      </c>
      <c r="DI1" s="59">
        <f t="shared" si="0"/>
        <v>2023</v>
      </c>
      <c r="DJ1" s="59">
        <f t="shared" si="0"/>
        <v>2023</v>
      </c>
      <c r="DK1" s="59">
        <f t="shared" si="0"/>
        <v>2023</v>
      </c>
      <c r="DL1" s="59">
        <f t="shared" si="0"/>
        <v>2023</v>
      </c>
      <c r="DM1" s="59">
        <f t="shared" si="0"/>
        <v>2023</v>
      </c>
      <c r="DN1" s="59">
        <f t="shared" si="0"/>
        <v>2023</v>
      </c>
      <c r="DO1" s="59">
        <f t="shared" si="0"/>
        <v>2023</v>
      </c>
      <c r="DP1" s="59">
        <f t="shared" si="0"/>
        <v>2023</v>
      </c>
      <c r="DQ1" s="59">
        <f t="shared" si="0"/>
        <v>2023</v>
      </c>
      <c r="DR1" s="59">
        <f t="shared" ref="DR1" si="1">DF1+1</f>
        <v>2024</v>
      </c>
      <c r="DS1" s="59">
        <f t="shared" ref="DS1" si="2">DG1+1</f>
        <v>2024</v>
      </c>
      <c r="DT1" s="59">
        <f t="shared" ref="DT1" si="3">DH1+1</f>
        <v>2024</v>
      </c>
      <c r="DU1" s="59">
        <f t="shared" ref="DU1" si="4">DI1+1</f>
        <v>2024</v>
      </c>
      <c r="DV1" s="59">
        <f t="shared" ref="DV1" si="5">DJ1+1</f>
        <v>2024</v>
      </c>
      <c r="DW1" s="59">
        <f t="shared" ref="DW1" si="6">DK1+1</f>
        <v>2024</v>
      </c>
      <c r="DX1" s="59">
        <f t="shared" ref="DX1" si="7">DL1+1</f>
        <v>2024</v>
      </c>
      <c r="DY1" s="59">
        <f t="shared" ref="DY1" si="8">DM1+1</f>
        <v>2024</v>
      </c>
      <c r="DZ1" s="59">
        <f t="shared" ref="DZ1" si="9">DN1+1</f>
        <v>2024</v>
      </c>
      <c r="EA1" s="59">
        <f t="shared" ref="EA1" si="10">DO1+1</f>
        <v>2024</v>
      </c>
      <c r="EB1" s="59">
        <f t="shared" ref="EB1" si="11">DP1+1</f>
        <v>2024</v>
      </c>
      <c r="EC1" s="59">
        <f t="shared" ref="EC1" si="12">DQ1+1</f>
        <v>2024</v>
      </c>
      <c r="ED1" s="59">
        <f t="shared" ref="ED1" si="13">DR1+1</f>
        <v>2025</v>
      </c>
      <c r="EE1" s="59">
        <f t="shared" ref="EE1" si="14">DS1+1</f>
        <v>2025</v>
      </c>
      <c r="EF1" s="59">
        <f t="shared" ref="EF1" si="15">DT1+1</f>
        <v>2025</v>
      </c>
      <c r="EG1" s="59">
        <f t="shared" ref="EG1" si="16">DU1+1</f>
        <v>2025</v>
      </c>
      <c r="EH1" s="59">
        <f t="shared" ref="EH1" si="17">DV1+1</f>
        <v>2025</v>
      </c>
      <c r="EI1" s="59">
        <f t="shared" ref="EI1" si="18">DW1+1</f>
        <v>2025</v>
      </c>
      <c r="EJ1" s="59">
        <f t="shared" ref="EJ1" si="19">DX1+1</f>
        <v>2025</v>
      </c>
      <c r="EK1" s="59">
        <f t="shared" ref="EK1" si="20">DY1+1</f>
        <v>2025</v>
      </c>
      <c r="EL1" s="59">
        <f t="shared" ref="EL1" si="21">DZ1+1</f>
        <v>2025</v>
      </c>
      <c r="EM1" s="59">
        <f t="shared" ref="EM1" si="22">EA1+1</f>
        <v>2025</v>
      </c>
      <c r="EN1" s="59">
        <f t="shared" ref="EN1" si="23">EB1+1</f>
        <v>2025</v>
      </c>
      <c r="EO1" s="59">
        <f t="shared" ref="EO1" si="24">EC1+1</f>
        <v>2025</v>
      </c>
      <c r="EP1" s="59">
        <f t="shared" ref="EP1" si="25">ED1+1</f>
        <v>2026</v>
      </c>
      <c r="EQ1" s="59">
        <f t="shared" ref="EQ1" si="26">EE1+1</f>
        <v>2026</v>
      </c>
      <c r="ER1" s="59">
        <f t="shared" ref="ER1" si="27">EF1+1</f>
        <v>2026</v>
      </c>
      <c r="ES1" s="59">
        <f t="shared" ref="ES1" si="28">EG1+1</f>
        <v>2026</v>
      </c>
      <c r="ET1" s="59">
        <f t="shared" ref="ET1" si="29">EH1+1</f>
        <v>2026</v>
      </c>
      <c r="EU1" s="59">
        <f t="shared" ref="EU1" si="30">EI1+1</f>
        <v>2026</v>
      </c>
      <c r="EV1" s="59">
        <f t="shared" ref="EV1" si="31">EJ1+1</f>
        <v>2026</v>
      </c>
      <c r="EW1" s="59">
        <f t="shared" ref="EW1" si="32">EK1+1</f>
        <v>2026</v>
      </c>
      <c r="EX1" s="59">
        <f t="shared" ref="EX1" si="33">EL1+1</f>
        <v>2026</v>
      </c>
      <c r="EY1" s="59">
        <f t="shared" ref="EY1" si="34">EM1+1</f>
        <v>2026</v>
      </c>
      <c r="EZ1" s="59">
        <f t="shared" ref="EZ1" si="35">EN1+1</f>
        <v>2026</v>
      </c>
      <c r="FA1" s="59">
        <f t="shared" ref="FA1" si="36">EO1+1</f>
        <v>2026</v>
      </c>
      <c r="FB1" s="59">
        <f t="shared" ref="FB1" si="37">EP1+1</f>
        <v>2027</v>
      </c>
      <c r="FC1" s="59">
        <f t="shared" ref="FC1" si="38">EQ1+1</f>
        <v>2027</v>
      </c>
      <c r="FD1" s="59">
        <f t="shared" ref="FD1" si="39">ER1+1</f>
        <v>2027</v>
      </c>
      <c r="FE1" s="59">
        <f t="shared" ref="FE1" si="40">ES1+1</f>
        <v>2027</v>
      </c>
      <c r="FF1" s="59">
        <f t="shared" ref="FF1" si="41">ET1+1</f>
        <v>2027</v>
      </c>
      <c r="FG1" s="59">
        <f t="shared" ref="FG1" si="42">EU1+1</f>
        <v>2027</v>
      </c>
      <c r="FH1" s="59">
        <f t="shared" ref="FH1" si="43">EV1+1</f>
        <v>2027</v>
      </c>
      <c r="FI1" s="59">
        <f t="shared" ref="FI1" si="44">EW1+1</f>
        <v>2027</v>
      </c>
      <c r="FJ1" s="59">
        <f t="shared" ref="FJ1" si="45">EX1+1</f>
        <v>2027</v>
      </c>
      <c r="FK1" s="59">
        <f t="shared" ref="FK1" si="46">EY1+1</f>
        <v>2027</v>
      </c>
      <c r="FL1" s="59">
        <f t="shared" ref="FL1" si="47">EZ1+1</f>
        <v>2027</v>
      </c>
      <c r="FM1" s="59">
        <f t="shared" ref="FM1" si="48">FA1+1</f>
        <v>2027</v>
      </c>
      <c r="FN1" s="59">
        <f t="shared" ref="FN1" si="49">FB1+1</f>
        <v>2028</v>
      </c>
      <c r="FO1" s="59">
        <f t="shared" ref="FO1" si="50">FC1+1</f>
        <v>2028</v>
      </c>
      <c r="FP1" s="59">
        <f t="shared" ref="FP1" si="51">FD1+1</f>
        <v>2028</v>
      </c>
      <c r="FQ1" s="59">
        <f t="shared" ref="FQ1" si="52">FE1+1</f>
        <v>2028</v>
      </c>
      <c r="FR1" s="59">
        <f t="shared" ref="FR1" si="53">FF1+1</f>
        <v>2028</v>
      </c>
      <c r="FS1" s="59">
        <f t="shared" ref="FS1" si="54">FG1+1</f>
        <v>2028</v>
      </c>
      <c r="FT1" s="59">
        <f t="shared" ref="FT1" si="55">FH1+1</f>
        <v>2028</v>
      </c>
      <c r="FU1" s="59">
        <f t="shared" ref="FU1" si="56">FI1+1</f>
        <v>2028</v>
      </c>
      <c r="FV1" s="59">
        <f t="shared" ref="FV1" si="57">FJ1+1</f>
        <v>2028</v>
      </c>
      <c r="FW1" s="59">
        <f t="shared" ref="FW1" si="58">FK1+1</f>
        <v>2028</v>
      </c>
      <c r="FX1" s="59">
        <f t="shared" ref="FX1" si="59">FL1+1</f>
        <v>2028</v>
      </c>
      <c r="FY1" s="59">
        <f t="shared" ref="FY1" si="60">FM1+1</f>
        <v>2028</v>
      </c>
      <c r="FZ1" s="112" t="s">
        <v>555</v>
      </c>
      <c r="GA1" s="113"/>
      <c r="GB1" s="114"/>
      <c r="GC1" s="60" t="s">
        <v>556</v>
      </c>
      <c r="GD1" s="61">
        <v>9</v>
      </c>
      <c r="GE1" s="61">
        <v>8</v>
      </c>
      <c r="GF1" s="61">
        <v>2018</v>
      </c>
      <c r="GG1" s="62">
        <v>23</v>
      </c>
      <c r="GH1" s="62">
        <v>11</v>
      </c>
      <c r="GI1" s="62">
        <v>2019</v>
      </c>
    </row>
    <row r="2" spans="1:201" ht="15.75" customHeight="1" thickBot="1" x14ac:dyDescent="0.4">
      <c r="A2" s="111"/>
      <c r="B2" s="63" t="s">
        <v>557</v>
      </c>
      <c r="C2" s="63" t="s">
        <v>558</v>
      </c>
      <c r="D2" s="63" t="s">
        <v>559</v>
      </c>
      <c r="E2" s="63" t="s">
        <v>560</v>
      </c>
      <c r="F2" s="63" t="s">
        <v>561</v>
      </c>
      <c r="G2" s="63" t="s">
        <v>562</v>
      </c>
      <c r="H2" s="63" t="s">
        <v>563</v>
      </c>
      <c r="I2" s="63" t="s">
        <v>564</v>
      </c>
      <c r="J2" s="63" t="s">
        <v>565</v>
      </c>
      <c r="K2" s="63" t="s">
        <v>566</v>
      </c>
      <c r="L2" s="63" t="s">
        <v>567</v>
      </c>
      <c r="M2" s="63" t="s">
        <v>568</v>
      </c>
      <c r="N2" s="63" t="s">
        <v>557</v>
      </c>
      <c r="O2" s="63" t="s">
        <v>558</v>
      </c>
      <c r="P2" s="63" t="s">
        <v>559</v>
      </c>
      <c r="Q2" s="63" t="s">
        <v>560</v>
      </c>
      <c r="R2" s="63" t="s">
        <v>561</v>
      </c>
      <c r="S2" s="63" t="s">
        <v>562</v>
      </c>
      <c r="T2" s="63" t="s">
        <v>563</v>
      </c>
      <c r="U2" s="63" t="s">
        <v>564</v>
      </c>
      <c r="V2" s="63" t="s">
        <v>565</v>
      </c>
      <c r="W2" s="63" t="s">
        <v>566</v>
      </c>
      <c r="X2" s="63" t="s">
        <v>567</v>
      </c>
      <c r="Y2" s="63" t="s">
        <v>568</v>
      </c>
      <c r="Z2" s="63" t="s">
        <v>557</v>
      </c>
      <c r="AA2" s="63" t="s">
        <v>558</v>
      </c>
      <c r="AB2" s="63" t="s">
        <v>559</v>
      </c>
      <c r="AC2" s="63" t="s">
        <v>560</v>
      </c>
      <c r="AD2" s="63" t="s">
        <v>561</v>
      </c>
      <c r="AE2" s="63" t="s">
        <v>562</v>
      </c>
      <c r="AF2" s="63" t="s">
        <v>563</v>
      </c>
      <c r="AG2" s="63" t="s">
        <v>564</v>
      </c>
      <c r="AH2" s="63" t="s">
        <v>565</v>
      </c>
      <c r="AI2" s="63" t="s">
        <v>566</v>
      </c>
      <c r="AJ2" s="63" t="s">
        <v>567</v>
      </c>
      <c r="AK2" s="63" t="s">
        <v>568</v>
      </c>
      <c r="AL2" s="63" t="s">
        <v>557</v>
      </c>
      <c r="AM2" s="63" t="s">
        <v>558</v>
      </c>
      <c r="AN2" s="63" t="s">
        <v>559</v>
      </c>
      <c r="AO2" s="63" t="s">
        <v>560</v>
      </c>
      <c r="AP2" s="63" t="s">
        <v>561</v>
      </c>
      <c r="AQ2" s="63" t="s">
        <v>562</v>
      </c>
      <c r="AR2" s="63" t="s">
        <v>563</v>
      </c>
      <c r="AS2" s="63" t="s">
        <v>564</v>
      </c>
      <c r="AT2" s="63" t="s">
        <v>565</v>
      </c>
      <c r="AU2" s="63" t="s">
        <v>566</v>
      </c>
      <c r="AV2" s="63" t="s">
        <v>567</v>
      </c>
      <c r="AW2" s="63" t="s">
        <v>568</v>
      </c>
      <c r="AX2" s="63" t="s">
        <v>557</v>
      </c>
      <c r="AY2" s="63" t="s">
        <v>558</v>
      </c>
      <c r="AZ2" s="63" t="s">
        <v>559</v>
      </c>
      <c r="BA2" s="63" t="s">
        <v>560</v>
      </c>
      <c r="BB2" s="63" t="s">
        <v>561</v>
      </c>
      <c r="BC2" s="63" t="s">
        <v>562</v>
      </c>
      <c r="BD2" s="63" t="s">
        <v>563</v>
      </c>
      <c r="BE2" s="63" t="s">
        <v>564</v>
      </c>
      <c r="BF2" s="63" t="s">
        <v>565</v>
      </c>
      <c r="BG2" s="63" t="s">
        <v>566</v>
      </c>
      <c r="BH2" s="63" t="s">
        <v>567</v>
      </c>
      <c r="BI2" s="63" t="s">
        <v>568</v>
      </c>
      <c r="BJ2" s="63" t="s">
        <v>557</v>
      </c>
      <c r="BK2" s="63" t="s">
        <v>558</v>
      </c>
      <c r="BL2" s="63" t="s">
        <v>559</v>
      </c>
      <c r="BM2" s="63" t="s">
        <v>560</v>
      </c>
      <c r="BN2" s="63" t="s">
        <v>561</v>
      </c>
      <c r="BO2" s="63" t="s">
        <v>562</v>
      </c>
      <c r="BP2" s="63" t="s">
        <v>563</v>
      </c>
      <c r="BQ2" s="63" t="s">
        <v>564</v>
      </c>
      <c r="BR2" s="63" t="s">
        <v>565</v>
      </c>
      <c r="BS2" s="63" t="s">
        <v>566</v>
      </c>
      <c r="BT2" s="63" t="s">
        <v>567</v>
      </c>
      <c r="BU2" s="63" t="s">
        <v>568</v>
      </c>
      <c r="BV2" s="63" t="s">
        <v>557</v>
      </c>
      <c r="BW2" s="63" t="s">
        <v>558</v>
      </c>
      <c r="BX2" s="63" t="s">
        <v>559</v>
      </c>
      <c r="BY2" s="63" t="s">
        <v>560</v>
      </c>
      <c r="BZ2" s="63" t="s">
        <v>561</v>
      </c>
      <c r="CA2" s="63" t="s">
        <v>562</v>
      </c>
      <c r="CB2" s="63" t="s">
        <v>563</v>
      </c>
      <c r="CC2" s="63" t="s">
        <v>564</v>
      </c>
      <c r="CD2" s="63" t="s">
        <v>565</v>
      </c>
      <c r="CE2" s="63" t="s">
        <v>566</v>
      </c>
      <c r="CF2" s="63" t="s">
        <v>567</v>
      </c>
      <c r="CG2" s="63" t="s">
        <v>568</v>
      </c>
      <c r="CH2" s="63" t="s">
        <v>557</v>
      </c>
      <c r="CI2" s="63" t="s">
        <v>558</v>
      </c>
      <c r="CJ2" s="63" t="s">
        <v>559</v>
      </c>
      <c r="CK2" s="63" t="s">
        <v>560</v>
      </c>
      <c r="CL2" s="63" t="s">
        <v>561</v>
      </c>
      <c r="CM2" s="63" t="s">
        <v>562</v>
      </c>
      <c r="CN2" s="63" t="s">
        <v>563</v>
      </c>
      <c r="CO2" s="63" t="s">
        <v>564</v>
      </c>
      <c r="CP2" s="63" t="s">
        <v>565</v>
      </c>
      <c r="CQ2" s="63" t="s">
        <v>566</v>
      </c>
      <c r="CR2" s="63" t="s">
        <v>567</v>
      </c>
      <c r="CS2" s="63" t="s">
        <v>568</v>
      </c>
      <c r="CT2" s="63" t="s">
        <v>557</v>
      </c>
      <c r="CU2" s="63" t="s">
        <v>558</v>
      </c>
      <c r="CV2" s="63" t="s">
        <v>559</v>
      </c>
      <c r="CW2" s="63" t="s">
        <v>560</v>
      </c>
      <c r="CX2" s="63" t="s">
        <v>561</v>
      </c>
      <c r="CY2" s="63" t="s">
        <v>562</v>
      </c>
      <c r="CZ2" s="63" t="s">
        <v>563</v>
      </c>
      <c r="DA2" s="63" t="s">
        <v>564</v>
      </c>
      <c r="DB2" s="63" t="s">
        <v>565</v>
      </c>
      <c r="DC2" s="63" t="s">
        <v>566</v>
      </c>
      <c r="DD2" s="63" t="s">
        <v>567</v>
      </c>
      <c r="DE2" s="63" t="s">
        <v>568</v>
      </c>
      <c r="DF2" s="63" t="s">
        <v>557</v>
      </c>
      <c r="DG2" s="63" t="s">
        <v>558</v>
      </c>
      <c r="DH2" s="63" t="s">
        <v>559</v>
      </c>
      <c r="DI2" s="63" t="s">
        <v>560</v>
      </c>
      <c r="DJ2" s="63" t="s">
        <v>561</v>
      </c>
      <c r="DK2" s="63" t="s">
        <v>562</v>
      </c>
      <c r="DL2" s="63" t="s">
        <v>563</v>
      </c>
      <c r="DM2" s="63" t="s">
        <v>564</v>
      </c>
      <c r="DN2" s="63" t="s">
        <v>565</v>
      </c>
      <c r="DO2" s="63" t="s">
        <v>566</v>
      </c>
      <c r="DP2" s="63" t="s">
        <v>567</v>
      </c>
      <c r="DQ2" s="63" t="s">
        <v>568</v>
      </c>
      <c r="DR2" s="63" t="s">
        <v>557</v>
      </c>
      <c r="DS2" s="63" t="s">
        <v>558</v>
      </c>
      <c r="DT2" s="63" t="s">
        <v>559</v>
      </c>
      <c r="DU2" s="63" t="s">
        <v>560</v>
      </c>
      <c r="DV2" s="63" t="s">
        <v>561</v>
      </c>
      <c r="DW2" s="63" t="s">
        <v>562</v>
      </c>
      <c r="DX2" s="63" t="s">
        <v>563</v>
      </c>
      <c r="DY2" s="63" t="s">
        <v>564</v>
      </c>
      <c r="DZ2" s="63" t="s">
        <v>565</v>
      </c>
      <c r="EA2" s="63" t="s">
        <v>566</v>
      </c>
      <c r="EB2" s="63" t="s">
        <v>567</v>
      </c>
      <c r="EC2" s="63" t="s">
        <v>568</v>
      </c>
      <c r="ED2" s="63" t="s">
        <v>557</v>
      </c>
      <c r="EE2" s="63" t="s">
        <v>558</v>
      </c>
      <c r="EF2" s="63" t="s">
        <v>559</v>
      </c>
      <c r="EG2" s="63" t="s">
        <v>560</v>
      </c>
      <c r="EH2" s="63" t="s">
        <v>561</v>
      </c>
      <c r="EI2" s="63" t="s">
        <v>562</v>
      </c>
      <c r="EJ2" s="63" t="s">
        <v>563</v>
      </c>
      <c r="EK2" s="63" t="s">
        <v>564</v>
      </c>
      <c r="EL2" s="63" t="s">
        <v>565</v>
      </c>
      <c r="EM2" s="63" t="s">
        <v>566</v>
      </c>
      <c r="EN2" s="63" t="s">
        <v>567</v>
      </c>
      <c r="EO2" s="63" t="s">
        <v>568</v>
      </c>
      <c r="EP2" s="63" t="s">
        <v>557</v>
      </c>
      <c r="EQ2" s="63" t="s">
        <v>558</v>
      </c>
      <c r="ER2" s="63" t="s">
        <v>559</v>
      </c>
      <c r="ES2" s="63" t="s">
        <v>560</v>
      </c>
      <c r="ET2" s="63" t="s">
        <v>561</v>
      </c>
      <c r="EU2" s="63" t="s">
        <v>562</v>
      </c>
      <c r="EV2" s="63" t="s">
        <v>563</v>
      </c>
      <c r="EW2" s="63" t="s">
        <v>564</v>
      </c>
      <c r="EX2" s="63" t="s">
        <v>565</v>
      </c>
      <c r="EY2" s="63" t="s">
        <v>566</v>
      </c>
      <c r="EZ2" s="63" t="s">
        <v>567</v>
      </c>
      <c r="FA2" s="63" t="s">
        <v>568</v>
      </c>
      <c r="FB2" s="63" t="s">
        <v>557</v>
      </c>
      <c r="FC2" s="63" t="s">
        <v>558</v>
      </c>
      <c r="FD2" s="63" t="s">
        <v>559</v>
      </c>
      <c r="FE2" s="63" t="s">
        <v>560</v>
      </c>
      <c r="FF2" s="63" t="s">
        <v>561</v>
      </c>
      <c r="FG2" s="63" t="s">
        <v>562</v>
      </c>
      <c r="FH2" s="63" t="s">
        <v>563</v>
      </c>
      <c r="FI2" s="63" t="s">
        <v>564</v>
      </c>
      <c r="FJ2" s="63" t="s">
        <v>565</v>
      </c>
      <c r="FK2" s="63" t="s">
        <v>566</v>
      </c>
      <c r="FL2" s="63" t="s">
        <v>567</v>
      </c>
      <c r="FM2" s="63" t="s">
        <v>568</v>
      </c>
      <c r="FN2" s="63" t="s">
        <v>557</v>
      </c>
      <c r="FO2" s="63" t="s">
        <v>558</v>
      </c>
      <c r="FP2" s="63" t="s">
        <v>559</v>
      </c>
      <c r="FQ2" s="63" t="s">
        <v>560</v>
      </c>
      <c r="FR2" s="63" t="s">
        <v>561</v>
      </c>
      <c r="FS2" s="63" t="s">
        <v>562</v>
      </c>
      <c r="FT2" s="63" t="s">
        <v>563</v>
      </c>
      <c r="FU2" s="63" t="s">
        <v>564</v>
      </c>
      <c r="FV2" s="63" t="s">
        <v>565</v>
      </c>
      <c r="FW2" s="63" t="s">
        <v>566</v>
      </c>
      <c r="FX2" s="63" t="s">
        <v>567</v>
      </c>
      <c r="FY2" s="63" t="s">
        <v>568</v>
      </c>
      <c r="FZ2" s="64" t="s">
        <v>569</v>
      </c>
      <c r="GA2" s="65" t="s">
        <v>570</v>
      </c>
      <c r="GB2" s="66" t="s">
        <v>571</v>
      </c>
      <c r="GD2" s="61">
        <v>22</v>
      </c>
      <c r="GE2" s="61">
        <v>11</v>
      </c>
      <c r="GF2" s="61">
        <v>2019</v>
      </c>
      <c r="GG2" s="62">
        <v>31</v>
      </c>
      <c r="GH2" s="62">
        <v>12</v>
      </c>
      <c r="GI2" s="62">
        <v>2020</v>
      </c>
      <c r="GP2" s="108" t="s">
        <v>990</v>
      </c>
      <c r="GQ2" s="108" t="s">
        <v>989</v>
      </c>
      <c r="GR2" s="108" t="s">
        <v>992</v>
      </c>
      <c r="GS2" s="108" t="s">
        <v>991</v>
      </c>
    </row>
    <row r="3" spans="1:201" ht="15.75" customHeight="1" thickBot="1" x14ac:dyDescent="0.4">
      <c r="A3" s="111"/>
      <c r="B3" s="67">
        <f t="shared" ref="B3:BM3" si="61">IF(B$2="Ene",1,IF(B$2="Feb",2,IF(B$2="Mar",3,IF(B$2="Abr",4,IF(B$2="May",5,IF(B$2="Jun",6,IF(B$2="Jul",7,IF(B$2="Ago",8,IF(B$2="Sep",9,IF(B$2="Oct",10,IF(B$2="Nov",11,IF(B$2="Dic",12,"Error"))))))))))))</f>
        <v>1</v>
      </c>
      <c r="C3" s="67">
        <f t="shared" si="61"/>
        <v>2</v>
      </c>
      <c r="D3" s="67">
        <f t="shared" si="61"/>
        <v>3</v>
      </c>
      <c r="E3" s="67">
        <f t="shared" si="61"/>
        <v>4</v>
      </c>
      <c r="F3" s="67">
        <f t="shared" si="61"/>
        <v>5</v>
      </c>
      <c r="G3" s="67">
        <f t="shared" si="61"/>
        <v>6</v>
      </c>
      <c r="H3" s="67">
        <f t="shared" si="61"/>
        <v>7</v>
      </c>
      <c r="I3" s="67">
        <f t="shared" si="61"/>
        <v>8</v>
      </c>
      <c r="J3" s="67">
        <f t="shared" si="61"/>
        <v>9</v>
      </c>
      <c r="K3" s="67">
        <f t="shared" si="61"/>
        <v>10</v>
      </c>
      <c r="L3" s="67">
        <f t="shared" si="61"/>
        <v>11</v>
      </c>
      <c r="M3" s="67">
        <f t="shared" si="61"/>
        <v>12</v>
      </c>
      <c r="N3" s="67">
        <f t="shared" si="61"/>
        <v>1</v>
      </c>
      <c r="O3" s="67">
        <f t="shared" si="61"/>
        <v>2</v>
      </c>
      <c r="P3" s="67">
        <f t="shared" si="61"/>
        <v>3</v>
      </c>
      <c r="Q3" s="67">
        <f t="shared" si="61"/>
        <v>4</v>
      </c>
      <c r="R3" s="67">
        <f t="shared" si="61"/>
        <v>5</v>
      </c>
      <c r="S3" s="67">
        <f t="shared" si="61"/>
        <v>6</v>
      </c>
      <c r="T3" s="67">
        <f t="shared" si="61"/>
        <v>7</v>
      </c>
      <c r="U3" s="67">
        <f t="shared" si="61"/>
        <v>8</v>
      </c>
      <c r="V3" s="67">
        <f t="shared" si="61"/>
        <v>9</v>
      </c>
      <c r="W3" s="67">
        <f t="shared" si="61"/>
        <v>10</v>
      </c>
      <c r="X3" s="67">
        <f t="shared" si="61"/>
        <v>11</v>
      </c>
      <c r="Y3" s="67">
        <f t="shared" si="61"/>
        <v>12</v>
      </c>
      <c r="Z3" s="67">
        <f t="shared" si="61"/>
        <v>1</v>
      </c>
      <c r="AA3" s="67">
        <f t="shared" si="61"/>
        <v>2</v>
      </c>
      <c r="AB3" s="67">
        <f t="shared" si="61"/>
        <v>3</v>
      </c>
      <c r="AC3" s="67">
        <f t="shared" si="61"/>
        <v>4</v>
      </c>
      <c r="AD3" s="67">
        <f t="shared" si="61"/>
        <v>5</v>
      </c>
      <c r="AE3" s="67">
        <f t="shared" si="61"/>
        <v>6</v>
      </c>
      <c r="AF3" s="67">
        <f t="shared" si="61"/>
        <v>7</v>
      </c>
      <c r="AG3" s="67">
        <f t="shared" si="61"/>
        <v>8</v>
      </c>
      <c r="AH3" s="67">
        <f t="shared" si="61"/>
        <v>9</v>
      </c>
      <c r="AI3" s="67">
        <f t="shared" si="61"/>
        <v>10</v>
      </c>
      <c r="AJ3" s="67">
        <f t="shared" si="61"/>
        <v>11</v>
      </c>
      <c r="AK3" s="67">
        <f t="shared" si="61"/>
        <v>12</v>
      </c>
      <c r="AL3" s="67">
        <f t="shared" si="61"/>
        <v>1</v>
      </c>
      <c r="AM3" s="67">
        <f t="shared" si="61"/>
        <v>2</v>
      </c>
      <c r="AN3" s="67">
        <f t="shared" si="61"/>
        <v>3</v>
      </c>
      <c r="AO3" s="67">
        <f t="shared" si="61"/>
        <v>4</v>
      </c>
      <c r="AP3" s="67">
        <f t="shared" si="61"/>
        <v>5</v>
      </c>
      <c r="AQ3" s="67">
        <f t="shared" si="61"/>
        <v>6</v>
      </c>
      <c r="AR3" s="67">
        <f t="shared" si="61"/>
        <v>7</v>
      </c>
      <c r="AS3" s="67">
        <f t="shared" si="61"/>
        <v>8</v>
      </c>
      <c r="AT3" s="67">
        <f t="shared" si="61"/>
        <v>9</v>
      </c>
      <c r="AU3" s="67">
        <f t="shared" si="61"/>
        <v>10</v>
      </c>
      <c r="AV3" s="67">
        <f t="shared" si="61"/>
        <v>11</v>
      </c>
      <c r="AW3" s="67">
        <f t="shared" si="61"/>
        <v>12</v>
      </c>
      <c r="AX3" s="67">
        <f t="shared" si="61"/>
        <v>1</v>
      </c>
      <c r="AY3" s="67">
        <f t="shared" si="61"/>
        <v>2</v>
      </c>
      <c r="AZ3" s="67">
        <f t="shared" si="61"/>
        <v>3</v>
      </c>
      <c r="BA3" s="67">
        <f t="shared" si="61"/>
        <v>4</v>
      </c>
      <c r="BB3" s="67">
        <f t="shared" si="61"/>
        <v>5</v>
      </c>
      <c r="BC3" s="67">
        <f t="shared" si="61"/>
        <v>6</v>
      </c>
      <c r="BD3" s="67">
        <f t="shared" si="61"/>
        <v>7</v>
      </c>
      <c r="BE3" s="67">
        <f t="shared" si="61"/>
        <v>8</v>
      </c>
      <c r="BF3" s="67">
        <f t="shared" si="61"/>
        <v>9</v>
      </c>
      <c r="BG3" s="67">
        <f t="shared" si="61"/>
        <v>10</v>
      </c>
      <c r="BH3" s="67">
        <f t="shared" si="61"/>
        <v>11</v>
      </c>
      <c r="BI3" s="67">
        <f t="shared" si="61"/>
        <v>12</v>
      </c>
      <c r="BJ3" s="67">
        <f t="shared" si="61"/>
        <v>1</v>
      </c>
      <c r="BK3" s="67">
        <f t="shared" si="61"/>
        <v>2</v>
      </c>
      <c r="BL3" s="67">
        <f t="shared" si="61"/>
        <v>3</v>
      </c>
      <c r="BM3" s="67">
        <f t="shared" si="61"/>
        <v>4</v>
      </c>
      <c r="BN3" s="67">
        <f t="shared" ref="BN3:DY3" si="62">IF(BN$2="Ene",1,IF(BN$2="Feb",2,IF(BN$2="Mar",3,IF(BN$2="Abr",4,IF(BN$2="May",5,IF(BN$2="Jun",6,IF(BN$2="Jul",7,IF(BN$2="Ago",8,IF(BN$2="Sep",9,IF(BN$2="Oct",10,IF(BN$2="Nov",11,IF(BN$2="Dic",12,"Error"))))))))))))</f>
        <v>5</v>
      </c>
      <c r="BO3" s="67">
        <f t="shared" si="62"/>
        <v>6</v>
      </c>
      <c r="BP3" s="67">
        <f t="shared" si="62"/>
        <v>7</v>
      </c>
      <c r="BQ3" s="67">
        <f t="shared" si="62"/>
        <v>8</v>
      </c>
      <c r="BR3" s="67">
        <f t="shared" si="62"/>
        <v>9</v>
      </c>
      <c r="BS3" s="67">
        <f t="shared" si="62"/>
        <v>10</v>
      </c>
      <c r="BT3" s="67">
        <f t="shared" si="62"/>
        <v>11</v>
      </c>
      <c r="BU3" s="67">
        <f t="shared" si="62"/>
        <v>12</v>
      </c>
      <c r="BV3" s="67">
        <f t="shared" si="62"/>
        <v>1</v>
      </c>
      <c r="BW3" s="67">
        <f t="shared" si="62"/>
        <v>2</v>
      </c>
      <c r="BX3" s="67">
        <f t="shared" si="62"/>
        <v>3</v>
      </c>
      <c r="BY3" s="67">
        <f t="shared" si="62"/>
        <v>4</v>
      </c>
      <c r="BZ3" s="67">
        <f t="shared" si="62"/>
        <v>5</v>
      </c>
      <c r="CA3" s="67">
        <f t="shared" si="62"/>
        <v>6</v>
      </c>
      <c r="CB3" s="67">
        <f t="shared" si="62"/>
        <v>7</v>
      </c>
      <c r="CC3" s="67">
        <f t="shared" si="62"/>
        <v>8</v>
      </c>
      <c r="CD3" s="67">
        <f t="shared" si="62"/>
        <v>9</v>
      </c>
      <c r="CE3" s="67">
        <f t="shared" si="62"/>
        <v>10</v>
      </c>
      <c r="CF3" s="67">
        <f t="shared" si="62"/>
        <v>11</v>
      </c>
      <c r="CG3" s="67">
        <f t="shared" si="62"/>
        <v>12</v>
      </c>
      <c r="CH3" s="67">
        <f t="shared" si="62"/>
        <v>1</v>
      </c>
      <c r="CI3" s="67">
        <f t="shared" si="62"/>
        <v>2</v>
      </c>
      <c r="CJ3" s="67">
        <f t="shared" si="62"/>
        <v>3</v>
      </c>
      <c r="CK3" s="67">
        <f t="shared" si="62"/>
        <v>4</v>
      </c>
      <c r="CL3" s="67">
        <f t="shared" si="62"/>
        <v>5</v>
      </c>
      <c r="CM3" s="67">
        <f t="shared" si="62"/>
        <v>6</v>
      </c>
      <c r="CN3" s="67">
        <f t="shared" si="62"/>
        <v>7</v>
      </c>
      <c r="CO3" s="67">
        <f t="shared" si="62"/>
        <v>8</v>
      </c>
      <c r="CP3" s="67">
        <f t="shared" si="62"/>
        <v>9</v>
      </c>
      <c r="CQ3" s="67">
        <f t="shared" si="62"/>
        <v>10</v>
      </c>
      <c r="CR3" s="67">
        <f t="shared" si="62"/>
        <v>11</v>
      </c>
      <c r="CS3" s="67">
        <f t="shared" si="62"/>
        <v>12</v>
      </c>
      <c r="CT3" s="67">
        <f t="shared" si="62"/>
        <v>1</v>
      </c>
      <c r="CU3" s="67">
        <f t="shared" si="62"/>
        <v>2</v>
      </c>
      <c r="CV3" s="67">
        <f t="shared" si="62"/>
        <v>3</v>
      </c>
      <c r="CW3" s="67">
        <f t="shared" si="62"/>
        <v>4</v>
      </c>
      <c r="CX3" s="67">
        <f t="shared" si="62"/>
        <v>5</v>
      </c>
      <c r="CY3" s="67">
        <f t="shared" si="62"/>
        <v>6</v>
      </c>
      <c r="CZ3" s="67">
        <f t="shared" si="62"/>
        <v>7</v>
      </c>
      <c r="DA3" s="67">
        <f t="shared" si="62"/>
        <v>8</v>
      </c>
      <c r="DB3" s="67">
        <f t="shared" si="62"/>
        <v>9</v>
      </c>
      <c r="DC3" s="67">
        <f t="shared" si="62"/>
        <v>10</v>
      </c>
      <c r="DD3" s="67">
        <f t="shared" si="62"/>
        <v>11</v>
      </c>
      <c r="DE3" s="67">
        <f t="shared" si="62"/>
        <v>12</v>
      </c>
      <c r="DF3" s="67">
        <f t="shared" si="62"/>
        <v>1</v>
      </c>
      <c r="DG3" s="67">
        <f t="shared" si="62"/>
        <v>2</v>
      </c>
      <c r="DH3" s="67">
        <f t="shared" si="62"/>
        <v>3</v>
      </c>
      <c r="DI3" s="67">
        <f t="shared" si="62"/>
        <v>4</v>
      </c>
      <c r="DJ3" s="67">
        <f t="shared" si="62"/>
        <v>5</v>
      </c>
      <c r="DK3" s="67">
        <f t="shared" si="62"/>
        <v>6</v>
      </c>
      <c r="DL3" s="67">
        <f t="shared" si="62"/>
        <v>7</v>
      </c>
      <c r="DM3" s="67">
        <f t="shared" si="62"/>
        <v>8</v>
      </c>
      <c r="DN3" s="67">
        <f t="shared" si="62"/>
        <v>9</v>
      </c>
      <c r="DO3" s="67">
        <f t="shared" si="62"/>
        <v>10</v>
      </c>
      <c r="DP3" s="67">
        <f t="shared" si="62"/>
        <v>11</v>
      </c>
      <c r="DQ3" s="67">
        <f t="shared" si="62"/>
        <v>12</v>
      </c>
      <c r="DR3" s="67">
        <f t="shared" si="62"/>
        <v>1</v>
      </c>
      <c r="DS3" s="67">
        <f t="shared" si="62"/>
        <v>2</v>
      </c>
      <c r="DT3" s="67">
        <f t="shared" si="62"/>
        <v>3</v>
      </c>
      <c r="DU3" s="67">
        <f t="shared" si="62"/>
        <v>4</v>
      </c>
      <c r="DV3" s="67">
        <f t="shared" si="62"/>
        <v>5</v>
      </c>
      <c r="DW3" s="67">
        <f t="shared" si="62"/>
        <v>6</v>
      </c>
      <c r="DX3" s="67">
        <f t="shared" si="62"/>
        <v>7</v>
      </c>
      <c r="DY3" s="67">
        <f t="shared" si="62"/>
        <v>8</v>
      </c>
      <c r="DZ3" s="67">
        <f t="shared" ref="DZ3:FY3" si="63">IF(DZ$2="Ene",1,IF(DZ$2="Feb",2,IF(DZ$2="Mar",3,IF(DZ$2="Abr",4,IF(DZ$2="May",5,IF(DZ$2="Jun",6,IF(DZ$2="Jul",7,IF(DZ$2="Ago",8,IF(DZ$2="Sep",9,IF(DZ$2="Oct",10,IF(DZ$2="Nov",11,IF(DZ$2="Dic",12,"Error"))))))))))))</f>
        <v>9</v>
      </c>
      <c r="EA3" s="67">
        <f t="shared" si="63"/>
        <v>10</v>
      </c>
      <c r="EB3" s="67">
        <f t="shared" si="63"/>
        <v>11</v>
      </c>
      <c r="EC3" s="67">
        <f t="shared" si="63"/>
        <v>12</v>
      </c>
      <c r="ED3" s="67">
        <f t="shared" si="63"/>
        <v>1</v>
      </c>
      <c r="EE3" s="67">
        <f t="shared" si="63"/>
        <v>2</v>
      </c>
      <c r="EF3" s="67">
        <f t="shared" si="63"/>
        <v>3</v>
      </c>
      <c r="EG3" s="67">
        <f t="shared" si="63"/>
        <v>4</v>
      </c>
      <c r="EH3" s="67">
        <f t="shared" si="63"/>
        <v>5</v>
      </c>
      <c r="EI3" s="67">
        <f t="shared" si="63"/>
        <v>6</v>
      </c>
      <c r="EJ3" s="67">
        <f t="shared" si="63"/>
        <v>7</v>
      </c>
      <c r="EK3" s="67">
        <f t="shared" si="63"/>
        <v>8</v>
      </c>
      <c r="EL3" s="67">
        <f t="shared" si="63"/>
        <v>9</v>
      </c>
      <c r="EM3" s="67">
        <f t="shared" si="63"/>
        <v>10</v>
      </c>
      <c r="EN3" s="67">
        <f t="shared" si="63"/>
        <v>11</v>
      </c>
      <c r="EO3" s="67">
        <f t="shared" si="63"/>
        <v>12</v>
      </c>
      <c r="EP3" s="67">
        <f t="shared" si="63"/>
        <v>1</v>
      </c>
      <c r="EQ3" s="67">
        <f t="shared" si="63"/>
        <v>2</v>
      </c>
      <c r="ER3" s="67">
        <f t="shared" si="63"/>
        <v>3</v>
      </c>
      <c r="ES3" s="67">
        <f t="shared" si="63"/>
        <v>4</v>
      </c>
      <c r="ET3" s="67">
        <f t="shared" si="63"/>
        <v>5</v>
      </c>
      <c r="EU3" s="67">
        <f t="shared" si="63"/>
        <v>6</v>
      </c>
      <c r="EV3" s="67">
        <f t="shared" si="63"/>
        <v>7</v>
      </c>
      <c r="EW3" s="67">
        <f t="shared" si="63"/>
        <v>8</v>
      </c>
      <c r="EX3" s="67">
        <f t="shared" si="63"/>
        <v>9</v>
      </c>
      <c r="EY3" s="67">
        <f t="shared" si="63"/>
        <v>10</v>
      </c>
      <c r="EZ3" s="67">
        <f t="shared" si="63"/>
        <v>11</v>
      </c>
      <c r="FA3" s="67">
        <f t="shared" si="63"/>
        <v>12</v>
      </c>
      <c r="FB3" s="67">
        <f t="shared" si="63"/>
        <v>1</v>
      </c>
      <c r="FC3" s="67">
        <f t="shared" si="63"/>
        <v>2</v>
      </c>
      <c r="FD3" s="67">
        <f t="shared" si="63"/>
        <v>3</v>
      </c>
      <c r="FE3" s="67">
        <f t="shared" si="63"/>
        <v>4</v>
      </c>
      <c r="FF3" s="67">
        <f t="shared" si="63"/>
        <v>5</v>
      </c>
      <c r="FG3" s="67">
        <f t="shared" si="63"/>
        <v>6</v>
      </c>
      <c r="FH3" s="67">
        <f t="shared" si="63"/>
        <v>7</v>
      </c>
      <c r="FI3" s="67">
        <f t="shared" si="63"/>
        <v>8</v>
      </c>
      <c r="FJ3" s="67">
        <f t="shared" si="63"/>
        <v>9</v>
      </c>
      <c r="FK3" s="67">
        <f t="shared" si="63"/>
        <v>10</v>
      </c>
      <c r="FL3" s="67">
        <f t="shared" si="63"/>
        <v>11</v>
      </c>
      <c r="FM3" s="67">
        <f t="shared" si="63"/>
        <v>12</v>
      </c>
      <c r="FN3" s="67">
        <f t="shared" si="63"/>
        <v>1</v>
      </c>
      <c r="FO3" s="67">
        <f t="shared" si="63"/>
        <v>2</v>
      </c>
      <c r="FP3" s="67">
        <f t="shared" si="63"/>
        <v>3</v>
      </c>
      <c r="FQ3" s="67">
        <f t="shared" si="63"/>
        <v>4</v>
      </c>
      <c r="FR3" s="67">
        <f t="shared" si="63"/>
        <v>5</v>
      </c>
      <c r="FS3" s="67">
        <f t="shared" si="63"/>
        <v>6</v>
      </c>
      <c r="FT3" s="67">
        <f t="shared" si="63"/>
        <v>7</v>
      </c>
      <c r="FU3" s="67">
        <f t="shared" si="63"/>
        <v>8</v>
      </c>
      <c r="FV3" s="67">
        <f t="shared" si="63"/>
        <v>9</v>
      </c>
      <c r="FW3" s="67">
        <f t="shared" si="63"/>
        <v>10</v>
      </c>
      <c r="FX3" s="67">
        <f t="shared" si="63"/>
        <v>11</v>
      </c>
      <c r="FY3" s="67">
        <f t="shared" si="63"/>
        <v>12</v>
      </c>
      <c r="FZ3" s="68"/>
      <c r="GA3" s="69"/>
      <c r="GB3" s="70"/>
      <c r="GD3" s="71">
        <f>DATE(GF1,GE1,GD1)</f>
        <v>43321</v>
      </c>
      <c r="GE3" s="60" t="s">
        <v>572</v>
      </c>
      <c r="GF3" s="71">
        <f>DATE(GF2,GE2,GD2)</f>
        <v>43791</v>
      </c>
      <c r="GG3" s="72">
        <f>DATE(GI1,GH1,GG1)</f>
        <v>43792</v>
      </c>
      <c r="GH3" s="73" t="s">
        <v>572</v>
      </c>
      <c r="GI3" s="72">
        <f>DATE(GI2,GH2,GG2)</f>
        <v>44196</v>
      </c>
      <c r="GL3" s="60" t="s">
        <v>988</v>
      </c>
      <c r="GM3" s="101" t="s">
        <v>986</v>
      </c>
      <c r="GN3" s="101" t="s">
        <v>985</v>
      </c>
      <c r="GO3" s="101" t="s">
        <v>987</v>
      </c>
      <c r="GP3" s="60" t="s">
        <v>569</v>
      </c>
      <c r="GQ3" s="60" t="s">
        <v>569</v>
      </c>
      <c r="GS3" s="60" t="s">
        <v>569</v>
      </c>
    </row>
    <row r="4" spans="1:201" ht="15" thickBot="1" x14ac:dyDescent="0.4">
      <c r="A4" s="74" t="str">
        <f>Gastos!AA2</f>
        <v>F. CEA</v>
      </c>
      <c r="B4" s="75">
        <f t="array" ref="B4">SUM((YEAR(Gastos!$A$2:$A$2500)=B$1)*(MONTH(Gastos!$A$2:$A$2500)=B$3)*(Gastos!$B$2:$B$2500=$A4)*(Gastos!$D$2:$D$2500))</f>
        <v>11887</v>
      </c>
      <c r="C4" s="75">
        <f t="array" ref="C4">SUM((YEAR(Gastos!$A$2:$A$2500)=C$1)*(MONTH(Gastos!$A$2:$A$2500)=C$3)*(Gastos!$B$2:$B$2500=$A4)*(Gastos!$D$2:$D$2500))</f>
        <v>13171</v>
      </c>
      <c r="D4" s="75">
        <f t="array" ref="D4">SUM((YEAR(Gastos!$A$2:$A$2500)=D$1)*(MONTH(Gastos!$A$2:$A$2500)=D$3)*(Gastos!$B$2:$B$2500=$A4)*(Gastos!$D$2:$D$2500))</f>
        <v>12188</v>
      </c>
      <c r="E4" s="75">
        <f t="array" ref="E4">SUM((YEAR(Gastos!$A$2:$A$2500)=E$1)*(MONTH(Gastos!$A$2:$A$2500)=E$3)*(Gastos!$B$2:$B$2500=$A4)*(Gastos!$D$2:$D$2500))</f>
        <v>0</v>
      </c>
      <c r="F4" s="75">
        <f t="array" ref="F4">SUM((YEAR(Gastos!$A$2:$A$2500)=F$1)*(MONTH(Gastos!$A$2:$A$2500)=F$3)*(Gastos!$B$2:$B$2500=$A4)*(Gastos!$D$2:$D$2500))</f>
        <v>18721</v>
      </c>
      <c r="G4" s="75">
        <f t="array" ref="G4">SUM((YEAR(Gastos!$A$2:$A$2500)=G$1)*(MONTH(Gastos!$A$2:$A$2500)=G$3)*(Gastos!$B$2:$B$2500=$A4)*(Gastos!$D$2:$D$2500))</f>
        <v>16491</v>
      </c>
      <c r="H4" s="75">
        <f t="array" ref="H4">SUM((YEAR(Gastos!$A$2:$A$2500)=H$1)*(MONTH(Gastos!$A$2:$A$2500)=H$3)*(Gastos!$B$2:$B$2500=$A4)*(Gastos!$D$2:$D$2500))</f>
        <v>13352</v>
      </c>
      <c r="I4" s="75">
        <f t="array" ref="I4">SUM((YEAR(Gastos!$A$2:$A$2500)=I$1)*(MONTH(Gastos!$A$2:$A$2500)=I$3)*(Gastos!$B$2:$B$2500=$A4)*(Gastos!$D$2:$D$2500))</f>
        <v>0</v>
      </c>
      <c r="J4" s="75">
        <f t="array" ref="J4">SUM((YEAR(Gastos!$A$2:$A$2500)=J$1)*(MONTH(Gastos!$A$2:$A$2500)=J$3)*(Gastos!$B$2:$B$2500=$A4)*(Gastos!$D$2:$D$2500))</f>
        <v>0</v>
      </c>
      <c r="K4" s="75">
        <f t="array" ref="K4">SUM((YEAR(Gastos!$A$2:$A$2500)=K$1)*(MONTH(Gastos!$A$2:$A$2500)=K$3)*(Gastos!$B$2:$B$2500=$A4)*(Gastos!$D$2:$D$2500))</f>
        <v>0</v>
      </c>
      <c r="L4" s="75">
        <f t="array" ref="L4">SUM((YEAR(Gastos!$A$2:$A$2500)=L$1)*(MONTH(Gastos!$A$2:$A$2500)=L$3)*(Gastos!$B$2:$B$2500=$A4)*(Gastos!$D$2:$D$2500))</f>
        <v>45373</v>
      </c>
      <c r="M4" s="75">
        <f t="array" ref="M4">SUM((YEAR(Gastos!$A$2:$A$2500)=M$1)*(MONTH(Gastos!$A$2:$A$2500)=M$3)*(Gastos!$B$2:$B$2500=$A4)*(Gastos!$D$2:$D$2500))</f>
        <v>15063</v>
      </c>
      <c r="N4" s="75">
        <f t="array" ref="N4">SUM((YEAR(Gastos!$A$2:$A$2500)=N$1)*(MONTH(Gastos!$A$2:$A$2500)=N$3)*(Gastos!$B$2:$B$2500=$A4)*(Gastos!$D$2:$D$2500))</f>
        <v>16325</v>
      </c>
      <c r="O4" s="75">
        <f t="array" ref="O4">SUM((YEAR(Gastos!$A$2:$A$2500)=O$1)*(MONTH(Gastos!$A$2:$A$2500)=O$3)*(Gastos!$B$2:$B$2500=$A4)*(Gastos!$D$2:$D$2500))</f>
        <v>17041</v>
      </c>
      <c r="P4" s="75">
        <f t="array" ref="P4">SUM((YEAR(Gastos!$A$2:$A$2500)=P$1)*(MONTH(Gastos!$A$2:$A$2500)=P$3)*(Gastos!$B$2:$B$2500=$A4)*(Gastos!$D$2:$D$2500))</f>
        <v>14700</v>
      </c>
      <c r="Q4" s="75">
        <f t="array" ref="Q4">SUM((YEAR(Gastos!$A$2:$A$2500)=Q$1)*(MONTH(Gastos!$A$2:$A$2500)=Q$3)*(Gastos!$B$2:$B$2500=$A4)*(Gastos!$D$2:$D$2500))</f>
        <v>13606</v>
      </c>
      <c r="R4" s="75">
        <f t="array" ref="R4">SUM((YEAR(Gastos!$A$2:$A$2500)=R$1)*(MONTH(Gastos!$A$2:$A$2500)=R$3)*(Gastos!$B$2:$B$2500=$A4)*(Gastos!$D$2:$D$2500))</f>
        <v>17295</v>
      </c>
      <c r="S4" s="75">
        <f t="array" ref="S4">SUM((YEAR(Gastos!$A$2:$A$2500)=S$1)*(MONTH(Gastos!$A$2:$A$2500)=S$3)*(Gastos!$B$2:$B$2500=$A4)*(Gastos!$D$2:$D$2500))</f>
        <v>14489</v>
      </c>
      <c r="T4" s="75">
        <f t="array" ref="T4">SUM((YEAR(Gastos!$A$2:$A$2500)=T$1)*(MONTH(Gastos!$A$2:$A$2500)=T$3)*(Gastos!$B$2:$B$2500=$A4)*(Gastos!$D$2:$D$2500))</f>
        <v>13899</v>
      </c>
      <c r="U4" s="75">
        <f t="array" ref="U4">SUM((YEAR(Gastos!$A$2:$A$2500)=U$1)*(MONTH(Gastos!$A$2:$A$2500)=U$3)*(Gastos!$B$2:$B$2500=$A4)*(Gastos!$D$2:$D$2500))</f>
        <v>15190</v>
      </c>
      <c r="V4" s="75">
        <f t="array" ref="V4">SUM((YEAR(Gastos!$A$2:$A$2500)=V$1)*(MONTH(Gastos!$A$2:$A$2500)=V$3)*(Gastos!$B$2:$B$2500=$A4)*(Gastos!$D$2:$D$2500))</f>
        <v>15289</v>
      </c>
      <c r="W4" s="75">
        <f t="array" ref="W4">SUM((YEAR(Gastos!$A$2:$A$2500)=W$1)*(MONTH(Gastos!$A$2:$A$2500)=W$3)*(Gastos!$B$2:$B$2500=$A4)*(Gastos!$D$2:$D$2500))</f>
        <v>16493</v>
      </c>
      <c r="X4" s="75">
        <f t="array" ref="X4">SUM((YEAR(Gastos!$A$2:$A$2500)=X$1)*(MONTH(Gastos!$A$2:$A$2500)=X$3)*(Gastos!$B$2:$B$2500=$A4)*(Gastos!$D$2:$D$2500))</f>
        <v>15107</v>
      </c>
      <c r="Y4" s="75">
        <f t="array" ref="Y4">SUM((YEAR(Gastos!$A$2:$A$2500)=Y$1)*(MONTH(Gastos!$A$2:$A$2500)=Y$3)*(Gastos!$B$2:$B$2500=$A4)*(Gastos!$D$2:$D$2500))</f>
        <v>16898</v>
      </c>
      <c r="Z4" s="75">
        <f t="array" ref="Z4">SUM((YEAR(Gastos!$A$2:$A$2500)=Z$1)*(MONTH(Gastos!$A$2:$A$2500)=Z$3)*(Gastos!$B$2:$B$2500=$A4)*(Gastos!$D$2:$D$2500))</f>
        <v>16466</v>
      </c>
      <c r="AA4" s="75">
        <f t="array" ref="AA4">SUM((YEAR(Gastos!$A$2:$A$2500)=AA$1)*(MONTH(Gastos!$A$2:$A$2500)=AA$3)*(Gastos!$B$2:$B$2500=$A4)*(Gastos!$D$2:$D$2500))</f>
        <v>15290</v>
      </c>
      <c r="AB4" s="75">
        <f t="array" ref="AB4">SUM((YEAR(Gastos!$A$2:$A$2500)=AB$1)*(MONTH(Gastos!$A$2:$A$2500)=AB$3)*(Gastos!$B$2:$B$2500=$A4)*(Gastos!$D$2:$D$2500))</f>
        <v>15231</v>
      </c>
      <c r="AC4" s="75">
        <f t="array" ref="AC4">SUM((YEAR(Gastos!$A$2:$A$2500)=AC$1)*(MONTH(Gastos!$A$2:$A$2500)=AC$3)*(Gastos!$B$2:$B$2500=$A4)*(Gastos!$D$2:$D$2500))</f>
        <v>15642</v>
      </c>
      <c r="AD4" s="75">
        <f t="array" ref="AD4">SUM((YEAR(Gastos!$A$2:$A$2500)=AD$1)*(MONTH(Gastos!$A$2:$A$2500)=AD$3)*(Gastos!$B$2:$B$2500=$A4)*(Gastos!$D$2:$D$2500))</f>
        <v>15418</v>
      </c>
      <c r="AE4" s="75">
        <f t="array" ref="AE4">SUM((YEAR(Gastos!$A$2:$A$2500)=AE$1)*(MONTH(Gastos!$A$2:$A$2500)=AE$3)*(Gastos!$B$2:$B$2500=$A4)*(Gastos!$D$2:$D$2500))</f>
        <v>16668</v>
      </c>
      <c r="AF4" s="75">
        <f t="array" ref="AF4">SUM((YEAR(Gastos!$A$2:$A$2500)=AF$1)*(MONTH(Gastos!$A$2:$A$2500)=AF$3)*(Gastos!$B$2:$B$2500=$A4)*(Gastos!$D$2:$D$2500))</f>
        <v>0</v>
      </c>
      <c r="AG4" s="75">
        <f t="array" ref="AG4">SUM((YEAR(Gastos!$A$2:$A$2500)=AG$1)*(MONTH(Gastos!$A$2:$A$2500)=AG$3)*(Gastos!$B$2:$B$2500=$A4)*(Gastos!$D$2:$D$2500))</f>
        <v>33337</v>
      </c>
      <c r="AH4" s="75">
        <f t="array" ref="AH4">SUM((YEAR(Gastos!$A$2:$A$2500)=AH$1)*(MONTH(Gastos!$A$2:$A$2500)=AH$3)*(Gastos!$B$2:$B$2500=$A4)*(Gastos!$D$2:$D$2500))</f>
        <v>16133</v>
      </c>
      <c r="AI4" s="75">
        <f t="array" ref="AI4">SUM((YEAR(Gastos!$A$2:$A$2500)=AI$1)*(MONTH(Gastos!$A$2:$A$2500)=AI$3)*(Gastos!$B$2:$B$2500=$A4)*(Gastos!$D$2:$D$2500))</f>
        <v>17107</v>
      </c>
      <c r="AJ4" s="75">
        <f t="array" ref="AJ4">SUM((YEAR(Gastos!$A$2:$A$2500)=AJ$1)*(MONTH(Gastos!$A$2:$A$2500)=AJ$3)*(Gastos!$B$2:$B$2500=$A4)*(Gastos!$D$2:$D$2500))</f>
        <v>16765</v>
      </c>
      <c r="AK4" s="75">
        <f t="array" ref="AK4">SUM((YEAR(Gastos!$A$2:$A$2500)=AK$1)*(MONTH(Gastos!$A$2:$A$2500)=AK$3)*(Gastos!$B$2:$B$2500=$A4)*(Gastos!$D$2:$D$2500))</f>
        <v>20528</v>
      </c>
      <c r="AL4" s="75">
        <f t="array" ref="AL4">SUM((YEAR(Gastos!$A$2:$A$2500)=AL$1)*(MONTH(Gastos!$A$2:$A$2500)=AL$3)*(Gastos!$B$2:$B$2500=$A4)*(Gastos!$D$2:$D$2500))</f>
        <v>18923</v>
      </c>
      <c r="AM4" s="75">
        <f t="array" ref="AM4">SUM((YEAR(Gastos!$A$2:$A$2500)=AM$1)*(MONTH(Gastos!$A$2:$A$2500)=AM$3)*(Gastos!$B$2:$B$2500=$A4)*(Gastos!$D$2:$D$2500))</f>
        <v>0</v>
      </c>
      <c r="AN4" s="75">
        <f t="array" ref="AN4">SUM((YEAR(Gastos!$A$2:$A$2500)=AN$1)*(MONTH(Gastos!$A$2:$A$2500)=AN$3)*(Gastos!$B$2:$B$2500=$A4)*(Gastos!$D$2:$D$2500))</f>
        <v>20299</v>
      </c>
      <c r="AO4" s="75">
        <f t="array" ref="AO4">SUM((YEAR(Gastos!$A$2:$A$2500)=AO$1)*(MONTH(Gastos!$A$2:$A$2500)=AO$3)*(Gastos!$B$2:$B$2500=$A4)*(Gastos!$D$2:$D$2500))</f>
        <v>24269</v>
      </c>
      <c r="AP4" s="75">
        <f t="array" ref="AP4">SUM((YEAR(Gastos!$A$2:$A$2500)=AP$1)*(MONTH(Gastos!$A$2:$A$2500)=AP$3)*(Gastos!$B$2:$B$2500=$A4)*(Gastos!$D$2:$D$2500))</f>
        <v>24269</v>
      </c>
      <c r="AQ4" s="75">
        <f t="array" ref="AQ4">SUM((YEAR(Gastos!$A$2:$A$2500)=AQ$1)*(MONTH(Gastos!$A$2:$A$2500)=AQ$3)*(Gastos!$B$2:$B$2500=$A4)*(Gastos!$D$2:$D$2500))</f>
        <v>17930</v>
      </c>
      <c r="AR4" s="75">
        <f t="array" ref="AR4">SUM((YEAR(Gastos!$A$2:$A$2500)=AR$1)*(MONTH(Gastos!$A$2:$A$2500)=AR$3)*(Gastos!$B$2:$B$2500=$A4)*(Gastos!$D$2:$D$2500))</f>
        <v>42856</v>
      </c>
      <c r="AS4" s="75">
        <f t="array" ref="AS4">SUM((YEAR(Gastos!$A$2:$A$2500)=AS$1)*(MONTH(Gastos!$A$2:$A$2500)=AS$3)*(Gastos!$B$2:$B$2500=$A4)*(Gastos!$D$2:$D$2500))</f>
        <v>20391</v>
      </c>
      <c r="AT4" s="75">
        <f t="array" ref="AT4">SUM((YEAR(Gastos!$A$2:$A$2500)=AT$1)*(MONTH(Gastos!$A$2:$A$2500)=AT$3)*(Gastos!$B$2:$B$2500=$A4)*(Gastos!$D$2:$D$2500))</f>
        <v>17245</v>
      </c>
      <c r="AU4" s="75">
        <f t="array" ref="AU4">SUM((YEAR(Gastos!$A$2:$A$2500)=AU$1)*(MONTH(Gastos!$A$2:$A$2500)=AU$3)*(Gastos!$B$2:$B$2500=$A4)*(Gastos!$D$2:$D$2500))</f>
        <v>20367</v>
      </c>
      <c r="AV4" s="75">
        <f t="array" ref="AV4">SUM((YEAR(Gastos!$A$2:$A$2500)=AV$1)*(MONTH(Gastos!$A$2:$A$2500)=AV$3)*(Gastos!$B$2:$B$2500=$A4)*(Gastos!$D$2:$D$2500))</f>
        <v>18476</v>
      </c>
      <c r="AW4" s="75">
        <f t="array" ref="AW4">SUM((YEAR(Gastos!$A$2:$A$2500)=AW$1)*(MONTH(Gastos!$A$2:$A$2500)=AW$3)*(Gastos!$B$2:$B$2500=$A4)*(Gastos!$D$2:$D$2500))</f>
        <v>22816</v>
      </c>
      <c r="AX4" s="75">
        <f t="array" ref="AX4">SUM((YEAR(Gastos!$A$2:$A$2500)=AX$1)*(MONTH(Gastos!$A$2:$A$2500)=AX$3)*(Gastos!$B$2:$B$2500=$A4)*(Gastos!$D$2:$D$2500))</f>
        <v>20206</v>
      </c>
      <c r="AY4" s="75">
        <f t="array" ref="AY4">SUM((YEAR(Gastos!$A$2:$A$2500)=AY$1)*(MONTH(Gastos!$A$2:$A$2500)=AY$3)*(Gastos!$B$2:$B$2500=$A4)*(Gastos!$D$2:$D$2500))</f>
        <v>21461</v>
      </c>
      <c r="AZ4" s="75">
        <f t="array" ref="AZ4">SUM((YEAR(Gastos!$A$2:$A$2500)=AZ$1)*(MONTH(Gastos!$A$2:$A$2500)=AZ$3)*(Gastos!$B$2:$B$2500=$A4)*(Gastos!$D$2:$D$2500))</f>
        <v>28734</v>
      </c>
      <c r="BA4" s="75">
        <f t="array" ref="BA4">SUM((YEAR(Gastos!$A$2:$A$2500)=BA$1)*(MONTH(Gastos!$A$2:$A$2500)=BA$3)*(Gastos!$B$2:$B$2500=$A4)*(Gastos!$D$2:$D$2500))</f>
        <v>0</v>
      </c>
      <c r="BB4" s="75">
        <f t="array" ref="BB4">SUM((YEAR(Gastos!$A$2:$A$2500)=BB$1)*(MONTH(Gastos!$A$2:$A$2500)=BB$3)*(Gastos!$B$2:$B$2500=$A4)*(Gastos!$D$2:$D$2500))</f>
        <v>0</v>
      </c>
      <c r="BC4" s="75">
        <f t="array" ref="BC4">SUM((YEAR(Gastos!$A$2:$A$2500)=BC$1)*(MONTH(Gastos!$A$2:$A$2500)=BC$3)*(Gastos!$B$2:$B$2500=$A4)*(Gastos!$D$2:$D$2500))</f>
        <v>56000</v>
      </c>
      <c r="BD4" s="75">
        <f t="array" ref="BD4">SUM((YEAR(Gastos!$A$2:$A$2500)=BD$1)*(MONTH(Gastos!$A$2:$A$2500)=BD$3)*(Gastos!$B$2:$B$2500=$A4)*(Gastos!$D$2:$D$2500))</f>
        <v>0</v>
      </c>
      <c r="BE4" s="75">
        <f t="array" ref="BE4">SUM((YEAR(Gastos!$A$2:$A$2500)=BE$1)*(MONTH(Gastos!$A$2:$A$2500)=BE$3)*(Gastos!$B$2:$B$2500=$A4)*(Gastos!$D$2:$D$2500))</f>
        <v>64300.6</v>
      </c>
      <c r="BF4" s="75">
        <f t="array" ref="BF4">SUM((YEAR(Gastos!$A$2:$A$2500)=BF$1)*(MONTH(Gastos!$A$2:$A$2500)=BF$3)*(Gastos!$B$2:$B$2500=$A4)*(Gastos!$D$2:$D$2500))</f>
        <v>21581</v>
      </c>
      <c r="BG4" s="75">
        <f t="array" ref="BG4">SUM((YEAR(Gastos!$A$2:$A$2500)=BG$1)*(MONTH(Gastos!$A$2:$A$2500)=BG$3)*(Gastos!$B$2:$B$2500=$A4)*(Gastos!$D$2:$D$2500))</f>
        <v>22005</v>
      </c>
      <c r="BH4" s="75">
        <f t="array" ref="BH4">SUM((YEAR(Gastos!$A$2:$A$2500)=BH$1)*(MONTH(Gastos!$A$2:$A$2500)=BH$3)*(Gastos!$B$2:$B$2500=$A4)*(Gastos!$D$2:$D$2500))</f>
        <v>19445</v>
      </c>
      <c r="BI4" s="75">
        <f t="array" ref="BI4">SUM((YEAR(Gastos!$A$2:$A$2500)=BI$1)*(MONTH(Gastos!$A$2:$A$2500)=BI$3)*(Gastos!$B$2:$B$2500=$A4)*(Gastos!$D$2:$D$2500))</f>
        <v>25602</v>
      </c>
      <c r="BJ4" s="75">
        <f t="array" ref="BJ4">SUM((YEAR(Gastos!$A$2:$A$2500)=BJ$1)*(MONTH(Gastos!$A$2:$A$2500)=BJ$3)*(Gastos!$B$2:$B$2500=$A4)*(Gastos!$D$2:$D$2500))</f>
        <v>20343</v>
      </c>
      <c r="BK4" s="75">
        <f t="array" ref="BK4">SUM((YEAR(Gastos!$A$2:$A$2500)=BK$1)*(MONTH(Gastos!$A$2:$A$2500)=BK$3)*(Gastos!$B$2:$B$2500=$A4)*(Gastos!$D$2:$D$2500))</f>
        <v>24071</v>
      </c>
      <c r="BL4" s="75">
        <f t="array" ref="BL4">SUM((YEAR(Gastos!$A$2:$A$2500)=BL$1)*(MONTH(Gastos!$A$2:$A$2500)=BL$3)*(Gastos!$B$2:$B$2500=$A4)*(Gastos!$D$2:$D$2500))</f>
        <v>22249</v>
      </c>
      <c r="BM4" s="75">
        <f t="array" ref="BM4">SUM((YEAR(Gastos!$A$2:$A$2500)=BM$1)*(MONTH(Gastos!$A$2:$A$2500)=BM$3)*(Gastos!$B$2:$B$2500=$A4)*(Gastos!$D$2:$D$2500))</f>
        <v>20246</v>
      </c>
      <c r="BN4" s="75">
        <f t="array" ref="BN4">SUM((YEAR(Gastos!$A$2:$A$2500)=BN$1)*(MONTH(Gastos!$A$2:$A$2500)=BN$3)*(Gastos!$B$2:$B$2500=$A4)*(Gastos!$D$2:$D$2500))</f>
        <v>21639</v>
      </c>
      <c r="BO4" s="75">
        <f t="array" ref="BO4">SUM((YEAR(Gastos!$A$2:$A$2500)=BO$1)*(MONTH(Gastos!$A$2:$A$2500)=BO$3)*(Gastos!$B$2:$B$2500=$A4)*(Gastos!$D$2:$D$2500))</f>
        <v>25569</v>
      </c>
      <c r="BP4" s="75">
        <f t="array" ref="BP4">SUM((YEAR(Gastos!$A$2:$A$2500)=BP$1)*(MONTH(Gastos!$A$2:$A$2500)=BP$3)*(Gastos!$B$2:$B$2500=$A4)*(Gastos!$D$2:$D$2500))</f>
        <v>24427</v>
      </c>
      <c r="BQ4" s="75">
        <f t="array" ref="BQ4">SUM((YEAR(Gastos!$A$2:$A$2500)=BQ$1)*(MONTH(Gastos!$A$2:$A$2500)=BQ$3)*(Gastos!$B$2:$B$2500=$A4)*(Gastos!$D$2:$D$2500))</f>
        <v>19103</v>
      </c>
      <c r="BR4" s="75">
        <f t="array" ref="BR4">SUM((YEAR(Gastos!$A$2:$A$2500)=BR$1)*(MONTH(Gastos!$A$2:$A$2500)=BR$3)*(Gastos!$B$2:$B$2500=$A4)*(Gastos!$D$2:$D$2500))</f>
        <v>20654</v>
      </c>
      <c r="BS4" s="75">
        <f t="array" ref="BS4">SUM((YEAR(Gastos!$A$2:$A$2500)=BS$1)*(MONTH(Gastos!$A$2:$A$2500)=BS$3)*(Gastos!$B$2:$B$2500=$A4)*(Gastos!$D$2:$D$2500))</f>
        <v>23826</v>
      </c>
      <c r="BT4" s="75">
        <f t="array" ref="BT4">SUM((YEAR(Gastos!$A$2:$A$2500)=BT$1)*(MONTH(Gastos!$A$2:$A$2500)=BT$3)*(Gastos!$B$2:$B$2500=$A4)*(Gastos!$D$2:$D$2500))</f>
        <v>0</v>
      </c>
      <c r="BU4" s="75">
        <f t="array" ref="BU4">SUM((YEAR(Gastos!$A$2:$A$2500)=BU$1)*(MONTH(Gastos!$A$2:$A$2500)=BU$3)*(Gastos!$B$2:$B$2500=$A4)*(Gastos!$D$2:$D$2500))</f>
        <v>19768</v>
      </c>
      <c r="BV4" s="75">
        <f t="array" ref="BV4">SUM((YEAR(Gastos!$A$2:$A$2500)=BV$1)*(MONTH(Gastos!$A$2:$A$2500)=BV$3)*(Gastos!$B$2:$B$2500=$A4)*(Gastos!$D$2:$D$2500))</f>
        <v>45329</v>
      </c>
      <c r="BW4" s="75">
        <f t="array" ref="BW4">SUM((YEAR(Gastos!$A$2:$A$2500)=BW$1)*(MONTH(Gastos!$A$2:$A$2500)=BW$3)*(Gastos!$B$2:$B$2500=$A4)*(Gastos!$D$2:$D$2500))</f>
        <v>20728</v>
      </c>
      <c r="BX4" s="75">
        <f t="array" ref="BX4">SUM((YEAR(Gastos!$A$2:$A$2500)=BX$1)*(MONTH(Gastos!$A$2:$A$2500)=BX$3)*(Gastos!$B$2:$B$2500=$A4)*(Gastos!$D$2:$D$2500))</f>
        <v>23940</v>
      </c>
      <c r="BY4" s="75">
        <f t="array" ref="BY4">SUM((YEAR(Gastos!$A$2:$A$2500)=BY$1)*(MONTH(Gastos!$A$2:$A$2500)=BY$3)*(Gastos!$B$2:$B$2500=$A4)*(Gastos!$D$2:$D$2500))</f>
        <v>21000</v>
      </c>
      <c r="BZ4" s="75">
        <f t="array" ref="BZ4">SUM((YEAR(Gastos!$A$2:$A$2500)=BZ$1)*(MONTH(Gastos!$A$2:$A$2500)=BZ$3)*(Gastos!$B$2:$B$2500=$A4)*(Gastos!$D$2:$D$2500))</f>
        <v>15469</v>
      </c>
      <c r="CA4" s="75">
        <f t="array" ref="CA4">SUM((YEAR(Gastos!$A$2:$A$2500)=CA$1)*(MONTH(Gastos!$A$2:$A$2500)=CA$3)*(Gastos!$B$2:$B$2500=$A4)*(Gastos!$D$2:$D$2500))</f>
        <v>13750</v>
      </c>
      <c r="CB4" s="75">
        <f t="array" ref="CB4">SUM((YEAR(Gastos!$A$2:$A$2500)=CB$1)*(MONTH(Gastos!$A$2:$A$2500)=CB$3)*(Gastos!$B$2:$B$2500=$A4)*(Gastos!$D$2:$D$2500))</f>
        <v>24689</v>
      </c>
      <c r="CC4" s="75">
        <f t="array" ref="CC4">SUM((YEAR(Gastos!$A$2:$A$2500)=CC$1)*(MONTH(Gastos!$A$2:$A$2500)=CC$3)*(Gastos!$B$2:$B$2500=$A4)*(Gastos!$D$2:$D$2500))</f>
        <v>28147</v>
      </c>
      <c r="CD4" s="75">
        <f t="array" ref="CD4">SUM((YEAR(Gastos!$A$2:$A$2500)=CD$1)*(MONTH(Gastos!$A$2:$A$2500)=CD$3)*(Gastos!$B$2:$B$2500=$A4)*(Gastos!$D$2:$D$2500))</f>
        <v>26398</v>
      </c>
      <c r="CE4" s="75">
        <f t="array" ref="CE4">SUM((YEAR(Gastos!$A$2:$A$2500)=CE$1)*(MONTH(Gastos!$A$2:$A$2500)=CE$3)*(Gastos!$B$2:$B$2500=$A4)*(Gastos!$D$2:$D$2500))</f>
        <v>24757</v>
      </c>
      <c r="CF4" s="75">
        <f t="array" ref="CF4">SUM((YEAR(Gastos!$A$2:$A$2500)=CF$1)*(MONTH(Gastos!$A$2:$A$2500)=CF$3)*(Gastos!$B$2:$B$2500=$A4)*(Gastos!$D$2:$D$2500))</f>
        <v>26469</v>
      </c>
      <c r="CG4" s="75">
        <f t="array" ref="CG4">SUM((YEAR(Gastos!$A$2:$A$2500)=CG$1)*(MONTH(Gastos!$A$2:$A$2500)=CG$3)*(Gastos!$B$2:$B$2500=$A4)*(Gastos!$D$2:$D$2500))</f>
        <v>28225</v>
      </c>
      <c r="CH4" s="75">
        <f t="array" ref="CH4">SUM((YEAR(Gastos!$A$2:$A$2500)=CH$1)*(MONTH(Gastos!$A$2:$A$2500)=CH$3)*(Gastos!$B$2:$B$2500=$A4)*(Gastos!$D$2:$D$2500))</f>
        <v>21551</v>
      </c>
      <c r="CI4" s="75">
        <f t="array" ref="CI4">SUM((YEAR(Gastos!$A$2:$A$2500)=CI$1)*(MONTH(Gastos!$A$2:$A$2500)=CI$3)*(Gastos!$B$2:$B$2500=$A4)*(Gastos!$D$2:$D$2500))</f>
        <v>28377</v>
      </c>
      <c r="CJ4" s="75">
        <f t="array" ref="CJ4">SUM((YEAR(Gastos!$A$2:$A$2500)=CJ$1)*(MONTH(Gastos!$A$2:$A$2500)=CJ$3)*(Gastos!$B$2:$B$2500=$A4)*(Gastos!$D$2:$D$2500))</f>
        <v>24890</v>
      </c>
      <c r="CK4" s="75">
        <f t="array" ref="CK4">SUM((YEAR(Gastos!$A$2:$A$2500)=CK$1)*(MONTH(Gastos!$A$2:$A$2500)=CK$3)*(Gastos!$B$2:$B$2500=$A4)*(Gastos!$D$2:$D$2500))</f>
        <v>21706</v>
      </c>
      <c r="CL4" s="75">
        <f t="array" ref="CL4">SUM((YEAR(Gastos!$A$2:$A$2500)=CL$1)*(MONTH(Gastos!$A$2:$A$2500)=CL$3)*(Gastos!$B$2:$B$2500=$A4)*(Gastos!$D$2:$D$2500))</f>
        <v>34142</v>
      </c>
      <c r="CM4" s="75">
        <f t="array" ref="CM4">SUM((YEAR(Gastos!$A$2:$A$2500)=CM$1)*(MONTH(Gastos!$A$2:$A$2500)=CM$3)*(Gastos!$B$2:$B$2500=$A4)*(Gastos!$D$2:$D$2500))</f>
        <v>26804</v>
      </c>
      <c r="CN4" s="75">
        <f t="array" ref="CN4">SUM((YEAR(Gastos!$A$2:$A$2500)=CN$1)*(MONTH(Gastos!$A$2:$A$2500)=CN$3)*(Gastos!$B$2:$B$2500=$A4)*(Gastos!$D$2:$D$2500))</f>
        <v>25368</v>
      </c>
      <c r="CO4" s="75">
        <f t="array" ref="CO4">SUM((YEAR(Gastos!$A$2:$A$2500)=CO$1)*(MONTH(Gastos!$A$2:$A$2500)=CO$3)*(Gastos!$B$2:$B$2500=$A4)*(Gastos!$D$2:$D$2500))</f>
        <v>23648</v>
      </c>
      <c r="CP4" s="75">
        <f t="array" ref="CP4">SUM((YEAR(Gastos!$A$2:$A$2500)=CP$1)*(MONTH(Gastos!$A$2:$A$2500)=CP$3)*(Gastos!$B$2:$B$2500=$A4)*(Gastos!$D$2:$D$2500))</f>
        <v>27125</v>
      </c>
      <c r="CQ4" s="75">
        <f t="array" ref="CQ4">SUM((YEAR(Gastos!$A$2:$A$2500)=CQ$1)*(MONTH(Gastos!$A$2:$A$2500)=CQ$3)*(Gastos!$B$2:$B$2500=$A4)*(Gastos!$D$2:$D$2500))</f>
        <v>29075</v>
      </c>
      <c r="CR4" s="75">
        <f t="array" ref="CR4">SUM((YEAR(Gastos!$A$2:$A$2500)=CR$1)*(MONTH(Gastos!$A$2:$A$2500)=CR$3)*(Gastos!$B$2:$B$2500=$A4)*(Gastos!$D$2:$D$2500))</f>
        <v>25503</v>
      </c>
      <c r="CS4" s="75">
        <f t="array" ref="CS4">SUM((YEAR(Gastos!$A$2:$A$2500)=CS$1)*(MONTH(Gastos!$A$2:$A$2500)=CS$3)*(Gastos!$B$2:$B$2500=$A4)*(Gastos!$D$2:$D$2500))</f>
        <v>29075</v>
      </c>
      <c r="CT4" s="75">
        <f t="array" ref="CT4">SUM((YEAR(Gastos!$A$2:$A$2500)=CT$1)*(MONTH(Gastos!$A$2:$A$2500)=CT$3)*(Gastos!$B$2:$B$2500=$A4)*(Gastos!$D$2:$D$2500))</f>
        <v>31027</v>
      </c>
      <c r="CU4" s="75">
        <f t="array" ref="CU4">SUM((YEAR(Gastos!$A$2:$A$2500)=CU$1)*(MONTH(Gastos!$A$2:$A$2500)=CU$3)*(Gastos!$B$2:$B$2500=$A4)*(Gastos!$D$2:$D$2500))</f>
        <v>25592</v>
      </c>
      <c r="CV4" s="75">
        <f t="array" ref="CV4">SUM((YEAR(Gastos!$A$2:$A$2500)=CV$1)*(MONTH(Gastos!$A$2:$A$2500)=CV$3)*(Gastos!$B$2:$B$2500=$A4)*(Gastos!$D$2:$D$2500))</f>
        <v>29177</v>
      </c>
      <c r="CW4" s="75">
        <f t="array" ref="CW4">SUM((YEAR(Gastos!$A$2:$A$2500)=CW$1)*(MONTH(Gastos!$A$2:$A$2500)=CW$3)*(Gastos!$B$2:$B$2500=$A4)*(Gastos!$D$2:$D$2500))</f>
        <v>27961</v>
      </c>
      <c r="CX4" s="75">
        <f t="array" ref="CX4">SUM((YEAR(Gastos!$A$2:$A$2500)=CX$1)*(MONTH(Gastos!$A$2:$A$2500)=CX$3)*(Gastos!$B$2:$B$2500=$A4)*(Gastos!$D$2:$D$2500))</f>
        <v>0</v>
      </c>
      <c r="CY4" s="75">
        <f t="array" ref="CY4">SUM((YEAR(Gastos!$A$2:$A$2500)=CY$1)*(MONTH(Gastos!$A$2:$A$2500)=CY$3)*(Gastos!$B$2:$B$2500=$A4)*(Gastos!$D$2:$D$2500))</f>
        <v>66973</v>
      </c>
      <c r="CZ4" s="75">
        <f t="array" ref="CZ4">SUM((YEAR(Gastos!$A$2:$A$2500)=CZ$1)*(MONTH(Gastos!$A$2:$A$2500)=CZ$3)*(Gastos!$B$2:$B$2500=$A4)*(Gastos!$D$2:$D$2500))</f>
        <v>0</v>
      </c>
      <c r="DA4" s="75">
        <f t="array" ref="DA4">SUM((YEAR(Gastos!$A$2:$A$2500)=DA$1)*(MONTH(Gastos!$A$2:$A$2500)=DA$3)*(Gastos!$B$2:$B$2500=$A4)*(Gastos!$D$2:$D$2500))</f>
        <v>58860</v>
      </c>
      <c r="DB4" s="75">
        <f t="array" ref="DB4">SUM((YEAR(Gastos!$A$2:$A$2500)=DB$1)*(MONTH(Gastos!$A$2:$A$2500)=DB$3)*(Gastos!$B$2:$B$2500=$A4)*(Gastos!$D$2:$D$2500))</f>
        <v>0</v>
      </c>
      <c r="DC4" s="75">
        <f t="array" ref="DC4">SUM((YEAR(Gastos!$A$2:$A$2500)=DC$1)*(MONTH(Gastos!$A$2:$A$2500)=DC$3)*(Gastos!$B$2:$B$2500=$A4)*(Gastos!$D$2:$D$2500))</f>
        <v>52210</v>
      </c>
      <c r="DD4" s="75">
        <f t="array" ref="DD4">SUM((YEAR(Gastos!$A$2:$A$2500)=DD$1)*(MONTH(Gastos!$A$2:$A$2500)=DD$3)*(Gastos!$B$2:$B$2500=$A4)*(Gastos!$D$2:$D$2500))</f>
        <v>0</v>
      </c>
      <c r="DE4" s="75">
        <f t="array" ref="DE4">SUM((YEAR(Gastos!$A$2:$A$2500)=DE$1)*(MONTH(Gastos!$A$2:$A$2500)=DE$3)*(Gastos!$B$2:$B$2500=$A4)*(Gastos!$D$2:$D$2500))</f>
        <v>58190</v>
      </c>
      <c r="DF4" s="75">
        <f t="array" ref="DF4">SUM((YEAR(Gastos!$A$2:$A$2500)=DF$1)*(MONTH(Gastos!$A$2:$A$2500)=DF$3)*(Gastos!$B$2:$B$2500=$A4)*(Gastos!$D$2:$D$2500))</f>
        <v>25455</v>
      </c>
      <c r="DG4" s="75">
        <f t="array" ref="DG4">SUM((YEAR(Gastos!$A$2:$A$2500)=DG$1)*(MONTH(Gastos!$A$2:$A$2500)=DG$3)*(Gastos!$B$2:$B$2500=$A4)*(Gastos!$D$2:$D$2500))</f>
        <v>34200</v>
      </c>
      <c r="DH4" s="75">
        <f t="array" ref="DH4">SUM((YEAR(Gastos!$A$2:$A$2500)=DH$1)*(MONTH(Gastos!$A$2:$A$2500)=DH$3)*(Gastos!$B$2:$B$2500=$A4)*(Gastos!$D$2:$D$2500))</f>
        <v>27873</v>
      </c>
      <c r="DI4" s="75">
        <f t="array" ref="DI4">SUM((YEAR(Gastos!$A$2:$A$2500)=DI$1)*(MONTH(Gastos!$A$2:$A$2500)=DI$3)*(Gastos!$B$2:$B$2500=$A4)*(Gastos!$D$2:$D$2500))</f>
        <v>21957</v>
      </c>
      <c r="DJ4" s="75">
        <f t="array" ref="DJ4">SUM((YEAR(Gastos!$A$2:$A$2500)=DJ$1)*(MONTH(Gastos!$A$2:$A$2500)=DJ$3)*(Gastos!$B$2:$B$2500=$A4)*(Gastos!$D$2:$D$2500))</f>
        <v>33510</v>
      </c>
      <c r="DK4" s="75">
        <f t="array" ref="DK4">SUM((YEAR(Gastos!$A$2:$A$2500)=DK$1)*(MONTH(Gastos!$A$2:$A$2500)=DK$3)*(Gastos!$B$2:$B$2500=$A4)*(Gastos!$D$2:$D$2500))</f>
        <v>23389</v>
      </c>
      <c r="DL4" s="75">
        <f t="array" ref="DL4">SUM((YEAR(Gastos!$A$2:$A$2500)=DL$1)*(MONTH(Gastos!$A$2:$A$2500)=DL$3)*(Gastos!$B$2:$B$2500=$A4)*(Gastos!$D$2:$D$2500))</f>
        <v>27310</v>
      </c>
      <c r="DM4" s="75">
        <f t="array" ref="DM4">SUM((YEAR(Gastos!$A$2:$A$2500)=DM$1)*(MONTH(Gastos!$A$2:$A$2500)=DM$3)*(Gastos!$B$2:$B$2500=$A4)*(Gastos!$D$2:$D$2500))</f>
        <v>29431</v>
      </c>
      <c r="DN4" s="75">
        <f t="array" ref="DN4">SUM((YEAR(Gastos!$A$2:$A$2500)=DN$1)*(MONTH(Gastos!$A$2:$A$2500)=DN$3)*(Gastos!$B$2:$B$2500=$A4)*(Gastos!$D$2:$D$2500))</f>
        <v>21000</v>
      </c>
      <c r="DO4" s="75">
        <f t="array" ref="DO4">SUM((YEAR(Gastos!$A$2:$A$2500)=DO$1)*(MONTH(Gastos!$A$2:$A$2500)=DO$3)*(Gastos!$B$2:$B$2500=$A4)*(Gastos!$D$2:$D$2500))</f>
        <v>29683</v>
      </c>
      <c r="DP4" s="75">
        <f t="array" ref="DP4">SUM((YEAR(Gastos!$A$2:$A$2500)=DP$1)*(MONTH(Gastos!$A$2:$A$2500)=DP$3)*(Gastos!$B$2:$B$2500=$A4)*(Gastos!$D$2:$D$2500))</f>
        <v>31461</v>
      </c>
      <c r="DQ4" s="75">
        <f t="array" ref="DQ4">SUM((YEAR(Gastos!$A$2:$A$2500)=DQ$1)*(MONTH(Gastos!$A$2:$A$2500)=DQ$3)*(Gastos!$B$2:$B$2500=$A4)*(Gastos!$D$2:$D$2500))</f>
        <v>29876</v>
      </c>
      <c r="DR4" s="75">
        <f t="array" ref="DR4">SUM((YEAR(Gastos!$A$2:$A$2500)=DR$1)*(MONTH(Gastos!$A$2:$A$2500)=DR$3)*(Gastos!$B$2:$B$2500=$A4)*(Gastos!$D$2:$D$2500))</f>
        <v>36010</v>
      </c>
      <c r="DS4" s="75">
        <f t="array" ref="DS4">SUM((YEAR(Gastos!$A$2:$A$2500)=DS$1)*(MONTH(Gastos!$A$2:$A$2500)=DS$3)*(Gastos!$B$2:$B$2500=$A4)*(Gastos!$D$2:$D$2500))</f>
        <v>26202</v>
      </c>
      <c r="DT4" s="75">
        <f t="array" ref="DT4">SUM((YEAR(Gastos!$A$2:$A$2500)=DT$1)*(MONTH(Gastos!$A$2:$A$2500)=DT$3)*(Gastos!$B$2:$B$2500=$A4)*(Gastos!$D$2:$D$2500))</f>
        <v>32566</v>
      </c>
      <c r="DU4" s="75">
        <f t="array" ref="DU4">SUM((YEAR(Gastos!$A$2:$A$2500)=DU$1)*(MONTH(Gastos!$A$2:$A$2500)=DU$3)*(Gastos!$B$2:$B$2500=$A4)*(Gastos!$D$2:$D$2500))</f>
        <v>24203</v>
      </c>
      <c r="DV4" s="75">
        <f t="array" ref="DV4">SUM((YEAR(Gastos!$A$2:$A$2500)=DV$1)*(MONTH(Gastos!$A$2:$A$2500)=DV$3)*(Gastos!$B$2:$B$2500=$A4)*(Gastos!$D$2:$D$2500))</f>
        <v>26581</v>
      </c>
      <c r="DW4" s="75">
        <f t="array" ref="DW4">SUM((YEAR(Gastos!$A$2:$A$2500)=DW$1)*(MONTH(Gastos!$A$2:$A$2500)=DW$3)*(Gastos!$B$2:$B$2500=$A4)*(Gastos!$D$2:$D$2500))</f>
        <v>20559</v>
      </c>
      <c r="DX4" s="75">
        <f t="array" ref="DX4">SUM((YEAR(Gastos!$A$2:$A$2500)=DX$1)*(MONTH(Gastos!$A$2:$A$2500)=DX$3)*(Gastos!$B$2:$B$2500=$A4)*(Gastos!$D$2:$D$2500))</f>
        <v>52872</v>
      </c>
      <c r="DY4" s="75">
        <f t="array" ref="DY4">SUM((YEAR(Gastos!$A$2:$A$2500)=DY$1)*(MONTH(Gastos!$A$2:$A$2500)=DY$3)*(Gastos!$B$2:$B$2500=$A4)*(Gastos!$D$2:$D$2500))</f>
        <v>25535</v>
      </c>
      <c r="DZ4" s="75">
        <f t="array" ref="DZ4">SUM((YEAR(Gastos!$A$2:$A$2500)=DZ$1)*(MONTH(Gastos!$A$2:$A$2500)=DZ$3)*(Gastos!$B$2:$B$2500=$A4)*(Gastos!$D$2:$D$2500))</f>
        <v>20000</v>
      </c>
      <c r="EA4" s="75">
        <f t="array" ref="EA4">SUM((YEAR(Gastos!$A$2:$A$2500)=EA$1)*(MONTH(Gastos!$A$2:$A$2500)=EA$3)*(Gastos!$B$2:$B$2500=$A4)*(Gastos!$D$2:$D$2500))</f>
        <v>16936</v>
      </c>
      <c r="EB4" s="75">
        <f t="array" ref="EB4">SUM((YEAR(Gastos!$A$2:$A$2500)=EB$1)*(MONTH(Gastos!$A$2:$A$2500)=EB$3)*(Gastos!$B$2:$B$2500=$A4)*(Gastos!$D$2:$D$2500))</f>
        <v>0</v>
      </c>
      <c r="EC4" s="75">
        <f t="array" ref="EC4">SUM((YEAR(Gastos!$A$2:$A$2500)=EC$1)*(MONTH(Gastos!$A$2:$A$2500)=EC$3)*(Gastos!$B$2:$B$2500=$A4)*(Gastos!$D$2:$D$2500))</f>
        <v>31434</v>
      </c>
      <c r="ED4" s="75">
        <f t="array" ref="ED4">SUM((YEAR(Gastos!$A$2:$A$2500)=ED$1)*(MONTH(Gastos!$A$2:$A$2500)=ED$3)*(Gastos!$B$2:$B$2500=$A4)*(Gastos!$D$2:$D$2500))</f>
        <v>116320</v>
      </c>
      <c r="EE4" s="75">
        <f t="array" ref="EE4">SUM((YEAR(Gastos!$A$2:$A$2500)=EE$1)*(MONTH(Gastos!$A$2:$A$2500)=EE$3)*(Gastos!$B$2:$B$2500=$A4)*(Gastos!$D$2:$D$2500))</f>
        <v>34432</v>
      </c>
      <c r="EF4" s="75">
        <f t="array" ref="EF4">SUM((YEAR(Gastos!$A$2:$A$2500)=EF$1)*(MONTH(Gastos!$A$2:$A$2500)=EF$3)*(Gastos!$B$2:$B$2500=$A4)*(Gastos!$D$2:$D$2500))</f>
        <v>17943</v>
      </c>
      <c r="EG4" s="75">
        <f t="array" ref="EG4">SUM((YEAR(Gastos!$A$2:$A$2500)=EG$1)*(MONTH(Gastos!$A$2:$A$2500)=EG$3)*(Gastos!$B$2:$B$2500=$A4)*(Gastos!$D$2:$D$2500))</f>
        <v>0</v>
      </c>
      <c r="EH4" s="75">
        <f t="array" ref="EH4">SUM((YEAR(Gastos!$A$2:$A$2500)=EH$1)*(MONTH(Gastos!$A$2:$A$2500)=EH$3)*(Gastos!$B$2:$B$2500=$A4)*(Gastos!$D$2:$D$2500))</f>
        <v>30344</v>
      </c>
      <c r="EI4" s="75">
        <f t="array" ref="EI4">SUM((YEAR(Gastos!$A$2:$A$2500)=EI$1)*(MONTH(Gastos!$A$2:$A$2500)=EI$3)*(Gastos!$B$2:$B$2500=$A4)*(Gastos!$D$2:$D$2500))</f>
        <v>19000</v>
      </c>
      <c r="EJ4" s="75">
        <f t="array" ref="EJ4">SUM((YEAR(Gastos!$A$2:$A$2500)=EJ$1)*(MONTH(Gastos!$A$2:$A$2500)=EJ$3)*(Gastos!$B$2:$B$2500=$A4)*(Gastos!$D$2:$D$2500))</f>
        <v>28205</v>
      </c>
      <c r="EK4" s="75">
        <f t="array" ref="EK4">SUM((YEAR(Gastos!$A$2:$A$2500)=EK$1)*(MONTH(Gastos!$A$2:$A$2500)=EK$3)*(Gastos!$B$2:$B$2500=$A4)*(Gastos!$D$2:$D$2500))</f>
        <v>35509</v>
      </c>
      <c r="EL4" s="75">
        <f t="array" ref="EL4">SUM((YEAR(Gastos!$A$2:$A$2500)=EL$1)*(MONTH(Gastos!$A$2:$A$2500)=EL$3)*(Gastos!$B$2:$B$2500=$A4)*(Gastos!$D$2:$D$2500))</f>
        <v>33316</v>
      </c>
      <c r="EM4" s="75">
        <f t="array" ref="EM4">SUM((YEAR(Gastos!$A$2:$A$2500)=EM$1)*(MONTH(Gastos!$A$2:$A$2500)=EM$3)*(Gastos!$B$2:$B$2500=$A4)*(Gastos!$D$2:$D$2500))</f>
        <v>24309</v>
      </c>
      <c r="EN4" s="75">
        <f t="array" ref="EN4">SUM((YEAR(Gastos!$A$2:$A$2500)=EN$1)*(MONTH(Gastos!$A$2:$A$2500)=EN$3)*(Gastos!$B$2:$B$2500=$A4)*(Gastos!$D$2:$D$2500))</f>
        <v>98649</v>
      </c>
      <c r="EO4" s="75">
        <f t="array" ref="EO4">SUM((YEAR(Gastos!$A$2:$A$2500)=EO$1)*(MONTH(Gastos!$A$2:$A$2500)=EO$3)*(Gastos!$B$2:$B$2500=$A4)*(Gastos!$D$2:$D$2500))</f>
        <v>33725</v>
      </c>
      <c r="EP4" s="75">
        <f t="array" ref="EP4">SUM((YEAR(Gastos!$A$2:$A$2500)=EP$1)*(MONTH(Gastos!$A$2:$A$2500)=EP$3)*(Gastos!$B$2:$B$2500=$A4)*(Gastos!$D$2:$D$2500))</f>
        <v>0</v>
      </c>
      <c r="EQ4" s="75">
        <f t="array" ref="EQ4">SUM((YEAR(Gastos!$A$2:$A$2500)=EQ$1)*(MONTH(Gastos!$A$2:$A$2500)=EQ$3)*(Gastos!$B$2:$B$2500=$A4)*(Gastos!$D$2:$D$2500))</f>
        <v>0</v>
      </c>
      <c r="ER4" s="75">
        <f t="array" ref="ER4">SUM((YEAR(Gastos!$A$2:$A$2500)=ER$1)*(MONTH(Gastos!$A$2:$A$2500)=ER$3)*(Gastos!$B$2:$B$2500=$A4)*(Gastos!$D$2:$D$2500))</f>
        <v>0</v>
      </c>
      <c r="ES4" s="75">
        <f t="array" ref="ES4">SUM((YEAR(Gastos!$A$2:$A$2500)=ES$1)*(MONTH(Gastos!$A$2:$A$2500)=ES$3)*(Gastos!$B$2:$B$2500=$A4)*(Gastos!$D$2:$D$2500))</f>
        <v>0</v>
      </c>
      <c r="ET4" s="75">
        <f t="array" ref="ET4">SUM((YEAR(Gastos!$A$2:$A$2500)=ET$1)*(MONTH(Gastos!$A$2:$A$2500)=ET$3)*(Gastos!$B$2:$B$2500=$A4)*(Gastos!$D$2:$D$2500))</f>
        <v>0</v>
      </c>
      <c r="EU4" s="75">
        <f t="array" ref="EU4">SUM((YEAR(Gastos!$A$2:$A$2500)=EU$1)*(MONTH(Gastos!$A$2:$A$2500)=EU$3)*(Gastos!$B$2:$B$2500=$A4)*(Gastos!$D$2:$D$2500))</f>
        <v>0</v>
      </c>
      <c r="EV4" s="75">
        <f t="array" ref="EV4">SUM((YEAR(Gastos!$A$2:$A$2500)=EV$1)*(MONTH(Gastos!$A$2:$A$2500)=EV$3)*(Gastos!$B$2:$B$2500=$A4)*(Gastos!$D$2:$D$2500))</f>
        <v>0</v>
      </c>
      <c r="EW4" s="75">
        <f t="array" ref="EW4">SUM((YEAR(Gastos!$A$2:$A$2500)=EW$1)*(MONTH(Gastos!$A$2:$A$2500)=EW$3)*(Gastos!$B$2:$B$2500=$A4)*(Gastos!$D$2:$D$2500))</f>
        <v>0</v>
      </c>
      <c r="EX4" s="75">
        <f t="array" ref="EX4">SUM((YEAR(Gastos!$A$2:$A$2500)=EX$1)*(MONTH(Gastos!$A$2:$A$2500)=EX$3)*(Gastos!$B$2:$B$2500=$A4)*(Gastos!$D$2:$D$2500))</f>
        <v>0</v>
      </c>
      <c r="EY4" s="75">
        <f t="array" ref="EY4">SUM((YEAR(Gastos!$A$2:$A$2500)=EY$1)*(MONTH(Gastos!$A$2:$A$2500)=EY$3)*(Gastos!$B$2:$B$2500=$A4)*(Gastos!$D$2:$D$2500))</f>
        <v>0</v>
      </c>
      <c r="EZ4" s="75">
        <f t="array" ref="EZ4">SUM((YEAR(Gastos!$A$2:$A$2500)=EZ$1)*(MONTH(Gastos!$A$2:$A$2500)=EZ$3)*(Gastos!$B$2:$B$2500=$A4)*(Gastos!$D$2:$D$2500))</f>
        <v>0</v>
      </c>
      <c r="FA4" s="75">
        <f t="array" ref="FA4">SUM((YEAR(Gastos!$A$2:$A$2500)=FA$1)*(MONTH(Gastos!$A$2:$A$2500)=FA$3)*(Gastos!$B$2:$B$2500=$A4)*(Gastos!$D$2:$D$2500))</f>
        <v>0</v>
      </c>
      <c r="FB4" s="75">
        <f t="array" ref="FB4">SUM((YEAR(Gastos!$A$2:$A$2500)=FB$1)*(MONTH(Gastos!$A$2:$A$2500)=FB$3)*(Gastos!$B$2:$B$2500=$A4)*(Gastos!$D$2:$D$2500))</f>
        <v>0</v>
      </c>
      <c r="FC4" s="75">
        <f t="array" ref="FC4">SUM((YEAR(Gastos!$A$2:$A$2500)=FC$1)*(MONTH(Gastos!$A$2:$A$2500)=FC$3)*(Gastos!$B$2:$B$2500=$A4)*(Gastos!$D$2:$D$2500))</f>
        <v>0</v>
      </c>
      <c r="FD4" s="75">
        <f t="array" ref="FD4">SUM((YEAR(Gastos!$A$2:$A$2500)=FD$1)*(MONTH(Gastos!$A$2:$A$2500)=FD$3)*(Gastos!$B$2:$B$2500=$A4)*(Gastos!$D$2:$D$2500))</f>
        <v>0</v>
      </c>
      <c r="FE4" s="75">
        <f t="array" ref="FE4">SUM((YEAR(Gastos!$A$2:$A$2500)=FE$1)*(MONTH(Gastos!$A$2:$A$2500)=FE$3)*(Gastos!$B$2:$B$2500=$A4)*(Gastos!$D$2:$D$2500))</f>
        <v>0</v>
      </c>
      <c r="FF4" s="75">
        <f t="array" ref="FF4">SUM((YEAR(Gastos!$A$2:$A$2500)=FF$1)*(MONTH(Gastos!$A$2:$A$2500)=FF$3)*(Gastos!$B$2:$B$2500=$A4)*(Gastos!$D$2:$D$2500))</f>
        <v>0</v>
      </c>
      <c r="FG4" s="75">
        <f t="array" ref="FG4">SUM((YEAR(Gastos!$A$2:$A$2500)=FG$1)*(MONTH(Gastos!$A$2:$A$2500)=FG$3)*(Gastos!$B$2:$B$2500=$A4)*(Gastos!$D$2:$D$2500))</f>
        <v>0</v>
      </c>
      <c r="FH4" s="75">
        <f t="array" ref="FH4">SUM((YEAR(Gastos!$A$2:$A$2500)=FH$1)*(MONTH(Gastos!$A$2:$A$2500)=FH$3)*(Gastos!$B$2:$B$2500=$A4)*(Gastos!$D$2:$D$2500))</f>
        <v>0</v>
      </c>
      <c r="FI4" s="75">
        <f t="array" ref="FI4">SUM((YEAR(Gastos!$A$2:$A$2500)=FI$1)*(MONTH(Gastos!$A$2:$A$2500)=FI$3)*(Gastos!$B$2:$B$2500=$A4)*(Gastos!$D$2:$D$2500))</f>
        <v>0</v>
      </c>
      <c r="FJ4" s="75">
        <f t="array" ref="FJ4">SUM((YEAR(Gastos!$A$2:$A$2500)=FJ$1)*(MONTH(Gastos!$A$2:$A$2500)=FJ$3)*(Gastos!$B$2:$B$2500=$A4)*(Gastos!$D$2:$D$2500))</f>
        <v>0</v>
      </c>
      <c r="FK4" s="75">
        <f t="array" ref="FK4">SUM((YEAR(Gastos!$A$2:$A$2500)=FK$1)*(MONTH(Gastos!$A$2:$A$2500)=FK$3)*(Gastos!$B$2:$B$2500=$A4)*(Gastos!$D$2:$D$2500))</f>
        <v>0</v>
      </c>
      <c r="FL4" s="75">
        <f t="array" ref="FL4">SUM((YEAR(Gastos!$A$2:$A$2500)=FL$1)*(MONTH(Gastos!$A$2:$A$2500)=FL$3)*(Gastos!$B$2:$B$2500=$A4)*(Gastos!$D$2:$D$2500))</f>
        <v>0</v>
      </c>
      <c r="FM4" s="75">
        <f t="array" ref="FM4">SUM((YEAR(Gastos!$A$2:$A$2500)=FM$1)*(MONTH(Gastos!$A$2:$A$2500)=FM$3)*(Gastos!$B$2:$B$2500=$A4)*(Gastos!$D$2:$D$2500))</f>
        <v>0</v>
      </c>
      <c r="FN4" s="75">
        <f t="array" ref="FN4">SUM((YEAR(Gastos!$A$2:$A$2500)=FN$1)*(MONTH(Gastos!$A$2:$A$2500)=FN$3)*(Gastos!$B$2:$B$2500=$A4)*(Gastos!$D$2:$D$2500))</f>
        <v>0</v>
      </c>
      <c r="FO4" s="75">
        <f t="array" ref="FO4">SUM((YEAR(Gastos!$A$2:$A$2500)=FO$1)*(MONTH(Gastos!$A$2:$A$2500)=FO$3)*(Gastos!$B$2:$B$2500=$A4)*(Gastos!$D$2:$D$2500))</f>
        <v>0</v>
      </c>
      <c r="FP4" s="75">
        <f t="array" ref="FP4">SUM((YEAR(Gastos!$A$2:$A$2500)=FP$1)*(MONTH(Gastos!$A$2:$A$2500)=FP$3)*(Gastos!$B$2:$B$2500=$A4)*(Gastos!$D$2:$D$2500))</f>
        <v>0</v>
      </c>
      <c r="FQ4" s="75">
        <f t="array" ref="FQ4">SUM((YEAR(Gastos!$A$2:$A$2500)=FQ$1)*(MONTH(Gastos!$A$2:$A$2500)=FQ$3)*(Gastos!$B$2:$B$2500=$A4)*(Gastos!$D$2:$D$2500))</f>
        <v>0</v>
      </c>
      <c r="FR4" s="75">
        <f t="array" ref="FR4">SUM((YEAR(Gastos!$A$2:$A$2500)=FR$1)*(MONTH(Gastos!$A$2:$A$2500)=FR$3)*(Gastos!$B$2:$B$2500=$A4)*(Gastos!$D$2:$D$2500))</f>
        <v>0</v>
      </c>
      <c r="FS4" s="75">
        <f t="array" ref="FS4">SUM((YEAR(Gastos!$A$2:$A$2500)=FS$1)*(MONTH(Gastos!$A$2:$A$2500)=FS$3)*(Gastos!$B$2:$B$2500=$A4)*(Gastos!$D$2:$D$2500))</f>
        <v>0</v>
      </c>
      <c r="FT4" s="75">
        <f t="array" ref="FT4">SUM((YEAR(Gastos!$A$2:$A$2500)=FT$1)*(MONTH(Gastos!$A$2:$A$2500)=FT$3)*(Gastos!$B$2:$B$2500=$A4)*(Gastos!$D$2:$D$2500))</f>
        <v>0</v>
      </c>
      <c r="FU4" s="75">
        <f t="array" ref="FU4">SUM((YEAR(Gastos!$A$2:$A$2500)=FU$1)*(MONTH(Gastos!$A$2:$A$2500)=FU$3)*(Gastos!$B$2:$B$2500=$A4)*(Gastos!$D$2:$D$2500))</f>
        <v>0</v>
      </c>
      <c r="FV4" s="75">
        <f t="array" ref="FV4">SUM((YEAR(Gastos!$A$2:$A$2500)=FV$1)*(MONTH(Gastos!$A$2:$A$2500)=FV$3)*(Gastos!$B$2:$B$2500=$A4)*(Gastos!$D$2:$D$2500))</f>
        <v>0</v>
      </c>
      <c r="FW4" s="75">
        <f t="array" ref="FW4">SUM((YEAR(Gastos!$A$2:$A$2500)=FW$1)*(MONTH(Gastos!$A$2:$A$2500)=FW$3)*(Gastos!$B$2:$B$2500=$A4)*(Gastos!$D$2:$D$2500))</f>
        <v>0</v>
      </c>
      <c r="FX4" s="75">
        <f t="array" ref="FX4">SUM((YEAR(Gastos!$A$2:$A$2500)=FX$1)*(MONTH(Gastos!$A$2:$A$2500)=FX$3)*(Gastos!$B$2:$B$2500=$A4)*(Gastos!$D$2:$D$2500))</f>
        <v>0</v>
      </c>
      <c r="FY4" s="75">
        <f t="array" ref="FY4">SUM((YEAR(Gastos!$A$2:$A$2500)=FY$1)*(MONTH(Gastos!$A$2:$A$2500)=FY$3)*(Gastos!$B$2:$B$2500=$A4)*(Gastos!$D$2:$D$2500))</f>
        <v>0</v>
      </c>
      <c r="FZ4" s="76">
        <f>SUM(B4:FY4)</f>
        <v>3386183.6</v>
      </c>
      <c r="GA4" s="77"/>
      <c r="GB4" s="78">
        <f>GF4-GI4</f>
        <v>56391.599999999977</v>
      </c>
      <c r="GF4" s="79">
        <f t="array" ref="GF4">SUM(((Gastos!$A$2:$A$1647)&gt;=GD$3)*((Gastos!$A$2:$A$1647)&lt;=GF$3)*(Gastos!$B$2:$B$1647=$A4)*(Gastos!$D$2:$D$1647))</f>
        <v>375060.6</v>
      </c>
      <c r="GI4" s="79">
        <f t="array" ref="GI4">SUM(((Gastos!$A$2:$A$1647)&gt;=GG$3)*((Gastos!$A$2:$A$1647)&lt;=GI$3)*(Gastos!$B$2:$B$1647=$A4)*(Gastos!$D$2:$D$1647))</f>
        <v>318669</v>
      </c>
      <c r="GL4" s="99">
        <f>J120</f>
        <v>2014</v>
      </c>
      <c r="GM4" s="103">
        <f>K120</f>
        <v>146246</v>
      </c>
      <c r="GN4" s="103">
        <f>L120</f>
        <v>141205.72</v>
      </c>
      <c r="GO4" s="103">
        <f>M120</f>
        <v>168577.59</v>
      </c>
      <c r="GP4" s="104">
        <v>522952.95000000007</v>
      </c>
      <c r="GQ4" s="103">
        <f t="shared" ref="GQ4:GQ15" si="64">SUM(GM4:GO4)</f>
        <v>456029.30999999994</v>
      </c>
    </row>
    <row r="5" spans="1:201" ht="15" thickBot="1" x14ac:dyDescent="0.4">
      <c r="A5" s="74" t="str">
        <f>Gastos!AA3</f>
        <v>F. CFE</v>
      </c>
      <c r="B5" s="75">
        <f t="array" ref="B5">SUM((YEAR(Gastos!$A$2:$A$2500)=B$1)*(MONTH(Gastos!$A$2:$A$2500)=B$3)*(Gastos!$B$2:$B$2500=$A5)*(Gastos!$D$2:$D$2500))</f>
        <v>3229</v>
      </c>
      <c r="C5" s="75">
        <f t="array" ref="C5">SUM((YEAR(Gastos!$A$2:$A$2500)=C$1)*(MONTH(Gastos!$A$2:$A$2500)=C$3)*(Gastos!$B$2:$B$2500=$A5)*(Gastos!$D$2:$D$2500))</f>
        <v>0</v>
      </c>
      <c r="D5" s="75">
        <f t="array" ref="D5">SUM((YEAR(Gastos!$A$2:$A$2500)=D$1)*(MONTH(Gastos!$A$2:$A$2500)=D$3)*(Gastos!$B$2:$B$2500=$A5)*(Gastos!$D$2:$D$2500))</f>
        <v>3924</v>
      </c>
      <c r="E5" s="75">
        <f t="array" ref="E5">SUM((YEAR(Gastos!$A$2:$A$2500)=E$1)*(MONTH(Gastos!$A$2:$A$2500)=E$3)*(Gastos!$B$2:$B$2500=$A5)*(Gastos!$D$2:$D$2500))</f>
        <v>0</v>
      </c>
      <c r="F5" s="75">
        <f t="array" ref="F5">SUM((YEAR(Gastos!$A$2:$A$2500)=F$1)*(MONTH(Gastos!$A$2:$A$2500)=F$3)*(Gastos!$B$2:$B$2500=$A5)*(Gastos!$D$2:$D$2500))</f>
        <v>5095</v>
      </c>
      <c r="G5" s="75">
        <f t="array" ref="G5">SUM((YEAR(Gastos!$A$2:$A$2500)=G$1)*(MONTH(Gastos!$A$2:$A$2500)=G$3)*(Gastos!$B$2:$B$2500=$A5)*(Gastos!$D$2:$D$2500))</f>
        <v>3900</v>
      </c>
      <c r="H5" s="75">
        <f t="array" ref="H5">SUM((YEAR(Gastos!$A$2:$A$2500)=H$1)*(MONTH(Gastos!$A$2:$A$2500)=H$3)*(Gastos!$B$2:$B$2500=$A5)*(Gastos!$D$2:$D$2500))</f>
        <v>0</v>
      </c>
      <c r="I5" s="75">
        <f t="array" ref="I5">SUM((YEAR(Gastos!$A$2:$A$2500)=I$1)*(MONTH(Gastos!$A$2:$A$2500)=I$3)*(Gastos!$B$2:$B$2500=$A5)*(Gastos!$D$2:$D$2500))</f>
        <v>4356</v>
      </c>
      <c r="J5" s="75">
        <f t="array" ref="J5">SUM((YEAR(Gastos!$A$2:$A$2500)=J$1)*(MONTH(Gastos!$A$2:$A$2500)=J$3)*(Gastos!$B$2:$B$2500=$A5)*(Gastos!$D$2:$D$2500))</f>
        <v>0</v>
      </c>
      <c r="K5" s="75">
        <f t="array" ref="K5">SUM((YEAR(Gastos!$A$2:$A$2500)=K$1)*(MONTH(Gastos!$A$2:$A$2500)=K$3)*(Gastos!$B$2:$B$2500=$A5)*(Gastos!$D$2:$D$2500))</f>
        <v>4442</v>
      </c>
      <c r="L5" s="75">
        <f t="array" ref="L5">SUM((YEAR(Gastos!$A$2:$A$2500)=L$1)*(MONTH(Gastos!$A$2:$A$2500)=L$3)*(Gastos!$B$2:$B$2500=$A5)*(Gastos!$D$2:$D$2500))</f>
        <v>0</v>
      </c>
      <c r="M5" s="75">
        <f t="array" ref="M5">SUM((YEAR(Gastos!$A$2:$A$2500)=M$1)*(MONTH(Gastos!$A$2:$A$2500)=M$3)*(Gastos!$B$2:$B$2500=$A5)*(Gastos!$D$2:$D$2500))</f>
        <v>4841</v>
      </c>
      <c r="N5" s="75">
        <f t="array" ref="N5">SUM((YEAR(Gastos!$A$2:$A$2500)=N$1)*(MONTH(Gastos!$A$2:$A$2500)=N$3)*(Gastos!$B$2:$B$2500=$A5)*(Gastos!$D$2:$D$2500))</f>
        <v>0</v>
      </c>
      <c r="O5" s="75">
        <f t="array" ref="O5">SUM((YEAR(Gastos!$A$2:$A$2500)=O$1)*(MONTH(Gastos!$A$2:$A$2500)=O$3)*(Gastos!$B$2:$B$2500=$A5)*(Gastos!$D$2:$D$2500))</f>
        <v>0</v>
      </c>
      <c r="P5" s="75">
        <f t="array" ref="P5">SUM((YEAR(Gastos!$A$2:$A$2500)=P$1)*(MONTH(Gastos!$A$2:$A$2500)=P$3)*(Gastos!$B$2:$B$2500=$A5)*(Gastos!$D$2:$D$2500))</f>
        <v>4884</v>
      </c>
      <c r="Q5" s="75">
        <f t="array" ref="Q5">SUM((YEAR(Gastos!$A$2:$A$2500)=Q$1)*(MONTH(Gastos!$A$2:$A$2500)=Q$3)*(Gastos!$B$2:$B$2500=$A5)*(Gastos!$D$2:$D$2500))</f>
        <v>3919</v>
      </c>
      <c r="R5" s="75">
        <f t="array" ref="R5">SUM((YEAR(Gastos!$A$2:$A$2500)=R$1)*(MONTH(Gastos!$A$2:$A$2500)=R$3)*(Gastos!$B$2:$B$2500=$A5)*(Gastos!$D$2:$D$2500))</f>
        <v>0</v>
      </c>
      <c r="S5" s="75">
        <f t="array" ref="S5">SUM((YEAR(Gastos!$A$2:$A$2500)=S$1)*(MONTH(Gastos!$A$2:$A$2500)=S$3)*(Gastos!$B$2:$B$2500=$A5)*(Gastos!$D$2:$D$2500))</f>
        <v>4483</v>
      </c>
      <c r="T5" s="75">
        <f t="array" ref="T5">SUM((YEAR(Gastos!$A$2:$A$2500)=T$1)*(MONTH(Gastos!$A$2:$A$2500)=T$3)*(Gastos!$B$2:$B$2500=$A5)*(Gastos!$D$2:$D$2500))</f>
        <v>0</v>
      </c>
      <c r="U5" s="75">
        <f t="array" ref="U5">SUM((YEAR(Gastos!$A$2:$A$2500)=U$1)*(MONTH(Gastos!$A$2:$A$2500)=U$3)*(Gastos!$B$2:$B$2500=$A5)*(Gastos!$D$2:$D$2500))</f>
        <v>4782</v>
      </c>
      <c r="V5" s="75">
        <f t="array" ref="V5">SUM((YEAR(Gastos!$A$2:$A$2500)=V$1)*(MONTH(Gastos!$A$2:$A$2500)=V$3)*(Gastos!$B$2:$B$2500=$A5)*(Gastos!$D$2:$D$2500))</f>
        <v>0</v>
      </c>
      <c r="W5" s="75">
        <f t="array" ref="W5">SUM((YEAR(Gastos!$A$2:$A$2500)=W$1)*(MONTH(Gastos!$A$2:$A$2500)=W$3)*(Gastos!$B$2:$B$2500=$A5)*(Gastos!$D$2:$D$2500))</f>
        <v>4512</v>
      </c>
      <c r="X5" s="75">
        <f t="array" ref="X5">SUM((YEAR(Gastos!$A$2:$A$2500)=X$1)*(MONTH(Gastos!$A$2:$A$2500)=X$3)*(Gastos!$B$2:$B$2500=$A5)*(Gastos!$D$2:$D$2500))</f>
        <v>0</v>
      </c>
      <c r="Y5" s="75">
        <f t="array" ref="Y5">SUM((YEAR(Gastos!$A$2:$A$2500)=Y$1)*(MONTH(Gastos!$A$2:$A$2500)=Y$3)*(Gastos!$B$2:$B$2500=$A5)*(Gastos!$D$2:$D$2500))</f>
        <v>4664</v>
      </c>
      <c r="Z5" s="75">
        <f t="array" ref="Z5">SUM((YEAR(Gastos!$A$2:$A$2500)=Z$1)*(MONTH(Gastos!$A$2:$A$2500)=Z$3)*(Gastos!$B$2:$B$2500=$A5)*(Gastos!$D$2:$D$2500))</f>
        <v>0</v>
      </c>
      <c r="AA5" s="75">
        <f t="array" ref="AA5">SUM((YEAR(Gastos!$A$2:$A$2500)=AA$1)*(MONTH(Gastos!$A$2:$A$2500)=AA$3)*(Gastos!$B$2:$B$2500=$A5)*(Gastos!$D$2:$D$2500))</f>
        <v>0</v>
      </c>
      <c r="AB5" s="75">
        <f t="array" ref="AB5">SUM((YEAR(Gastos!$A$2:$A$2500)=AB$1)*(MONTH(Gastos!$A$2:$A$2500)=AB$3)*(Gastos!$B$2:$B$2500=$A5)*(Gastos!$D$2:$D$2500))</f>
        <v>5147</v>
      </c>
      <c r="AC5" s="75">
        <f t="array" ref="AC5">SUM((YEAR(Gastos!$A$2:$A$2500)=AC$1)*(MONTH(Gastos!$A$2:$A$2500)=AC$3)*(Gastos!$B$2:$B$2500=$A5)*(Gastos!$D$2:$D$2500))</f>
        <v>9065</v>
      </c>
      <c r="AD5" s="75">
        <f t="array" ref="AD5">SUM((YEAR(Gastos!$A$2:$A$2500)=AD$1)*(MONTH(Gastos!$A$2:$A$2500)=AD$3)*(Gastos!$B$2:$B$2500=$A5)*(Gastos!$D$2:$D$2500))</f>
        <v>0</v>
      </c>
      <c r="AE5" s="75">
        <f t="array" ref="AE5">SUM((YEAR(Gastos!$A$2:$A$2500)=AE$1)*(MONTH(Gastos!$A$2:$A$2500)=AE$3)*(Gastos!$B$2:$B$2500=$A5)*(Gastos!$D$2:$D$2500))</f>
        <v>0</v>
      </c>
      <c r="AF5" s="75">
        <f t="array" ref="AF5">SUM((YEAR(Gastos!$A$2:$A$2500)=AF$1)*(MONTH(Gastos!$A$2:$A$2500)=AF$3)*(Gastos!$B$2:$B$2500=$A5)*(Gastos!$D$2:$D$2500))</f>
        <v>5603</v>
      </c>
      <c r="AG5" s="75">
        <f t="array" ref="AG5">SUM((YEAR(Gastos!$A$2:$A$2500)=AG$1)*(MONTH(Gastos!$A$2:$A$2500)=AG$3)*(Gastos!$B$2:$B$2500=$A5)*(Gastos!$D$2:$D$2500))</f>
        <v>4503</v>
      </c>
      <c r="AH5" s="75">
        <f t="array" ref="AH5">SUM((YEAR(Gastos!$A$2:$A$2500)=AH$1)*(MONTH(Gastos!$A$2:$A$2500)=AH$3)*(Gastos!$B$2:$B$2500=$A5)*(Gastos!$D$2:$D$2500))</f>
        <v>0</v>
      </c>
      <c r="AI5" s="75">
        <f t="array" ref="AI5">SUM((YEAR(Gastos!$A$2:$A$2500)=AI$1)*(MONTH(Gastos!$A$2:$A$2500)=AI$3)*(Gastos!$B$2:$B$2500=$A5)*(Gastos!$D$2:$D$2500))</f>
        <v>0</v>
      </c>
      <c r="AJ5" s="75">
        <f t="array" ref="AJ5">SUM((YEAR(Gastos!$A$2:$A$2500)=AJ$1)*(MONTH(Gastos!$A$2:$A$2500)=AJ$3)*(Gastos!$B$2:$B$2500=$A5)*(Gastos!$D$2:$D$2500))</f>
        <v>0</v>
      </c>
      <c r="AK5" s="75">
        <f t="array" ref="AK5">SUM((YEAR(Gastos!$A$2:$A$2500)=AK$1)*(MONTH(Gastos!$A$2:$A$2500)=AK$3)*(Gastos!$B$2:$B$2500=$A5)*(Gastos!$D$2:$D$2500))</f>
        <v>14675</v>
      </c>
      <c r="AL5" s="75">
        <f t="array" ref="AL5">SUM((YEAR(Gastos!$A$2:$A$2500)=AL$1)*(MONTH(Gastos!$A$2:$A$2500)=AL$3)*(Gastos!$B$2:$B$2500=$A5)*(Gastos!$D$2:$D$2500))</f>
        <v>0</v>
      </c>
      <c r="AM5" s="75">
        <f t="array" ref="AM5">SUM((YEAR(Gastos!$A$2:$A$2500)=AM$1)*(MONTH(Gastos!$A$2:$A$2500)=AM$3)*(Gastos!$B$2:$B$2500=$A5)*(Gastos!$D$2:$D$2500))</f>
        <v>0</v>
      </c>
      <c r="AN5" s="75">
        <f t="array" ref="AN5">SUM((YEAR(Gastos!$A$2:$A$2500)=AN$1)*(MONTH(Gastos!$A$2:$A$2500)=AN$3)*(Gastos!$B$2:$B$2500=$A5)*(Gastos!$D$2:$D$2500))</f>
        <v>10689</v>
      </c>
      <c r="AO5" s="75">
        <f t="array" ref="AO5">SUM((YEAR(Gastos!$A$2:$A$2500)=AO$1)*(MONTH(Gastos!$A$2:$A$2500)=AO$3)*(Gastos!$B$2:$B$2500=$A5)*(Gastos!$D$2:$D$2500))</f>
        <v>0</v>
      </c>
      <c r="AP5" s="75">
        <f t="array" ref="AP5">SUM((YEAR(Gastos!$A$2:$A$2500)=AP$1)*(MONTH(Gastos!$A$2:$A$2500)=AP$3)*(Gastos!$B$2:$B$2500=$A5)*(Gastos!$D$2:$D$2500))</f>
        <v>10236</v>
      </c>
      <c r="AQ5" s="75">
        <f t="array" ref="AQ5">SUM((YEAR(Gastos!$A$2:$A$2500)=AQ$1)*(MONTH(Gastos!$A$2:$A$2500)=AQ$3)*(Gastos!$B$2:$B$2500=$A5)*(Gastos!$D$2:$D$2500))</f>
        <v>0</v>
      </c>
      <c r="AR5" s="75">
        <f t="array" ref="AR5">SUM((YEAR(Gastos!$A$2:$A$2500)=AR$1)*(MONTH(Gastos!$A$2:$A$2500)=AR$3)*(Gastos!$B$2:$B$2500=$A5)*(Gastos!$D$2:$D$2500))</f>
        <v>8955</v>
      </c>
      <c r="AS5" s="75">
        <f t="array" ref="AS5">SUM((YEAR(Gastos!$A$2:$A$2500)=AS$1)*(MONTH(Gastos!$A$2:$A$2500)=AS$3)*(Gastos!$B$2:$B$2500=$A5)*(Gastos!$D$2:$D$2500))</f>
        <v>0</v>
      </c>
      <c r="AT5" s="75">
        <f t="array" ref="AT5">SUM((YEAR(Gastos!$A$2:$A$2500)=AT$1)*(MONTH(Gastos!$A$2:$A$2500)=AT$3)*(Gastos!$B$2:$B$2500=$A5)*(Gastos!$D$2:$D$2500))</f>
        <v>9374</v>
      </c>
      <c r="AU5" s="75">
        <f t="array" ref="AU5">SUM((YEAR(Gastos!$A$2:$A$2500)=AU$1)*(MONTH(Gastos!$A$2:$A$2500)=AU$3)*(Gastos!$B$2:$B$2500=$A5)*(Gastos!$D$2:$D$2500))</f>
        <v>0</v>
      </c>
      <c r="AV5" s="75">
        <f t="array" ref="AV5">SUM((YEAR(Gastos!$A$2:$A$2500)=AV$1)*(MONTH(Gastos!$A$2:$A$2500)=AV$3)*(Gastos!$B$2:$B$2500=$A5)*(Gastos!$D$2:$D$2500))</f>
        <v>6226</v>
      </c>
      <c r="AW5" s="75">
        <f t="array" ref="AW5">SUM((YEAR(Gastos!$A$2:$A$2500)=AW$1)*(MONTH(Gastos!$A$2:$A$2500)=AW$3)*(Gastos!$B$2:$B$2500=$A5)*(Gastos!$D$2:$D$2500))</f>
        <v>6525</v>
      </c>
      <c r="AX5" s="75">
        <f t="array" ref="AX5">SUM((YEAR(Gastos!$A$2:$A$2500)=AX$1)*(MONTH(Gastos!$A$2:$A$2500)=AX$3)*(Gastos!$B$2:$B$2500=$A5)*(Gastos!$D$2:$D$2500))</f>
        <v>0</v>
      </c>
      <c r="AY5" s="75">
        <f t="array" ref="AY5">SUM((YEAR(Gastos!$A$2:$A$2500)=AY$1)*(MONTH(Gastos!$A$2:$A$2500)=AY$3)*(Gastos!$B$2:$B$2500=$A5)*(Gastos!$D$2:$D$2500))</f>
        <v>0</v>
      </c>
      <c r="AZ5" s="75">
        <f t="array" ref="AZ5">SUM((YEAR(Gastos!$A$2:$A$2500)=AZ$1)*(MONTH(Gastos!$A$2:$A$2500)=AZ$3)*(Gastos!$B$2:$B$2500=$A5)*(Gastos!$D$2:$D$2500))</f>
        <v>4542</v>
      </c>
      <c r="BA5" s="75">
        <f t="array" ref="BA5">SUM((YEAR(Gastos!$A$2:$A$2500)=BA$1)*(MONTH(Gastos!$A$2:$A$2500)=BA$3)*(Gastos!$B$2:$B$2500=$A5)*(Gastos!$D$2:$D$2500))</f>
        <v>0</v>
      </c>
      <c r="BB5" s="75">
        <f t="array" ref="BB5">SUM((YEAR(Gastos!$A$2:$A$2500)=BB$1)*(MONTH(Gastos!$A$2:$A$2500)=BB$3)*(Gastos!$B$2:$B$2500=$A5)*(Gastos!$D$2:$D$2500))</f>
        <v>4232</v>
      </c>
      <c r="BC5" s="75">
        <f t="array" ref="BC5">SUM((YEAR(Gastos!$A$2:$A$2500)=BC$1)*(MONTH(Gastos!$A$2:$A$2500)=BC$3)*(Gastos!$B$2:$B$2500=$A5)*(Gastos!$D$2:$D$2500))</f>
        <v>0</v>
      </c>
      <c r="BD5" s="75">
        <f t="array" ref="BD5">SUM((YEAR(Gastos!$A$2:$A$2500)=BD$1)*(MONTH(Gastos!$A$2:$A$2500)=BD$3)*(Gastos!$B$2:$B$2500=$A5)*(Gastos!$D$2:$D$2500))</f>
        <v>4632</v>
      </c>
      <c r="BE5" s="75">
        <f t="array" ref="BE5">SUM((YEAR(Gastos!$A$2:$A$2500)=BE$1)*(MONTH(Gastos!$A$2:$A$2500)=BE$3)*(Gastos!$B$2:$B$2500=$A5)*(Gastos!$D$2:$D$2500))</f>
        <v>5499</v>
      </c>
      <c r="BF5" s="75">
        <f t="array" ref="BF5">SUM((YEAR(Gastos!$A$2:$A$2500)=BF$1)*(MONTH(Gastos!$A$2:$A$2500)=BF$3)*(Gastos!$B$2:$B$2500=$A5)*(Gastos!$D$2:$D$2500))</f>
        <v>0</v>
      </c>
      <c r="BG5" s="75">
        <f t="array" ref="BG5">SUM((YEAR(Gastos!$A$2:$A$2500)=BG$1)*(MONTH(Gastos!$A$2:$A$2500)=BG$3)*(Gastos!$B$2:$B$2500=$A5)*(Gastos!$D$2:$D$2500))</f>
        <v>0</v>
      </c>
      <c r="BH5" s="75">
        <f t="array" ref="BH5">SUM((YEAR(Gastos!$A$2:$A$2500)=BH$1)*(MONTH(Gastos!$A$2:$A$2500)=BH$3)*(Gastos!$B$2:$B$2500=$A5)*(Gastos!$D$2:$D$2500))</f>
        <v>5005</v>
      </c>
      <c r="BI5" s="75">
        <f t="array" ref="BI5">SUM((YEAR(Gastos!$A$2:$A$2500)=BI$1)*(MONTH(Gastos!$A$2:$A$2500)=BI$3)*(Gastos!$B$2:$B$2500=$A5)*(Gastos!$D$2:$D$2500))</f>
        <v>0</v>
      </c>
      <c r="BJ5" s="75">
        <f t="array" ref="BJ5">SUM((YEAR(Gastos!$A$2:$A$2500)=BJ$1)*(MONTH(Gastos!$A$2:$A$2500)=BJ$3)*(Gastos!$B$2:$B$2500=$A5)*(Gastos!$D$2:$D$2500))</f>
        <v>7330</v>
      </c>
      <c r="BK5" s="75">
        <f t="array" ref="BK5">SUM((YEAR(Gastos!$A$2:$A$2500)=BK$1)*(MONTH(Gastos!$A$2:$A$2500)=BK$3)*(Gastos!$B$2:$B$2500=$A5)*(Gastos!$D$2:$D$2500))</f>
        <v>0</v>
      </c>
      <c r="BL5" s="75">
        <f t="array" ref="BL5">SUM((YEAR(Gastos!$A$2:$A$2500)=BL$1)*(MONTH(Gastos!$A$2:$A$2500)=BL$3)*(Gastos!$B$2:$B$2500=$A5)*(Gastos!$D$2:$D$2500))</f>
        <v>10568</v>
      </c>
      <c r="BM5" s="75">
        <f t="array" ref="BM5">SUM((YEAR(Gastos!$A$2:$A$2500)=BM$1)*(MONTH(Gastos!$A$2:$A$2500)=BM$3)*(Gastos!$B$2:$B$2500=$A5)*(Gastos!$D$2:$D$2500))</f>
        <v>0</v>
      </c>
      <c r="BN5" s="75">
        <f t="array" ref="BN5">SUM((YEAR(Gastos!$A$2:$A$2500)=BN$1)*(MONTH(Gastos!$A$2:$A$2500)=BN$3)*(Gastos!$B$2:$B$2500=$A5)*(Gastos!$D$2:$D$2500))</f>
        <v>7191</v>
      </c>
      <c r="BO5" s="75">
        <f t="array" ref="BO5">SUM((YEAR(Gastos!$A$2:$A$2500)=BO$1)*(MONTH(Gastos!$A$2:$A$2500)=BO$3)*(Gastos!$B$2:$B$2500=$A5)*(Gastos!$D$2:$D$2500))</f>
        <v>0</v>
      </c>
      <c r="BP5" s="75">
        <f t="array" ref="BP5">SUM((YEAR(Gastos!$A$2:$A$2500)=BP$1)*(MONTH(Gastos!$A$2:$A$2500)=BP$3)*(Gastos!$B$2:$B$2500=$A5)*(Gastos!$D$2:$D$2500))</f>
        <v>12199</v>
      </c>
      <c r="BQ5" s="75">
        <f t="array" ref="BQ5">SUM((YEAR(Gastos!$A$2:$A$2500)=BQ$1)*(MONTH(Gastos!$A$2:$A$2500)=BQ$3)*(Gastos!$B$2:$B$2500=$A5)*(Gastos!$D$2:$D$2500))</f>
        <v>3827</v>
      </c>
      <c r="BR5" s="75">
        <f t="array" ref="BR5">SUM((YEAR(Gastos!$A$2:$A$2500)=BR$1)*(MONTH(Gastos!$A$2:$A$2500)=BR$3)*(Gastos!$B$2:$B$2500=$A5)*(Gastos!$D$2:$D$2500))</f>
        <v>0</v>
      </c>
      <c r="BS5" s="75">
        <f t="array" ref="BS5">SUM((YEAR(Gastos!$A$2:$A$2500)=BS$1)*(MONTH(Gastos!$A$2:$A$2500)=BS$3)*(Gastos!$B$2:$B$2500=$A5)*(Gastos!$D$2:$D$2500))</f>
        <v>0</v>
      </c>
      <c r="BT5" s="75">
        <f t="array" ref="BT5">SUM((YEAR(Gastos!$A$2:$A$2500)=BT$1)*(MONTH(Gastos!$A$2:$A$2500)=BT$3)*(Gastos!$B$2:$B$2500=$A5)*(Gastos!$D$2:$D$2500))</f>
        <v>4033</v>
      </c>
      <c r="BU5" s="75">
        <f t="array" ref="BU5">SUM((YEAR(Gastos!$A$2:$A$2500)=BU$1)*(MONTH(Gastos!$A$2:$A$2500)=BU$3)*(Gastos!$B$2:$B$2500=$A5)*(Gastos!$D$2:$D$2500))</f>
        <v>0</v>
      </c>
      <c r="BV5" s="75">
        <f t="array" ref="BV5">SUM((YEAR(Gastos!$A$2:$A$2500)=BV$1)*(MONTH(Gastos!$A$2:$A$2500)=BV$3)*(Gastos!$B$2:$B$2500=$A5)*(Gastos!$D$2:$D$2500))</f>
        <v>4403</v>
      </c>
      <c r="BW5" s="75">
        <f t="array" ref="BW5">SUM((YEAR(Gastos!$A$2:$A$2500)=BW$1)*(MONTH(Gastos!$A$2:$A$2500)=BW$3)*(Gastos!$B$2:$B$2500=$A5)*(Gastos!$D$2:$D$2500))</f>
        <v>0</v>
      </c>
      <c r="BX5" s="75">
        <f t="array" ref="BX5">SUM((YEAR(Gastos!$A$2:$A$2500)=BX$1)*(MONTH(Gastos!$A$2:$A$2500)=BX$3)*(Gastos!$B$2:$B$2500=$A5)*(Gastos!$D$2:$D$2500))</f>
        <v>4654</v>
      </c>
      <c r="BY5" s="75">
        <f t="array" ref="BY5">SUM((YEAR(Gastos!$A$2:$A$2500)=BY$1)*(MONTH(Gastos!$A$2:$A$2500)=BY$3)*(Gastos!$B$2:$B$2500=$A5)*(Gastos!$D$2:$D$2500))</f>
        <v>0</v>
      </c>
      <c r="BZ5" s="75">
        <f t="array" ref="BZ5">SUM((YEAR(Gastos!$A$2:$A$2500)=BZ$1)*(MONTH(Gastos!$A$2:$A$2500)=BZ$3)*(Gastos!$B$2:$B$2500=$A5)*(Gastos!$D$2:$D$2500))</f>
        <v>3530</v>
      </c>
      <c r="CA5" s="75">
        <f t="array" ref="CA5">SUM((YEAR(Gastos!$A$2:$A$2500)=CA$1)*(MONTH(Gastos!$A$2:$A$2500)=CA$3)*(Gastos!$B$2:$B$2500=$A5)*(Gastos!$D$2:$D$2500))</f>
        <v>0</v>
      </c>
      <c r="CB5" s="75">
        <f t="array" ref="CB5">SUM((YEAR(Gastos!$A$2:$A$2500)=CB$1)*(MONTH(Gastos!$A$2:$A$2500)=CB$3)*(Gastos!$B$2:$B$2500=$A5)*(Gastos!$D$2:$D$2500))</f>
        <v>2808</v>
      </c>
      <c r="CC5" s="75">
        <f t="array" ref="CC5">SUM((YEAR(Gastos!$A$2:$A$2500)=CC$1)*(MONTH(Gastos!$A$2:$A$2500)=CC$3)*(Gastos!$B$2:$B$2500=$A5)*(Gastos!$D$2:$D$2500))</f>
        <v>0</v>
      </c>
      <c r="CD5" s="75">
        <f t="array" ref="CD5">SUM((YEAR(Gastos!$A$2:$A$2500)=CD$1)*(MONTH(Gastos!$A$2:$A$2500)=CD$3)*(Gastos!$B$2:$B$2500=$A5)*(Gastos!$D$2:$D$2500))</f>
        <v>7632</v>
      </c>
      <c r="CE5" s="75">
        <f t="array" ref="CE5">SUM((YEAR(Gastos!$A$2:$A$2500)=CE$1)*(MONTH(Gastos!$A$2:$A$2500)=CE$3)*(Gastos!$B$2:$B$2500=$A5)*(Gastos!$D$2:$D$2500))</f>
        <v>8640</v>
      </c>
      <c r="CF5" s="75">
        <f t="array" ref="CF5">SUM((YEAR(Gastos!$A$2:$A$2500)=CF$1)*(MONTH(Gastos!$A$2:$A$2500)=CF$3)*(Gastos!$B$2:$B$2500=$A5)*(Gastos!$D$2:$D$2500))</f>
        <v>0</v>
      </c>
      <c r="CG5" s="75">
        <f t="array" ref="CG5">SUM((YEAR(Gastos!$A$2:$A$2500)=CG$1)*(MONTH(Gastos!$A$2:$A$2500)=CG$3)*(Gastos!$B$2:$B$2500=$A5)*(Gastos!$D$2:$D$2500))</f>
        <v>8756</v>
      </c>
      <c r="CH5" s="75">
        <f t="array" ref="CH5">SUM((YEAR(Gastos!$A$2:$A$2500)=CH$1)*(MONTH(Gastos!$A$2:$A$2500)=CH$3)*(Gastos!$B$2:$B$2500=$A5)*(Gastos!$D$2:$D$2500))</f>
        <v>0</v>
      </c>
      <c r="CI5" s="75">
        <f t="array" ref="CI5">SUM((YEAR(Gastos!$A$2:$A$2500)=CI$1)*(MONTH(Gastos!$A$2:$A$2500)=CI$3)*(Gastos!$B$2:$B$2500=$A5)*(Gastos!$D$2:$D$2500))</f>
        <v>0</v>
      </c>
      <c r="CJ5" s="75">
        <f t="array" ref="CJ5">SUM((YEAR(Gastos!$A$2:$A$2500)=CJ$1)*(MONTH(Gastos!$A$2:$A$2500)=CJ$3)*(Gastos!$B$2:$B$2500=$A5)*(Gastos!$D$2:$D$2500))</f>
        <v>8272</v>
      </c>
      <c r="CK5" s="75">
        <f t="array" ref="CK5">SUM((YEAR(Gastos!$A$2:$A$2500)=CK$1)*(MONTH(Gastos!$A$2:$A$2500)=CK$3)*(Gastos!$B$2:$B$2500=$A5)*(Gastos!$D$2:$D$2500))</f>
        <v>0</v>
      </c>
      <c r="CL5" s="75">
        <f t="array" ref="CL5">SUM((YEAR(Gastos!$A$2:$A$2500)=CL$1)*(MONTH(Gastos!$A$2:$A$2500)=CL$3)*(Gastos!$B$2:$B$2500=$A5)*(Gastos!$D$2:$D$2500))</f>
        <v>8286</v>
      </c>
      <c r="CM5" s="75">
        <f t="array" ref="CM5">SUM((YEAR(Gastos!$A$2:$A$2500)=CM$1)*(MONTH(Gastos!$A$2:$A$2500)=CM$3)*(Gastos!$B$2:$B$2500=$A5)*(Gastos!$D$2:$D$2500))</f>
        <v>0</v>
      </c>
      <c r="CN5" s="75">
        <f t="array" ref="CN5">SUM((YEAR(Gastos!$A$2:$A$2500)=CN$1)*(MONTH(Gastos!$A$2:$A$2500)=CN$3)*(Gastos!$B$2:$B$2500=$A5)*(Gastos!$D$2:$D$2500))</f>
        <v>8872</v>
      </c>
      <c r="CO5" s="75">
        <f t="array" ref="CO5">SUM((YEAR(Gastos!$A$2:$A$2500)=CO$1)*(MONTH(Gastos!$A$2:$A$2500)=CO$3)*(Gastos!$B$2:$B$2500=$A5)*(Gastos!$D$2:$D$2500))</f>
        <v>10127</v>
      </c>
      <c r="CP5" s="75">
        <f t="array" ref="CP5">SUM((YEAR(Gastos!$A$2:$A$2500)=CP$1)*(MONTH(Gastos!$A$2:$A$2500)=CP$3)*(Gastos!$B$2:$B$2500=$A5)*(Gastos!$D$2:$D$2500))</f>
        <v>0</v>
      </c>
      <c r="CQ5" s="75">
        <f t="array" ref="CQ5">SUM((YEAR(Gastos!$A$2:$A$2500)=CQ$1)*(MONTH(Gastos!$A$2:$A$2500)=CQ$3)*(Gastos!$B$2:$B$2500=$A5)*(Gastos!$D$2:$D$2500))</f>
        <v>11793</v>
      </c>
      <c r="CR5" s="75">
        <f t="array" ref="CR5">SUM((YEAR(Gastos!$A$2:$A$2500)=CR$1)*(MONTH(Gastos!$A$2:$A$2500)=CR$3)*(Gastos!$B$2:$B$2500=$A5)*(Gastos!$D$2:$D$2500))</f>
        <v>0</v>
      </c>
      <c r="CS5" s="75">
        <f t="array" ref="CS5">SUM((YEAR(Gastos!$A$2:$A$2500)=CS$1)*(MONTH(Gastos!$A$2:$A$2500)=CS$3)*(Gastos!$B$2:$B$2500=$A5)*(Gastos!$D$2:$D$2500))</f>
        <v>0</v>
      </c>
      <c r="CT5" s="75">
        <f t="array" ref="CT5">SUM((YEAR(Gastos!$A$2:$A$2500)=CT$1)*(MONTH(Gastos!$A$2:$A$2500)=CT$3)*(Gastos!$B$2:$B$2500=$A5)*(Gastos!$D$2:$D$2500))</f>
        <v>0</v>
      </c>
      <c r="CU5" s="75">
        <f t="array" ref="CU5">SUM((YEAR(Gastos!$A$2:$A$2500)=CU$1)*(MONTH(Gastos!$A$2:$A$2500)=CU$3)*(Gastos!$B$2:$B$2500=$A5)*(Gastos!$D$2:$D$2500))</f>
        <v>0</v>
      </c>
      <c r="CV5" s="75">
        <f t="array" ref="CV5">SUM((YEAR(Gastos!$A$2:$A$2500)=CV$1)*(MONTH(Gastos!$A$2:$A$2500)=CV$3)*(Gastos!$B$2:$B$2500=$A5)*(Gastos!$D$2:$D$2500))</f>
        <v>7479</v>
      </c>
      <c r="CW5" s="75">
        <f t="array" ref="CW5">SUM((YEAR(Gastos!$A$2:$A$2500)=CW$1)*(MONTH(Gastos!$A$2:$A$2500)=CW$3)*(Gastos!$B$2:$B$2500=$A5)*(Gastos!$D$2:$D$2500))</f>
        <v>0</v>
      </c>
      <c r="CX5" s="75">
        <f t="array" ref="CX5">SUM((YEAR(Gastos!$A$2:$A$2500)=CX$1)*(MONTH(Gastos!$A$2:$A$2500)=CX$3)*(Gastos!$B$2:$B$2500=$A5)*(Gastos!$D$2:$D$2500))</f>
        <v>4263</v>
      </c>
      <c r="CY5" s="75">
        <f t="array" ref="CY5">SUM((YEAR(Gastos!$A$2:$A$2500)=CY$1)*(MONTH(Gastos!$A$2:$A$2500)=CY$3)*(Gastos!$B$2:$B$2500=$A5)*(Gastos!$D$2:$D$2500))</f>
        <v>0</v>
      </c>
      <c r="CZ5" s="75">
        <f t="array" ref="CZ5">SUM((YEAR(Gastos!$A$2:$A$2500)=CZ$1)*(MONTH(Gastos!$A$2:$A$2500)=CZ$3)*(Gastos!$B$2:$B$2500=$A5)*(Gastos!$D$2:$D$2500))</f>
        <v>8606</v>
      </c>
      <c r="DA5" s="75">
        <f t="array" ref="DA5">SUM((YEAR(Gastos!$A$2:$A$2500)=DA$1)*(MONTH(Gastos!$A$2:$A$2500)=DA$3)*(Gastos!$B$2:$B$2500=$A5)*(Gastos!$D$2:$D$2500))</f>
        <v>0</v>
      </c>
      <c r="DB5" s="75">
        <f t="array" ref="DB5">SUM((YEAR(Gastos!$A$2:$A$2500)=DB$1)*(MONTH(Gastos!$A$2:$A$2500)=DB$3)*(Gastos!$B$2:$B$2500=$A5)*(Gastos!$D$2:$D$2500))</f>
        <v>5154</v>
      </c>
      <c r="DC5" s="75">
        <f t="array" ref="DC5">SUM((YEAR(Gastos!$A$2:$A$2500)=DC$1)*(MONTH(Gastos!$A$2:$A$2500)=DC$3)*(Gastos!$B$2:$B$2500=$A5)*(Gastos!$D$2:$D$2500))</f>
        <v>0</v>
      </c>
      <c r="DD5" s="75">
        <f t="array" ref="DD5">SUM((YEAR(Gastos!$A$2:$A$2500)=DD$1)*(MONTH(Gastos!$A$2:$A$2500)=DD$3)*(Gastos!$B$2:$B$2500=$A5)*(Gastos!$D$2:$D$2500))</f>
        <v>4634</v>
      </c>
      <c r="DE5" s="75">
        <f t="array" ref="DE5">SUM((YEAR(Gastos!$A$2:$A$2500)=DE$1)*(MONTH(Gastos!$A$2:$A$2500)=DE$3)*(Gastos!$B$2:$B$2500=$A5)*(Gastos!$D$2:$D$2500))</f>
        <v>10045</v>
      </c>
      <c r="DF5" s="75">
        <f t="array" ref="DF5">SUM((YEAR(Gastos!$A$2:$A$2500)=DF$1)*(MONTH(Gastos!$A$2:$A$2500)=DF$3)*(Gastos!$B$2:$B$2500=$A5)*(Gastos!$D$2:$D$2500))</f>
        <v>3923</v>
      </c>
      <c r="DG5" s="75">
        <f t="array" ref="DG5">SUM((YEAR(Gastos!$A$2:$A$2500)=DG$1)*(MONTH(Gastos!$A$2:$A$2500)=DG$3)*(Gastos!$B$2:$B$2500=$A5)*(Gastos!$D$2:$D$2500))</f>
        <v>0</v>
      </c>
      <c r="DH5" s="75">
        <f t="array" ref="DH5">SUM((YEAR(Gastos!$A$2:$A$2500)=DH$1)*(MONTH(Gastos!$A$2:$A$2500)=DH$3)*(Gastos!$B$2:$B$2500=$A5)*(Gastos!$D$2:$D$2500))</f>
        <v>3939</v>
      </c>
      <c r="DI5" s="75">
        <f t="array" ref="DI5">SUM((YEAR(Gastos!$A$2:$A$2500)=DI$1)*(MONTH(Gastos!$A$2:$A$2500)=DI$3)*(Gastos!$B$2:$B$2500=$A5)*(Gastos!$D$2:$D$2500))</f>
        <v>0</v>
      </c>
      <c r="DJ5" s="75">
        <f t="array" ref="DJ5">SUM((YEAR(Gastos!$A$2:$A$2500)=DJ$1)*(MONTH(Gastos!$A$2:$A$2500)=DJ$3)*(Gastos!$B$2:$B$2500=$A5)*(Gastos!$D$2:$D$2500))</f>
        <v>3497</v>
      </c>
      <c r="DK5" s="75">
        <f t="array" ref="DK5">SUM((YEAR(Gastos!$A$2:$A$2500)=DK$1)*(MONTH(Gastos!$A$2:$A$2500)=DK$3)*(Gastos!$B$2:$B$2500=$A5)*(Gastos!$D$2:$D$2500))</f>
        <v>3659</v>
      </c>
      <c r="DL5" s="75">
        <f t="array" ref="DL5">SUM((YEAR(Gastos!$A$2:$A$2500)=DL$1)*(MONTH(Gastos!$A$2:$A$2500)=DL$3)*(Gastos!$B$2:$B$2500=$A5)*(Gastos!$D$2:$D$2500))</f>
        <v>0</v>
      </c>
      <c r="DM5" s="75">
        <f t="array" ref="DM5">SUM((YEAR(Gastos!$A$2:$A$2500)=DM$1)*(MONTH(Gastos!$A$2:$A$2500)=DM$3)*(Gastos!$B$2:$B$2500=$A5)*(Gastos!$D$2:$D$2500))</f>
        <v>0</v>
      </c>
      <c r="DN5" s="75">
        <f t="array" ref="DN5">SUM((YEAR(Gastos!$A$2:$A$2500)=DN$1)*(MONTH(Gastos!$A$2:$A$2500)=DN$3)*(Gastos!$B$2:$B$2500=$A5)*(Gastos!$D$2:$D$2500))</f>
        <v>4280</v>
      </c>
      <c r="DO5" s="75">
        <f t="array" ref="DO5">SUM((YEAR(Gastos!$A$2:$A$2500)=DO$1)*(MONTH(Gastos!$A$2:$A$2500)=DO$3)*(Gastos!$B$2:$B$2500=$A5)*(Gastos!$D$2:$D$2500))</f>
        <v>0</v>
      </c>
      <c r="DP5" s="75">
        <f t="array" ref="DP5">SUM((YEAR(Gastos!$A$2:$A$2500)=DP$1)*(MONTH(Gastos!$A$2:$A$2500)=DP$3)*(Gastos!$B$2:$B$2500=$A5)*(Gastos!$D$2:$D$2500))</f>
        <v>4515</v>
      </c>
      <c r="DQ5" s="75">
        <f t="array" ref="DQ5">SUM((YEAR(Gastos!$A$2:$A$2500)=DQ$1)*(MONTH(Gastos!$A$2:$A$2500)=DQ$3)*(Gastos!$B$2:$B$2500=$A5)*(Gastos!$D$2:$D$2500))</f>
        <v>0</v>
      </c>
      <c r="DR5" s="75">
        <f t="array" ref="DR5">SUM((YEAR(Gastos!$A$2:$A$2500)=DR$1)*(MONTH(Gastos!$A$2:$A$2500)=DR$3)*(Gastos!$B$2:$B$2500=$A5)*(Gastos!$D$2:$D$2500))</f>
        <v>5015</v>
      </c>
      <c r="DS5" s="75">
        <f t="array" ref="DS5">SUM((YEAR(Gastos!$A$2:$A$2500)=DS$1)*(MONTH(Gastos!$A$2:$A$2500)=DS$3)*(Gastos!$B$2:$B$2500=$A5)*(Gastos!$D$2:$D$2500))</f>
        <v>0</v>
      </c>
      <c r="DT5" s="75">
        <f t="array" ref="DT5">SUM((YEAR(Gastos!$A$2:$A$2500)=DT$1)*(MONTH(Gastos!$A$2:$A$2500)=DT$3)*(Gastos!$B$2:$B$2500=$A5)*(Gastos!$D$2:$D$2500))</f>
        <v>5410</v>
      </c>
      <c r="DU5" s="75">
        <f t="array" ref="DU5">SUM((YEAR(Gastos!$A$2:$A$2500)=DU$1)*(MONTH(Gastos!$A$2:$A$2500)=DU$3)*(Gastos!$B$2:$B$2500=$A5)*(Gastos!$D$2:$D$2500))</f>
        <v>0</v>
      </c>
      <c r="DV5" s="75">
        <f t="array" ref="DV5">SUM((YEAR(Gastos!$A$2:$A$2500)=DV$1)*(MONTH(Gastos!$A$2:$A$2500)=DV$3)*(Gastos!$B$2:$B$2500=$A5)*(Gastos!$D$2:$D$2500))</f>
        <v>4917</v>
      </c>
      <c r="DW5" s="75">
        <f t="array" ref="DW5">SUM((YEAR(Gastos!$A$2:$A$2500)=DW$1)*(MONTH(Gastos!$A$2:$A$2500)=DW$3)*(Gastos!$B$2:$B$2500=$A5)*(Gastos!$D$2:$D$2500))</f>
        <v>0</v>
      </c>
      <c r="DX5" s="75">
        <f t="array" ref="DX5">SUM((YEAR(Gastos!$A$2:$A$2500)=DX$1)*(MONTH(Gastos!$A$2:$A$2500)=DX$3)*(Gastos!$B$2:$B$2500=$A5)*(Gastos!$D$2:$D$2500))</f>
        <v>4551</v>
      </c>
      <c r="DY5" s="75">
        <f t="array" ref="DY5">SUM((YEAR(Gastos!$A$2:$A$2500)=DY$1)*(MONTH(Gastos!$A$2:$A$2500)=DY$3)*(Gastos!$B$2:$B$2500=$A5)*(Gastos!$D$2:$D$2500))</f>
        <v>0</v>
      </c>
      <c r="DZ5" s="75">
        <f t="array" ref="DZ5">SUM((YEAR(Gastos!$A$2:$A$2500)=DZ$1)*(MONTH(Gastos!$A$2:$A$2500)=DZ$3)*(Gastos!$B$2:$B$2500=$A5)*(Gastos!$D$2:$D$2500))</f>
        <v>3961</v>
      </c>
      <c r="EA5" s="75">
        <f t="array" ref="EA5">SUM((YEAR(Gastos!$A$2:$A$2500)=EA$1)*(MONTH(Gastos!$A$2:$A$2500)=EA$3)*(Gastos!$B$2:$B$2500=$A5)*(Gastos!$D$2:$D$2500))</f>
        <v>0</v>
      </c>
      <c r="EB5" s="75">
        <f t="array" ref="EB5">SUM((YEAR(Gastos!$A$2:$A$2500)=EB$1)*(MONTH(Gastos!$A$2:$A$2500)=EB$3)*(Gastos!$B$2:$B$2500=$A5)*(Gastos!$D$2:$D$2500))</f>
        <v>4148</v>
      </c>
      <c r="EC5" s="75">
        <f t="array" ref="EC5">SUM((YEAR(Gastos!$A$2:$A$2500)=EC$1)*(MONTH(Gastos!$A$2:$A$2500)=EC$3)*(Gastos!$B$2:$B$2500=$A5)*(Gastos!$D$2:$D$2500))</f>
        <v>0</v>
      </c>
      <c r="ED5" s="75">
        <f t="array" ref="ED5">SUM((YEAR(Gastos!$A$2:$A$2500)=ED$1)*(MONTH(Gastos!$A$2:$A$2500)=ED$3)*(Gastos!$B$2:$B$2500=$A5)*(Gastos!$D$2:$D$2500))</f>
        <v>8244</v>
      </c>
      <c r="EE5" s="75">
        <f t="array" ref="EE5">SUM((YEAR(Gastos!$A$2:$A$2500)=EE$1)*(MONTH(Gastos!$A$2:$A$2500)=EE$3)*(Gastos!$B$2:$B$2500=$A5)*(Gastos!$D$2:$D$2500))</f>
        <v>0</v>
      </c>
      <c r="EF5" s="75">
        <f t="array" ref="EF5">SUM((YEAR(Gastos!$A$2:$A$2500)=EF$1)*(MONTH(Gastos!$A$2:$A$2500)=EF$3)*(Gastos!$B$2:$B$2500=$A5)*(Gastos!$D$2:$D$2500))</f>
        <v>4354</v>
      </c>
      <c r="EG5" s="75">
        <f t="array" ref="EG5">SUM((YEAR(Gastos!$A$2:$A$2500)=EG$1)*(MONTH(Gastos!$A$2:$A$2500)=EG$3)*(Gastos!$B$2:$B$2500=$A5)*(Gastos!$D$2:$D$2500))</f>
        <v>0</v>
      </c>
      <c r="EH5" s="75">
        <f t="array" ref="EH5">SUM((YEAR(Gastos!$A$2:$A$2500)=EH$1)*(MONTH(Gastos!$A$2:$A$2500)=EH$3)*(Gastos!$B$2:$B$2500=$A5)*(Gastos!$D$2:$D$2500))</f>
        <v>3739</v>
      </c>
      <c r="EI5" s="75">
        <f t="array" ref="EI5">SUM((YEAR(Gastos!$A$2:$A$2500)=EI$1)*(MONTH(Gastos!$A$2:$A$2500)=EI$3)*(Gastos!$B$2:$B$2500=$A5)*(Gastos!$D$2:$D$2500))</f>
        <v>0</v>
      </c>
      <c r="EJ5" s="75">
        <f t="array" ref="EJ5">SUM((YEAR(Gastos!$A$2:$A$2500)=EJ$1)*(MONTH(Gastos!$A$2:$A$2500)=EJ$3)*(Gastos!$B$2:$B$2500=$A5)*(Gastos!$D$2:$D$2500))</f>
        <v>3877</v>
      </c>
      <c r="EK5" s="75">
        <f t="array" ref="EK5">SUM((YEAR(Gastos!$A$2:$A$2500)=EK$1)*(MONTH(Gastos!$A$2:$A$2500)=EK$3)*(Gastos!$B$2:$B$2500=$A5)*(Gastos!$D$2:$D$2500))</f>
        <v>0</v>
      </c>
      <c r="EL5" s="75">
        <f t="array" ref="EL5">SUM((YEAR(Gastos!$A$2:$A$2500)=EL$1)*(MONTH(Gastos!$A$2:$A$2500)=EL$3)*(Gastos!$B$2:$B$2500=$A5)*(Gastos!$D$2:$D$2500))</f>
        <v>3985</v>
      </c>
      <c r="EM5" s="75">
        <f t="array" ref="EM5">SUM((YEAR(Gastos!$A$2:$A$2500)=EM$1)*(MONTH(Gastos!$A$2:$A$2500)=EM$3)*(Gastos!$B$2:$B$2500=$A5)*(Gastos!$D$2:$D$2500))</f>
        <v>3983</v>
      </c>
      <c r="EN5" s="75">
        <f t="array" ref="EN5">SUM((YEAR(Gastos!$A$2:$A$2500)=EN$1)*(MONTH(Gastos!$A$2:$A$2500)=EN$3)*(Gastos!$B$2:$B$2500=$A5)*(Gastos!$D$2:$D$2500))</f>
        <v>0</v>
      </c>
      <c r="EO5" s="75">
        <f t="array" ref="EO5">SUM((YEAR(Gastos!$A$2:$A$2500)=EO$1)*(MONTH(Gastos!$A$2:$A$2500)=EO$3)*(Gastos!$B$2:$B$2500=$A5)*(Gastos!$D$2:$D$2500))</f>
        <v>0</v>
      </c>
      <c r="EP5" s="75">
        <f t="array" ref="EP5">SUM((YEAR(Gastos!$A$2:$A$2500)=EP$1)*(MONTH(Gastos!$A$2:$A$2500)=EP$3)*(Gastos!$B$2:$B$2500=$A5)*(Gastos!$D$2:$D$2500))</f>
        <v>0</v>
      </c>
      <c r="EQ5" s="75">
        <f t="array" ref="EQ5">SUM((YEAR(Gastos!$A$2:$A$2500)=EQ$1)*(MONTH(Gastos!$A$2:$A$2500)=EQ$3)*(Gastos!$B$2:$B$2500=$A5)*(Gastos!$D$2:$D$2500))</f>
        <v>0</v>
      </c>
      <c r="ER5" s="75">
        <f t="array" ref="ER5">SUM((YEAR(Gastos!$A$2:$A$2500)=ER$1)*(MONTH(Gastos!$A$2:$A$2500)=ER$3)*(Gastos!$B$2:$B$2500=$A5)*(Gastos!$D$2:$D$2500))</f>
        <v>0</v>
      </c>
      <c r="ES5" s="75">
        <f t="array" ref="ES5">SUM((YEAR(Gastos!$A$2:$A$2500)=ES$1)*(MONTH(Gastos!$A$2:$A$2500)=ES$3)*(Gastos!$B$2:$B$2500=$A5)*(Gastos!$D$2:$D$2500))</f>
        <v>0</v>
      </c>
      <c r="ET5" s="75">
        <f t="array" ref="ET5">SUM((YEAR(Gastos!$A$2:$A$2500)=ET$1)*(MONTH(Gastos!$A$2:$A$2500)=ET$3)*(Gastos!$B$2:$B$2500=$A5)*(Gastos!$D$2:$D$2500))</f>
        <v>0</v>
      </c>
      <c r="EU5" s="75">
        <f t="array" ref="EU5">SUM((YEAR(Gastos!$A$2:$A$2500)=EU$1)*(MONTH(Gastos!$A$2:$A$2500)=EU$3)*(Gastos!$B$2:$B$2500=$A5)*(Gastos!$D$2:$D$2500))</f>
        <v>0</v>
      </c>
      <c r="EV5" s="75">
        <f t="array" ref="EV5">SUM((YEAR(Gastos!$A$2:$A$2500)=EV$1)*(MONTH(Gastos!$A$2:$A$2500)=EV$3)*(Gastos!$B$2:$B$2500=$A5)*(Gastos!$D$2:$D$2500))</f>
        <v>0</v>
      </c>
      <c r="EW5" s="75">
        <f t="array" ref="EW5">SUM((YEAR(Gastos!$A$2:$A$2500)=EW$1)*(MONTH(Gastos!$A$2:$A$2500)=EW$3)*(Gastos!$B$2:$B$2500=$A5)*(Gastos!$D$2:$D$2500))</f>
        <v>0</v>
      </c>
      <c r="EX5" s="75">
        <f t="array" ref="EX5">SUM((YEAR(Gastos!$A$2:$A$2500)=EX$1)*(MONTH(Gastos!$A$2:$A$2500)=EX$3)*(Gastos!$B$2:$B$2500=$A5)*(Gastos!$D$2:$D$2500))</f>
        <v>0</v>
      </c>
      <c r="EY5" s="75">
        <f t="array" ref="EY5">SUM((YEAR(Gastos!$A$2:$A$2500)=EY$1)*(MONTH(Gastos!$A$2:$A$2500)=EY$3)*(Gastos!$B$2:$B$2500=$A5)*(Gastos!$D$2:$D$2500))</f>
        <v>0</v>
      </c>
      <c r="EZ5" s="75">
        <f t="array" ref="EZ5">SUM((YEAR(Gastos!$A$2:$A$2500)=EZ$1)*(MONTH(Gastos!$A$2:$A$2500)=EZ$3)*(Gastos!$B$2:$B$2500=$A5)*(Gastos!$D$2:$D$2500))</f>
        <v>0</v>
      </c>
      <c r="FA5" s="75">
        <f t="array" ref="FA5">SUM((YEAR(Gastos!$A$2:$A$2500)=FA$1)*(MONTH(Gastos!$A$2:$A$2500)=FA$3)*(Gastos!$B$2:$B$2500=$A5)*(Gastos!$D$2:$D$2500))</f>
        <v>0</v>
      </c>
      <c r="FB5" s="75">
        <f t="array" ref="FB5">SUM((YEAR(Gastos!$A$2:$A$2500)=FB$1)*(MONTH(Gastos!$A$2:$A$2500)=FB$3)*(Gastos!$B$2:$B$2500=$A5)*(Gastos!$D$2:$D$2500))</f>
        <v>0</v>
      </c>
      <c r="FC5" s="75">
        <f t="array" ref="FC5">SUM((YEAR(Gastos!$A$2:$A$2500)=FC$1)*(MONTH(Gastos!$A$2:$A$2500)=FC$3)*(Gastos!$B$2:$B$2500=$A5)*(Gastos!$D$2:$D$2500))</f>
        <v>0</v>
      </c>
      <c r="FD5" s="75">
        <f t="array" ref="FD5">SUM((YEAR(Gastos!$A$2:$A$2500)=FD$1)*(MONTH(Gastos!$A$2:$A$2500)=FD$3)*(Gastos!$B$2:$B$2500=$A5)*(Gastos!$D$2:$D$2500))</f>
        <v>0</v>
      </c>
      <c r="FE5" s="75">
        <f t="array" ref="FE5">SUM((YEAR(Gastos!$A$2:$A$2500)=FE$1)*(MONTH(Gastos!$A$2:$A$2500)=FE$3)*(Gastos!$B$2:$B$2500=$A5)*(Gastos!$D$2:$D$2500))</f>
        <v>0</v>
      </c>
      <c r="FF5" s="75">
        <f t="array" ref="FF5">SUM((YEAR(Gastos!$A$2:$A$2500)=FF$1)*(MONTH(Gastos!$A$2:$A$2500)=FF$3)*(Gastos!$B$2:$B$2500=$A5)*(Gastos!$D$2:$D$2500))</f>
        <v>0</v>
      </c>
      <c r="FG5" s="75">
        <f t="array" ref="FG5">SUM((YEAR(Gastos!$A$2:$A$2500)=FG$1)*(MONTH(Gastos!$A$2:$A$2500)=FG$3)*(Gastos!$B$2:$B$2500=$A5)*(Gastos!$D$2:$D$2500))</f>
        <v>0</v>
      </c>
      <c r="FH5" s="75">
        <f t="array" ref="FH5">SUM((YEAR(Gastos!$A$2:$A$2500)=FH$1)*(MONTH(Gastos!$A$2:$A$2500)=FH$3)*(Gastos!$B$2:$B$2500=$A5)*(Gastos!$D$2:$D$2500))</f>
        <v>0</v>
      </c>
      <c r="FI5" s="75">
        <f t="array" ref="FI5">SUM((YEAR(Gastos!$A$2:$A$2500)=FI$1)*(MONTH(Gastos!$A$2:$A$2500)=FI$3)*(Gastos!$B$2:$B$2500=$A5)*(Gastos!$D$2:$D$2500))</f>
        <v>0</v>
      </c>
      <c r="FJ5" s="75">
        <f t="array" ref="FJ5">SUM((YEAR(Gastos!$A$2:$A$2500)=FJ$1)*(MONTH(Gastos!$A$2:$A$2500)=FJ$3)*(Gastos!$B$2:$B$2500=$A5)*(Gastos!$D$2:$D$2500))</f>
        <v>0</v>
      </c>
      <c r="FK5" s="75">
        <f t="array" ref="FK5">SUM((YEAR(Gastos!$A$2:$A$2500)=FK$1)*(MONTH(Gastos!$A$2:$A$2500)=FK$3)*(Gastos!$B$2:$B$2500=$A5)*(Gastos!$D$2:$D$2500))</f>
        <v>0</v>
      </c>
      <c r="FL5" s="75">
        <f t="array" ref="FL5">SUM((YEAR(Gastos!$A$2:$A$2500)=FL$1)*(MONTH(Gastos!$A$2:$A$2500)=FL$3)*(Gastos!$B$2:$B$2500=$A5)*(Gastos!$D$2:$D$2500))</f>
        <v>0</v>
      </c>
      <c r="FM5" s="75">
        <f t="array" ref="FM5">SUM((YEAR(Gastos!$A$2:$A$2500)=FM$1)*(MONTH(Gastos!$A$2:$A$2500)=FM$3)*(Gastos!$B$2:$B$2500=$A5)*(Gastos!$D$2:$D$2500))</f>
        <v>0</v>
      </c>
      <c r="FN5" s="75">
        <f t="array" ref="FN5">SUM((YEAR(Gastos!$A$2:$A$2500)=FN$1)*(MONTH(Gastos!$A$2:$A$2500)=FN$3)*(Gastos!$B$2:$B$2500=$A5)*(Gastos!$D$2:$D$2500))</f>
        <v>0</v>
      </c>
      <c r="FO5" s="75">
        <f t="array" ref="FO5">SUM((YEAR(Gastos!$A$2:$A$2500)=FO$1)*(MONTH(Gastos!$A$2:$A$2500)=FO$3)*(Gastos!$B$2:$B$2500=$A5)*(Gastos!$D$2:$D$2500))</f>
        <v>0</v>
      </c>
      <c r="FP5" s="75">
        <f t="array" ref="FP5">SUM((YEAR(Gastos!$A$2:$A$2500)=FP$1)*(MONTH(Gastos!$A$2:$A$2500)=FP$3)*(Gastos!$B$2:$B$2500=$A5)*(Gastos!$D$2:$D$2500))</f>
        <v>0</v>
      </c>
      <c r="FQ5" s="75">
        <f t="array" ref="FQ5">SUM((YEAR(Gastos!$A$2:$A$2500)=FQ$1)*(MONTH(Gastos!$A$2:$A$2500)=FQ$3)*(Gastos!$B$2:$B$2500=$A5)*(Gastos!$D$2:$D$2500))</f>
        <v>0</v>
      </c>
      <c r="FR5" s="75">
        <f t="array" ref="FR5">SUM((YEAR(Gastos!$A$2:$A$2500)=FR$1)*(MONTH(Gastos!$A$2:$A$2500)=FR$3)*(Gastos!$B$2:$B$2500=$A5)*(Gastos!$D$2:$D$2500))</f>
        <v>0</v>
      </c>
      <c r="FS5" s="75">
        <f t="array" ref="FS5">SUM((YEAR(Gastos!$A$2:$A$2500)=FS$1)*(MONTH(Gastos!$A$2:$A$2500)=FS$3)*(Gastos!$B$2:$B$2500=$A5)*(Gastos!$D$2:$D$2500))</f>
        <v>0</v>
      </c>
      <c r="FT5" s="75">
        <f t="array" ref="FT5">SUM((YEAR(Gastos!$A$2:$A$2500)=FT$1)*(MONTH(Gastos!$A$2:$A$2500)=FT$3)*(Gastos!$B$2:$B$2500=$A5)*(Gastos!$D$2:$D$2500))</f>
        <v>0</v>
      </c>
      <c r="FU5" s="75">
        <f t="array" ref="FU5">SUM((YEAR(Gastos!$A$2:$A$2500)=FU$1)*(MONTH(Gastos!$A$2:$A$2500)=FU$3)*(Gastos!$B$2:$B$2500=$A5)*(Gastos!$D$2:$D$2500))</f>
        <v>0</v>
      </c>
      <c r="FV5" s="75">
        <f t="array" ref="FV5">SUM((YEAR(Gastos!$A$2:$A$2500)=FV$1)*(MONTH(Gastos!$A$2:$A$2500)=FV$3)*(Gastos!$B$2:$B$2500=$A5)*(Gastos!$D$2:$D$2500))</f>
        <v>0</v>
      </c>
      <c r="FW5" s="75">
        <f t="array" ref="FW5">SUM((YEAR(Gastos!$A$2:$A$2500)=FW$1)*(MONTH(Gastos!$A$2:$A$2500)=FW$3)*(Gastos!$B$2:$B$2500=$A5)*(Gastos!$D$2:$D$2500))</f>
        <v>0</v>
      </c>
      <c r="FX5" s="75">
        <f t="array" ref="FX5">SUM((YEAR(Gastos!$A$2:$A$2500)=FX$1)*(MONTH(Gastos!$A$2:$A$2500)=FX$3)*(Gastos!$B$2:$B$2500=$A5)*(Gastos!$D$2:$D$2500))</f>
        <v>0</v>
      </c>
      <c r="FY5" s="75">
        <f t="array" ref="FY5">SUM((YEAR(Gastos!$A$2:$A$2500)=FY$1)*(MONTH(Gastos!$A$2:$A$2500)=FY$3)*(Gastos!$B$2:$B$2500=$A5)*(Gastos!$D$2:$D$2500))</f>
        <v>0</v>
      </c>
      <c r="FZ5" s="76">
        <f t="shared" ref="FZ5:FZ68" si="65">SUM(B5:FY5)</f>
        <v>425038</v>
      </c>
      <c r="GA5" s="80"/>
      <c r="GB5" s="78">
        <f t="shared" ref="GB5:GB54" si="66">GF5-GI5</f>
        <v>15229</v>
      </c>
      <c r="GF5" s="79">
        <f t="array" ref="GF5">SUM(((Gastos!$A$2:$A$1647)&gt;=GD$3)*((Gastos!$A$2:$A$1647)&lt;=GF$3)*(Gastos!$B$2:$B$1647=$A5)*(Gastos!$D$2:$D$1647))</f>
        <v>55652</v>
      </c>
      <c r="GI5" s="79">
        <f t="array" ref="GI5">SUM(((Gastos!$A$2:$A$1647)&gt;=GG$3)*((Gastos!$A$2:$A$1647)&lt;=GI$3)*(Gastos!$B$2:$B$1647=$A5)*(Gastos!$D$2:$D$1647))</f>
        <v>40423</v>
      </c>
      <c r="GL5" s="99">
        <f>V120</f>
        <v>2015</v>
      </c>
      <c r="GM5" s="103">
        <f>W120</f>
        <v>186332</v>
      </c>
      <c r="GN5" s="103">
        <f>X120</f>
        <v>139390.79999999996</v>
      </c>
      <c r="GO5" s="103">
        <f>Y120</f>
        <v>202418.35</v>
      </c>
      <c r="GP5" s="104">
        <v>503821.80000000005</v>
      </c>
      <c r="GQ5" s="103">
        <f t="shared" si="64"/>
        <v>528141.14999999991</v>
      </c>
    </row>
    <row r="6" spans="1:201" ht="15" thickBot="1" x14ac:dyDescent="0.4">
      <c r="A6" s="74" t="str">
        <f>Gastos!AA4</f>
        <v>F. CONSERJE</v>
      </c>
      <c r="B6" s="75">
        <f t="array" ref="B6">SUM((YEAR(Gastos!$A$2:$A$2500)=B$1)*(MONTH(Gastos!$A$2:$A$2500)=B$3)*(Gastos!$B$2:$B$2500=$A6)*(Gastos!$D$2:$D$2500))</f>
        <v>0</v>
      </c>
      <c r="C6" s="75">
        <f t="array" ref="C6">SUM((YEAR(Gastos!$A$2:$A$2500)=C$1)*(MONTH(Gastos!$A$2:$A$2500)=C$3)*(Gastos!$B$2:$B$2500=$A6)*(Gastos!$D$2:$D$2500))</f>
        <v>0</v>
      </c>
      <c r="D6" s="75">
        <f t="array" ref="D6">SUM((YEAR(Gastos!$A$2:$A$2500)=D$1)*(MONTH(Gastos!$A$2:$A$2500)=D$3)*(Gastos!$B$2:$B$2500=$A6)*(Gastos!$D$2:$D$2500))</f>
        <v>0</v>
      </c>
      <c r="E6" s="75">
        <f t="array" ref="E6">SUM((YEAR(Gastos!$A$2:$A$2500)=E$1)*(MONTH(Gastos!$A$2:$A$2500)=E$3)*(Gastos!$B$2:$B$2500=$A6)*(Gastos!$D$2:$D$2500))</f>
        <v>0</v>
      </c>
      <c r="F6" s="75">
        <f t="array" ref="F6">SUM((YEAR(Gastos!$A$2:$A$2500)=F$1)*(MONTH(Gastos!$A$2:$A$2500)=F$3)*(Gastos!$B$2:$B$2500=$A6)*(Gastos!$D$2:$D$2500))</f>
        <v>4640</v>
      </c>
      <c r="G6" s="81">
        <f t="array" ref="G6">SUM((YEAR(Gastos!$A$2:$A$2500)=G$1)*(MONTH(Gastos!$A$2:$A$2500)=G$3)*(Gastos!$B$2:$B$2500=$A6)*(Gastos!$D$2:$D$2500))</f>
        <v>2320</v>
      </c>
      <c r="H6" s="75">
        <f t="array" ref="H6">SUM((YEAR(Gastos!$A$2:$A$2500)=H$1)*(MONTH(Gastos!$A$2:$A$2500)=H$3)*(Gastos!$B$2:$B$2500=$A6)*(Gastos!$D$2:$D$2500))</f>
        <v>4640</v>
      </c>
      <c r="I6" s="75">
        <f t="array" ref="I6">SUM((YEAR(Gastos!$A$2:$A$2500)=I$1)*(MONTH(Gastos!$A$2:$A$2500)=I$3)*(Gastos!$B$2:$B$2500=$A6)*(Gastos!$D$2:$D$2500))</f>
        <v>2320</v>
      </c>
      <c r="J6" s="75">
        <f t="array" ref="J6">SUM((YEAR(Gastos!$A$2:$A$2500)=J$1)*(MONTH(Gastos!$A$2:$A$2500)=J$3)*(Gastos!$B$2:$B$2500=$A6)*(Gastos!$D$2:$D$2500))</f>
        <v>2320</v>
      </c>
      <c r="K6" s="75">
        <f t="array" ref="K6">SUM((YEAR(Gastos!$A$2:$A$2500)=K$1)*(MONTH(Gastos!$A$2:$A$2500)=K$3)*(Gastos!$B$2:$B$2500=$A6)*(Gastos!$D$2:$D$2500))</f>
        <v>2320</v>
      </c>
      <c r="L6" s="75">
        <f t="array" ref="L6">SUM((YEAR(Gastos!$A$2:$A$2500)=L$1)*(MONTH(Gastos!$A$2:$A$2500)=L$3)*(Gastos!$B$2:$B$2500=$A6)*(Gastos!$D$2:$D$2500))</f>
        <v>2320</v>
      </c>
      <c r="M6" s="75">
        <f t="array" ref="M6">SUM((YEAR(Gastos!$A$2:$A$2500)=M$1)*(MONTH(Gastos!$A$2:$A$2500)=M$3)*(Gastos!$B$2:$B$2500=$A6)*(Gastos!$D$2:$D$2500))</f>
        <v>2900</v>
      </c>
      <c r="N6" s="75">
        <f t="array" ref="N6">SUM((YEAR(Gastos!$A$2:$A$2500)=N$1)*(MONTH(Gastos!$A$2:$A$2500)=N$3)*(Gastos!$B$2:$B$2500=$A6)*(Gastos!$D$2:$D$2500))</f>
        <v>2900</v>
      </c>
      <c r="O6" s="75">
        <f t="array" ref="O6">SUM((YEAR(Gastos!$A$2:$A$2500)=O$1)*(MONTH(Gastos!$A$2:$A$2500)=O$3)*(Gastos!$B$2:$B$2500=$A6)*(Gastos!$D$2:$D$2500))</f>
        <v>2320</v>
      </c>
      <c r="P6" s="75">
        <f t="array" ref="P6">SUM((YEAR(Gastos!$A$2:$A$2500)=P$1)*(MONTH(Gastos!$A$2:$A$2500)=P$3)*(Gastos!$B$2:$B$2500=$A6)*(Gastos!$D$2:$D$2500))</f>
        <v>2320</v>
      </c>
      <c r="Q6" s="75">
        <f t="array" ref="Q6">SUM((YEAR(Gastos!$A$2:$A$2500)=Q$1)*(MONTH(Gastos!$A$2:$A$2500)=Q$3)*(Gastos!$B$2:$B$2500=$A6)*(Gastos!$D$2:$D$2500))</f>
        <v>2320</v>
      </c>
      <c r="R6" s="75">
        <f t="array" ref="R6">SUM((YEAR(Gastos!$A$2:$A$2500)=R$1)*(MONTH(Gastos!$A$2:$A$2500)=R$3)*(Gastos!$B$2:$B$2500=$A6)*(Gastos!$D$2:$D$2500))</f>
        <v>2900</v>
      </c>
      <c r="S6" s="75">
        <f t="array" ref="S6">SUM((YEAR(Gastos!$A$2:$A$2500)=S$1)*(MONTH(Gastos!$A$2:$A$2500)=S$3)*(Gastos!$B$2:$B$2500=$A6)*(Gastos!$D$2:$D$2500))</f>
        <v>2320</v>
      </c>
      <c r="T6" s="75">
        <f t="array" ref="T6">SUM((YEAR(Gastos!$A$2:$A$2500)=T$1)*(MONTH(Gastos!$A$2:$A$2500)=T$3)*(Gastos!$B$2:$B$2500=$A6)*(Gastos!$D$2:$D$2500))</f>
        <v>2900</v>
      </c>
      <c r="U6" s="75">
        <f t="array" ref="U6">SUM((YEAR(Gastos!$A$2:$A$2500)=U$1)*(MONTH(Gastos!$A$2:$A$2500)=U$3)*(Gastos!$B$2:$B$2500=$A6)*(Gastos!$D$2:$D$2500))</f>
        <v>2900</v>
      </c>
      <c r="V6" s="75">
        <f t="array" ref="V6">SUM((YEAR(Gastos!$A$2:$A$2500)=V$1)*(MONTH(Gastos!$A$2:$A$2500)=V$3)*(Gastos!$B$2:$B$2500=$A6)*(Gastos!$D$2:$D$2500))</f>
        <v>2320</v>
      </c>
      <c r="W6" s="75">
        <f t="array" ref="W6">SUM((YEAR(Gastos!$A$2:$A$2500)=W$1)*(MONTH(Gastos!$A$2:$A$2500)=W$3)*(Gastos!$B$2:$B$2500=$A6)*(Gastos!$D$2:$D$2500))</f>
        <v>2900</v>
      </c>
      <c r="X6" s="75">
        <f t="array" ref="X6">SUM((YEAR(Gastos!$A$2:$A$2500)=X$1)*(MONTH(Gastos!$A$2:$A$2500)=X$3)*(Gastos!$B$2:$B$2500=$A6)*(Gastos!$D$2:$D$2500))</f>
        <v>2320</v>
      </c>
      <c r="Y6" s="75">
        <f t="array" ref="Y6">SUM((YEAR(Gastos!$A$2:$A$2500)=Y$1)*(MONTH(Gastos!$A$2:$A$2500)=Y$3)*(Gastos!$B$2:$B$2500=$A6)*(Gastos!$D$2:$D$2500))</f>
        <v>2320</v>
      </c>
      <c r="Z6" s="75">
        <f t="array" ref="Z6">SUM((YEAR(Gastos!$A$2:$A$2500)=Z$1)*(MONTH(Gastos!$A$2:$A$2500)=Z$3)*(Gastos!$B$2:$B$2500=$A6)*(Gastos!$D$2:$D$2500))</f>
        <v>2900</v>
      </c>
      <c r="AA6" s="75">
        <f t="array" ref="AA6">SUM((YEAR(Gastos!$A$2:$A$2500)=AA$1)*(MONTH(Gastos!$A$2:$A$2500)=AA$3)*(Gastos!$B$2:$B$2500=$A6)*(Gastos!$D$2:$D$2500))</f>
        <v>2320</v>
      </c>
      <c r="AB6" s="75">
        <f t="array" ref="AB6">SUM((YEAR(Gastos!$A$2:$A$2500)=AB$1)*(MONTH(Gastos!$A$2:$A$2500)=AB$3)*(Gastos!$B$2:$B$2500=$A6)*(Gastos!$D$2:$D$2500))</f>
        <v>5220</v>
      </c>
      <c r="AC6" s="75">
        <f t="array" ref="AC6">SUM((YEAR(Gastos!$A$2:$A$2500)=AC$1)*(MONTH(Gastos!$A$2:$A$2500)=AC$3)*(Gastos!$B$2:$B$2500=$A6)*(Gastos!$D$2:$D$2500))</f>
        <v>0</v>
      </c>
      <c r="AD6" s="75">
        <f t="array" ref="AD6">SUM((YEAR(Gastos!$A$2:$A$2500)=AD$1)*(MONTH(Gastos!$A$2:$A$2500)=AD$3)*(Gastos!$B$2:$B$2500=$A6)*(Gastos!$D$2:$D$2500))</f>
        <v>2320</v>
      </c>
      <c r="AE6" s="75">
        <f t="array" ref="AE6">SUM((YEAR(Gastos!$A$2:$A$2500)=AE$1)*(MONTH(Gastos!$A$2:$A$2500)=AE$3)*(Gastos!$B$2:$B$2500=$A6)*(Gastos!$D$2:$D$2500))</f>
        <v>2320</v>
      </c>
      <c r="AF6" s="75">
        <f t="array" ref="AF6">SUM((YEAR(Gastos!$A$2:$A$2500)=AF$1)*(MONTH(Gastos!$A$2:$A$2500)=AF$3)*(Gastos!$B$2:$B$2500=$A6)*(Gastos!$D$2:$D$2500))</f>
        <v>2784</v>
      </c>
      <c r="AG6" s="75">
        <f t="array" ref="AG6">SUM((YEAR(Gastos!$A$2:$A$2500)=AG$1)*(MONTH(Gastos!$A$2:$A$2500)=AG$3)*(Gastos!$B$2:$B$2500=$A6)*(Gastos!$D$2:$D$2500))</f>
        <v>0</v>
      </c>
      <c r="AH6" s="75">
        <f t="array" ref="AH6">SUM((YEAR(Gastos!$A$2:$A$2500)=AH$1)*(MONTH(Gastos!$A$2:$A$2500)=AH$3)*(Gastos!$B$2:$B$2500=$A6)*(Gastos!$D$2:$D$2500))</f>
        <v>3480</v>
      </c>
      <c r="AI6" s="75">
        <f t="array" ref="AI6">SUM((YEAR(Gastos!$A$2:$A$2500)=AI$1)*(MONTH(Gastos!$A$2:$A$2500)=AI$3)*(Gastos!$B$2:$B$2500=$A6)*(Gastos!$D$2:$D$2500))</f>
        <v>3480</v>
      </c>
      <c r="AJ6" s="75">
        <f t="array" ref="AJ6">SUM((YEAR(Gastos!$A$2:$A$2500)=AJ$1)*(MONTH(Gastos!$A$2:$A$2500)=AJ$3)*(Gastos!$B$2:$B$2500=$A6)*(Gastos!$D$2:$D$2500))</f>
        <v>2784</v>
      </c>
      <c r="AK6" s="75">
        <f t="array" ref="AK6">SUM((YEAR(Gastos!$A$2:$A$2500)=AK$1)*(MONTH(Gastos!$A$2:$A$2500)=AK$3)*(Gastos!$B$2:$B$2500=$A6)*(Gastos!$D$2:$D$2500))</f>
        <v>5800</v>
      </c>
      <c r="AL6" s="75">
        <f t="array" ref="AL6">SUM((YEAR(Gastos!$A$2:$A$2500)=AL$1)*(MONTH(Gastos!$A$2:$A$2500)=AL$3)*(Gastos!$B$2:$B$2500=$A6)*(Gastos!$D$2:$D$2500))</f>
        <v>2784</v>
      </c>
      <c r="AM6" s="75">
        <f t="array" ref="AM6">SUM((YEAR(Gastos!$A$2:$A$2500)=AM$1)*(MONTH(Gastos!$A$2:$A$2500)=AM$3)*(Gastos!$B$2:$B$2500=$A6)*(Gastos!$D$2:$D$2500))</f>
        <v>2784</v>
      </c>
      <c r="AN6" s="75">
        <f t="array" ref="AN6">SUM((YEAR(Gastos!$A$2:$A$2500)=AN$1)*(MONTH(Gastos!$A$2:$A$2500)=AN$3)*(Gastos!$B$2:$B$2500=$A6)*(Gastos!$D$2:$D$2500))</f>
        <v>2784</v>
      </c>
      <c r="AO6" s="75">
        <f t="array" ref="AO6">SUM((YEAR(Gastos!$A$2:$A$2500)=AO$1)*(MONTH(Gastos!$A$2:$A$2500)=AO$3)*(Gastos!$B$2:$B$2500=$A6)*(Gastos!$D$2:$D$2500))</f>
        <v>4524</v>
      </c>
      <c r="AP6" s="75">
        <f t="array" ref="AP6">SUM((YEAR(Gastos!$A$2:$A$2500)=AP$1)*(MONTH(Gastos!$A$2:$A$2500)=AP$3)*(Gastos!$B$2:$B$2500=$A6)*(Gastos!$D$2:$D$2500))</f>
        <v>2784</v>
      </c>
      <c r="AQ6" s="75">
        <f t="array" ref="AQ6">SUM((YEAR(Gastos!$A$2:$A$2500)=AQ$1)*(MONTH(Gastos!$A$2:$A$2500)=AQ$3)*(Gastos!$B$2:$B$2500=$A6)*(Gastos!$D$2:$D$2500))</f>
        <v>3480</v>
      </c>
      <c r="AR6" s="75">
        <f t="array" ref="AR6">SUM((YEAR(Gastos!$A$2:$A$2500)=AR$1)*(MONTH(Gastos!$A$2:$A$2500)=AR$3)*(Gastos!$B$2:$B$2500=$A6)*(Gastos!$D$2:$D$2500))</f>
        <v>0</v>
      </c>
      <c r="AS6" s="75">
        <f t="array" ref="AS6">SUM((YEAR(Gastos!$A$2:$A$2500)=AS$1)*(MONTH(Gastos!$A$2:$A$2500)=AS$3)*(Gastos!$B$2:$B$2500=$A6)*(Gastos!$D$2:$D$2500))</f>
        <v>0</v>
      </c>
      <c r="AT6" s="75">
        <f t="array" ref="AT6">SUM((YEAR(Gastos!$A$2:$A$2500)=AT$1)*(MONTH(Gastos!$A$2:$A$2500)=AT$3)*(Gastos!$B$2:$B$2500=$A6)*(Gastos!$D$2:$D$2500))</f>
        <v>0</v>
      </c>
      <c r="AU6" s="75">
        <f t="array" ref="AU6">SUM((YEAR(Gastos!$A$2:$A$2500)=AU$1)*(MONTH(Gastos!$A$2:$A$2500)=AU$3)*(Gastos!$B$2:$B$2500=$A6)*(Gastos!$D$2:$D$2500))</f>
        <v>0</v>
      </c>
      <c r="AV6" s="75">
        <f t="array" ref="AV6">SUM((YEAR(Gastos!$A$2:$A$2500)=AV$1)*(MONTH(Gastos!$A$2:$A$2500)=AV$3)*(Gastos!$B$2:$B$2500=$A6)*(Gastos!$D$2:$D$2500))</f>
        <v>0</v>
      </c>
      <c r="AW6" s="75">
        <f t="array" ref="AW6">SUM((YEAR(Gastos!$A$2:$A$2500)=AW$1)*(MONTH(Gastos!$A$2:$A$2500)=AW$3)*(Gastos!$B$2:$B$2500=$A6)*(Gastos!$D$2:$D$2500))</f>
        <v>0</v>
      </c>
      <c r="AX6" s="75">
        <f t="array" ref="AX6">SUM((YEAR(Gastos!$A$2:$A$2500)=AX$1)*(MONTH(Gastos!$A$2:$A$2500)=AX$3)*(Gastos!$B$2:$B$2500=$A6)*(Gastos!$D$2:$D$2500))</f>
        <v>0</v>
      </c>
      <c r="AY6" s="75">
        <f t="array" ref="AY6">SUM((YEAR(Gastos!$A$2:$A$2500)=AY$1)*(MONTH(Gastos!$A$2:$A$2500)=AY$3)*(Gastos!$B$2:$B$2500=$A6)*(Gastos!$D$2:$D$2500))</f>
        <v>0</v>
      </c>
      <c r="AZ6" s="75">
        <f t="array" ref="AZ6">SUM((YEAR(Gastos!$A$2:$A$2500)=AZ$1)*(MONTH(Gastos!$A$2:$A$2500)=AZ$3)*(Gastos!$B$2:$B$2500=$A6)*(Gastos!$D$2:$D$2500))</f>
        <v>0</v>
      </c>
      <c r="BA6" s="75">
        <f t="array" ref="BA6">SUM((YEAR(Gastos!$A$2:$A$2500)=BA$1)*(MONTH(Gastos!$A$2:$A$2500)=BA$3)*(Gastos!$B$2:$B$2500=$A6)*(Gastos!$D$2:$D$2500))</f>
        <v>0</v>
      </c>
      <c r="BB6" s="75">
        <f t="array" ref="BB6">SUM((YEAR(Gastos!$A$2:$A$2500)=BB$1)*(MONTH(Gastos!$A$2:$A$2500)=BB$3)*(Gastos!$B$2:$B$2500=$A6)*(Gastos!$D$2:$D$2500))</f>
        <v>0</v>
      </c>
      <c r="BC6" s="75">
        <f t="array" ref="BC6">SUM((YEAR(Gastos!$A$2:$A$2500)=BC$1)*(MONTH(Gastos!$A$2:$A$2500)=BC$3)*(Gastos!$B$2:$B$2500=$A6)*(Gastos!$D$2:$D$2500))</f>
        <v>0</v>
      </c>
      <c r="BD6" s="75">
        <f t="array" ref="BD6">SUM((YEAR(Gastos!$A$2:$A$2500)=BD$1)*(MONTH(Gastos!$A$2:$A$2500)=BD$3)*(Gastos!$B$2:$B$2500=$A6)*(Gastos!$D$2:$D$2500))</f>
        <v>0</v>
      </c>
      <c r="BE6" s="75">
        <f t="array" ref="BE6">SUM((YEAR(Gastos!$A$2:$A$2500)=BE$1)*(MONTH(Gastos!$A$2:$A$2500)=BE$3)*(Gastos!$B$2:$B$2500=$A6)*(Gastos!$D$2:$D$2500))</f>
        <v>0</v>
      </c>
      <c r="BF6" s="75">
        <f t="array" ref="BF6">SUM((YEAR(Gastos!$A$2:$A$2500)=BF$1)*(MONTH(Gastos!$A$2:$A$2500)=BF$3)*(Gastos!$B$2:$B$2500=$A6)*(Gastos!$D$2:$D$2500))</f>
        <v>0</v>
      </c>
      <c r="BG6" s="75">
        <f t="array" ref="BG6">SUM((YEAR(Gastos!$A$2:$A$2500)=BG$1)*(MONTH(Gastos!$A$2:$A$2500)=BG$3)*(Gastos!$B$2:$B$2500=$A6)*(Gastos!$D$2:$D$2500))</f>
        <v>0</v>
      </c>
      <c r="BH6" s="75">
        <f t="array" ref="BH6">SUM((YEAR(Gastos!$A$2:$A$2500)=BH$1)*(MONTH(Gastos!$A$2:$A$2500)=BH$3)*(Gastos!$B$2:$B$2500=$A6)*(Gastos!$D$2:$D$2500))</f>
        <v>0</v>
      </c>
      <c r="BI6" s="75">
        <f t="array" ref="BI6">SUM((YEAR(Gastos!$A$2:$A$2500)=BI$1)*(MONTH(Gastos!$A$2:$A$2500)=BI$3)*(Gastos!$B$2:$B$2500=$A6)*(Gastos!$D$2:$D$2500))</f>
        <v>0</v>
      </c>
      <c r="BJ6" s="75">
        <f t="array" ref="BJ6">SUM((YEAR(Gastos!$A$2:$A$2500)=BJ$1)*(MONTH(Gastos!$A$2:$A$2500)=BJ$3)*(Gastos!$B$2:$B$2500=$A6)*(Gastos!$D$2:$D$2500))</f>
        <v>0</v>
      </c>
      <c r="BK6" s="75">
        <f t="array" ref="BK6">SUM((YEAR(Gastos!$A$2:$A$2500)=BK$1)*(MONTH(Gastos!$A$2:$A$2500)=BK$3)*(Gastos!$B$2:$B$2500=$A6)*(Gastos!$D$2:$D$2500))</f>
        <v>0</v>
      </c>
      <c r="BL6" s="75">
        <f t="array" ref="BL6">SUM((YEAR(Gastos!$A$2:$A$2500)=BL$1)*(MONTH(Gastos!$A$2:$A$2500)=BL$3)*(Gastos!$B$2:$B$2500=$A6)*(Gastos!$D$2:$D$2500))</f>
        <v>3248</v>
      </c>
      <c r="BM6" s="75">
        <f t="array" ref="BM6">SUM((YEAR(Gastos!$A$2:$A$2500)=BM$1)*(MONTH(Gastos!$A$2:$A$2500)=BM$3)*(Gastos!$B$2:$B$2500=$A6)*(Gastos!$D$2:$D$2500))</f>
        <v>3016</v>
      </c>
      <c r="BN6" s="75">
        <f t="array" ref="BN6">SUM((YEAR(Gastos!$A$2:$A$2500)=BN$1)*(MONTH(Gastos!$A$2:$A$2500)=BN$3)*(Gastos!$B$2:$B$2500=$A6)*(Gastos!$D$2:$D$2500))</f>
        <v>3248</v>
      </c>
      <c r="BO6" s="75">
        <f t="array" ref="BO6">SUM((YEAR(Gastos!$A$2:$A$2500)=BO$1)*(MONTH(Gastos!$A$2:$A$2500)=BO$3)*(Gastos!$B$2:$B$2500=$A6)*(Gastos!$D$2:$D$2500))</f>
        <v>2784</v>
      </c>
      <c r="BP6" s="75">
        <f t="array" ref="BP6">SUM((YEAR(Gastos!$A$2:$A$2500)=BP$1)*(MONTH(Gastos!$A$2:$A$2500)=BP$3)*(Gastos!$B$2:$B$2500=$A6)*(Gastos!$D$2:$D$2500))</f>
        <v>3248</v>
      </c>
      <c r="BQ6" s="75">
        <f t="array" ref="BQ6">SUM((YEAR(Gastos!$A$2:$A$2500)=BQ$1)*(MONTH(Gastos!$A$2:$A$2500)=BQ$3)*(Gastos!$B$2:$B$2500=$A6)*(Gastos!$D$2:$D$2500))</f>
        <v>0</v>
      </c>
      <c r="BR6" s="75">
        <f t="array" ref="BR6">SUM((YEAR(Gastos!$A$2:$A$2500)=BR$1)*(MONTH(Gastos!$A$2:$A$2500)=BR$3)*(Gastos!$B$2:$B$2500=$A6)*(Gastos!$D$2:$D$2500))</f>
        <v>0</v>
      </c>
      <c r="BS6" s="75">
        <f t="array" ref="BS6">SUM((YEAR(Gastos!$A$2:$A$2500)=BS$1)*(MONTH(Gastos!$A$2:$A$2500)=BS$3)*(Gastos!$B$2:$B$2500=$A6)*(Gastos!$D$2:$D$2500))</f>
        <v>0</v>
      </c>
      <c r="BT6" s="75">
        <f t="array" ref="BT6">SUM((YEAR(Gastos!$A$2:$A$2500)=BT$1)*(MONTH(Gastos!$A$2:$A$2500)=BT$3)*(Gastos!$B$2:$B$2500=$A6)*(Gastos!$D$2:$D$2500))</f>
        <v>0</v>
      </c>
      <c r="BU6" s="75">
        <f t="array" ref="BU6">SUM((YEAR(Gastos!$A$2:$A$2500)=BU$1)*(MONTH(Gastos!$A$2:$A$2500)=BU$3)*(Gastos!$B$2:$B$2500=$A6)*(Gastos!$D$2:$D$2500))</f>
        <v>0</v>
      </c>
      <c r="BV6" s="75">
        <f t="array" ref="BV6">SUM((YEAR(Gastos!$A$2:$A$2500)=BV$1)*(MONTH(Gastos!$A$2:$A$2500)=BV$3)*(Gastos!$B$2:$B$2500=$A6)*(Gastos!$D$2:$D$2500))</f>
        <v>0</v>
      </c>
      <c r="BW6" s="75">
        <f t="array" ref="BW6">SUM((YEAR(Gastos!$A$2:$A$2500)=BW$1)*(MONTH(Gastos!$A$2:$A$2500)=BW$3)*(Gastos!$B$2:$B$2500=$A6)*(Gastos!$D$2:$D$2500))</f>
        <v>0</v>
      </c>
      <c r="BX6" s="75">
        <f t="array" ref="BX6">SUM((YEAR(Gastos!$A$2:$A$2500)=BX$1)*(MONTH(Gastos!$A$2:$A$2500)=BX$3)*(Gastos!$B$2:$B$2500=$A6)*(Gastos!$D$2:$D$2500))</f>
        <v>7600</v>
      </c>
      <c r="BY6" s="75">
        <f t="array" ref="BY6">SUM((YEAR(Gastos!$A$2:$A$2500)=BY$1)*(MONTH(Gastos!$A$2:$A$2500)=BY$3)*(Gastos!$B$2:$B$2500=$A6)*(Gastos!$D$2:$D$2500))</f>
        <v>3600</v>
      </c>
      <c r="BZ6" s="75">
        <f t="array" ref="BZ6">SUM((YEAR(Gastos!$A$2:$A$2500)=BZ$1)*(MONTH(Gastos!$A$2:$A$2500)=BZ$3)*(Gastos!$B$2:$B$2500=$A6)*(Gastos!$D$2:$D$2500))</f>
        <v>4600</v>
      </c>
      <c r="CA6" s="75">
        <f t="array" ref="CA6">SUM((YEAR(Gastos!$A$2:$A$2500)=CA$1)*(MONTH(Gastos!$A$2:$A$2500)=CA$3)*(Gastos!$B$2:$B$2500=$A6)*(Gastos!$D$2:$D$2500))</f>
        <v>2600</v>
      </c>
      <c r="CB6" s="75">
        <f t="array" ref="CB6">SUM((YEAR(Gastos!$A$2:$A$2500)=CB$1)*(MONTH(Gastos!$A$2:$A$2500)=CB$3)*(Gastos!$B$2:$B$2500=$A6)*(Gastos!$D$2:$D$2500))</f>
        <v>4800</v>
      </c>
      <c r="CC6" s="75">
        <f t="array" ref="CC6">SUM((YEAR(Gastos!$A$2:$A$2500)=CC$1)*(MONTH(Gastos!$A$2:$A$2500)=CC$3)*(Gastos!$B$2:$B$2500=$A6)*(Gastos!$D$2:$D$2500))</f>
        <v>3000</v>
      </c>
      <c r="CD6" s="75">
        <f t="array" ref="CD6">SUM((YEAR(Gastos!$A$2:$A$2500)=CD$1)*(MONTH(Gastos!$A$2:$A$2500)=CD$3)*(Gastos!$B$2:$B$2500=$A6)*(Gastos!$D$2:$D$2500))</f>
        <v>2800</v>
      </c>
      <c r="CE6" s="75">
        <f t="array" ref="CE6">SUM((YEAR(Gastos!$A$2:$A$2500)=CE$1)*(MONTH(Gastos!$A$2:$A$2500)=CE$3)*(Gastos!$B$2:$B$2500=$A6)*(Gastos!$D$2:$D$2500))</f>
        <v>1400</v>
      </c>
      <c r="CF6" s="75">
        <f t="array" ref="CF6">SUM((YEAR(Gastos!$A$2:$A$2500)=CF$1)*(MONTH(Gastos!$A$2:$A$2500)=CF$3)*(Gastos!$B$2:$B$2500=$A6)*(Gastos!$D$2:$D$2500))</f>
        <v>2400</v>
      </c>
      <c r="CG6" s="75">
        <f t="array" ref="CG6">SUM((YEAR(Gastos!$A$2:$A$2500)=CG$1)*(MONTH(Gastos!$A$2:$A$2500)=CG$3)*(Gastos!$B$2:$B$2500=$A6)*(Gastos!$D$2:$D$2500))</f>
        <v>1800</v>
      </c>
      <c r="CH6" s="75">
        <f t="array" ref="CH6">SUM((YEAR(Gastos!$A$2:$A$2500)=CH$1)*(MONTH(Gastos!$A$2:$A$2500)=CH$3)*(Gastos!$B$2:$B$2500=$A6)*(Gastos!$D$2:$D$2500))</f>
        <v>4200</v>
      </c>
      <c r="CI6" s="75">
        <f t="array" ref="CI6">SUM((YEAR(Gastos!$A$2:$A$2500)=CI$1)*(MONTH(Gastos!$A$2:$A$2500)=CI$3)*(Gastos!$B$2:$B$2500=$A6)*(Gastos!$D$2:$D$2500))</f>
        <v>1800</v>
      </c>
      <c r="CJ6" s="75">
        <f t="array" ref="CJ6">SUM((YEAR(Gastos!$A$2:$A$2500)=CJ$1)*(MONTH(Gastos!$A$2:$A$2500)=CJ$3)*(Gastos!$B$2:$B$2500=$A6)*(Gastos!$D$2:$D$2500))</f>
        <v>3000</v>
      </c>
      <c r="CK6" s="75">
        <f t="array" ref="CK6">SUM((YEAR(Gastos!$A$2:$A$2500)=CK$1)*(MONTH(Gastos!$A$2:$A$2500)=CK$3)*(Gastos!$B$2:$B$2500=$A6)*(Gastos!$D$2:$D$2500))</f>
        <v>2800</v>
      </c>
      <c r="CL6" s="75">
        <f t="array" ref="CL6">SUM((YEAR(Gastos!$A$2:$A$2500)=CL$1)*(MONTH(Gastos!$A$2:$A$2500)=CL$3)*(Gastos!$B$2:$B$2500=$A6)*(Gastos!$D$2:$D$2500))</f>
        <v>1200</v>
      </c>
      <c r="CM6" s="75">
        <f t="array" ref="CM6">SUM((YEAR(Gastos!$A$2:$A$2500)=CM$1)*(MONTH(Gastos!$A$2:$A$2500)=CM$3)*(Gastos!$B$2:$B$2500=$A6)*(Gastos!$D$2:$D$2500))</f>
        <v>3600</v>
      </c>
      <c r="CN6" s="75">
        <f t="array" ref="CN6">SUM((YEAR(Gastos!$A$2:$A$2500)=CN$1)*(MONTH(Gastos!$A$2:$A$2500)=CN$3)*(Gastos!$B$2:$B$2500=$A6)*(Gastos!$D$2:$D$2500))</f>
        <v>2200</v>
      </c>
      <c r="CO6" s="75">
        <f t="array" ref="CO6">SUM((YEAR(Gastos!$A$2:$A$2500)=CO$1)*(MONTH(Gastos!$A$2:$A$2500)=CO$3)*(Gastos!$B$2:$B$2500=$A6)*(Gastos!$D$2:$D$2500))</f>
        <v>3000</v>
      </c>
      <c r="CP6" s="75">
        <f t="array" ref="CP6">SUM((YEAR(Gastos!$A$2:$A$2500)=CP$1)*(MONTH(Gastos!$A$2:$A$2500)=CP$3)*(Gastos!$B$2:$B$2500=$A6)*(Gastos!$D$2:$D$2500))</f>
        <v>2200</v>
      </c>
      <c r="CQ6" s="75">
        <f t="array" ref="CQ6">SUM((YEAR(Gastos!$A$2:$A$2500)=CQ$1)*(MONTH(Gastos!$A$2:$A$2500)=CQ$3)*(Gastos!$B$2:$B$2500=$A6)*(Gastos!$D$2:$D$2500))</f>
        <v>3200</v>
      </c>
      <c r="CR6" s="75">
        <f t="array" ref="CR6">SUM((YEAR(Gastos!$A$2:$A$2500)=CR$1)*(MONTH(Gastos!$A$2:$A$2500)=CR$3)*(Gastos!$B$2:$B$2500=$A6)*(Gastos!$D$2:$D$2500))</f>
        <v>2400</v>
      </c>
      <c r="CS6" s="75">
        <f t="array" ref="CS6">SUM((YEAR(Gastos!$A$2:$A$2500)=CS$1)*(MONTH(Gastos!$A$2:$A$2500)=CS$3)*(Gastos!$B$2:$B$2500=$A6)*(Gastos!$D$2:$D$2500))</f>
        <v>2400</v>
      </c>
      <c r="CT6" s="75">
        <f t="array" ref="CT6">SUM((YEAR(Gastos!$A$2:$A$2500)=CT$1)*(MONTH(Gastos!$A$2:$A$2500)=CT$3)*(Gastos!$B$2:$B$2500=$A6)*(Gastos!$D$2:$D$2500))</f>
        <v>2800</v>
      </c>
      <c r="CU6" s="75">
        <f t="array" ref="CU6">SUM((YEAR(Gastos!$A$2:$A$2500)=CU$1)*(MONTH(Gastos!$A$2:$A$2500)=CU$3)*(Gastos!$B$2:$B$2500=$A6)*(Gastos!$D$2:$D$2500))</f>
        <v>4000</v>
      </c>
      <c r="CV6" s="75">
        <f t="array" ref="CV6">SUM((YEAR(Gastos!$A$2:$A$2500)=CV$1)*(MONTH(Gastos!$A$2:$A$2500)=CV$3)*(Gastos!$B$2:$B$2500=$A6)*(Gastos!$D$2:$D$2500))</f>
        <v>3600</v>
      </c>
      <c r="CW6" s="75">
        <f t="array" ref="CW6">SUM((YEAR(Gastos!$A$2:$A$2500)=CW$1)*(MONTH(Gastos!$A$2:$A$2500)=CW$3)*(Gastos!$B$2:$B$2500=$A6)*(Gastos!$D$2:$D$2500))</f>
        <v>5800</v>
      </c>
      <c r="CX6" s="75">
        <f t="array" ref="CX6">SUM((YEAR(Gastos!$A$2:$A$2500)=CX$1)*(MONTH(Gastos!$A$2:$A$2500)=CX$3)*(Gastos!$B$2:$B$2500=$A6)*(Gastos!$D$2:$D$2500))</f>
        <v>5800</v>
      </c>
      <c r="CY6" s="75">
        <f t="array" ref="CY6">SUM((YEAR(Gastos!$A$2:$A$2500)=CY$1)*(MONTH(Gastos!$A$2:$A$2500)=CY$3)*(Gastos!$B$2:$B$2500=$A6)*(Gastos!$D$2:$D$2500))</f>
        <v>4500</v>
      </c>
      <c r="CZ6" s="75">
        <f t="array" ref="CZ6">SUM((YEAR(Gastos!$A$2:$A$2500)=CZ$1)*(MONTH(Gastos!$A$2:$A$2500)=CZ$3)*(Gastos!$B$2:$B$2500=$A6)*(Gastos!$D$2:$D$2500))</f>
        <v>5700</v>
      </c>
      <c r="DA6" s="75">
        <f t="array" ref="DA6">SUM((YEAR(Gastos!$A$2:$A$2500)=DA$1)*(MONTH(Gastos!$A$2:$A$2500)=DA$3)*(Gastos!$B$2:$B$2500=$A6)*(Gastos!$D$2:$D$2500))</f>
        <v>3400</v>
      </c>
      <c r="DB6" s="75">
        <f t="array" ref="DB6">SUM((YEAR(Gastos!$A$2:$A$2500)=DB$1)*(MONTH(Gastos!$A$2:$A$2500)=DB$3)*(Gastos!$B$2:$B$2500=$A6)*(Gastos!$D$2:$D$2500))</f>
        <v>5800</v>
      </c>
      <c r="DC6" s="75">
        <f t="array" ref="DC6">SUM((YEAR(Gastos!$A$2:$A$2500)=DC$1)*(MONTH(Gastos!$A$2:$A$2500)=DC$3)*(Gastos!$B$2:$B$2500=$A6)*(Gastos!$D$2:$D$2500))</f>
        <v>4800</v>
      </c>
      <c r="DD6" s="75">
        <f t="array" ref="DD6">SUM((YEAR(Gastos!$A$2:$A$2500)=DD$1)*(MONTH(Gastos!$A$2:$A$2500)=DD$3)*(Gastos!$B$2:$B$2500=$A6)*(Gastos!$D$2:$D$2500))</f>
        <v>3600</v>
      </c>
      <c r="DE6" s="75">
        <f t="array" ref="DE6">SUM((YEAR(Gastos!$A$2:$A$2500)=DE$1)*(MONTH(Gastos!$A$2:$A$2500)=DE$3)*(Gastos!$B$2:$B$2500=$A6)*(Gastos!$D$2:$D$2500))</f>
        <v>7900</v>
      </c>
      <c r="DF6" s="75">
        <f t="array" ref="DF6">SUM((YEAR(Gastos!$A$2:$A$2500)=DF$1)*(MONTH(Gastos!$A$2:$A$2500)=DF$3)*(Gastos!$B$2:$B$2500=$A6)*(Gastos!$D$2:$D$2500))</f>
        <v>3000</v>
      </c>
      <c r="DG6" s="75">
        <f t="array" ref="DG6">SUM((YEAR(Gastos!$A$2:$A$2500)=DG$1)*(MONTH(Gastos!$A$2:$A$2500)=DG$3)*(Gastos!$B$2:$B$2500=$A6)*(Gastos!$D$2:$D$2500))</f>
        <v>2400</v>
      </c>
      <c r="DH6" s="75">
        <f t="array" ref="DH6">SUM((YEAR(Gastos!$A$2:$A$2500)=DH$1)*(MONTH(Gastos!$A$2:$A$2500)=DH$3)*(Gastos!$B$2:$B$2500=$A6)*(Gastos!$D$2:$D$2500))</f>
        <v>3000</v>
      </c>
      <c r="DI6" s="75">
        <f t="array" ref="DI6">SUM((YEAR(Gastos!$A$2:$A$2500)=DI$1)*(MONTH(Gastos!$A$2:$A$2500)=DI$3)*(Gastos!$B$2:$B$2500=$A6)*(Gastos!$D$2:$D$2500))</f>
        <v>2400</v>
      </c>
      <c r="DJ6" s="75">
        <f t="array" ref="DJ6">SUM((YEAR(Gastos!$A$2:$A$2500)=DJ$1)*(MONTH(Gastos!$A$2:$A$2500)=DJ$3)*(Gastos!$B$2:$B$2500=$A6)*(Gastos!$D$2:$D$2500))</f>
        <v>2400</v>
      </c>
      <c r="DK6" s="75">
        <f t="array" ref="DK6">SUM((YEAR(Gastos!$A$2:$A$2500)=DK$1)*(MONTH(Gastos!$A$2:$A$2500)=DK$3)*(Gastos!$B$2:$B$2500=$A6)*(Gastos!$D$2:$D$2500))</f>
        <v>2400</v>
      </c>
      <c r="DL6" s="75">
        <f t="array" ref="DL6">SUM((YEAR(Gastos!$A$2:$A$2500)=DL$1)*(MONTH(Gastos!$A$2:$A$2500)=DL$3)*(Gastos!$B$2:$B$2500=$A6)*(Gastos!$D$2:$D$2500))</f>
        <v>3000</v>
      </c>
      <c r="DM6" s="75">
        <f t="array" ref="DM6">SUM((YEAR(Gastos!$A$2:$A$2500)=DM$1)*(MONTH(Gastos!$A$2:$A$2500)=DM$3)*(Gastos!$B$2:$B$2500=$A6)*(Gastos!$D$2:$D$2500))</f>
        <v>1800</v>
      </c>
      <c r="DN6" s="75">
        <f t="array" ref="DN6">SUM((YEAR(Gastos!$A$2:$A$2500)=DN$1)*(MONTH(Gastos!$A$2:$A$2500)=DN$3)*(Gastos!$B$2:$B$2500=$A6)*(Gastos!$D$2:$D$2500))</f>
        <v>3000</v>
      </c>
      <c r="DO6" s="75">
        <f t="array" ref="DO6">SUM((YEAR(Gastos!$A$2:$A$2500)=DO$1)*(MONTH(Gastos!$A$2:$A$2500)=DO$3)*(Gastos!$B$2:$B$2500=$A6)*(Gastos!$D$2:$D$2500))</f>
        <v>2200</v>
      </c>
      <c r="DP6" s="75">
        <f t="array" ref="DP6">SUM((YEAR(Gastos!$A$2:$A$2500)=DP$1)*(MONTH(Gastos!$A$2:$A$2500)=DP$3)*(Gastos!$B$2:$B$2500=$A6)*(Gastos!$D$2:$D$2500))</f>
        <v>3200</v>
      </c>
      <c r="DQ6" s="75">
        <f t="array" ref="DQ6">SUM((YEAR(Gastos!$A$2:$A$2500)=DQ$1)*(MONTH(Gastos!$A$2:$A$2500)=DQ$3)*(Gastos!$B$2:$B$2500=$A6)*(Gastos!$D$2:$D$2500))</f>
        <v>2500</v>
      </c>
      <c r="DR6" s="75">
        <f t="array" ref="DR6">SUM((YEAR(Gastos!$A$2:$A$2500)=DR$1)*(MONTH(Gastos!$A$2:$A$2500)=DR$3)*(Gastos!$B$2:$B$2500=$A6)*(Gastos!$D$2:$D$2500))</f>
        <v>2200</v>
      </c>
      <c r="DS6" s="75">
        <f t="array" ref="DS6">SUM((YEAR(Gastos!$A$2:$A$2500)=DS$1)*(MONTH(Gastos!$A$2:$A$2500)=DS$3)*(Gastos!$B$2:$B$2500=$A6)*(Gastos!$D$2:$D$2500))</f>
        <v>2400</v>
      </c>
      <c r="DT6" s="75">
        <f t="array" ref="DT6">SUM((YEAR(Gastos!$A$2:$A$2500)=DT$1)*(MONTH(Gastos!$A$2:$A$2500)=DT$3)*(Gastos!$B$2:$B$2500=$A6)*(Gastos!$D$2:$D$2500))</f>
        <v>2400</v>
      </c>
      <c r="DU6" s="75">
        <f t="array" ref="DU6">SUM((YEAR(Gastos!$A$2:$A$2500)=DU$1)*(MONTH(Gastos!$A$2:$A$2500)=DU$3)*(Gastos!$B$2:$B$2500=$A6)*(Gastos!$D$2:$D$2500))</f>
        <v>2800</v>
      </c>
      <c r="DV6" s="75">
        <f t="array" ref="DV6">SUM((YEAR(Gastos!$A$2:$A$2500)=DV$1)*(MONTH(Gastos!$A$2:$A$2500)=DV$3)*(Gastos!$B$2:$B$2500=$A6)*(Gastos!$D$2:$D$2500))</f>
        <v>2800</v>
      </c>
      <c r="DW6" s="75">
        <f t="array" ref="DW6">SUM((YEAR(Gastos!$A$2:$A$2500)=DW$1)*(MONTH(Gastos!$A$2:$A$2500)=DW$3)*(Gastos!$B$2:$B$2500=$A6)*(Gastos!$D$2:$D$2500))</f>
        <v>2100</v>
      </c>
      <c r="DX6" s="75">
        <f t="array" ref="DX6">SUM((YEAR(Gastos!$A$2:$A$2500)=DX$1)*(MONTH(Gastos!$A$2:$A$2500)=DX$3)*(Gastos!$B$2:$B$2500=$A6)*(Gastos!$D$2:$D$2500))</f>
        <v>2400</v>
      </c>
      <c r="DY6" s="75">
        <f t="array" ref="DY6">SUM((YEAR(Gastos!$A$2:$A$2500)=DY$1)*(MONTH(Gastos!$A$2:$A$2500)=DY$3)*(Gastos!$B$2:$B$2500=$A6)*(Gastos!$D$2:$D$2500))</f>
        <v>1900</v>
      </c>
      <c r="DZ6" s="75">
        <f t="array" ref="DZ6">SUM((YEAR(Gastos!$A$2:$A$2500)=DZ$1)*(MONTH(Gastos!$A$2:$A$2500)=DZ$3)*(Gastos!$B$2:$B$2500=$A6)*(Gastos!$D$2:$D$2500))</f>
        <v>1400</v>
      </c>
      <c r="EA6" s="75">
        <f t="array" ref="EA6">SUM((YEAR(Gastos!$A$2:$A$2500)=EA$1)*(MONTH(Gastos!$A$2:$A$2500)=EA$3)*(Gastos!$B$2:$B$2500=$A6)*(Gastos!$D$2:$D$2500))</f>
        <v>400</v>
      </c>
      <c r="EB6" s="75">
        <f t="array" ref="EB6">SUM((YEAR(Gastos!$A$2:$A$2500)=EB$1)*(MONTH(Gastos!$A$2:$A$2500)=EB$3)*(Gastos!$B$2:$B$2500=$A6)*(Gastos!$D$2:$D$2500))</f>
        <v>0</v>
      </c>
      <c r="EC6" s="75">
        <f t="array" ref="EC6">SUM((YEAR(Gastos!$A$2:$A$2500)=EC$1)*(MONTH(Gastos!$A$2:$A$2500)=EC$3)*(Gastos!$B$2:$B$2500=$A6)*(Gastos!$D$2:$D$2500))</f>
        <v>0</v>
      </c>
      <c r="ED6" s="75">
        <f t="array" ref="ED6">SUM((YEAR(Gastos!$A$2:$A$2500)=ED$1)*(MONTH(Gastos!$A$2:$A$2500)=ED$3)*(Gastos!$B$2:$B$2500=$A6)*(Gastos!$D$2:$D$2500))</f>
        <v>0</v>
      </c>
      <c r="EE6" s="75">
        <f t="array" ref="EE6">SUM((YEAR(Gastos!$A$2:$A$2500)=EE$1)*(MONTH(Gastos!$A$2:$A$2500)=EE$3)*(Gastos!$B$2:$B$2500=$A6)*(Gastos!$D$2:$D$2500))</f>
        <v>7000</v>
      </c>
      <c r="EF6" s="75">
        <f t="array" ref="EF6">SUM((YEAR(Gastos!$A$2:$A$2500)=EF$1)*(MONTH(Gastos!$A$2:$A$2500)=EF$3)*(Gastos!$B$2:$B$2500=$A6)*(Gastos!$D$2:$D$2500))</f>
        <v>2500</v>
      </c>
      <c r="EG6" s="75">
        <f t="array" ref="EG6">SUM((YEAR(Gastos!$A$2:$A$2500)=EG$1)*(MONTH(Gastos!$A$2:$A$2500)=EG$3)*(Gastos!$B$2:$B$2500=$A6)*(Gastos!$D$2:$D$2500))</f>
        <v>0</v>
      </c>
      <c r="EH6" s="75">
        <f t="array" ref="EH6">SUM((YEAR(Gastos!$A$2:$A$2500)=EH$1)*(MONTH(Gastos!$A$2:$A$2500)=EH$3)*(Gastos!$B$2:$B$2500=$A6)*(Gastos!$D$2:$D$2500))</f>
        <v>0</v>
      </c>
      <c r="EI6" s="75">
        <f t="array" ref="EI6">SUM((YEAR(Gastos!$A$2:$A$2500)=EI$1)*(MONTH(Gastos!$A$2:$A$2500)=EI$3)*(Gastos!$B$2:$B$2500=$A6)*(Gastos!$D$2:$D$2500))</f>
        <v>4800</v>
      </c>
      <c r="EJ6" s="75">
        <f t="array" ref="EJ6">SUM((YEAR(Gastos!$A$2:$A$2500)=EJ$1)*(MONTH(Gastos!$A$2:$A$2500)=EJ$3)*(Gastos!$B$2:$B$2500=$A6)*(Gastos!$D$2:$D$2500))</f>
        <v>0</v>
      </c>
      <c r="EK6" s="75">
        <f t="array" ref="EK6">SUM((YEAR(Gastos!$A$2:$A$2500)=EK$1)*(MONTH(Gastos!$A$2:$A$2500)=EK$3)*(Gastos!$B$2:$B$2500=$A6)*(Gastos!$D$2:$D$2500))</f>
        <v>0</v>
      </c>
      <c r="EL6" s="75">
        <f t="array" ref="EL6">SUM((YEAR(Gastos!$A$2:$A$2500)=EL$1)*(MONTH(Gastos!$A$2:$A$2500)=EL$3)*(Gastos!$B$2:$B$2500=$A6)*(Gastos!$D$2:$D$2500))</f>
        <v>2200</v>
      </c>
      <c r="EM6" s="75">
        <f t="array" ref="EM6">SUM((YEAR(Gastos!$A$2:$A$2500)=EM$1)*(MONTH(Gastos!$A$2:$A$2500)=EM$3)*(Gastos!$B$2:$B$2500=$A6)*(Gastos!$D$2:$D$2500))</f>
        <v>4200</v>
      </c>
      <c r="EN6" s="75">
        <f t="array" ref="EN6">SUM((YEAR(Gastos!$A$2:$A$2500)=EN$1)*(MONTH(Gastos!$A$2:$A$2500)=EN$3)*(Gastos!$B$2:$B$2500=$A6)*(Gastos!$D$2:$D$2500))</f>
        <v>15900</v>
      </c>
      <c r="EO6" s="75">
        <f t="array" ref="EO6">SUM((YEAR(Gastos!$A$2:$A$2500)=EO$1)*(MONTH(Gastos!$A$2:$A$2500)=EO$3)*(Gastos!$B$2:$B$2500=$A6)*(Gastos!$D$2:$D$2500))</f>
        <v>1400</v>
      </c>
      <c r="EP6" s="75">
        <f t="array" ref="EP6">SUM((YEAR(Gastos!$A$2:$A$2500)=EP$1)*(MONTH(Gastos!$A$2:$A$2500)=EP$3)*(Gastos!$B$2:$B$2500=$A6)*(Gastos!$D$2:$D$2500))</f>
        <v>0</v>
      </c>
      <c r="EQ6" s="75">
        <f t="array" ref="EQ6">SUM((YEAR(Gastos!$A$2:$A$2500)=EQ$1)*(MONTH(Gastos!$A$2:$A$2500)=EQ$3)*(Gastos!$B$2:$B$2500=$A6)*(Gastos!$D$2:$D$2500))</f>
        <v>0</v>
      </c>
      <c r="ER6" s="75">
        <f t="array" ref="ER6">SUM((YEAR(Gastos!$A$2:$A$2500)=ER$1)*(MONTH(Gastos!$A$2:$A$2500)=ER$3)*(Gastos!$B$2:$B$2500=$A6)*(Gastos!$D$2:$D$2500))</f>
        <v>0</v>
      </c>
      <c r="ES6" s="75">
        <f t="array" ref="ES6">SUM((YEAR(Gastos!$A$2:$A$2500)=ES$1)*(MONTH(Gastos!$A$2:$A$2500)=ES$3)*(Gastos!$B$2:$B$2500=$A6)*(Gastos!$D$2:$D$2500))</f>
        <v>0</v>
      </c>
      <c r="ET6" s="75">
        <f t="array" ref="ET6">SUM((YEAR(Gastos!$A$2:$A$2500)=ET$1)*(MONTH(Gastos!$A$2:$A$2500)=ET$3)*(Gastos!$B$2:$B$2500=$A6)*(Gastos!$D$2:$D$2500))</f>
        <v>0</v>
      </c>
      <c r="EU6" s="75">
        <f t="array" ref="EU6">SUM((YEAR(Gastos!$A$2:$A$2500)=EU$1)*(MONTH(Gastos!$A$2:$A$2500)=EU$3)*(Gastos!$B$2:$B$2500=$A6)*(Gastos!$D$2:$D$2500))</f>
        <v>0</v>
      </c>
      <c r="EV6" s="75">
        <f t="array" ref="EV6">SUM((YEAR(Gastos!$A$2:$A$2500)=EV$1)*(MONTH(Gastos!$A$2:$A$2500)=EV$3)*(Gastos!$B$2:$B$2500=$A6)*(Gastos!$D$2:$D$2500))</f>
        <v>0</v>
      </c>
      <c r="EW6" s="75">
        <f t="array" ref="EW6">SUM((YEAR(Gastos!$A$2:$A$2500)=EW$1)*(MONTH(Gastos!$A$2:$A$2500)=EW$3)*(Gastos!$B$2:$B$2500=$A6)*(Gastos!$D$2:$D$2500))</f>
        <v>0</v>
      </c>
      <c r="EX6" s="75">
        <f t="array" ref="EX6">SUM((YEAR(Gastos!$A$2:$A$2500)=EX$1)*(MONTH(Gastos!$A$2:$A$2500)=EX$3)*(Gastos!$B$2:$B$2500=$A6)*(Gastos!$D$2:$D$2500))</f>
        <v>0</v>
      </c>
      <c r="EY6" s="75">
        <f t="array" ref="EY6">SUM((YEAR(Gastos!$A$2:$A$2500)=EY$1)*(MONTH(Gastos!$A$2:$A$2500)=EY$3)*(Gastos!$B$2:$B$2500=$A6)*(Gastos!$D$2:$D$2500))</f>
        <v>0</v>
      </c>
      <c r="EZ6" s="75">
        <f t="array" ref="EZ6">SUM((YEAR(Gastos!$A$2:$A$2500)=EZ$1)*(MONTH(Gastos!$A$2:$A$2500)=EZ$3)*(Gastos!$B$2:$B$2500=$A6)*(Gastos!$D$2:$D$2500))</f>
        <v>0</v>
      </c>
      <c r="FA6" s="75">
        <f t="array" ref="FA6">SUM((YEAR(Gastos!$A$2:$A$2500)=FA$1)*(MONTH(Gastos!$A$2:$A$2500)=FA$3)*(Gastos!$B$2:$B$2500=$A6)*(Gastos!$D$2:$D$2500))</f>
        <v>0</v>
      </c>
      <c r="FB6" s="75">
        <f t="array" ref="FB6">SUM((YEAR(Gastos!$A$2:$A$2500)=FB$1)*(MONTH(Gastos!$A$2:$A$2500)=FB$3)*(Gastos!$B$2:$B$2500=$A6)*(Gastos!$D$2:$D$2500))</f>
        <v>0</v>
      </c>
      <c r="FC6" s="75">
        <f t="array" ref="FC6">SUM((YEAR(Gastos!$A$2:$A$2500)=FC$1)*(MONTH(Gastos!$A$2:$A$2500)=FC$3)*(Gastos!$B$2:$B$2500=$A6)*(Gastos!$D$2:$D$2500))</f>
        <v>0</v>
      </c>
      <c r="FD6" s="75">
        <f t="array" ref="FD6">SUM((YEAR(Gastos!$A$2:$A$2500)=FD$1)*(MONTH(Gastos!$A$2:$A$2500)=FD$3)*(Gastos!$B$2:$B$2500=$A6)*(Gastos!$D$2:$D$2500))</f>
        <v>0</v>
      </c>
      <c r="FE6" s="75">
        <f t="array" ref="FE6">SUM((YEAR(Gastos!$A$2:$A$2500)=FE$1)*(MONTH(Gastos!$A$2:$A$2500)=FE$3)*(Gastos!$B$2:$B$2500=$A6)*(Gastos!$D$2:$D$2500))</f>
        <v>0</v>
      </c>
      <c r="FF6" s="75">
        <f t="array" ref="FF6">SUM((YEAR(Gastos!$A$2:$A$2500)=FF$1)*(MONTH(Gastos!$A$2:$A$2500)=FF$3)*(Gastos!$B$2:$B$2500=$A6)*(Gastos!$D$2:$D$2500))</f>
        <v>0</v>
      </c>
      <c r="FG6" s="75">
        <f t="array" ref="FG6">SUM((YEAR(Gastos!$A$2:$A$2500)=FG$1)*(MONTH(Gastos!$A$2:$A$2500)=FG$3)*(Gastos!$B$2:$B$2500=$A6)*(Gastos!$D$2:$D$2500))</f>
        <v>0</v>
      </c>
      <c r="FH6" s="75">
        <f t="array" ref="FH6">SUM((YEAR(Gastos!$A$2:$A$2500)=FH$1)*(MONTH(Gastos!$A$2:$A$2500)=FH$3)*(Gastos!$B$2:$B$2500=$A6)*(Gastos!$D$2:$D$2500))</f>
        <v>0</v>
      </c>
      <c r="FI6" s="75">
        <f t="array" ref="FI6">SUM((YEAR(Gastos!$A$2:$A$2500)=FI$1)*(MONTH(Gastos!$A$2:$A$2500)=FI$3)*(Gastos!$B$2:$B$2500=$A6)*(Gastos!$D$2:$D$2500))</f>
        <v>0</v>
      </c>
      <c r="FJ6" s="75">
        <f t="array" ref="FJ6">SUM((YEAR(Gastos!$A$2:$A$2500)=FJ$1)*(MONTH(Gastos!$A$2:$A$2500)=FJ$3)*(Gastos!$B$2:$B$2500=$A6)*(Gastos!$D$2:$D$2500))</f>
        <v>0</v>
      </c>
      <c r="FK6" s="75">
        <f t="array" ref="FK6">SUM((YEAR(Gastos!$A$2:$A$2500)=FK$1)*(MONTH(Gastos!$A$2:$A$2500)=FK$3)*(Gastos!$B$2:$B$2500=$A6)*(Gastos!$D$2:$D$2500))</f>
        <v>0</v>
      </c>
      <c r="FL6" s="75">
        <f t="array" ref="FL6">SUM((YEAR(Gastos!$A$2:$A$2500)=FL$1)*(MONTH(Gastos!$A$2:$A$2500)=FL$3)*(Gastos!$B$2:$B$2500=$A6)*(Gastos!$D$2:$D$2500))</f>
        <v>0</v>
      </c>
      <c r="FM6" s="75">
        <f t="array" ref="FM6">SUM((YEAR(Gastos!$A$2:$A$2500)=FM$1)*(MONTH(Gastos!$A$2:$A$2500)=FM$3)*(Gastos!$B$2:$B$2500=$A6)*(Gastos!$D$2:$D$2500))</f>
        <v>0</v>
      </c>
      <c r="FN6" s="75">
        <f t="array" ref="FN6">SUM((YEAR(Gastos!$A$2:$A$2500)=FN$1)*(MONTH(Gastos!$A$2:$A$2500)=FN$3)*(Gastos!$B$2:$B$2500=$A6)*(Gastos!$D$2:$D$2500))</f>
        <v>0</v>
      </c>
      <c r="FO6" s="75">
        <f t="array" ref="FO6">SUM((YEAR(Gastos!$A$2:$A$2500)=FO$1)*(MONTH(Gastos!$A$2:$A$2500)=FO$3)*(Gastos!$B$2:$B$2500=$A6)*(Gastos!$D$2:$D$2500))</f>
        <v>0</v>
      </c>
      <c r="FP6" s="75">
        <f t="array" ref="FP6">SUM((YEAR(Gastos!$A$2:$A$2500)=FP$1)*(MONTH(Gastos!$A$2:$A$2500)=FP$3)*(Gastos!$B$2:$B$2500=$A6)*(Gastos!$D$2:$D$2500))</f>
        <v>0</v>
      </c>
      <c r="FQ6" s="75">
        <f t="array" ref="FQ6">SUM((YEAR(Gastos!$A$2:$A$2500)=FQ$1)*(MONTH(Gastos!$A$2:$A$2500)=FQ$3)*(Gastos!$B$2:$B$2500=$A6)*(Gastos!$D$2:$D$2500))</f>
        <v>0</v>
      </c>
      <c r="FR6" s="75">
        <f t="array" ref="FR6">SUM((YEAR(Gastos!$A$2:$A$2500)=FR$1)*(MONTH(Gastos!$A$2:$A$2500)=FR$3)*(Gastos!$B$2:$B$2500=$A6)*(Gastos!$D$2:$D$2500))</f>
        <v>0</v>
      </c>
      <c r="FS6" s="75">
        <f t="array" ref="FS6">SUM((YEAR(Gastos!$A$2:$A$2500)=FS$1)*(MONTH(Gastos!$A$2:$A$2500)=FS$3)*(Gastos!$B$2:$B$2500=$A6)*(Gastos!$D$2:$D$2500))</f>
        <v>0</v>
      </c>
      <c r="FT6" s="75">
        <f t="array" ref="FT6">SUM((YEAR(Gastos!$A$2:$A$2500)=FT$1)*(MONTH(Gastos!$A$2:$A$2500)=FT$3)*(Gastos!$B$2:$B$2500=$A6)*(Gastos!$D$2:$D$2500))</f>
        <v>0</v>
      </c>
      <c r="FU6" s="75">
        <f t="array" ref="FU6">SUM((YEAR(Gastos!$A$2:$A$2500)=FU$1)*(MONTH(Gastos!$A$2:$A$2500)=FU$3)*(Gastos!$B$2:$B$2500=$A6)*(Gastos!$D$2:$D$2500))</f>
        <v>0</v>
      </c>
      <c r="FV6" s="75">
        <f t="array" ref="FV6">SUM((YEAR(Gastos!$A$2:$A$2500)=FV$1)*(MONTH(Gastos!$A$2:$A$2500)=FV$3)*(Gastos!$B$2:$B$2500=$A6)*(Gastos!$D$2:$D$2500))</f>
        <v>0</v>
      </c>
      <c r="FW6" s="75">
        <f t="array" ref="FW6">SUM((YEAR(Gastos!$A$2:$A$2500)=FW$1)*(MONTH(Gastos!$A$2:$A$2500)=FW$3)*(Gastos!$B$2:$B$2500=$A6)*(Gastos!$D$2:$D$2500))</f>
        <v>0</v>
      </c>
      <c r="FX6" s="75">
        <f t="array" ref="FX6">SUM((YEAR(Gastos!$A$2:$A$2500)=FX$1)*(MONTH(Gastos!$A$2:$A$2500)=FX$3)*(Gastos!$B$2:$B$2500=$A6)*(Gastos!$D$2:$D$2500))</f>
        <v>0</v>
      </c>
      <c r="FY6" s="75">
        <f t="array" ref="FY6">SUM((YEAR(Gastos!$A$2:$A$2500)=FY$1)*(MONTH(Gastos!$A$2:$A$2500)=FY$3)*(Gastos!$B$2:$B$2500=$A6)*(Gastos!$D$2:$D$2500))</f>
        <v>0</v>
      </c>
      <c r="FZ6" s="76">
        <f t="shared" si="65"/>
        <v>337012</v>
      </c>
      <c r="GA6" s="80"/>
      <c r="GB6" s="78">
        <f t="shared" si="66"/>
        <v>-19056</v>
      </c>
      <c r="GF6" s="79">
        <f t="array" ref="GF6">SUM(((Gastos!$A$2:$A$1647)&gt;=GD$3)*((Gastos!$A$2:$A$1647)&lt;=GF$3)*(Gastos!$B$2:$B$1647=$A6)*(Gastos!$D$2:$D$1647))</f>
        <v>15544</v>
      </c>
      <c r="GI6" s="79">
        <f t="array" ref="GI6">SUM(((Gastos!$A$2:$A$1647)&gt;=GG$3)*((Gastos!$A$2:$A$1647)&lt;=GI$3)*(Gastos!$B$2:$B$1647=$A6)*(Gastos!$D$2:$D$1647))</f>
        <v>34600</v>
      </c>
      <c r="GL6" s="99">
        <f>AH120</f>
        <v>2016</v>
      </c>
      <c r="GM6" s="103">
        <f>AI120</f>
        <v>198585</v>
      </c>
      <c r="GN6" s="103">
        <f>AJ120</f>
        <v>153479.67999999999</v>
      </c>
      <c r="GO6" s="103">
        <f>AK120</f>
        <v>111310.2</v>
      </c>
      <c r="GP6" s="104">
        <v>449200.94999999995</v>
      </c>
      <c r="GQ6" s="103">
        <f t="shared" si="64"/>
        <v>463374.88</v>
      </c>
    </row>
    <row r="7" spans="1:201" ht="15" thickBot="1" x14ac:dyDescent="0.4">
      <c r="A7" s="74" t="str">
        <f>Gastos!AA5</f>
        <v>F. IAPSA</v>
      </c>
      <c r="B7" s="75">
        <f t="array" ref="B7">SUM((YEAR(Gastos!$A$2:$A$2500)=B$1)*(MONTH(Gastos!$A$2:$A$2500)=B$3)*(Gastos!$B$2:$B$2500=$A7)*(Gastos!$D$2:$D$2500))</f>
        <v>3364</v>
      </c>
      <c r="C7" s="75">
        <f t="array" ref="C7">SUM((YEAR(Gastos!$A$2:$A$2500)=C$1)*(MONTH(Gastos!$A$2:$A$2500)=C$3)*(Gastos!$B$2:$B$2500=$A7)*(Gastos!$D$2:$D$2500))</f>
        <v>3364</v>
      </c>
      <c r="D7" s="75">
        <f t="array" ref="D7">SUM((YEAR(Gastos!$A$2:$A$2500)=D$1)*(MONTH(Gastos!$A$2:$A$2500)=D$3)*(Gastos!$B$2:$B$2500=$A7)*(Gastos!$D$2:$D$2500))</f>
        <v>3364</v>
      </c>
      <c r="E7" s="75">
        <f t="array" ref="E7">SUM((YEAR(Gastos!$A$2:$A$2500)=E$1)*(MONTH(Gastos!$A$2:$A$2500)=E$3)*(Gastos!$B$2:$B$2500=$A7)*(Gastos!$D$2:$D$2500))</f>
        <v>0</v>
      </c>
      <c r="F7" s="75">
        <f t="array" ref="F7">SUM((YEAR(Gastos!$A$2:$A$2500)=F$1)*(MONTH(Gastos!$A$2:$A$2500)=F$3)*(Gastos!$B$2:$B$2500=$A7)*(Gastos!$D$2:$D$2500))</f>
        <v>3364</v>
      </c>
      <c r="G7" s="75">
        <f t="array" ref="G7">SUM((YEAR(Gastos!$A$2:$A$2500)=G$1)*(MONTH(Gastos!$A$2:$A$2500)=G$3)*(Gastos!$B$2:$B$2500=$A7)*(Gastos!$D$2:$D$2500))</f>
        <v>3364</v>
      </c>
      <c r="H7" s="75">
        <f t="array" ref="H7">SUM((YEAR(Gastos!$A$2:$A$2500)=H$1)*(MONTH(Gastos!$A$2:$A$2500)=H$3)*(Gastos!$B$2:$B$2500=$A7)*(Gastos!$D$2:$D$2500))</f>
        <v>3364</v>
      </c>
      <c r="I7" s="75">
        <f t="array" ref="I7">SUM((YEAR(Gastos!$A$2:$A$2500)=I$1)*(MONTH(Gastos!$A$2:$A$2500)=I$3)*(Gastos!$B$2:$B$2500=$A7)*(Gastos!$D$2:$D$2500))</f>
        <v>3364</v>
      </c>
      <c r="J7" s="75">
        <f t="array" ref="J7">SUM((YEAR(Gastos!$A$2:$A$2500)=J$1)*(MONTH(Gastos!$A$2:$A$2500)=J$3)*(Gastos!$B$2:$B$2500=$A7)*(Gastos!$D$2:$D$2500))</f>
        <v>3364</v>
      </c>
      <c r="K7" s="75">
        <f t="array" ref="K7">SUM((YEAR(Gastos!$A$2:$A$2500)=K$1)*(MONTH(Gastos!$A$2:$A$2500)=K$3)*(Gastos!$B$2:$B$2500=$A7)*(Gastos!$D$2:$D$2500))</f>
        <v>3364</v>
      </c>
      <c r="L7" s="75">
        <f t="array" ref="L7">SUM((YEAR(Gastos!$A$2:$A$2500)=L$1)*(MONTH(Gastos!$A$2:$A$2500)=L$3)*(Gastos!$B$2:$B$2500=$A7)*(Gastos!$D$2:$D$2500))</f>
        <v>3364</v>
      </c>
      <c r="M7" s="75">
        <f t="array" ref="M7">SUM((YEAR(Gastos!$A$2:$A$2500)=M$1)*(MONTH(Gastos!$A$2:$A$2500)=M$3)*(Gastos!$B$2:$B$2500=$A7)*(Gastos!$D$2:$D$2500))</f>
        <v>3364</v>
      </c>
      <c r="N7" s="75">
        <f t="array" ref="N7">SUM((YEAR(Gastos!$A$2:$A$2500)=N$1)*(MONTH(Gastos!$A$2:$A$2500)=N$3)*(Gastos!$B$2:$B$2500=$A7)*(Gastos!$D$2:$D$2500))</f>
        <v>3364</v>
      </c>
      <c r="O7" s="75">
        <f t="array" ref="O7">SUM((YEAR(Gastos!$A$2:$A$2500)=O$1)*(MONTH(Gastos!$A$2:$A$2500)=O$3)*(Gastos!$B$2:$B$2500=$A7)*(Gastos!$D$2:$D$2500))</f>
        <v>3364</v>
      </c>
      <c r="P7" s="75">
        <f t="array" ref="P7">SUM((YEAR(Gastos!$A$2:$A$2500)=P$1)*(MONTH(Gastos!$A$2:$A$2500)=P$3)*(Gastos!$B$2:$B$2500=$A7)*(Gastos!$D$2:$D$2500))</f>
        <v>3364</v>
      </c>
      <c r="Q7" s="75">
        <f t="array" ref="Q7">SUM((YEAR(Gastos!$A$2:$A$2500)=Q$1)*(MONTH(Gastos!$A$2:$A$2500)=Q$3)*(Gastos!$B$2:$B$2500=$A7)*(Gastos!$D$2:$D$2500))</f>
        <v>3364</v>
      </c>
      <c r="R7" s="75">
        <f t="array" ref="R7">SUM((YEAR(Gastos!$A$2:$A$2500)=R$1)*(MONTH(Gastos!$A$2:$A$2500)=R$3)*(Gastos!$B$2:$B$2500=$A7)*(Gastos!$D$2:$D$2500))</f>
        <v>3364</v>
      </c>
      <c r="S7" s="75">
        <f t="array" ref="S7">SUM((YEAR(Gastos!$A$2:$A$2500)=S$1)*(MONTH(Gastos!$A$2:$A$2500)=S$3)*(Gastos!$B$2:$B$2500=$A7)*(Gastos!$D$2:$D$2500))</f>
        <v>3364</v>
      </c>
      <c r="T7" s="75">
        <f t="array" ref="T7">SUM((YEAR(Gastos!$A$2:$A$2500)=T$1)*(MONTH(Gastos!$A$2:$A$2500)=T$3)*(Gastos!$B$2:$B$2500=$A7)*(Gastos!$D$2:$D$2500))</f>
        <v>3364</v>
      </c>
      <c r="U7" s="75">
        <f t="array" ref="U7">SUM((YEAR(Gastos!$A$2:$A$2500)=U$1)*(MONTH(Gastos!$A$2:$A$2500)=U$3)*(Gastos!$B$2:$B$2500=$A7)*(Gastos!$D$2:$D$2500))</f>
        <v>3364</v>
      </c>
      <c r="V7" s="75">
        <f t="array" ref="V7">SUM((YEAR(Gastos!$A$2:$A$2500)=V$1)*(MONTH(Gastos!$A$2:$A$2500)=V$3)*(Gastos!$B$2:$B$2500=$A7)*(Gastos!$D$2:$D$2500))</f>
        <v>3364</v>
      </c>
      <c r="W7" s="75">
        <f t="array" ref="W7">SUM((YEAR(Gastos!$A$2:$A$2500)=W$1)*(MONTH(Gastos!$A$2:$A$2500)=W$3)*(Gastos!$B$2:$B$2500=$A7)*(Gastos!$D$2:$D$2500))</f>
        <v>3364</v>
      </c>
      <c r="X7" s="75">
        <f t="array" ref="X7">SUM((YEAR(Gastos!$A$2:$A$2500)=X$1)*(MONTH(Gastos!$A$2:$A$2500)=X$3)*(Gastos!$B$2:$B$2500=$A7)*(Gastos!$D$2:$D$2500))</f>
        <v>3364</v>
      </c>
      <c r="Y7" s="75">
        <f t="array" ref="Y7">SUM((YEAR(Gastos!$A$2:$A$2500)=Y$1)*(MONTH(Gastos!$A$2:$A$2500)=Y$3)*(Gastos!$B$2:$B$2500=$A7)*(Gastos!$D$2:$D$2500))</f>
        <v>3364</v>
      </c>
      <c r="Z7" s="75">
        <f t="array" ref="Z7">SUM((YEAR(Gastos!$A$2:$A$2500)=Z$1)*(MONTH(Gastos!$A$2:$A$2500)=Z$3)*(Gastos!$B$2:$B$2500=$A7)*(Gastos!$D$2:$D$2500))</f>
        <v>3364</v>
      </c>
      <c r="AA7" s="75">
        <f t="array" ref="AA7">SUM((YEAR(Gastos!$A$2:$A$2500)=AA$1)*(MONTH(Gastos!$A$2:$A$2500)=AA$3)*(Gastos!$B$2:$B$2500=$A7)*(Gastos!$D$2:$D$2500))</f>
        <v>3364</v>
      </c>
      <c r="AB7" s="75">
        <f t="array" ref="AB7">SUM((YEAR(Gastos!$A$2:$A$2500)=AB$1)*(MONTH(Gastos!$A$2:$A$2500)=AB$3)*(Gastos!$B$2:$B$2500=$A7)*(Gastos!$D$2:$D$2500))</f>
        <v>3364</v>
      </c>
      <c r="AC7" s="75">
        <f t="array" ref="AC7">SUM((YEAR(Gastos!$A$2:$A$2500)=AC$1)*(MONTH(Gastos!$A$2:$A$2500)=AC$3)*(Gastos!$B$2:$B$2500=$A7)*(Gastos!$D$2:$D$2500))</f>
        <v>3364</v>
      </c>
      <c r="AD7" s="75">
        <f t="array" ref="AD7">SUM((YEAR(Gastos!$A$2:$A$2500)=AD$1)*(MONTH(Gastos!$A$2:$A$2500)=AD$3)*(Gastos!$B$2:$B$2500=$A7)*(Gastos!$D$2:$D$2500))</f>
        <v>3364</v>
      </c>
      <c r="AE7" s="75">
        <f t="array" ref="AE7">SUM((YEAR(Gastos!$A$2:$A$2500)=AE$1)*(MONTH(Gastos!$A$2:$A$2500)=AE$3)*(Gastos!$B$2:$B$2500=$A7)*(Gastos!$D$2:$D$2500))</f>
        <v>3364</v>
      </c>
      <c r="AF7" s="75">
        <f t="array" ref="AF7">SUM((YEAR(Gastos!$A$2:$A$2500)=AF$1)*(MONTH(Gastos!$A$2:$A$2500)=AF$3)*(Gastos!$B$2:$B$2500=$A7)*(Gastos!$D$2:$D$2500))</f>
        <v>3364</v>
      </c>
      <c r="AG7" s="75">
        <f t="array" ref="AG7">SUM((YEAR(Gastos!$A$2:$A$2500)=AG$1)*(MONTH(Gastos!$A$2:$A$2500)=AG$3)*(Gastos!$B$2:$B$2500=$A7)*(Gastos!$D$2:$D$2500))</f>
        <v>3364</v>
      </c>
      <c r="AH7" s="75">
        <f t="array" ref="AH7">SUM((YEAR(Gastos!$A$2:$A$2500)=AH$1)*(MONTH(Gastos!$A$2:$A$2500)=AH$3)*(Gastos!$B$2:$B$2500=$A7)*(Gastos!$D$2:$D$2500))</f>
        <v>3364</v>
      </c>
      <c r="AI7" s="75">
        <f t="array" ref="AI7">SUM((YEAR(Gastos!$A$2:$A$2500)=AI$1)*(MONTH(Gastos!$A$2:$A$2500)=AI$3)*(Gastos!$B$2:$B$2500=$A7)*(Gastos!$D$2:$D$2500))</f>
        <v>3364</v>
      </c>
      <c r="AJ7" s="75">
        <f t="array" ref="AJ7">SUM((YEAR(Gastos!$A$2:$A$2500)=AJ$1)*(MONTH(Gastos!$A$2:$A$2500)=AJ$3)*(Gastos!$B$2:$B$2500=$A7)*(Gastos!$D$2:$D$2500))</f>
        <v>6264</v>
      </c>
      <c r="AK7" s="75">
        <f t="array" ref="AK7">SUM((YEAR(Gastos!$A$2:$A$2500)=AK$1)*(MONTH(Gastos!$A$2:$A$2500)=AK$3)*(Gastos!$B$2:$B$2500=$A7)*(Gastos!$D$2:$D$2500))</f>
        <v>3364</v>
      </c>
      <c r="AL7" s="75">
        <f t="array" ref="AL7">SUM((YEAR(Gastos!$A$2:$A$2500)=AL$1)*(MONTH(Gastos!$A$2:$A$2500)=AL$3)*(Gastos!$B$2:$B$2500=$A7)*(Gastos!$D$2:$D$2500))</f>
        <v>3364</v>
      </c>
      <c r="AM7" s="75">
        <f t="array" ref="AM7">SUM((YEAR(Gastos!$A$2:$A$2500)=AM$1)*(MONTH(Gastos!$A$2:$A$2500)=AM$3)*(Gastos!$B$2:$B$2500=$A7)*(Gastos!$D$2:$D$2500))</f>
        <v>3364</v>
      </c>
      <c r="AN7" s="75">
        <f t="array" ref="AN7">SUM((YEAR(Gastos!$A$2:$A$2500)=AN$1)*(MONTH(Gastos!$A$2:$A$2500)=AN$3)*(Gastos!$B$2:$B$2500=$A7)*(Gastos!$D$2:$D$2500))</f>
        <v>3364</v>
      </c>
      <c r="AO7" s="75">
        <f t="array" ref="AO7">SUM((YEAR(Gastos!$A$2:$A$2500)=AO$1)*(MONTH(Gastos!$A$2:$A$2500)=AO$3)*(Gastos!$B$2:$B$2500=$A7)*(Gastos!$D$2:$D$2500))</f>
        <v>3364</v>
      </c>
      <c r="AP7" s="75">
        <f t="array" ref="AP7">SUM((YEAR(Gastos!$A$2:$A$2500)=AP$1)*(MONTH(Gastos!$A$2:$A$2500)=AP$3)*(Gastos!$B$2:$B$2500=$A7)*(Gastos!$D$2:$D$2500))</f>
        <v>3364</v>
      </c>
      <c r="AQ7" s="75">
        <f t="array" ref="AQ7">SUM((YEAR(Gastos!$A$2:$A$2500)=AQ$1)*(MONTH(Gastos!$A$2:$A$2500)=AQ$3)*(Gastos!$B$2:$B$2500=$A7)*(Gastos!$D$2:$D$2500))</f>
        <v>3364</v>
      </c>
      <c r="AR7" s="75">
        <f t="array" ref="AR7">SUM((YEAR(Gastos!$A$2:$A$2500)=AR$1)*(MONTH(Gastos!$A$2:$A$2500)=AR$3)*(Gastos!$B$2:$B$2500=$A7)*(Gastos!$D$2:$D$2500))</f>
        <v>3364</v>
      </c>
      <c r="AS7" s="75">
        <f t="array" ref="AS7">SUM((YEAR(Gastos!$A$2:$A$2500)=AS$1)*(MONTH(Gastos!$A$2:$A$2500)=AS$3)*(Gastos!$B$2:$B$2500=$A7)*(Gastos!$D$2:$D$2500))</f>
        <v>3364</v>
      </c>
      <c r="AT7" s="75">
        <f t="array" ref="AT7">SUM((YEAR(Gastos!$A$2:$A$2500)=AT$1)*(MONTH(Gastos!$A$2:$A$2500)=AT$3)*(Gastos!$B$2:$B$2500=$A7)*(Gastos!$D$2:$D$2500))</f>
        <v>3364</v>
      </c>
      <c r="AU7" s="75">
        <f t="array" ref="AU7">SUM((YEAR(Gastos!$A$2:$A$2500)=AU$1)*(MONTH(Gastos!$A$2:$A$2500)=AU$3)*(Gastos!$B$2:$B$2500=$A7)*(Gastos!$D$2:$D$2500))</f>
        <v>3364</v>
      </c>
      <c r="AV7" s="75">
        <f t="array" ref="AV7">SUM((YEAR(Gastos!$A$2:$A$2500)=AV$1)*(MONTH(Gastos!$A$2:$A$2500)=AV$3)*(Gastos!$B$2:$B$2500=$A7)*(Gastos!$D$2:$D$2500))</f>
        <v>3364</v>
      </c>
      <c r="AW7" s="75">
        <f t="array" ref="AW7">SUM((YEAR(Gastos!$A$2:$A$2500)=AW$1)*(MONTH(Gastos!$A$2:$A$2500)=AW$3)*(Gastos!$B$2:$B$2500=$A7)*(Gastos!$D$2:$D$2500))</f>
        <v>3364</v>
      </c>
      <c r="AX7" s="75">
        <f t="array" ref="AX7">SUM((YEAR(Gastos!$A$2:$A$2500)=AX$1)*(MONTH(Gastos!$A$2:$A$2500)=AX$3)*(Gastos!$B$2:$B$2500=$A7)*(Gastos!$D$2:$D$2500))</f>
        <v>3364</v>
      </c>
      <c r="AY7" s="75">
        <f t="array" ref="AY7">SUM((YEAR(Gastos!$A$2:$A$2500)=AY$1)*(MONTH(Gastos!$A$2:$A$2500)=AY$3)*(Gastos!$B$2:$B$2500=$A7)*(Gastos!$D$2:$D$2500))</f>
        <v>3364</v>
      </c>
      <c r="AZ7" s="75">
        <f t="array" ref="AZ7">SUM((YEAR(Gastos!$A$2:$A$2500)=AZ$1)*(MONTH(Gastos!$A$2:$A$2500)=AZ$3)*(Gastos!$B$2:$B$2500=$A7)*(Gastos!$D$2:$D$2500))</f>
        <v>0</v>
      </c>
      <c r="BA7" s="75">
        <f t="array" ref="BA7">SUM((YEAR(Gastos!$A$2:$A$2500)=BA$1)*(MONTH(Gastos!$A$2:$A$2500)=BA$3)*(Gastos!$B$2:$B$2500=$A7)*(Gastos!$D$2:$D$2500))</f>
        <v>3364</v>
      </c>
      <c r="BB7" s="75">
        <f t="array" ref="BB7">SUM((YEAR(Gastos!$A$2:$A$2500)=BB$1)*(MONTH(Gastos!$A$2:$A$2500)=BB$3)*(Gastos!$B$2:$B$2500=$A7)*(Gastos!$D$2:$D$2500))</f>
        <v>2900</v>
      </c>
      <c r="BC7" s="75">
        <f t="array" ref="BC7">SUM((YEAR(Gastos!$A$2:$A$2500)=BC$1)*(MONTH(Gastos!$A$2:$A$2500)=BC$3)*(Gastos!$B$2:$B$2500=$A7)*(Gastos!$D$2:$D$2500))</f>
        <v>3828</v>
      </c>
      <c r="BD7" s="75">
        <f t="array" ref="BD7">SUM((YEAR(Gastos!$A$2:$A$2500)=BD$1)*(MONTH(Gastos!$A$2:$A$2500)=BD$3)*(Gastos!$B$2:$B$2500=$A7)*(Gastos!$D$2:$D$2500))</f>
        <v>3364</v>
      </c>
      <c r="BE7" s="75">
        <f t="array" ref="BE7">SUM((YEAR(Gastos!$A$2:$A$2500)=BE$1)*(MONTH(Gastos!$A$2:$A$2500)=BE$3)*(Gastos!$B$2:$B$2500=$A7)*(Gastos!$D$2:$D$2500))</f>
        <v>3364</v>
      </c>
      <c r="BF7" s="75">
        <f t="array" ref="BF7">SUM((YEAR(Gastos!$A$2:$A$2500)=BF$1)*(MONTH(Gastos!$A$2:$A$2500)=BF$3)*(Gastos!$B$2:$B$2500=$A7)*(Gastos!$D$2:$D$2500))</f>
        <v>3364</v>
      </c>
      <c r="BG7" s="75">
        <f t="array" ref="BG7">SUM((YEAR(Gastos!$A$2:$A$2500)=BG$1)*(MONTH(Gastos!$A$2:$A$2500)=BG$3)*(Gastos!$B$2:$B$2500=$A7)*(Gastos!$D$2:$D$2500))</f>
        <v>0</v>
      </c>
      <c r="BH7" s="75">
        <f t="array" ref="BH7">SUM((YEAR(Gastos!$A$2:$A$2500)=BH$1)*(MONTH(Gastos!$A$2:$A$2500)=BH$3)*(Gastos!$B$2:$B$2500=$A7)*(Gastos!$D$2:$D$2500))</f>
        <v>6728</v>
      </c>
      <c r="BI7" s="75">
        <f t="array" ref="BI7">SUM((YEAR(Gastos!$A$2:$A$2500)=BI$1)*(MONTH(Gastos!$A$2:$A$2500)=BI$3)*(Gastos!$B$2:$B$2500=$A7)*(Gastos!$D$2:$D$2500))</f>
        <v>3364</v>
      </c>
      <c r="BJ7" s="75">
        <f t="array" ref="BJ7">SUM((YEAR(Gastos!$A$2:$A$2500)=BJ$1)*(MONTH(Gastos!$A$2:$A$2500)=BJ$3)*(Gastos!$B$2:$B$2500=$A7)*(Gastos!$D$2:$D$2500))</f>
        <v>3364</v>
      </c>
      <c r="BK7" s="75">
        <f t="array" ref="BK7">SUM((YEAR(Gastos!$A$2:$A$2500)=BK$1)*(MONTH(Gastos!$A$2:$A$2500)=BK$3)*(Gastos!$B$2:$B$2500=$A7)*(Gastos!$D$2:$D$2500))</f>
        <v>3364</v>
      </c>
      <c r="BL7" s="75">
        <f t="array" ref="BL7">SUM((YEAR(Gastos!$A$2:$A$2500)=BL$1)*(MONTH(Gastos!$A$2:$A$2500)=BL$3)*(Gastos!$B$2:$B$2500=$A7)*(Gastos!$D$2:$D$2500))</f>
        <v>3364</v>
      </c>
      <c r="BM7" s="75">
        <f t="array" ref="BM7">SUM((YEAR(Gastos!$A$2:$A$2500)=BM$1)*(MONTH(Gastos!$A$2:$A$2500)=BM$3)*(Gastos!$B$2:$B$2500=$A7)*(Gastos!$D$2:$D$2500))</f>
        <v>3364</v>
      </c>
      <c r="BN7" s="75">
        <f t="array" ref="BN7">SUM((YEAR(Gastos!$A$2:$A$2500)=BN$1)*(MONTH(Gastos!$A$2:$A$2500)=BN$3)*(Gastos!$B$2:$B$2500=$A7)*(Gastos!$D$2:$D$2500))</f>
        <v>3364</v>
      </c>
      <c r="BO7" s="75">
        <f t="array" ref="BO7">SUM((YEAR(Gastos!$A$2:$A$2500)=BO$1)*(MONTH(Gastos!$A$2:$A$2500)=BO$3)*(Gastos!$B$2:$B$2500=$A7)*(Gastos!$D$2:$D$2500))</f>
        <v>3364</v>
      </c>
      <c r="BP7" s="75">
        <f t="array" ref="BP7">SUM((YEAR(Gastos!$A$2:$A$2500)=BP$1)*(MONTH(Gastos!$A$2:$A$2500)=BP$3)*(Gastos!$B$2:$B$2500=$A7)*(Gastos!$D$2:$D$2500))</f>
        <v>3364</v>
      </c>
      <c r="BQ7" s="75">
        <f t="array" ref="BQ7">SUM((YEAR(Gastos!$A$2:$A$2500)=BQ$1)*(MONTH(Gastos!$A$2:$A$2500)=BQ$3)*(Gastos!$B$2:$B$2500=$A7)*(Gastos!$D$2:$D$2500))</f>
        <v>6728</v>
      </c>
      <c r="BR7" s="75">
        <f t="array" ref="BR7">SUM((YEAR(Gastos!$A$2:$A$2500)=BR$1)*(MONTH(Gastos!$A$2:$A$2500)=BR$3)*(Gastos!$B$2:$B$2500=$A7)*(Gastos!$D$2:$D$2500))</f>
        <v>3364</v>
      </c>
      <c r="BS7" s="75">
        <f t="array" ref="BS7">SUM((YEAR(Gastos!$A$2:$A$2500)=BS$1)*(MONTH(Gastos!$A$2:$A$2500)=BS$3)*(Gastos!$B$2:$B$2500=$A7)*(Gastos!$D$2:$D$2500))</f>
        <v>3364</v>
      </c>
      <c r="BT7" s="75">
        <f t="array" ref="BT7">SUM((YEAR(Gastos!$A$2:$A$2500)=BT$1)*(MONTH(Gastos!$A$2:$A$2500)=BT$3)*(Gastos!$B$2:$B$2500=$A7)*(Gastos!$D$2:$D$2500))</f>
        <v>0</v>
      </c>
      <c r="BU7" s="75">
        <f t="array" ref="BU7">SUM((YEAR(Gastos!$A$2:$A$2500)=BU$1)*(MONTH(Gastos!$A$2:$A$2500)=BU$3)*(Gastos!$B$2:$B$2500=$A7)*(Gastos!$D$2:$D$2500))</f>
        <v>0</v>
      </c>
      <c r="BV7" s="75">
        <f t="array" ref="BV7">SUM((YEAR(Gastos!$A$2:$A$2500)=BV$1)*(MONTH(Gastos!$A$2:$A$2500)=BV$3)*(Gastos!$B$2:$B$2500=$A7)*(Gastos!$D$2:$D$2500))</f>
        <v>6728</v>
      </c>
      <c r="BW7" s="75">
        <f t="array" ref="BW7">SUM((YEAR(Gastos!$A$2:$A$2500)=BW$1)*(MONTH(Gastos!$A$2:$A$2500)=BW$3)*(Gastos!$B$2:$B$2500=$A7)*(Gastos!$D$2:$D$2500))</f>
        <v>3190</v>
      </c>
      <c r="BX7" s="75">
        <f t="array" ref="BX7">SUM((YEAR(Gastos!$A$2:$A$2500)=BX$1)*(MONTH(Gastos!$A$2:$A$2500)=BX$3)*(Gastos!$B$2:$B$2500=$A7)*(Gastos!$D$2:$D$2500))</f>
        <v>3190</v>
      </c>
      <c r="BY7" s="75">
        <f t="array" ref="BY7">SUM((YEAR(Gastos!$A$2:$A$2500)=BY$1)*(MONTH(Gastos!$A$2:$A$2500)=BY$3)*(Gastos!$B$2:$B$2500=$A7)*(Gastos!$D$2:$D$2500))</f>
        <v>4400</v>
      </c>
      <c r="BZ7" s="75">
        <f t="array" ref="BZ7">SUM((YEAR(Gastos!$A$2:$A$2500)=BZ$1)*(MONTH(Gastos!$A$2:$A$2500)=BZ$3)*(Gastos!$B$2:$B$2500=$A7)*(Gastos!$D$2:$D$2500))</f>
        <v>4400</v>
      </c>
      <c r="CA7" s="75">
        <f t="array" ref="CA7">SUM((YEAR(Gastos!$A$2:$A$2500)=CA$1)*(MONTH(Gastos!$A$2:$A$2500)=CA$3)*(Gastos!$B$2:$B$2500=$A7)*(Gastos!$D$2:$D$2500))</f>
        <v>4400</v>
      </c>
      <c r="CB7" s="75">
        <f t="array" ref="CB7">SUM((YEAR(Gastos!$A$2:$A$2500)=CB$1)*(MONTH(Gastos!$A$2:$A$2500)=CB$3)*(Gastos!$B$2:$B$2500=$A7)*(Gastos!$D$2:$D$2500))</f>
        <v>4400</v>
      </c>
      <c r="CC7" s="75">
        <f t="array" ref="CC7">SUM((YEAR(Gastos!$A$2:$A$2500)=CC$1)*(MONTH(Gastos!$A$2:$A$2500)=CC$3)*(Gastos!$B$2:$B$2500=$A7)*(Gastos!$D$2:$D$2500))</f>
        <v>4400</v>
      </c>
      <c r="CD7" s="75">
        <f t="array" ref="CD7">SUM((YEAR(Gastos!$A$2:$A$2500)=CD$1)*(MONTH(Gastos!$A$2:$A$2500)=CD$3)*(Gastos!$B$2:$B$2500=$A7)*(Gastos!$D$2:$D$2500))</f>
        <v>4400</v>
      </c>
      <c r="CE7" s="75">
        <f t="array" ref="CE7">SUM((YEAR(Gastos!$A$2:$A$2500)=CE$1)*(MONTH(Gastos!$A$2:$A$2500)=CE$3)*(Gastos!$B$2:$B$2500=$A7)*(Gastos!$D$2:$D$2500))</f>
        <v>4400</v>
      </c>
      <c r="CF7" s="75">
        <f t="array" ref="CF7">SUM((YEAR(Gastos!$A$2:$A$2500)=CF$1)*(MONTH(Gastos!$A$2:$A$2500)=CF$3)*(Gastos!$B$2:$B$2500=$A7)*(Gastos!$D$2:$D$2500))</f>
        <v>4400</v>
      </c>
      <c r="CG7" s="75">
        <f t="array" ref="CG7">SUM((YEAR(Gastos!$A$2:$A$2500)=CG$1)*(MONTH(Gastos!$A$2:$A$2500)=CG$3)*(Gastos!$B$2:$B$2500=$A7)*(Gastos!$D$2:$D$2500))</f>
        <v>4400</v>
      </c>
      <c r="CH7" s="75">
        <f t="array" ref="CH7">SUM((YEAR(Gastos!$A$2:$A$2500)=CH$1)*(MONTH(Gastos!$A$2:$A$2500)=CH$3)*(Gastos!$B$2:$B$2500=$A7)*(Gastos!$D$2:$D$2500))</f>
        <v>4400</v>
      </c>
      <c r="CI7" s="75">
        <f t="array" ref="CI7">SUM((YEAR(Gastos!$A$2:$A$2500)=CI$1)*(MONTH(Gastos!$A$2:$A$2500)=CI$3)*(Gastos!$B$2:$B$2500=$A7)*(Gastos!$D$2:$D$2500))</f>
        <v>4400</v>
      </c>
      <c r="CJ7" s="75">
        <f t="array" ref="CJ7">SUM((YEAR(Gastos!$A$2:$A$2500)=CJ$1)*(MONTH(Gastos!$A$2:$A$2500)=CJ$3)*(Gastos!$B$2:$B$2500=$A7)*(Gastos!$D$2:$D$2500))</f>
        <v>4400</v>
      </c>
      <c r="CK7" s="75">
        <f t="array" ref="CK7">SUM((YEAR(Gastos!$A$2:$A$2500)=CK$1)*(MONTH(Gastos!$A$2:$A$2500)=CK$3)*(Gastos!$B$2:$B$2500=$A7)*(Gastos!$D$2:$D$2500))</f>
        <v>4400</v>
      </c>
      <c r="CL7" s="75">
        <f t="array" ref="CL7">SUM((YEAR(Gastos!$A$2:$A$2500)=CL$1)*(MONTH(Gastos!$A$2:$A$2500)=CL$3)*(Gastos!$B$2:$B$2500=$A7)*(Gastos!$D$2:$D$2500))</f>
        <v>4400</v>
      </c>
      <c r="CM7" s="75">
        <f t="array" ref="CM7">SUM((YEAR(Gastos!$A$2:$A$2500)=CM$1)*(MONTH(Gastos!$A$2:$A$2500)=CM$3)*(Gastos!$B$2:$B$2500=$A7)*(Gastos!$D$2:$D$2500))</f>
        <v>0</v>
      </c>
      <c r="CN7" s="75">
        <f t="array" ref="CN7">SUM((YEAR(Gastos!$A$2:$A$2500)=CN$1)*(MONTH(Gastos!$A$2:$A$2500)=CN$3)*(Gastos!$B$2:$B$2500=$A7)*(Gastos!$D$2:$D$2500))</f>
        <v>8800</v>
      </c>
      <c r="CO7" s="75">
        <f t="array" ref="CO7">SUM((YEAR(Gastos!$A$2:$A$2500)=CO$1)*(MONTH(Gastos!$A$2:$A$2500)=CO$3)*(Gastos!$B$2:$B$2500=$A7)*(Gastos!$D$2:$D$2500))</f>
        <v>4400</v>
      </c>
      <c r="CP7" s="75">
        <f t="array" ref="CP7">SUM((YEAR(Gastos!$A$2:$A$2500)=CP$1)*(MONTH(Gastos!$A$2:$A$2500)=CP$3)*(Gastos!$B$2:$B$2500=$A7)*(Gastos!$D$2:$D$2500))</f>
        <v>4640</v>
      </c>
      <c r="CQ7" s="75">
        <f t="array" ref="CQ7">SUM((YEAR(Gastos!$A$2:$A$2500)=CQ$1)*(MONTH(Gastos!$A$2:$A$2500)=CQ$3)*(Gastos!$B$2:$B$2500=$A7)*(Gastos!$D$2:$D$2500))</f>
        <v>4640</v>
      </c>
      <c r="CR7" s="75">
        <f t="array" ref="CR7">SUM((YEAR(Gastos!$A$2:$A$2500)=CR$1)*(MONTH(Gastos!$A$2:$A$2500)=CR$3)*(Gastos!$B$2:$B$2500=$A7)*(Gastos!$D$2:$D$2500))</f>
        <v>4640</v>
      </c>
      <c r="CS7" s="75">
        <f t="array" ref="CS7">SUM((YEAR(Gastos!$A$2:$A$2500)=CS$1)*(MONTH(Gastos!$A$2:$A$2500)=CS$3)*(Gastos!$B$2:$B$2500=$A7)*(Gastos!$D$2:$D$2500))</f>
        <v>4640</v>
      </c>
      <c r="CT7" s="75">
        <f t="array" ref="CT7">SUM((YEAR(Gastos!$A$2:$A$2500)=CT$1)*(MONTH(Gastos!$A$2:$A$2500)=CT$3)*(Gastos!$B$2:$B$2500=$A7)*(Gastos!$D$2:$D$2500))</f>
        <v>4640</v>
      </c>
      <c r="CU7" s="75">
        <f t="array" ref="CU7">SUM((YEAR(Gastos!$A$2:$A$2500)=CU$1)*(MONTH(Gastos!$A$2:$A$2500)=CU$3)*(Gastos!$B$2:$B$2500=$A7)*(Gastos!$D$2:$D$2500))</f>
        <v>3926.12</v>
      </c>
      <c r="CV7" s="75">
        <f t="array" ref="CV7">SUM((YEAR(Gastos!$A$2:$A$2500)=CV$1)*(MONTH(Gastos!$A$2:$A$2500)=CV$3)*(Gastos!$B$2:$B$2500=$A7)*(Gastos!$D$2:$D$2500))</f>
        <v>4640</v>
      </c>
      <c r="CW7" s="75">
        <f t="array" ref="CW7">SUM((YEAR(Gastos!$A$2:$A$2500)=CW$1)*(MONTH(Gastos!$A$2:$A$2500)=CW$3)*(Gastos!$B$2:$B$2500=$A7)*(Gastos!$D$2:$D$2500))</f>
        <v>4640</v>
      </c>
      <c r="CX7" s="75">
        <f t="array" ref="CX7">SUM((YEAR(Gastos!$A$2:$A$2500)=CX$1)*(MONTH(Gastos!$A$2:$A$2500)=CX$3)*(Gastos!$B$2:$B$2500=$A7)*(Gastos!$D$2:$D$2500))</f>
        <v>4640</v>
      </c>
      <c r="CY7" s="75">
        <f t="array" ref="CY7">SUM((YEAR(Gastos!$A$2:$A$2500)=CY$1)*(MONTH(Gastos!$A$2:$A$2500)=CY$3)*(Gastos!$B$2:$B$2500=$A7)*(Gastos!$D$2:$D$2500))</f>
        <v>0</v>
      </c>
      <c r="CZ7" s="75">
        <f t="array" ref="CZ7">SUM((YEAR(Gastos!$A$2:$A$2500)=CZ$1)*(MONTH(Gastos!$A$2:$A$2500)=CZ$3)*(Gastos!$B$2:$B$2500=$A7)*(Gastos!$D$2:$D$2500))</f>
        <v>4640</v>
      </c>
      <c r="DA7" s="75">
        <f t="array" ref="DA7">SUM((YEAR(Gastos!$A$2:$A$2500)=DA$1)*(MONTH(Gastos!$A$2:$A$2500)=DA$3)*(Gastos!$B$2:$B$2500=$A7)*(Gastos!$D$2:$D$2500))</f>
        <v>4640</v>
      </c>
      <c r="DB7" s="75">
        <f t="array" ref="DB7">SUM((YEAR(Gastos!$A$2:$A$2500)=DB$1)*(MONTH(Gastos!$A$2:$A$2500)=DB$3)*(Gastos!$B$2:$B$2500=$A7)*(Gastos!$D$2:$D$2500))</f>
        <v>4640</v>
      </c>
      <c r="DC7" s="75">
        <f t="array" ref="DC7">SUM((YEAR(Gastos!$A$2:$A$2500)=DC$1)*(MONTH(Gastos!$A$2:$A$2500)=DC$3)*(Gastos!$B$2:$B$2500=$A7)*(Gastos!$D$2:$D$2500))</f>
        <v>0</v>
      </c>
      <c r="DD7" s="75">
        <f t="array" ref="DD7">SUM((YEAR(Gastos!$A$2:$A$2500)=DD$1)*(MONTH(Gastos!$A$2:$A$2500)=DD$3)*(Gastos!$B$2:$B$2500=$A7)*(Gastos!$D$2:$D$2500))</f>
        <v>9280</v>
      </c>
      <c r="DE7" s="75">
        <f t="array" ref="DE7">SUM((YEAR(Gastos!$A$2:$A$2500)=DE$1)*(MONTH(Gastos!$A$2:$A$2500)=DE$3)*(Gastos!$B$2:$B$2500=$A7)*(Gastos!$D$2:$D$2500))</f>
        <v>0</v>
      </c>
      <c r="DF7" s="75">
        <f t="array" ref="DF7">SUM((YEAR(Gastos!$A$2:$A$2500)=DF$1)*(MONTH(Gastos!$A$2:$A$2500)=DF$3)*(Gastos!$B$2:$B$2500=$A7)*(Gastos!$D$2:$D$2500))</f>
        <v>13920</v>
      </c>
      <c r="DG7" s="75">
        <f t="array" ref="DG7">SUM((YEAR(Gastos!$A$2:$A$2500)=DG$1)*(MONTH(Gastos!$A$2:$A$2500)=DG$3)*(Gastos!$B$2:$B$2500=$A7)*(Gastos!$D$2:$D$2500))</f>
        <v>0</v>
      </c>
      <c r="DH7" s="75">
        <f t="array" ref="DH7">SUM((YEAR(Gastos!$A$2:$A$2500)=DH$1)*(MONTH(Gastos!$A$2:$A$2500)=DH$3)*(Gastos!$B$2:$B$2500=$A7)*(Gastos!$D$2:$D$2500))</f>
        <v>10672</v>
      </c>
      <c r="DI7" s="75">
        <f t="array" ref="DI7">SUM((YEAR(Gastos!$A$2:$A$2500)=DI$1)*(MONTH(Gastos!$A$2:$A$2500)=DI$3)*(Gastos!$B$2:$B$2500=$A7)*(Gastos!$D$2:$D$2500))</f>
        <v>5336</v>
      </c>
      <c r="DJ7" s="75">
        <f t="array" ref="DJ7">SUM((YEAR(Gastos!$A$2:$A$2500)=DJ$1)*(MONTH(Gastos!$A$2:$A$2500)=DJ$3)*(Gastos!$B$2:$B$2500=$A7)*(Gastos!$D$2:$D$2500))</f>
        <v>5336</v>
      </c>
      <c r="DK7" s="75">
        <f t="array" ref="DK7">SUM((YEAR(Gastos!$A$2:$A$2500)=DK$1)*(MONTH(Gastos!$A$2:$A$2500)=DK$3)*(Gastos!$B$2:$B$2500=$A7)*(Gastos!$D$2:$D$2500))</f>
        <v>5336</v>
      </c>
      <c r="DL7" s="75">
        <f t="array" ref="DL7">SUM((YEAR(Gastos!$A$2:$A$2500)=DL$1)*(MONTH(Gastos!$A$2:$A$2500)=DL$3)*(Gastos!$B$2:$B$2500=$A7)*(Gastos!$D$2:$D$2500))</f>
        <v>5336</v>
      </c>
      <c r="DM7" s="75">
        <f t="array" ref="DM7">SUM((YEAR(Gastos!$A$2:$A$2500)=DM$1)*(MONTH(Gastos!$A$2:$A$2500)=DM$3)*(Gastos!$B$2:$B$2500=$A7)*(Gastos!$D$2:$D$2500))</f>
        <v>5336</v>
      </c>
      <c r="DN7" s="75">
        <f t="array" ref="DN7">SUM((YEAR(Gastos!$A$2:$A$2500)=DN$1)*(MONTH(Gastos!$A$2:$A$2500)=DN$3)*(Gastos!$B$2:$B$2500=$A7)*(Gastos!$D$2:$D$2500))</f>
        <v>5336</v>
      </c>
      <c r="DO7" s="75">
        <f t="array" ref="DO7">SUM((YEAR(Gastos!$A$2:$A$2500)=DO$1)*(MONTH(Gastos!$A$2:$A$2500)=DO$3)*(Gastos!$B$2:$B$2500=$A7)*(Gastos!$D$2:$D$2500))</f>
        <v>5336</v>
      </c>
      <c r="DP7" s="75">
        <f t="array" ref="DP7">SUM((YEAR(Gastos!$A$2:$A$2500)=DP$1)*(MONTH(Gastos!$A$2:$A$2500)=DP$3)*(Gastos!$B$2:$B$2500=$A7)*(Gastos!$D$2:$D$2500))</f>
        <v>7388.27</v>
      </c>
      <c r="DQ7" s="75">
        <f t="array" ref="DQ7">SUM((YEAR(Gastos!$A$2:$A$2500)=DQ$1)*(MONTH(Gastos!$A$2:$A$2500)=DQ$3)*(Gastos!$B$2:$B$2500=$A7)*(Gastos!$D$2:$D$2500))</f>
        <v>0</v>
      </c>
      <c r="DR7" s="75">
        <f t="array" ref="DR7">SUM((YEAR(Gastos!$A$2:$A$2500)=DR$1)*(MONTH(Gastos!$A$2:$A$2500)=DR$3)*(Gastos!$B$2:$B$2500=$A7)*(Gastos!$D$2:$D$2500))</f>
        <v>0</v>
      </c>
      <c r="DS7" s="75">
        <f t="array" ref="DS7">SUM((YEAR(Gastos!$A$2:$A$2500)=DS$1)*(MONTH(Gastos!$A$2:$A$2500)=DS$3)*(Gastos!$B$2:$B$2500=$A7)*(Gastos!$D$2:$D$2500))</f>
        <v>0</v>
      </c>
      <c r="DT7" s="75">
        <f t="array" ref="DT7">SUM((YEAR(Gastos!$A$2:$A$2500)=DT$1)*(MONTH(Gastos!$A$2:$A$2500)=DT$3)*(Gastos!$B$2:$B$2500=$A7)*(Gastos!$D$2:$D$2500))</f>
        <v>0</v>
      </c>
      <c r="DU7" s="75">
        <f t="array" ref="DU7">SUM((YEAR(Gastos!$A$2:$A$2500)=DU$1)*(MONTH(Gastos!$A$2:$A$2500)=DU$3)*(Gastos!$B$2:$B$2500=$A7)*(Gastos!$D$2:$D$2500))</f>
        <v>0</v>
      </c>
      <c r="DV7" s="75">
        <f t="array" ref="DV7">SUM((YEAR(Gastos!$A$2:$A$2500)=DV$1)*(MONTH(Gastos!$A$2:$A$2500)=DV$3)*(Gastos!$B$2:$B$2500=$A7)*(Gastos!$D$2:$D$2500))</f>
        <v>0</v>
      </c>
      <c r="DW7" s="75">
        <f t="array" ref="DW7">SUM((YEAR(Gastos!$A$2:$A$2500)=DW$1)*(MONTH(Gastos!$A$2:$A$2500)=DW$3)*(Gastos!$B$2:$B$2500=$A7)*(Gastos!$D$2:$D$2500))</f>
        <v>0</v>
      </c>
      <c r="DX7" s="75">
        <f t="array" ref="DX7">SUM((YEAR(Gastos!$A$2:$A$2500)=DX$1)*(MONTH(Gastos!$A$2:$A$2500)=DX$3)*(Gastos!$B$2:$B$2500=$A7)*(Gastos!$D$2:$D$2500))</f>
        <v>0</v>
      </c>
      <c r="DY7" s="75">
        <f t="array" ref="DY7">SUM((YEAR(Gastos!$A$2:$A$2500)=DY$1)*(MONTH(Gastos!$A$2:$A$2500)=DY$3)*(Gastos!$B$2:$B$2500=$A7)*(Gastos!$D$2:$D$2500))</f>
        <v>0</v>
      </c>
      <c r="DZ7" s="75">
        <f t="array" ref="DZ7">SUM((YEAR(Gastos!$A$2:$A$2500)=DZ$1)*(MONTH(Gastos!$A$2:$A$2500)=DZ$3)*(Gastos!$B$2:$B$2500=$A7)*(Gastos!$D$2:$D$2500))</f>
        <v>0</v>
      </c>
      <c r="EA7" s="75">
        <f t="array" ref="EA7">SUM((YEAR(Gastos!$A$2:$A$2500)=EA$1)*(MONTH(Gastos!$A$2:$A$2500)=EA$3)*(Gastos!$B$2:$B$2500=$A7)*(Gastos!$D$2:$D$2500))</f>
        <v>0</v>
      </c>
      <c r="EB7" s="75">
        <f t="array" ref="EB7">SUM((YEAR(Gastos!$A$2:$A$2500)=EB$1)*(MONTH(Gastos!$A$2:$A$2500)=EB$3)*(Gastos!$B$2:$B$2500=$A7)*(Gastos!$D$2:$D$2500))</f>
        <v>0</v>
      </c>
      <c r="EC7" s="75">
        <f t="array" ref="EC7">SUM((YEAR(Gastos!$A$2:$A$2500)=EC$1)*(MONTH(Gastos!$A$2:$A$2500)=EC$3)*(Gastos!$B$2:$B$2500=$A7)*(Gastos!$D$2:$D$2500))</f>
        <v>0</v>
      </c>
      <c r="ED7" s="75">
        <f t="array" ref="ED7">SUM((YEAR(Gastos!$A$2:$A$2500)=ED$1)*(MONTH(Gastos!$A$2:$A$2500)=ED$3)*(Gastos!$B$2:$B$2500=$A7)*(Gastos!$D$2:$D$2500))</f>
        <v>0</v>
      </c>
      <c r="EE7" s="75">
        <f t="array" ref="EE7">SUM((YEAR(Gastos!$A$2:$A$2500)=EE$1)*(MONTH(Gastos!$A$2:$A$2500)=EE$3)*(Gastos!$B$2:$B$2500=$A7)*(Gastos!$D$2:$D$2500))</f>
        <v>0</v>
      </c>
      <c r="EF7" s="75">
        <f t="array" ref="EF7">SUM((YEAR(Gastos!$A$2:$A$2500)=EF$1)*(MONTH(Gastos!$A$2:$A$2500)=EF$3)*(Gastos!$B$2:$B$2500=$A7)*(Gastos!$D$2:$D$2500))</f>
        <v>0</v>
      </c>
      <c r="EG7" s="75">
        <f t="array" ref="EG7">SUM((YEAR(Gastos!$A$2:$A$2500)=EG$1)*(MONTH(Gastos!$A$2:$A$2500)=EG$3)*(Gastos!$B$2:$B$2500=$A7)*(Gastos!$D$2:$D$2500))</f>
        <v>0</v>
      </c>
      <c r="EH7" s="75">
        <f t="array" ref="EH7">SUM((YEAR(Gastos!$A$2:$A$2500)=EH$1)*(MONTH(Gastos!$A$2:$A$2500)=EH$3)*(Gastos!$B$2:$B$2500=$A7)*(Gastos!$D$2:$D$2500))</f>
        <v>0</v>
      </c>
      <c r="EI7" s="75">
        <f t="array" ref="EI7">SUM((YEAR(Gastos!$A$2:$A$2500)=EI$1)*(MONTH(Gastos!$A$2:$A$2500)=EI$3)*(Gastos!$B$2:$B$2500=$A7)*(Gastos!$D$2:$D$2500))</f>
        <v>0</v>
      </c>
      <c r="EJ7" s="75">
        <f t="array" ref="EJ7">SUM((YEAR(Gastos!$A$2:$A$2500)=EJ$1)*(MONTH(Gastos!$A$2:$A$2500)=EJ$3)*(Gastos!$B$2:$B$2500=$A7)*(Gastos!$D$2:$D$2500))</f>
        <v>0</v>
      </c>
      <c r="EK7" s="75">
        <f t="array" ref="EK7">SUM((YEAR(Gastos!$A$2:$A$2500)=EK$1)*(MONTH(Gastos!$A$2:$A$2500)=EK$3)*(Gastos!$B$2:$B$2500=$A7)*(Gastos!$D$2:$D$2500))</f>
        <v>0</v>
      </c>
      <c r="EL7" s="75">
        <f t="array" ref="EL7">SUM((YEAR(Gastos!$A$2:$A$2500)=EL$1)*(MONTH(Gastos!$A$2:$A$2500)=EL$3)*(Gastos!$B$2:$B$2500=$A7)*(Gastos!$D$2:$D$2500))</f>
        <v>0</v>
      </c>
      <c r="EM7" s="75">
        <f t="array" ref="EM7">SUM((YEAR(Gastos!$A$2:$A$2500)=EM$1)*(MONTH(Gastos!$A$2:$A$2500)=EM$3)*(Gastos!$B$2:$B$2500=$A7)*(Gastos!$D$2:$D$2500))</f>
        <v>0</v>
      </c>
      <c r="EN7" s="75">
        <f t="array" ref="EN7">SUM((YEAR(Gastos!$A$2:$A$2500)=EN$1)*(MONTH(Gastos!$A$2:$A$2500)=EN$3)*(Gastos!$B$2:$B$2500=$A7)*(Gastos!$D$2:$D$2500))</f>
        <v>0</v>
      </c>
      <c r="EO7" s="75">
        <f t="array" ref="EO7">SUM((YEAR(Gastos!$A$2:$A$2500)=EO$1)*(MONTH(Gastos!$A$2:$A$2500)=EO$3)*(Gastos!$B$2:$B$2500=$A7)*(Gastos!$D$2:$D$2500))</f>
        <v>0</v>
      </c>
      <c r="EP7" s="75">
        <f t="array" ref="EP7">SUM((YEAR(Gastos!$A$2:$A$2500)=EP$1)*(MONTH(Gastos!$A$2:$A$2500)=EP$3)*(Gastos!$B$2:$B$2500=$A7)*(Gastos!$D$2:$D$2500))</f>
        <v>0</v>
      </c>
      <c r="EQ7" s="75">
        <f t="array" ref="EQ7">SUM((YEAR(Gastos!$A$2:$A$2500)=EQ$1)*(MONTH(Gastos!$A$2:$A$2500)=EQ$3)*(Gastos!$B$2:$B$2500=$A7)*(Gastos!$D$2:$D$2500))</f>
        <v>0</v>
      </c>
      <c r="ER7" s="75">
        <f t="array" ref="ER7">SUM((YEAR(Gastos!$A$2:$A$2500)=ER$1)*(MONTH(Gastos!$A$2:$A$2500)=ER$3)*(Gastos!$B$2:$B$2500=$A7)*(Gastos!$D$2:$D$2500))</f>
        <v>0</v>
      </c>
      <c r="ES7" s="75">
        <f t="array" ref="ES7">SUM((YEAR(Gastos!$A$2:$A$2500)=ES$1)*(MONTH(Gastos!$A$2:$A$2500)=ES$3)*(Gastos!$B$2:$B$2500=$A7)*(Gastos!$D$2:$D$2500))</f>
        <v>0</v>
      </c>
      <c r="ET7" s="75">
        <f t="array" ref="ET7">SUM((YEAR(Gastos!$A$2:$A$2500)=ET$1)*(MONTH(Gastos!$A$2:$A$2500)=ET$3)*(Gastos!$B$2:$B$2500=$A7)*(Gastos!$D$2:$D$2500))</f>
        <v>0</v>
      </c>
      <c r="EU7" s="75">
        <f t="array" ref="EU7">SUM((YEAR(Gastos!$A$2:$A$2500)=EU$1)*(MONTH(Gastos!$A$2:$A$2500)=EU$3)*(Gastos!$B$2:$B$2500=$A7)*(Gastos!$D$2:$D$2500))</f>
        <v>0</v>
      </c>
      <c r="EV7" s="75">
        <f t="array" ref="EV7">SUM((YEAR(Gastos!$A$2:$A$2500)=EV$1)*(MONTH(Gastos!$A$2:$A$2500)=EV$3)*(Gastos!$B$2:$B$2500=$A7)*(Gastos!$D$2:$D$2500))</f>
        <v>0</v>
      </c>
      <c r="EW7" s="75">
        <f t="array" ref="EW7">SUM((YEAR(Gastos!$A$2:$A$2500)=EW$1)*(MONTH(Gastos!$A$2:$A$2500)=EW$3)*(Gastos!$B$2:$B$2500=$A7)*(Gastos!$D$2:$D$2500))</f>
        <v>0</v>
      </c>
      <c r="EX7" s="75">
        <f t="array" ref="EX7">SUM((YEAR(Gastos!$A$2:$A$2500)=EX$1)*(MONTH(Gastos!$A$2:$A$2500)=EX$3)*(Gastos!$B$2:$B$2500=$A7)*(Gastos!$D$2:$D$2500))</f>
        <v>0</v>
      </c>
      <c r="EY7" s="75">
        <f t="array" ref="EY7">SUM((YEAR(Gastos!$A$2:$A$2500)=EY$1)*(MONTH(Gastos!$A$2:$A$2500)=EY$3)*(Gastos!$B$2:$B$2500=$A7)*(Gastos!$D$2:$D$2500))</f>
        <v>0</v>
      </c>
      <c r="EZ7" s="75">
        <f t="array" ref="EZ7">SUM((YEAR(Gastos!$A$2:$A$2500)=EZ$1)*(MONTH(Gastos!$A$2:$A$2500)=EZ$3)*(Gastos!$B$2:$B$2500=$A7)*(Gastos!$D$2:$D$2500))</f>
        <v>0</v>
      </c>
      <c r="FA7" s="75">
        <f t="array" ref="FA7">SUM((YEAR(Gastos!$A$2:$A$2500)=FA$1)*(MONTH(Gastos!$A$2:$A$2500)=FA$3)*(Gastos!$B$2:$B$2500=$A7)*(Gastos!$D$2:$D$2500))</f>
        <v>0</v>
      </c>
      <c r="FB7" s="75">
        <f t="array" ref="FB7">SUM((YEAR(Gastos!$A$2:$A$2500)=FB$1)*(MONTH(Gastos!$A$2:$A$2500)=FB$3)*(Gastos!$B$2:$B$2500=$A7)*(Gastos!$D$2:$D$2500))</f>
        <v>0</v>
      </c>
      <c r="FC7" s="75">
        <f t="array" ref="FC7">SUM((YEAR(Gastos!$A$2:$A$2500)=FC$1)*(MONTH(Gastos!$A$2:$A$2500)=FC$3)*(Gastos!$B$2:$B$2500=$A7)*(Gastos!$D$2:$D$2500))</f>
        <v>0</v>
      </c>
      <c r="FD7" s="75">
        <f t="array" ref="FD7">SUM((YEAR(Gastos!$A$2:$A$2500)=FD$1)*(MONTH(Gastos!$A$2:$A$2500)=FD$3)*(Gastos!$B$2:$B$2500=$A7)*(Gastos!$D$2:$D$2500))</f>
        <v>0</v>
      </c>
      <c r="FE7" s="75">
        <f t="array" ref="FE7">SUM((YEAR(Gastos!$A$2:$A$2500)=FE$1)*(MONTH(Gastos!$A$2:$A$2500)=FE$3)*(Gastos!$B$2:$B$2500=$A7)*(Gastos!$D$2:$D$2500))</f>
        <v>0</v>
      </c>
      <c r="FF7" s="75">
        <f t="array" ref="FF7">SUM((YEAR(Gastos!$A$2:$A$2500)=FF$1)*(MONTH(Gastos!$A$2:$A$2500)=FF$3)*(Gastos!$B$2:$B$2500=$A7)*(Gastos!$D$2:$D$2500))</f>
        <v>0</v>
      </c>
      <c r="FG7" s="75">
        <f t="array" ref="FG7">SUM((YEAR(Gastos!$A$2:$A$2500)=FG$1)*(MONTH(Gastos!$A$2:$A$2500)=FG$3)*(Gastos!$B$2:$B$2500=$A7)*(Gastos!$D$2:$D$2500))</f>
        <v>0</v>
      </c>
      <c r="FH7" s="75">
        <f t="array" ref="FH7">SUM((YEAR(Gastos!$A$2:$A$2500)=FH$1)*(MONTH(Gastos!$A$2:$A$2500)=FH$3)*(Gastos!$B$2:$B$2500=$A7)*(Gastos!$D$2:$D$2500))</f>
        <v>0</v>
      </c>
      <c r="FI7" s="75">
        <f t="array" ref="FI7">SUM((YEAR(Gastos!$A$2:$A$2500)=FI$1)*(MONTH(Gastos!$A$2:$A$2500)=FI$3)*(Gastos!$B$2:$B$2500=$A7)*(Gastos!$D$2:$D$2500))</f>
        <v>0</v>
      </c>
      <c r="FJ7" s="75">
        <f t="array" ref="FJ7">SUM((YEAR(Gastos!$A$2:$A$2500)=FJ$1)*(MONTH(Gastos!$A$2:$A$2500)=FJ$3)*(Gastos!$B$2:$B$2500=$A7)*(Gastos!$D$2:$D$2500))</f>
        <v>0</v>
      </c>
      <c r="FK7" s="75">
        <f t="array" ref="FK7">SUM((YEAR(Gastos!$A$2:$A$2500)=FK$1)*(MONTH(Gastos!$A$2:$A$2500)=FK$3)*(Gastos!$B$2:$B$2500=$A7)*(Gastos!$D$2:$D$2500))</f>
        <v>0</v>
      </c>
      <c r="FL7" s="75">
        <f t="array" ref="FL7">SUM((YEAR(Gastos!$A$2:$A$2500)=FL$1)*(MONTH(Gastos!$A$2:$A$2500)=FL$3)*(Gastos!$B$2:$B$2500=$A7)*(Gastos!$D$2:$D$2500))</f>
        <v>0</v>
      </c>
      <c r="FM7" s="75">
        <f t="array" ref="FM7">SUM((YEAR(Gastos!$A$2:$A$2500)=FM$1)*(MONTH(Gastos!$A$2:$A$2500)=FM$3)*(Gastos!$B$2:$B$2500=$A7)*(Gastos!$D$2:$D$2500))</f>
        <v>0</v>
      </c>
      <c r="FN7" s="75">
        <f t="array" ref="FN7">SUM((YEAR(Gastos!$A$2:$A$2500)=FN$1)*(MONTH(Gastos!$A$2:$A$2500)=FN$3)*(Gastos!$B$2:$B$2500=$A7)*(Gastos!$D$2:$D$2500))</f>
        <v>0</v>
      </c>
      <c r="FO7" s="75">
        <f t="array" ref="FO7">SUM((YEAR(Gastos!$A$2:$A$2500)=FO$1)*(MONTH(Gastos!$A$2:$A$2500)=FO$3)*(Gastos!$B$2:$B$2500=$A7)*(Gastos!$D$2:$D$2500))</f>
        <v>0</v>
      </c>
      <c r="FP7" s="75">
        <f t="array" ref="FP7">SUM((YEAR(Gastos!$A$2:$A$2500)=FP$1)*(MONTH(Gastos!$A$2:$A$2500)=FP$3)*(Gastos!$B$2:$B$2500=$A7)*(Gastos!$D$2:$D$2500))</f>
        <v>0</v>
      </c>
      <c r="FQ7" s="75">
        <f t="array" ref="FQ7">SUM((YEAR(Gastos!$A$2:$A$2500)=FQ$1)*(MONTH(Gastos!$A$2:$A$2500)=FQ$3)*(Gastos!$B$2:$B$2500=$A7)*(Gastos!$D$2:$D$2500))</f>
        <v>0</v>
      </c>
      <c r="FR7" s="75">
        <f t="array" ref="FR7">SUM((YEAR(Gastos!$A$2:$A$2500)=FR$1)*(MONTH(Gastos!$A$2:$A$2500)=FR$3)*(Gastos!$B$2:$B$2500=$A7)*(Gastos!$D$2:$D$2500))</f>
        <v>0</v>
      </c>
      <c r="FS7" s="75">
        <f t="array" ref="FS7">SUM((YEAR(Gastos!$A$2:$A$2500)=FS$1)*(MONTH(Gastos!$A$2:$A$2500)=FS$3)*(Gastos!$B$2:$B$2500=$A7)*(Gastos!$D$2:$D$2500))</f>
        <v>0</v>
      </c>
      <c r="FT7" s="75">
        <f t="array" ref="FT7">SUM((YEAR(Gastos!$A$2:$A$2500)=FT$1)*(MONTH(Gastos!$A$2:$A$2500)=FT$3)*(Gastos!$B$2:$B$2500=$A7)*(Gastos!$D$2:$D$2500))</f>
        <v>0</v>
      </c>
      <c r="FU7" s="75">
        <f t="array" ref="FU7">SUM((YEAR(Gastos!$A$2:$A$2500)=FU$1)*(MONTH(Gastos!$A$2:$A$2500)=FU$3)*(Gastos!$B$2:$B$2500=$A7)*(Gastos!$D$2:$D$2500))</f>
        <v>0</v>
      </c>
      <c r="FV7" s="75">
        <f t="array" ref="FV7">SUM((YEAR(Gastos!$A$2:$A$2500)=FV$1)*(MONTH(Gastos!$A$2:$A$2500)=FV$3)*(Gastos!$B$2:$B$2500=$A7)*(Gastos!$D$2:$D$2500))</f>
        <v>0</v>
      </c>
      <c r="FW7" s="75">
        <f t="array" ref="FW7">SUM((YEAR(Gastos!$A$2:$A$2500)=FW$1)*(MONTH(Gastos!$A$2:$A$2500)=FW$3)*(Gastos!$B$2:$B$2500=$A7)*(Gastos!$D$2:$D$2500))</f>
        <v>0</v>
      </c>
      <c r="FX7" s="75">
        <f t="array" ref="FX7">SUM((YEAR(Gastos!$A$2:$A$2500)=FX$1)*(MONTH(Gastos!$A$2:$A$2500)=FX$3)*(Gastos!$B$2:$B$2500=$A7)*(Gastos!$D$2:$D$2500))</f>
        <v>0</v>
      </c>
      <c r="FY7" s="75">
        <f t="array" ref="FY7">SUM((YEAR(Gastos!$A$2:$A$2500)=FY$1)*(MONTH(Gastos!$A$2:$A$2500)=FY$3)*(Gastos!$B$2:$B$2500=$A7)*(Gastos!$D$2:$D$2500))</f>
        <v>0</v>
      </c>
      <c r="FZ7" s="76">
        <f t="shared" si="65"/>
        <v>456502.39</v>
      </c>
      <c r="GA7" s="80"/>
      <c r="GB7" s="78">
        <f t="shared" si="66"/>
        <v>1116</v>
      </c>
      <c r="GF7" s="79">
        <f t="array" ref="GF7">SUM(((Gastos!$A$2:$A$1647)&gt;=GD$3)*((Gastos!$A$2:$A$1647)&lt;=GF$3)*(Gastos!$B$2:$B$1647=$A7)*(Gastos!$D$2:$D$1647))</f>
        <v>53824</v>
      </c>
      <c r="GI7" s="79">
        <f t="array" ref="GI7">SUM(((Gastos!$A$2:$A$1647)&gt;=GG$3)*((Gastos!$A$2:$A$1647)&lt;=GI$3)*(Gastos!$B$2:$B$1647=$A7)*(Gastos!$D$2:$D$1647))</f>
        <v>52708</v>
      </c>
      <c r="GL7" s="99">
        <f>AT120</f>
        <v>2017</v>
      </c>
      <c r="GM7" s="103">
        <f>AU120</f>
        <v>247841</v>
      </c>
      <c r="GN7" s="103">
        <f>AV120</f>
        <v>115185.56</v>
      </c>
      <c r="GO7" s="103">
        <f>AW120</f>
        <v>119240.11</v>
      </c>
      <c r="GP7" s="104">
        <v>497799.17000000004</v>
      </c>
      <c r="GQ7" s="103">
        <f t="shared" si="64"/>
        <v>482266.67</v>
      </c>
    </row>
    <row r="8" spans="1:201" ht="15" thickBot="1" x14ac:dyDescent="0.4">
      <c r="A8" s="74" t="str">
        <f>Gastos!AA6</f>
        <v>F. IVA CHQS LIBRADOS PAGADOS</v>
      </c>
      <c r="B8" s="75">
        <f t="array" ref="B8">SUM((YEAR(Gastos!$A$2:$A$2500)=B$1)*(MONTH(Gastos!$A$2:$A$2500)=B$3)*(Gastos!$B$2:$B$2500=$A8)*(Gastos!$D$2:$D$2500))</f>
        <v>0</v>
      </c>
      <c r="C8" s="75">
        <f t="array" ref="C8">SUM((YEAR(Gastos!$A$2:$A$2500)=C$1)*(MONTH(Gastos!$A$2:$A$2500)=C$3)*(Gastos!$B$2:$B$2500=$A8)*(Gastos!$D$2:$D$2500))</f>
        <v>0</v>
      </c>
      <c r="D8" s="75">
        <f t="array" ref="D8">SUM((YEAR(Gastos!$A$2:$A$2500)=D$1)*(MONTH(Gastos!$A$2:$A$2500)=D$3)*(Gastos!$B$2:$B$2500=$A8)*(Gastos!$D$2:$D$2500))</f>
        <v>0</v>
      </c>
      <c r="E8" s="75">
        <f t="array" ref="E8">SUM((YEAR(Gastos!$A$2:$A$2500)=E$1)*(MONTH(Gastos!$A$2:$A$2500)=E$3)*(Gastos!$B$2:$B$2500=$A8)*(Gastos!$D$2:$D$2500))</f>
        <v>0</v>
      </c>
      <c r="F8" s="75">
        <f t="array" ref="F8">SUM((YEAR(Gastos!$A$2:$A$2500)=F$1)*(MONTH(Gastos!$A$2:$A$2500)=F$3)*(Gastos!$B$2:$B$2500=$A8)*(Gastos!$D$2:$D$2500))</f>
        <v>0</v>
      </c>
      <c r="G8" s="75">
        <f t="array" ref="G8">SUM((YEAR(Gastos!$A$2:$A$2500)=G$1)*(MONTH(Gastos!$A$2:$A$2500)=G$3)*(Gastos!$B$2:$B$2500=$A8)*(Gastos!$D$2:$D$2500))</f>
        <v>0</v>
      </c>
      <c r="H8" s="75">
        <f t="array" ref="H8">SUM((YEAR(Gastos!$A$2:$A$2500)=H$1)*(MONTH(Gastos!$A$2:$A$2500)=H$3)*(Gastos!$B$2:$B$2500=$A8)*(Gastos!$D$2:$D$2500))</f>
        <v>4.8</v>
      </c>
      <c r="I8" s="75">
        <f t="array" ref="I8">SUM((YEAR(Gastos!$A$2:$A$2500)=I$1)*(MONTH(Gastos!$A$2:$A$2500)=I$3)*(Gastos!$B$2:$B$2500=$A8)*(Gastos!$D$2:$D$2500))</f>
        <v>2.4</v>
      </c>
      <c r="J8" s="75">
        <f t="array" ref="J8">SUM((YEAR(Gastos!$A$2:$A$2500)=J$1)*(MONTH(Gastos!$A$2:$A$2500)=J$3)*(Gastos!$B$2:$B$2500=$A8)*(Gastos!$D$2:$D$2500))</f>
        <v>0</v>
      </c>
      <c r="K8" s="75">
        <f t="array" ref="K8">SUM((YEAR(Gastos!$A$2:$A$2500)=K$1)*(MONTH(Gastos!$A$2:$A$2500)=K$3)*(Gastos!$B$2:$B$2500=$A8)*(Gastos!$D$2:$D$2500))</f>
        <v>0</v>
      </c>
      <c r="L8" s="75">
        <f t="array" ref="L8">SUM((YEAR(Gastos!$A$2:$A$2500)=L$1)*(MONTH(Gastos!$A$2:$A$2500)=L$3)*(Gastos!$B$2:$B$2500=$A8)*(Gastos!$D$2:$D$2500))</f>
        <v>0</v>
      </c>
      <c r="M8" s="75">
        <f t="array" ref="M8">SUM((YEAR(Gastos!$A$2:$A$2500)=M$1)*(MONTH(Gastos!$A$2:$A$2500)=M$3)*(Gastos!$B$2:$B$2500=$A8)*(Gastos!$D$2:$D$2500))</f>
        <v>2.4</v>
      </c>
      <c r="N8" s="75">
        <f t="array" ref="N8">SUM((YEAR(Gastos!$A$2:$A$2500)=N$1)*(MONTH(Gastos!$A$2:$A$2500)=N$3)*(Gastos!$B$2:$B$2500=$A8)*(Gastos!$D$2:$D$2500))</f>
        <v>0</v>
      </c>
      <c r="O8" s="75">
        <f t="array" ref="O8">SUM((YEAR(Gastos!$A$2:$A$2500)=O$1)*(MONTH(Gastos!$A$2:$A$2500)=O$3)*(Gastos!$B$2:$B$2500=$A8)*(Gastos!$D$2:$D$2500))</f>
        <v>0</v>
      </c>
      <c r="P8" s="75">
        <f t="array" ref="P8">SUM((YEAR(Gastos!$A$2:$A$2500)=P$1)*(MONTH(Gastos!$A$2:$A$2500)=P$3)*(Gastos!$B$2:$B$2500=$A8)*(Gastos!$D$2:$D$2500))</f>
        <v>0</v>
      </c>
      <c r="Q8" s="75">
        <f t="array" ref="Q8">SUM((YEAR(Gastos!$A$2:$A$2500)=Q$1)*(MONTH(Gastos!$A$2:$A$2500)=Q$3)*(Gastos!$B$2:$B$2500=$A8)*(Gastos!$D$2:$D$2500))</f>
        <v>0</v>
      </c>
      <c r="R8" s="75">
        <f t="array" ref="R8">SUM((YEAR(Gastos!$A$2:$A$2500)=R$1)*(MONTH(Gastos!$A$2:$A$2500)=R$3)*(Gastos!$B$2:$B$2500=$A8)*(Gastos!$D$2:$D$2500))</f>
        <v>0</v>
      </c>
      <c r="S8" s="75">
        <f t="array" ref="S8">SUM((YEAR(Gastos!$A$2:$A$2500)=S$1)*(MONTH(Gastos!$A$2:$A$2500)=S$3)*(Gastos!$B$2:$B$2500=$A8)*(Gastos!$D$2:$D$2500))</f>
        <v>0</v>
      </c>
      <c r="T8" s="75">
        <f t="array" ref="T8">SUM((YEAR(Gastos!$A$2:$A$2500)=T$1)*(MONTH(Gastos!$A$2:$A$2500)=T$3)*(Gastos!$B$2:$B$2500=$A8)*(Gastos!$D$2:$D$2500))</f>
        <v>0</v>
      </c>
      <c r="U8" s="75">
        <f t="array" ref="U8">SUM((YEAR(Gastos!$A$2:$A$2500)=U$1)*(MONTH(Gastos!$A$2:$A$2500)=U$3)*(Gastos!$B$2:$B$2500=$A8)*(Gastos!$D$2:$D$2500))</f>
        <v>0</v>
      </c>
      <c r="V8" s="75">
        <f t="array" ref="V8">SUM((YEAR(Gastos!$A$2:$A$2500)=V$1)*(MONTH(Gastos!$A$2:$A$2500)=V$3)*(Gastos!$B$2:$B$2500=$A8)*(Gastos!$D$2:$D$2500))</f>
        <v>2.4</v>
      </c>
      <c r="W8" s="75">
        <f t="array" ref="W8">SUM((YEAR(Gastos!$A$2:$A$2500)=W$1)*(MONTH(Gastos!$A$2:$A$2500)=W$3)*(Gastos!$B$2:$B$2500=$A8)*(Gastos!$D$2:$D$2500))</f>
        <v>2.4</v>
      </c>
      <c r="X8" s="75">
        <f t="array" ref="X8">SUM((YEAR(Gastos!$A$2:$A$2500)=X$1)*(MONTH(Gastos!$A$2:$A$2500)=X$3)*(Gastos!$B$2:$B$2500=$A8)*(Gastos!$D$2:$D$2500))</f>
        <v>2.4</v>
      </c>
      <c r="Y8" s="75">
        <f t="array" ref="Y8">SUM((YEAR(Gastos!$A$2:$A$2500)=Y$1)*(MONTH(Gastos!$A$2:$A$2500)=Y$3)*(Gastos!$B$2:$B$2500=$A8)*(Gastos!$D$2:$D$2500))</f>
        <v>0</v>
      </c>
      <c r="Z8" s="75">
        <f t="array" ref="Z8">SUM((YEAR(Gastos!$A$2:$A$2500)=Z$1)*(MONTH(Gastos!$A$2:$A$2500)=Z$3)*(Gastos!$B$2:$B$2500=$A8)*(Gastos!$D$2:$D$2500))</f>
        <v>0</v>
      </c>
      <c r="AA8" s="75">
        <f t="array" ref="AA8">SUM((YEAR(Gastos!$A$2:$A$2500)=AA$1)*(MONTH(Gastos!$A$2:$A$2500)=AA$3)*(Gastos!$B$2:$B$2500=$A8)*(Gastos!$D$2:$D$2500))</f>
        <v>0</v>
      </c>
      <c r="AB8" s="75">
        <f t="array" ref="AB8">SUM((YEAR(Gastos!$A$2:$A$2500)=AB$1)*(MONTH(Gastos!$A$2:$A$2500)=AB$3)*(Gastos!$B$2:$B$2500=$A8)*(Gastos!$D$2:$D$2500))</f>
        <v>0</v>
      </c>
      <c r="AC8" s="75">
        <f t="array" ref="AC8">SUM((YEAR(Gastos!$A$2:$A$2500)=AC$1)*(MONTH(Gastos!$A$2:$A$2500)=AC$3)*(Gastos!$B$2:$B$2500=$A8)*(Gastos!$D$2:$D$2500))</f>
        <v>0</v>
      </c>
      <c r="AD8" s="75">
        <f t="array" ref="AD8">SUM((YEAR(Gastos!$A$2:$A$2500)=AD$1)*(MONTH(Gastos!$A$2:$A$2500)=AD$3)*(Gastos!$B$2:$B$2500=$A8)*(Gastos!$D$2:$D$2500))</f>
        <v>0</v>
      </c>
      <c r="AE8" s="75">
        <f t="array" ref="AE8">SUM((YEAR(Gastos!$A$2:$A$2500)=AE$1)*(MONTH(Gastos!$A$2:$A$2500)=AE$3)*(Gastos!$B$2:$B$2500=$A8)*(Gastos!$D$2:$D$2500))</f>
        <v>0</v>
      </c>
      <c r="AF8" s="75">
        <f t="array" ref="AF8">SUM((YEAR(Gastos!$A$2:$A$2500)=AF$1)*(MONTH(Gastos!$A$2:$A$2500)=AF$3)*(Gastos!$B$2:$B$2500=$A8)*(Gastos!$D$2:$D$2500))</f>
        <v>2.4</v>
      </c>
      <c r="AG8" s="75">
        <f t="array" ref="AG8">SUM((YEAR(Gastos!$A$2:$A$2500)=AG$1)*(MONTH(Gastos!$A$2:$A$2500)=AG$3)*(Gastos!$B$2:$B$2500=$A8)*(Gastos!$D$2:$D$2500))</f>
        <v>0</v>
      </c>
      <c r="AH8" s="75">
        <f t="array" ref="AH8">SUM((YEAR(Gastos!$A$2:$A$2500)=AH$1)*(MONTH(Gastos!$A$2:$A$2500)=AH$3)*(Gastos!$B$2:$B$2500=$A8)*(Gastos!$D$2:$D$2500))</f>
        <v>0</v>
      </c>
      <c r="AI8" s="75">
        <f t="array" ref="AI8">SUM((YEAR(Gastos!$A$2:$A$2500)=AI$1)*(MONTH(Gastos!$A$2:$A$2500)=AI$3)*(Gastos!$B$2:$B$2500=$A8)*(Gastos!$D$2:$D$2500))</f>
        <v>0</v>
      </c>
      <c r="AJ8" s="75">
        <f t="array" ref="AJ8">SUM((YEAR(Gastos!$A$2:$A$2500)=AJ$1)*(MONTH(Gastos!$A$2:$A$2500)=AJ$3)*(Gastos!$B$2:$B$2500=$A8)*(Gastos!$D$2:$D$2500))</f>
        <v>0</v>
      </c>
      <c r="AK8" s="75">
        <f t="array" ref="AK8">SUM((YEAR(Gastos!$A$2:$A$2500)=AK$1)*(MONTH(Gastos!$A$2:$A$2500)=AK$3)*(Gastos!$B$2:$B$2500=$A8)*(Gastos!$D$2:$D$2500))</f>
        <v>0</v>
      </c>
      <c r="AL8" s="75">
        <f t="array" ref="AL8">SUM((YEAR(Gastos!$A$2:$A$2500)=AL$1)*(MONTH(Gastos!$A$2:$A$2500)=AL$3)*(Gastos!$B$2:$B$2500=$A8)*(Gastos!$D$2:$D$2500))</f>
        <v>0</v>
      </c>
      <c r="AM8" s="75">
        <f t="array" ref="AM8">SUM((YEAR(Gastos!$A$2:$A$2500)=AM$1)*(MONTH(Gastos!$A$2:$A$2500)=AM$3)*(Gastos!$B$2:$B$2500=$A8)*(Gastos!$D$2:$D$2500))</f>
        <v>0</v>
      </c>
      <c r="AN8" s="75">
        <f t="array" ref="AN8">SUM((YEAR(Gastos!$A$2:$A$2500)=AN$1)*(MONTH(Gastos!$A$2:$A$2500)=AN$3)*(Gastos!$B$2:$B$2500=$A8)*(Gastos!$D$2:$D$2500))</f>
        <v>0</v>
      </c>
      <c r="AO8" s="75">
        <f t="array" ref="AO8">SUM((YEAR(Gastos!$A$2:$A$2500)=AO$1)*(MONTH(Gastos!$A$2:$A$2500)=AO$3)*(Gastos!$B$2:$B$2500=$A8)*(Gastos!$D$2:$D$2500))</f>
        <v>0</v>
      </c>
      <c r="AP8" s="75">
        <f t="array" ref="AP8">SUM((YEAR(Gastos!$A$2:$A$2500)=AP$1)*(MONTH(Gastos!$A$2:$A$2500)=AP$3)*(Gastos!$B$2:$B$2500=$A8)*(Gastos!$D$2:$D$2500))</f>
        <v>0</v>
      </c>
      <c r="AQ8" s="75">
        <f t="array" ref="AQ8">SUM((YEAR(Gastos!$A$2:$A$2500)=AQ$1)*(MONTH(Gastos!$A$2:$A$2500)=AQ$3)*(Gastos!$B$2:$B$2500=$A8)*(Gastos!$D$2:$D$2500))</f>
        <v>0</v>
      </c>
      <c r="AR8" s="75">
        <f t="array" ref="AR8">SUM((YEAR(Gastos!$A$2:$A$2500)=AR$1)*(MONTH(Gastos!$A$2:$A$2500)=AR$3)*(Gastos!$B$2:$B$2500=$A8)*(Gastos!$D$2:$D$2500))</f>
        <v>0</v>
      </c>
      <c r="AS8" s="75">
        <f t="array" ref="AS8">SUM((YEAR(Gastos!$A$2:$A$2500)=AS$1)*(MONTH(Gastos!$A$2:$A$2500)=AS$3)*(Gastos!$B$2:$B$2500=$A8)*(Gastos!$D$2:$D$2500))</f>
        <v>0</v>
      </c>
      <c r="AT8" s="75">
        <f t="array" ref="AT8">SUM((YEAR(Gastos!$A$2:$A$2500)=AT$1)*(MONTH(Gastos!$A$2:$A$2500)=AT$3)*(Gastos!$B$2:$B$2500=$A8)*(Gastos!$D$2:$D$2500))</f>
        <v>0</v>
      </c>
      <c r="AU8" s="75">
        <f t="array" ref="AU8">SUM((YEAR(Gastos!$A$2:$A$2500)=AU$1)*(MONTH(Gastos!$A$2:$A$2500)=AU$3)*(Gastos!$B$2:$B$2500=$A8)*(Gastos!$D$2:$D$2500))</f>
        <v>0</v>
      </c>
      <c r="AV8" s="75">
        <f t="array" ref="AV8">SUM((YEAR(Gastos!$A$2:$A$2500)=AV$1)*(MONTH(Gastos!$A$2:$A$2500)=AV$3)*(Gastos!$B$2:$B$2500=$A8)*(Gastos!$D$2:$D$2500))</f>
        <v>0</v>
      </c>
      <c r="AW8" s="75">
        <f t="array" ref="AW8">SUM((YEAR(Gastos!$A$2:$A$2500)=AW$1)*(MONTH(Gastos!$A$2:$A$2500)=AW$3)*(Gastos!$B$2:$B$2500=$A8)*(Gastos!$D$2:$D$2500))</f>
        <v>0</v>
      </c>
      <c r="AX8" s="75">
        <f t="array" ref="AX8">SUM((YEAR(Gastos!$A$2:$A$2500)=AX$1)*(MONTH(Gastos!$A$2:$A$2500)=AX$3)*(Gastos!$B$2:$B$2500=$A8)*(Gastos!$D$2:$D$2500))</f>
        <v>0</v>
      </c>
      <c r="AY8" s="75">
        <f t="array" ref="AY8">SUM((YEAR(Gastos!$A$2:$A$2500)=AY$1)*(MONTH(Gastos!$A$2:$A$2500)=AY$3)*(Gastos!$B$2:$B$2500=$A8)*(Gastos!$D$2:$D$2500))</f>
        <v>0</v>
      </c>
      <c r="AZ8" s="75">
        <f t="array" ref="AZ8">SUM((YEAR(Gastos!$A$2:$A$2500)=AZ$1)*(MONTH(Gastos!$A$2:$A$2500)=AZ$3)*(Gastos!$B$2:$B$2500=$A8)*(Gastos!$D$2:$D$2500))</f>
        <v>0</v>
      </c>
      <c r="BA8" s="75">
        <f t="array" ref="BA8">SUM((YEAR(Gastos!$A$2:$A$2500)=BA$1)*(MONTH(Gastos!$A$2:$A$2500)=BA$3)*(Gastos!$B$2:$B$2500=$A8)*(Gastos!$D$2:$D$2500))</f>
        <v>0</v>
      </c>
      <c r="BB8" s="75">
        <f t="array" ref="BB8">SUM((YEAR(Gastos!$A$2:$A$2500)=BB$1)*(MONTH(Gastos!$A$2:$A$2500)=BB$3)*(Gastos!$B$2:$B$2500=$A8)*(Gastos!$D$2:$D$2500))</f>
        <v>0</v>
      </c>
      <c r="BC8" s="75">
        <f t="array" ref="BC8">SUM((YEAR(Gastos!$A$2:$A$2500)=BC$1)*(MONTH(Gastos!$A$2:$A$2500)=BC$3)*(Gastos!$B$2:$B$2500=$A8)*(Gastos!$D$2:$D$2500))</f>
        <v>0</v>
      </c>
      <c r="BD8" s="75">
        <f t="array" ref="BD8">SUM((YEAR(Gastos!$A$2:$A$2500)=BD$1)*(MONTH(Gastos!$A$2:$A$2500)=BD$3)*(Gastos!$B$2:$B$2500=$A8)*(Gastos!$D$2:$D$2500))</f>
        <v>2.4</v>
      </c>
      <c r="BE8" s="75">
        <f t="array" ref="BE8">SUM((YEAR(Gastos!$A$2:$A$2500)=BE$1)*(MONTH(Gastos!$A$2:$A$2500)=BE$3)*(Gastos!$B$2:$B$2500=$A8)*(Gastos!$D$2:$D$2500))</f>
        <v>0</v>
      </c>
      <c r="BF8" s="75">
        <f t="array" ref="BF8">SUM((YEAR(Gastos!$A$2:$A$2500)=BF$1)*(MONTH(Gastos!$A$2:$A$2500)=BF$3)*(Gastos!$B$2:$B$2500=$A8)*(Gastos!$D$2:$D$2500))</f>
        <v>0</v>
      </c>
      <c r="BG8" s="75">
        <f t="array" ref="BG8">SUM((YEAR(Gastos!$A$2:$A$2500)=BG$1)*(MONTH(Gastos!$A$2:$A$2500)=BG$3)*(Gastos!$B$2:$B$2500=$A8)*(Gastos!$D$2:$D$2500))</f>
        <v>0</v>
      </c>
      <c r="BH8" s="75">
        <f t="array" ref="BH8">SUM((YEAR(Gastos!$A$2:$A$2500)=BH$1)*(MONTH(Gastos!$A$2:$A$2500)=BH$3)*(Gastos!$B$2:$B$2500=$A8)*(Gastos!$D$2:$D$2500))</f>
        <v>0</v>
      </c>
      <c r="BI8" s="75">
        <f t="array" ref="BI8">SUM((YEAR(Gastos!$A$2:$A$2500)=BI$1)*(MONTH(Gastos!$A$2:$A$2500)=BI$3)*(Gastos!$B$2:$B$2500=$A8)*(Gastos!$D$2:$D$2500))</f>
        <v>0</v>
      </c>
      <c r="BJ8" s="75">
        <f t="array" ref="BJ8">SUM((YEAR(Gastos!$A$2:$A$2500)=BJ$1)*(MONTH(Gastos!$A$2:$A$2500)=BJ$3)*(Gastos!$B$2:$B$2500=$A8)*(Gastos!$D$2:$D$2500))</f>
        <v>0</v>
      </c>
      <c r="BK8" s="75">
        <f t="array" ref="BK8">SUM((YEAR(Gastos!$A$2:$A$2500)=BK$1)*(MONTH(Gastos!$A$2:$A$2500)=BK$3)*(Gastos!$B$2:$B$2500=$A8)*(Gastos!$D$2:$D$2500))</f>
        <v>0</v>
      </c>
      <c r="BL8" s="75">
        <f t="array" ref="BL8">SUM((YEAR(Gastos!$A$2:$A$2500)=BL$1)*(MONTH(Gastos!$A$2:$A$2500)=BL$3)*(Gastos!$B$2:$B$2500=$A8)*(Gastos!$D$2:$D$2500))</f>
        <v>0</v>
      </c>
      <c r="BM8" s="75">
        <f t="array" ref="BM8">SUM((YEAR(Gastos!$A$2:$A$2500)=BM$1)*(MONTH(Gastos!$A$2:$A$2500)=BM$3)*(Gastos!$B$2:$B$2500=$A8)*(Gastos!$D$2:$D$2500))</f>
        <v>2.4</v>
      </c>
      <c r="BN8" s="75">
        <f t="array" ref="BN8">SUM((YEAR(Gastos!$A$2:$A$2500)=BN$1)*(MONTH(Gastos!$A$2:$A$2500)=BN$3)*(Gastos!$B$2:$B$2500=$A8)*(Gastos!$D$2:$D$2500))</f>
        <v>0</v>
      </c>
      <c r="BO8" s="75">
        <f t="array" ref="BO8">SUM((YEAR(Gastos!$A$2:$A$2500)=BO$1)*(MONTH(Gastos!$A$2:$A$2500)=BO$3)*(Gastos!$B$2:$B$2500=$A8)*(Gastos!$D$2:$D$2500))</f>
        <v>2.56</v>
      </c>
      <c r="BP8" s="75">
        <f t="array" ref="BP8">SUM((YEAR(Gastos!$A$2:$A$2500)=BP$1)*(MONTH(Gastos!$A$2:$A$2500)=BP$3)*(Gastos!$B$2:$B$2500=$A8)*(Gastos!$D$2:$D$2500))</f>
        <v>0</v>
      </c>
      <c r="BQ8" s="75">
        <f t="array" ref="BQ8">SUM((YEAR(Gastos!$A$2:$A$2500)=BQ$1)*(MONTH(Gastos!$A$2:$A$2500)=BQ$3)*(Gastos!$B$2:$B$2500=$A8)*(Gastos!$D$2:$D$2500))</f>
        <v>0</v>
      </c>
      <c r="BR8" s="75">
        <f t="array" ref="BR8">SUM((YEAR(Gastos!$A$2:$A$2500)=BR$1)*(MONTH(Gastos!$A$2:$A$2500)=BR$3)*(Gastos!$B$2:$B$2500=$A8)*(Gastos!$D$2:$D$2500))</f>
        <v>0</v>
      </c>
      <c r="BS8" s="75">
        <f t="array" ref="BS8">SUM((YEAR(Gastos!$A$2:$A$2500)=BS$1)*(MONTH(Gastos!$A$2:$A$2500)=BS$3)*(Gastos!$B$2:$B$2500=$A8)*(Gastos!$D$2:$D$2500))</f>
        <v>0</v>
      </c>
      <c r="BT8" s="75">
        <f t="array" ref="BT8">SUM((YEAR(Gastos!$A$2:$A$2500)=BT$1)*(MONTH(Gastos!$A$2:$A$2500)=BT$3)*(Gastos!$B$2:$B$2500=$A8)*(Gastos!$D$2:$D$2500))</f>
        <v>0</v>
      </c>
      <c r="BU8" s="75">
        <f t="array" ref="BU8">SUM((YEAR(Gastos!$A$2:$A$2500)=BU$1)*(MONTH(Gastos!$A$2:$A$2500)=BU$3)*(Gastos!$B$2:$B$2500=$A8)*(Gastos!$D$2:$D$2500))</f>
        <v>0</v>
      </c>
      <c r="BV8" s="75">
        <f t="array" ref="BV8">SUM((YEAR(Gastos!$A$2:$A$2500)=BV$1)*(MONTH(Gastos!$A$2:$A$2500)=BV$3)*(Gastos!$B$2:$B$2500=$A8)*(Gastos!$D$2:$D$2500))</f>
        <v>0</v>
      </c>
      <c r="BW8" s="75">
        <f t="array" ref="BW8">SUM((YEAR(Gastos!$A$2:$A$2500)=BW$1)*(MONTH(Gastos!$A$2:$A$2500)=BW$3)*(Gastos!$B$2:$B$2500=$A8)*(Gastos!$D$2:$D$2500))</f>
        <v>0</v>
      </c>
      <c r="BX8" s="75">
        <f t="array" ref="BX8">SUM((YEAR(Gastos!$A$2:$A$2500)=BX$1)*(MONTH(Gastos!$A$2:$A$2500)=BX$3)*(Gastos!$B$2:$B$2500=$A8)*(Gastos!$D$2:$D$2500))</f>
        <v>0</v>
      </c>
      <c r="BY8" s="75">
        <f t="array" ref="BY8">SUM((YEAR(Gastos!$A$2:$A$2500)=BY$1)*(MONTH(Gastos!$A$2:$A$2500)=BY$3)*(Gastos!$B$2:$B$2500=$A8)*(Gastos!$D$2:$D$2500))</f>
        <v>0</v>
      </c>
      <c r="BZ8" s="75">
        <f t="array" ref="BZ8">SUM((YEAR(Gastos!$A$2:$A$2500)=BZ$1)*(MONTH(Gastos!$A$2:$A$2500)=BZ$3)*(Gastos!$B$2:$B$2500=$A8)*(Gastos!$D$2:$D$2500))</f>
        <v>0</v>
      </c>
      <c r="CA8" s="75">
        <f t="array" ref="CA8">SUM((YEAR(Gastos!$A$2:$A$2500)=CA$1)*(MONTH(Gastos!$A$2:$A$2500)=CA$3)*(Gastos!$B$2:$B$2500=$A8)*(Gastos!$D$2:$D$2500))</f>
        <v>0</v>
      </c>
      <c r="CB8" s="75">
        <f t="array" ref="CB8">SUM((YEAR(Gastos!$A$2:$A$2500)=CB$1)*(MONTH(Gastos!$A$2:$A$2500)=CB$3)*(Gastos!$B$2:$B$2500=$A8)*(Gastos!$D$2:$D$2500))</f>
        <v>0</v>
      </c>
      <c r="CC8" s="75">
        <f t="array" ref="CC8">SUM((YEAR(Gastos!$A$2:$A$2500)=CC$1)*(MONTH(Gastos!$A$2:$A$2500)=CC$3)*(Gastos!$B$2:$B$2500=$A8)*(Gastos!$D$2:$D$2500))</f>
        <v>0</v>
      </c>
      <c r="CD8" s="75">
        <f t="array" ref="CD8">SUM((YEAR(Gastos!$A$2:$A$2500)=CD$1)*(MONTH(Gastos!$A$2:$A$2500)=CD$3)*(Gastos!$B$2:$B$2500=$A8)*(Gastos!$D$2:$D$2500))</f>
        <v>0</v>
      </c>
      <c r="CE8" s="75">
        <f t="array" ref="CE8">SUM((YEAR(Gastos!$A$2:$A$2500)=CE$1)*(MONTH(Gastos!$A$2:$A$2500)=CE$3)*(Gastos!$B$2:$B$2500=$A8)*(Gastos!$D$2:$D$2500))</f>
        <v>0</v>
      </c>
      <c r="CF8" s="75">
        <f t="array" ref="CF8">SUM((YEAR(Gastos!$A$2:$A$2500)=CF$1)*(MONTH(Gastos!$A$2:$A$2500)=CF$3)*(Gastos!$B$2:$B$2500=$A8)*(Gastos!$D$2:$D$2500))</f>
        <v>0</v>
      </c>
      <c r="CG8" s="75">
        <f t="array" ref="CG8">SUM((YEAR(Gastos!$A$2:$A$2500)=CG$1)*(MONTH(Gastos!$A$2:$A$2500)=CG$3)*(Gastos!$B$2:$B$2500=$A8)*(Gastos!$D$2:$D$2500))</f>
        <v>0</v>
      </c>
      <c r="CH8" s="75">
        <f t="array" ref="CH8">SUM((YEAR(Gastos!$A$2:$A$2500)=CH$1)*(MONTH(Gastos!$A$2:$A$2500)=CH$3)*(Gastos!$B$2:$B$2500=$A8)*(Gastos!$D$2:$D$2500))</f>
        <v>0</v>
      </c>
      <c r="CI8" s="75">
        <f t="array" ref="CI8">SUM((YEAR(Gastos!$A$2:$A$2500)=CI$1)*(MONTH(Gastos!$A$2:$A$2500)=CI$3)*(Gastos!$B$2:$B$2500=$A8)*(Gastos!$D$2:$D$2500))</f>
        <v>0</v>
      </c>
      <c r="CJ8" s="75">
        <f t="array" ref="CJ8">SUM((YEAR(Gastos!$A$2:$A$2500)=CJ$1)*(MONTH(Gastos!$A$2:$A$2500)=CJ$3)*(Gastos!$B$2:$B$2500=$A8)*(Gastos!$D$2:$D$2500))</f>
        <v>0</v>
      </c>
      <c r="CK8" s="75">
        <f t="array" ref="CK8">SUM((YEAR(Gastos!$A$2:$A$2500)=CK$1)*(MONTH(Gastos!$A$2:$A$2500)=CK$3)*(Gastos!$B$2:$B$2500=$A8)*(Gastos!$D$2:$D$2500))</f>
        <v>0</v>
      </c>
      <c r="CL8" s="75">
        <f t="array" ref="CL8">SUM((YEAR(Gastos!$A$2:$A$2500)=CL$1)*(MONTH(Gastos!$A$2:$A$2500)=CL$3)*(Gastos!$B$2:$B$2500=$A8)*(Gastos!$D$2:$D$2500))</f>
        <v>0</v>
      </c>
      <c r="CM8" s="75">
        <f t="array" ref="CM8">SUM((YEAR(Gastos!$A$2:$A$2500)=CM$1)*(MONTH(Gastos!$A$2:$A$2500)=CM$3)*(Gastos!$B$2:$B$2500=$A8)*(Gastos!$D$2:$D$2500))</f>
        <v>0</v>
      </c>
      <c r="CN8" s="75">
        <f t="array" ref="CN8">SUM((YEAR(Gastos!$A$2:$A$2500)=CN$1)*(MONTH(Gastos!$A$2:$A$2500)=CN$3)*(Gastos!$B$2:$B$2500=$A8)*(Gastos!$D$2:$D$2500))</f>
        <v>0</v>
      </c>
      <c r="CO8" s="75">
        <f t="array" ref="CO8">SUM((YEAR(Gastos!$A$2:$A$2500)=CO$1)*(MONTH(Gastos!$A$2:$A$2500)=CO$3)*(Gastos!$B$2:$B$2500=$A8)*(Gastos!$D$2:$D$2500))</f>
        <v>0</v>
      </c>
      <c r="CP8" s="75">
        <f t="array" ref="CP8">SUM((YEAR(Gastos!$A$2:$A$2500)=CP$1)*(MONTH(Gastos!$A$2:$A$2500)=CP$3)*(Gastos!$B$2:$B$2500=$A8)*(Gastos!$D$2:$D$2500))</f>
        <v>0</v>
      </c>
      <c r="CQ8" s="75">
        <f t="array" ref="CQ8">SUM((YEAR(Gastos!$A$2:$A$2500)=CQ$1)*(MONTH(Gastos!$A$2:$A$2500)=CQ$3)*(Gastos!$B$2:$B$2500=$A8)*(Gastos!$D$2:$D$2500))</f>
        <v>0</v>
      </c>
      <c r="CR8" s="75">
        <f t="array" ref="CR8">SUM((YEAR(Gastos!$A$2:$A$2500)=CR$1)*(MONTH(Gastos!$A$2:$A$2500)=CR$3)*(Gastos!$B$2:$B$2500=$A8)*(Gastos!$D$2:$D$2500))</f>
        <v>0</v>
      </c>
      <c r="CS8" s="75">
        <f t="array" ref="CS8">SUM((YEAR(Gastos!$A$2:$A$2500)=CS$1)*(MONTH(Gastos!$A$2:$A$2500)=CS$3)*(Gastos!$B$2:$B$2500=$A8)*(Gastos!$D$2:$D$2500))</f>
        <v>0</v>
      </c>
      <c r="CT8" s="75">
        <f t="array" ref="CT8">SUM((YEAR(Gastos!$A$2:$A$2500)=CT$1)*(MONTH(Gastos!$A$2:$A$2500)=CT$3)*(Gastos!$B$2:$B$2500=$A8)*(Gastos!$D$2:$D$2500))</f>
        <v>0</v>
      </c>
      <c r="CU8" s="75">
        <f t="array" ref="CU8">SUM((YEAR(Gastos!$A$2:$A$2500)=CU$1)*(MONTH(Gastos!$A$2:$A$2500)=CU$3)*(Gastos!$B$2:$B$2500=$A8)*(Gastos!$D$2:$D$2500))</f>
        <v>0</v>
      </c>
      <c r="CV8" s="75">
        <f t="array" ref="CV8">SUM((YEAR(Gastos!$A$2:$A$2500)=CV$1)*(MONTH(Gastos!$A$2:$A$2500)=CV$3)*(Gastos!$B$2:$B$2500=$A8)*(Gastos!$D$2:$D$2500))</f>
        <v>0</v>
      </c>
      <c r="CW8" s="75">
        <f t="array" ref="CW8">SUM((YEAR(Gastos!$A$2:$A$2500)=CW$1)*(MONTH(Gastos!$A$2:$A$2500)=CW$3)*(Gastos!$B$2:$B$2500=$A8)*(Gastos!$D$2:$D$2500))</f>
        <v>0</v>
      </c>
      <c r="CX8" s="75">
        <f t="array" ref="CX8">SUM((YEAR(Gastos!$A$2:$A$2500)=CX$1)*(MONTH(Gastos!$A$2:$A$2500)=CX$3)*(Gastos!$B$2:$B$2500=$A8)*(Gastos!$D$2:$D$2500))</f>
        <v>0</v>
      </c>
      <c r="CY8" s="75">
        <f t="array" ref="CY8">SUM((YEAR(Gastos!$A$2:$A$2500)=CY$1)*(MONTH(Gastos!$A$2:$A$2500)=CY$3)*(Gastos!$B$2:$B$2500=$A8)*(Gastos!$D$2:$D$2500))</f>
        <v>0</v>
      </c>
      <c r="CZ8" s="75">
        <f t="array" ref="CZ8">SUM((YEAR(Gastos!$A$2:$A$2500)=CZ$1)*(MONTH(Gastos!$A$2:$A$2500)=CZ$3)*(Gastos!$B$2:$B$2500=$A8)*(Gastos!$D$2:$D$2500))</f>
        <v>0</v>
      </c>
      <c r="DA8" s="75">
        <f t="array" ref="DA8">SUM((YEAR(Gastos!$A$2:$A$2500)=DA$1)*(MONTH(Gastos!$A$2:$A$2500)=DA$3)*(Gastos!$B$2:$B$2500=$A8)*(Gastos!$D$2:$D$2500))</f>
        <v>0</v>
      </c>
      <c r="DB8" s="75">
        <f t="array" ref="DB8">SUM((YEAR(Gastos!$A$2:$A$2500)=DB$1)*(MONTH(Gastos!$A$2:$A$2500)=DB$3)*(Gastos!$B$2:$B$2500=$A8)*(Gastos!$D$2:$D$2500))</f>
        <v>0</v>
      </c>
      <c r="DC8" s="75">
        <f t="array" ref="DC8">SUM((YEAR(Gastos!$A$2:$A$2500)=DC$1)*(MONTH(Gastos!$A$2:$A$2500)=DC$3)*(Gastos!$B$2:$B$2500=$A8)*(Gastos!$D$2:$D$2500))</f>
        <v>0</v>
      </c>
      <c r="DD8" s="75">
        <f t="array" ref="DD8">SUM((YEAR(Gastos!$A$2:$A$2500)=DD$1)*(MONTH(Gastos!$A$2:$A$2500)=DD$3)*(Gastos!$B$2:$B$2500=$A8)*(Gastos!$D$2:$D$2500))</f>
        <v>0</v>
      </c>
      <c r="DE8" s="75">
        <f t="array" ref="DE8">SUM((YEAR(Gastos!$A$2:$A$2500)=DE$1)*(MONTH(Gastos!$A$2:$A$2500)=DE$3)*(Gastos!$B$2:$B$2500=$A8)*(Gastos!$D$2:$D$2500))</f>
        <v>0</v>
      </c>
      <c r="DF8" s="75">
        <f t="array" ref="DF8">SUM((YEAR(Gastos!$A$2:$A$2500)=DF$1)*(MONTH(Gastos!$A$2:$A$2500)=DF$3)*(Gastos!$B$2:$B$2500=$A8)*(Gastos!$D$2:$D$2500))</f>
        <v>0</v>
      </c>
      <c r="DG8" s="75">
        <f t="array" ref="DG8">SUM((YEAR(Gastos!$A$2:$A$2500)=DG$1)*(MONTH(Gastos!$A$2:$A$2500)=DG$3)*(Gastos!$B$2:$B$2500=$A8)*(Gastos!$D$2:$D$2500))</f>
        <v>0</v>
      </c>
      <c r="DH8" s="75">
        <f t="array" ref="DH8">SUM((YEAR(Gastos!$A$2:$A$2500)=DH$1)*(MONTH(Gastos!$A$2:$A$2500)=DH$3)*(Gastos!$B$2:$B$2500=$A8)*(Gastos!$D$2:$D$2500))</f>
        <v>0</v>
      </c>
      <c r="DI8" s="75">
        <f t="array" ref="DI8">SUM((YEAR(Gastos!$A$2:$A$2500)=DI$1)*(MONTH(Gastos!$A$2:$A$2500)=DI$3)*(Gastos!$B$2:$B$2500=$A8)*(Gastos!$D$2:$D$2500))</f>
        <v>0</v>
      </c>
      <c r="DJ8" s="75">
        <f t="array" ref="DJ8">SUM((YEAR(Gastos!$A$2:$A$2500)=DJ$1)*(MONTH(Gastos!$A$2:$A$2500)=DJ$3)*(Gastos!$B$2:$B$2500=$A8)*(Gastos!$D$2:$D$2500))</f>
        <v>0</v>
      </c>
      <c r="DK8" s="75">
        <f t="array" ref="DK8">SUM((YEAR(Gastos!$A$2:$A$2500)=DK$1)*(MONTH(Gastos!$A$2:$A$2500)=DK$3)*(Gastos!$B$2:$B$2500=$A8)*(Gastos!$D$2:$D$2500))</f>
        <v>0</v>
      </c>
      <c r="DL8" s="75">
        <f t="array" ref="DL8">SUM((YEAR(Gastos!$A$2:$A$2500)=DL$1)*(MONTH(Gastos!$A$2:$A$2500)=DL$3)*(Gastos!$B$2:$B$2500=$A8)*(Gastos!$D$2:$D$2500))</f>
        <v>0</v>
      </c>
      <c r="DM8" s="75">
        <f t="array" ref="DM8">SUM((YEAR(Gastos!$A$2:$A$2500)=DM$1)*(MONTH(Gastos!$A$2:$A$2500)=DM$3)*(Gastos!$B$2:$B$2500=$A8)*(Gastos!$D$2:$D$2500))</f>
        <v>0</v>
      </c>
      <c r="DN8" s="75">
        <f t="array" ref="DN8">SUM((YEAR(Gastos!$A$2:$A$2500)=DN$1)*(MONTH(Gastos!$A$2:$A$2500)=DN$3)*(Gastos!$B$2:$B$2500=$A8)*(Gastos!$D$2:$D$2500))</f>
        <v>0</v>
      </c>
      <c r="DO8" s="75">
        <f t="array" ref="DO8">SUM((YEAR(Gastos!$A$2:$A$2500)=DO$1)*(MONTH(Gastos!$A$2:$A$2500)=DO$3)*(Gastos!$B$2:$B$2500=$A8)*(Gastos!$D$2:$D$2500))</f>
        <v>0</v>
      </c>
      <c r="DP8" s="75">
        <f t="array" ref="DP8">SUM((YEAR(Gastos!$A$2:$A$2500)=DP$1)*(MONTH(Gastos!$A$2:$A$2500)=DP$3)*(Gastos!$B$2:$B$2500=$A8)*(Gastos!$D$2:$D$2500))</f>
        <v>0</v>
      </c>
      <c r="DQ8" s="75">
        <f t="array" ref="DQ8">SUM((YEAR(Gastos!$A$2:$A$2500)=DQ$1)*(MONTH(Gastos!$A$2:$A$2500)=DQ$3)*(Gastos!$B$2:$B$2500=$A8)*(Gastos!$D$2:$D$2500))</f>
        <v>0</v>
      </c>
      <c r="DR8" s="75">
        <f t="array" ref="DR8">SUM((YEAR(Gastos!$A$2:$A$2500)=DR$1)*(MONTH(Gastos!$A$2:$A$2500)=DR$3)*(Gastos!$B$2:$B$2500=$A8)*(Gastos!$D$2:$D$2500))</f>
        <v>0</v>
      </c>
      <c r="DS8" s="75">
        <f t="array" ref="DS8">SUM((YEAR(Gastos!$A$2:$A$2500)=DS$1)*(MONTH(Gastos!$A$2:$A$2500)=DS$3)*(Gastos!$B$2:$B$2500=$A8)*(Gastos!$D$2:$D$2500))</f>
        <v>0</v>
      </c>
      <c r="DT8" s="75">
        <f t="array" ref="DT8">SUM((YEAR(Gastos!$A$2:$A$2500)=DT$1)*(MONTH(Gastos!$A$2:$A$2500)=DT$3)*(Gastos!$B$2:$B$2500=$A8)*(Gastos!$D$2:$D$2500))</f>
        <v>0</v>
      </c>
      <c r="DU8" s="75">
        <f t="array" ref="DU8">SUM((YEAR(Gastos!$A$2:$A$2500)=DU$1)*(MONTH(Gastos!$A$2:$A$2500)=DU$3)*(Gastos!$B$2:$B$2500=$A8)*(Gastos!$D$2:$D$2500))</f>
        <v>0</v>
      </c>
      <c r="DV8" s="75">
        <f t="array" ref="DV8">SUM((YEAR(Gastos!$A$2:$A$2500)=DV$1)*(MONTH(Gastos!$A$2:$A$2500)=DV$3)*(Gastos!$B$2:$B$2500=$A8)*(Gastos!$D$2:$D$2500))</f>
        <v>0</v>
      </c>
      <c r="DW8" s="75">
        <f t="array" ref="DW8">SUM((YEAR(Gastos!$A$2:$A$2500)=DW$1)*(MONTH(Gastos!$A$2:$A$2500)=DW$3)*(Gastos!$B$2:$B$2500=$A8)*(Gastos!$D$2:$D$2500))</f>
        <v>0</v>
      </c>
      <c r="DX8" s="75">
        <f t="array" ref="DX8">SUM((YEAR(Gastos!$A$2:$A$2500)=DX$1)*(MONTH(Gastos!$A$2:$A$2500)=DX$3)*(Gastos!$B$2:$B$2500=$A8)*(Gastos!$D$2:$D$2500))</f>
        <v>0</v>
      </c>
      <c r="DY8" s="75">
        <f t="array" ref="DY8">SUM((YEAR(Gastos!$A$2:$A$2500)=DY$1)*(MONTH(Gastos!$A$2:$A$2500)=DY$3)*(Gastos!$B$2:$B$2500=$A8)*(Gastos!$D$2:$D$2500))</f>
        <v>0</v>
      </c>
      <c r="DZ8" s="75">
        <f t="array" ref="DZ8">SUM((YEAR(Gastos!$A$2:$A$2500)=DZ$1)*(MONTH(Gastos!$A$2:$A$2500)=DZ$3)*(Gastos!$B$2:$B$2500=$A8)*(Gastos!$D$2:$D$2500))</f>
        <v>0</v>
      </c>
      <c r="EA8" s="75">
        <f t="array" ref="EA8">SUM((YEAR(Gastos!$A$2:$A$2500)=EA$1)*(MONTH(Gastos!$A$2:$A$2500)=EA$3)*(Gastos!$B$2:$B$2500=$A8)*(Gastos!$D$2:$D$2500))</f>
        <v>0</v>
      </c>
      <c r="EB8" s="75">
        <f t="array" ref="EB8">SUM((YEAR(Gastos!$A$2:$A$2500)=EB$1)*(MONTH(Gastos!$A$2:$A$2500)=EB$3)*(Gastos!$B$2:$B$2500=$A8)*(Gastos!$D$2:$D$2500))</f>
        <v>0</v>
      </c>
      <c r="EC8" s="75">
        <f t="array" ref="EC8">SUM((YEAR(Gastos!$A$2:$A$2500)=EC$1)*(MONTH(Gastos!$A$2:$A$2500)=EC$3)*(Gastos!$B$2:$B$2500=$A8)*(Gastos!$D$2:$D$2500))</f>
        <v>0</v>
      </c>
      <c r="ED8" s="75">
        <f t="array" ref="ED8">SUM((YEAR(Gastos!$A$2:$A$2500)=ED$1)*(MONTH(Gastos!$A$2:$A$2500)=ED$3)*(Gastos!$B$2:$B$2500=$A8)*(Gastos!$D$2:$D$2500))</f>
        <v>0</v>
      </c>
      <c r="EE8" s="75">
        <f t="array" ref="EE8">SUM((YEAR(Gastos!$A$2:$A$2500)=EE$1)*(MONTH(Gastos!$A$2:$A$2500)=EE$3)*(Gastos!$B$2:$B$2500=$A8)*(Gastos!$D$2:$D$2500))</f>
        <v>0</v>
      </c>
      <c r="EF8" s="75">
        <f t="array" ref="EF8">SUM((YEAR(Gastos!$A$2:$A$2500)=EF$1)*(MONTH(Gastos!$A$2:$A$2500)=EF$3)*(Gastos!$B$2:$B$2500=$A8)*(Gastos!$D$2:$D$2500))</f>
        <v>0</v>
      </c>
      <c r="EG8" s="75">
        <f t="array" ref="EG8">SUM((YEAR(Gastos!$A$2:$A$2500)=EG$1)*(MONTH(Gastos!$A$2:$A$2500)=EG$3)*(Gastos!$B$2:$B$2500=$A8)*(Gastos!$D$2:$D$2500))</f>
        <v>0</v>
      </c>
      <c r="EH8" s="75">
        <f t="array" ref="EH8">SUM((YEAR(Gastos!$A$2:$A$2500)=EH$1)*(MONTH(Gastos!$A$2:$A$2500)=EH$3)*(Gastos!$B$2:$B$2500=$A8)*(Gastos!$D$2:$D$2500))</f>
        <v>0</v>
      </c>
      <c r="EI8" s="75">
        <f t="array" ref="EI8">SUM((YEAR(Gastos!$A$2:$A$2500)=EI$1)*(MONTH(Gastos!$A$2:$A$2500)=EI$3)*(Gastos!$B$2:$B$2500=$A8)*(Gastos!$D$2:$D$2500))</f>
        <v>0</v>
      </c>
      <c r="EJ8" s="75">
        <f t="array" ref="EJ8">SUM((YEAR(Gastos!$A$2:$A$2500)=EJ$1)*(MONTH(Gastos!$A$2:$A$2500)=EJ$3)*(Gastos!$B$2:$B$2500=$A8)*(Gastos!$D$2:$D$2500))</f>
        <v>0</v>
      </c>
      <c r="EK8" s="75">
        <f t="array" ref="EK8">SUM((YEAR(Gastos!$A$2:$A$2500)=EK$1)*(MONTH(Gastos!$A$2:$A$2500)=EK$3)*(Gastos!$B$2:$B$2500=$A8)*(Gastos!$D$2:$D$2500))</f>
        <v>0</v>
      </c>
      <c r="EL8" s="75">
        <f t="array" ref="EL8">SUM((YEAR(Gastos!$A$2:$A$2500)=EL$1)*(MONTH(Gastos!$A$2:$A$2500)=EL$3)*(Gastos!$B$2:$B$2500=$A8)*(Gastos!$D$2:$D$2500))</f>
        <v>0</v>
      </c>
      <c r="EM8" s="75">
        <f t="array" ref="EM8">SUM((YEAR(Gastos!$A$2:$A$2500)=EM$1)*(MONTH(Gastos!$A$2:$A$2500)=EM$3)*(Gastos!$B$2:$B$2500=$A8)*(Gastos!$D$2:$D$2500))</f>
        <v>0</v>
      </c>
      <c r="EN8" s="75">
        <f t="array" ref="EN8">SUM((YEAR(Gastos!$A$2:$A$2500)=EN$1)*(MONTH(Gastos!$A$2:$A$2500)=EN$3)*(Gastos!$B$2:$B$2500=$A8)*(Gastos!$D$2:$D$2500))</f>
        <v>0</v>
      </c>
      <c r="EO8" s="75">
        <f t="array" ref="EO8">SUM((YEAR(Gastos!$A$2:$A$2500)=EO$1)*(MONTH(Gastos!$A$2:$A$2500)=EO$3)*(Gastos!$B$2:$B$2500=$A8)*(Gastos!$D$2:$D$2500))</f>
        <v>0</v>
      </c>
      <c r="EP8" s="75">
        <f t="array" ref="EP8">SUM((YEAR(Gastos!$A$2:$A$2500)=EP$1)*(MONTH(Gastos!$A$2:$A$2500)=EP$3)*(Gastos!$B$2:$B$2500=$A8)*(Gastos!$D$2:$D$2500))</f>
        <v>0</v>
      </c>
      <c r="EQ8" s="75">
        <f t="array" ref="EQ8">SUM((YEAR(Gastos!$A$2:$A$2500)=EQ$1)*(MONTH(Gastos!$A$2:$A$2500)=EQ$3)*(Gastos!$B$2:$B$2500=$A8)*(Gastos!$D$2:$D$2500))</f>
        <v>0</v>
      </c>
      <c r="ER8" s="75">
        <f t="array" ref="ER8">SUM((YEAR(Gastos!$A$2:$A$2500)=ER$1)*(MONTH(Gastos!$A$2:$A$2500)=ER$3)*(Gastos!$B$2:$B$2500=$A8)*(Gastos!$D$2:$D$2500))</f>
        <v>0</v>
      </c>
      <c r="ES8" s="75">
        <f t="array" ref="ES8">SUM((YEAR(Gastos!$A$2:$A$2500)=ES$1)*(MONTH(Gastos!$A$2:$A$2500)=ES$3)*(Gastos!$B$2:$B$2500=$A8)*(Gastos!$D$2:$D$2500))</f>
        <v>0</v>
      </c>
      <c r="ET8" s="75">
        <f t="array" ref="ET8">SUM((YEAR(Gastos!$A$2:$A$2500)=ET$1)*(MONTH(Gastos!$A$2:$A$2500)=ET$3)*(Gastos!$B$2:$B$2500=$A8)*(Gastos!$D$2:$D$2500))</f>
        <v>0</v>
      </c>
      <c r="EU8" s="75">
        <f t="array" ref="EU8">SUM((YEAR(Gastos!$A$2:$A$2500)=EU$1)*(MONTH(Gastos!$A$2:$A$2500)=EU$3)*(Gastos!$B$2:$B$2500=$A8)*(Gastos!$D$2:$D$2500))</f>
        <v>0</v>
      </c>
      <c r="EV8" s="75">
        <f t="array" ref="EV8">SUM((YEAR(Gastos!$A$2:$A$2500)=EV$1)*(MONTH(Gastos!$A$2:$A$2500)=EV$3)*(Gastos!$B$2:$B$2500=$A8)*(Gastos!$D$2:$D$2500))</f>
        <v>0</v>
      </c>
      <c r="EW8" s="75">
        <f t="array" ref="EW8">SUM((YEAR(Gastos!$A$2:$A$2500)=EW$1)*(MONTH(Gastos!$A$2:$A$2500)=EW$3)*(Gastos!$B$2:$B$2500=$A8)*(Gastos!$D$2:$D$2500))</f>
        <v>0</v>
      </c>
      <c r="EX8" s="75">
        <f t="array" ref="EX8">SUM((YEAR(Gastos!$A$2:$A$2500)=EX$1)*(MONTH(Gastos!$A$2:$A$2500)=EX$3)*(Gastos!$B$2:$B$2500=$A8)*(Gastos!$D$2:$D$2500))</f>
        <v>0</v>
      </c>
      <c r="EY8" s="75">
        <f t="array" ref="EY8">SUM((YEAR(Gastos!$A$2:$A$2500)=EY$1)*(MONTH(Gastos!$A$2:$A$2500)=EY$3)*(Gastos!$B$2:$B$2500=$A8)*(Gastos!$D$2:$D$2500))</f>
        <v>0</v>
      </c>
      <c r="EZ8" s="75">
        <f t="array" ref="EZ8">SUM((YEAR(Gastos!$A$2:$A$2500)=EZ$1)*(MONTH(Gastos!$A$2:$A$2500)=EZ$3)*(Gastos!$B$2:$B$2500=$A8)*(Gastos!$D$2:$D$2500))</f>
        <v>0</v>
      </c>
      <c r="FA8" s="75">
        <f t="array" ref="FA8">SUM((YEAR(Gastos!$A$2:$A$2500)=FA$1)*(MONTH(Gastos!$A$2:$A$2500)=FA$3)*(Gastos!$B$2:$B$2500=$A8)*(Gastos!$D$2:$D$2500))</f>
        <v>0</v>
      </c>
      <c r="FB8" s="75">
        <f t="array" ref="FB8">SUM((YEAR(Gastos!$A$2:$A$2500)=FB$1)*(MONTH(Gastos!$A$2:$A$2500)=FB$3)*(Gastos!$B$2:$B$2500=$A8)*(Gastos!$D$2:$D$2500))</f>
        <v>0</v>
      </c>
      <c r="FC8" s="75">
        <f t="array" ref="FC8">SUM((YEAR(Gastos!$A$2:$A$2500)=FC$1)*(MONTH(Gastos!$A$2:$A$2500)=FC$3)*(Gastos!$B$2:$B$2500=$A8)*(Gastos!$D$2:$D$2500))</f>
        <v>0</v>
      </c>
      <c r="FD8" s="75">
        <f t="array" ref="FD8">SUM((YEAR(Gastos!$A$2:$A$2500)=FD$1)*(MONTH(Gastos!$A$2:$A$2500)=FD$3)*(Gastos!$B$2:$B$2500=$A8)*(Gastos!$D$2:$D$2500))</f>
        <v>0</v>
      </c>
      <c r="FE8" s="75">
        <f t="array" ref="FE8">SUM((YEAR(Gastos!$A$2:$A$2500)=FE$1)*(MONTH(Gastos!$A$2:$A$2500)=FE$3)*(Gastos!$B$2:$B$2500=$A8)*(Gastos!$D$2:$D$2500))</f>
        <v>0</v>
      </c>
      <c r="FF8" s="75">
        <f t="array" ref="FF8">SUM((YEAR(Gastos!$A$2:$A$2500)=FF$1)*(MONTH(Gastos!$A$2:$A$2500)=FF$3)*(Gastos!$B$2:$B$2500=$A8)*(Gastos!$D$2:$D$2500))</f>
        <v>0</v>
      </c>
      <c r="FG8" s="75">
        <f t="array" ref="FG8">SUM((YEAR(Gastos!$A$2:$A$2500)=FG$1)*(MONTH(Gastos!$A$2:$A$2500)=FG$3)*(Gastos!$B$2:$B$2500=$A8)*(Gastos!$D$2:$D$2500))</f>
        <v>0</v>
      </c>
      <c r="FH8" s="75">
        <f t="array" ref="FH8">SUM((YEAR(Gastos!$A$2:$A$2500)=FH$1)*(MONTH(Gastos!$A$2:$A$2500)=FH$3)*(Gastos!$B$2:$B$2500=$A8)*(Gastos!$D$2:$D$2500))</f>
        <v>0</v>
      </c>
      <c r="FI8" s="75">
        <f t="array" ref="FI8">SUM((YEAR(Gastos!$A$2:$A$2500)=FI$1)*(MONTH(Gastos!$A$2:$A$2500)=FI$3)*(Gastos!$B$2:$B$2500=$A8)*(Gastos!$D$2:$D$2500))</f>
        <v>0</v>
      </c>
      <c r="FJ8" s="75">
        <f t="array" ref="FJ8">SUM((YEAR(Gastos!$A$2:$A$2500)=FJ$1)*(MONTH(Gastos!$A$2:$A$2500)=FJ$3)*(Gastos!$B$2:$B$2500=$A8)*(Gastos!$D$2:$D$2500))</f>
        <v>0</v>
      </c>
      <c r="FK8" s="75">
        <f t="array" ref="FK8">SUM((YEAR(Gastos!$A$2:$A$2500)=FK$1)*(MONTH(Gastos!$A$2:$A$2500)=FK$3)*(Gastos!$B$2:$B$2500=$A8)*(Gastos!$D$2:$D$2500))</f>
        <v>0</v>
      </c>
      <c r="FL8" s="75">
        <f t="array" ref="FL8">SUM((YEAR(Gastos!$A$2:$A$2500)=FL$1)*(MONTH(Gastos!$A$2:$A$2500)=FL$3)*(Gastos!$B$2:$B$2500=$A8)*(Gastos!$D$2:$D$2500))</f>
        <v>0</v>
      </c>
      <c r="FM8" s="75">
        <f t="array" ref="FM8">SUM((YEAR(Gastos!$A$2:$A$2500)=FM$1)*(MONTH(Gastos!$A$2:$A$2500)=FM$3)*(Gastos!$B$2:$B$2500=$A8)*(Gastos!$D$2:$D$2500))</f>
        <v>0</v>
      </c>
      <c r="FN8" s="75">
        <f t="array" ref="FN8">SUM((YEAR(Gastos!$A$2:$A$2500)=FN$1)*(MONTH(Gastos!$A$2:$A$2500)=FN$3)*(Gastos!$B$2:$B$2500=$A8)*(Gastos!$D$2:$D$2500))</f>
        <v>0</v>
      </c>
      <c r="FO8" s="75">
        <f t="array" ref="FO8">SUM((YEAR(Gastos!$A$2:$A$2500)=FO$1)*(MONTH(Gastos!$A$2:$A$2500)=FO$3)*(Gastos!$B$2:$B$2500=$A8)*(Gastos!$D$2:$D$2500))</f>
        <v>0</v>
      </c>
      <c r="FP8" s="75">
        <f t="array" ref="FP8">SUM((YEAR(Gastos!$A$2:$A$2500)=FP$1)*(MONTH(Gastos!$A$2:$A$2500)=FP$3)*(Gastos!$B$2:$B$2500=$A8)*(Gastos!$D$2:$D$2500))</f>
        <v>0</v>
      </c>
      <c r="FQ8" s="75">
        <f t="array" ref="FQ8">SUM((YEAR(Gastos!$A$2:$A$2500)=FQ$1)*(MONTH(Gastos!$A$2:$A$2500)=FQ$3)*(Gastos!$B$2:$B$2500=$A8)*(Gastos!$D$2:$D$2500))</f>
        <v>0</v>
      </c>
      <c r="FR8" s="75">
        <f t="array" ref="FR8">SUM((YEAR(Gastos!$A$2:$A$2500)=FR$1)*(MONTH(Gastos!$A$2:$A$2500)=FR$3)*(Gastos!$B$2:$B$2500=$A8)*(Gastos!$D$2:$D$2500))</f>
        <v>0</v>
      </c>
      <c r="FS8" s="75">
        <f t="array" ref="FS8">SUM((YEAR(Gastos!$A$2:$A$2500)=FS$1)*(MONTH(Gastos!$A$2:$A$2500)=FS$3)*(Gastos!$B$2:$B$2500=$A8)*(Gastos!$D$2:$D$2500))</f>
        <v>0</v>
      </c>
      <c r="FT8" s="75">
        <f t="array" ref="FT8">SUM((YEAR(Gastos!$A$2:$A$2500)=FT$1)*(MONTH(Gastos!$A$2:$A$2500)=FT$3)*(Gastos!$B$2:$B$2500=$A8)*(Gastos!$D$2:$D$2500))</f>
        <v>0</v>
      </c>
      <c r="FU8" s="75">
        <f t="array" ref="FU8">SUM((YEAR(Gastos!$A$2:$A$2500)=FU$1)*(MONTH(Gastos!$A$2:$A$2500)=FU$3)*(Gastos!$B$2:$B$2500=$A8)*(Gastos!$D$2:$D$2500))</f>
        <v>0</v>
      </c>
      <c r="FV8" s="75">
        <f t="array" ref="FV8">SUM((YEAR(Gastos!$A$2:$A$2500)=FV$1)*(MONTH(Gastos!$A$2:$A$2500)=FV$3)*(Gastos!$B$2:$B$2500=$A8)*(Gastos!$D$2:$D$2500))</f>
        <v>0</v>
      </c>
      <c r="FW8" s="75">
        <f t="array" ref="FW8">SUM((YEAR(Gastos!$A$2:$A$2500)=FW$1)*(MONTH(Gastos!$A$2:$A$2500)=FW$3)*(Gastos!$B$2:$B$2500=$A8)*(Gastos!$D$2:$D$2500))</f>
        <v>0</v>
      </c>
      <c r="FX8" s="75">
        <f t="array" ref="FX8">SUM((YEAR(Gastos!$A$2:$A$2500)=FX$1)*(MONTH(Gastos!$A$2:$A$2500)=FX$3)*(Gastos!$B$2:$B$2500=$A8)*(Gastos!$D$2:$D$2500))</f>
        <v>0</v>
      </c>
      <c r="FY8" s="75">
        <f t="array" ref="FY8">SUM((YEAR(Gastos!$A$2:$A$2500)=FY$1)*(MONTH(Gastos!$A$2:$A$2500)=FY$3)*(Gastos!$B$2:$B$2500=$A8)*(Gastos!$D$2:$D$2500))</f>
        <v>0</v>
      </c>
      <c r="FZ8" s="76">
        <f t="shared" si="65"/>
        <v>26.559999999999995</v>
      </c>
      <c r="GA8" s="80"/>
      <c r="GB8" s="78">
        <f t="shared" si="66"/>
        <v>4.96</v>
      </c>
      <c r="GF8" s="79">
        <f t="array" ref="GF8">SUM(((Gastos!$A$2:$A$1647)&gt;=GD$3)*((Gastos!$A$2:$A$1647)&lt;=GF$3)*(Gastos!$B$2:$B$1647=$A8)*(Gastos!$D$2:$D$1647))</f>
        <v>4.96</v>
      </c>
      <c r="GI8" s="79">
        <f t="array" ref="GI8">SUM(((Gastos!$A$2:$A$1647)&gt;=GG$3)*((Gastos!$A$2:$A$1647)&lt;=GI$3)*(Gastos!$B$2:$B$1647=$A8)*(Gastos!$D$2:$D$1647))</f>
        <v>0</v>
      </c>
      <c r="GL8" s="99">
        <f>BF120</f>
        <v>2018</v>
      </c>
      <c r="GM8" s="103">
        <f>BG120</f>
        <v>279334.59999999998</v>
      </c>
      <c r="GN8" s="103">
        <f>BH120</f>
        <v>94718.739999999991</v>
      </c>
      <c r="GO8" s="103">
        <f>BI120</f>
        <v>126252.83</v>
      </c>
      <c r="GP8" s="104">
        <v>583922.47</v>
      </c>
      <c r="GQ8" s="103">
        <f t="shared" si="64"/>
        <v>500306.17</v>
      </c>
    </row>
    <row r="9" spans="1:201" ht="15" thickBot="1" x14ac:dyDescent="0.4">
      <c r="A9" s="74" t="str">
        <f>Gastos!AA7</f>
        <v>F. IVA SERV BANCA INTERNET</v>
      </c>
      <c r="B9" s="75">
        <f t="array" ref="B9">SUM((YEAR(Gastos!$A$2:$A$2500)=B$1)*(MONTH(Gastos!$A$2:$A$2500)=B$3)*(Gastos!$B$2:$B$2500=$A9)*(Gastos!$D$2:$D$2500))</f>
        <v>35.200000000000003</v>
      </c>
      <c r="C9" s="75">
        <f t="array" ref="C9">SUM((YEAR(Gastos!$A$2:$A$2500)=C$1)*(MONTH(Gastos!$A$2:$A$2500)=C$3)*(Gastos!$B$2:$B$2500=$A9)*(Gastos!$D$2:$D$2500))</f>
        <v>35.200000000000003</v>
      </c>
      <c r="D9" s="75">
        <f t="array" ref="D9">SUM((YEAR(Gastos!$A$2:$A$2500)=D$1)*(MONTH(Gastos!$A$2:$A$2500)=D$3)*(Gastos!$B$2:$B$2500=$A9)*(Gastos!$D$2:$D$2500))</f>
        <v>35.200000000000003</v>
      </c>
      <c r="E9" s="75">
        <f t="array" ref="E9">SUM((YEAR(Gastos!$A$2:$A$2500)=E$1)*(MONTH(Gastos!$A$2:$A$2500)=E$3)*(Gastos!$B$2:$B$2500=$A9)*(Gastos!$D$2:$D$2500))</f>
        <v>0</v>
      </c>
      <c r="F9" s="75">
        <f t="array" ref="F9">SUM((YEAR(Gastos!$A$2:$A$2500)=F$1)*(MONTH(Gastos!$A$2:$A$2500)=F$3)*(Gastos!$B$2:$B$2500=$A9)*(Gastos!$D$2:$D$2500))</f>
        <v>35.200000000000003</v>
      </c>
      <c r="G9" s="75">
        <f t="array" ref="G9">SUM((YEAR(Gastos!$A$2:$A$2500)=G$1)*(MONTH(Gastos!$A$2:$A$2500)=G$3)*(Gastos!$B$2:$B$2500=$A9)*(Gastos!$D$2:$D$2500))</f>
        <v>39.520000000000003</v>
      </c>
      <c r="H9" s="75">
        <f t="array" ref="H9">SUM((YEAR(Gastos!$A$2:$A$2500)=H$1)*(MONTH(Gastos!$A$2:$A$2500)=H$3)*(Gastos!$B$2:$B$2500=$A9)*(Gastos!$D$2:$D$2500))</f>
        <v>40</v>
      </c>
      <c r="I9" s="75">
        <f t="array" ref="I9">SUM((YEAR(Gastos!$A$2:$A$2500)=I$1)*(MONTH(Gastos!$A$2:$A$2500)=I$3)*(Gastos!$B$2:$B$2500=$A9)*(Gastos!$D$2:$D$2500))</f>
        <v>40</v>
      </c>
      <c r="J9" s="75">
        <f t="array" ref="J9">SUM((YEAR(Gastos!$A$2:$A$2500)=J$1)*(MONTH(Gastos!$A$2:$A$2500)=J$3)*(Gastos!$B$2:$B$2500=$A9)*(Gastos!$D$2:$D$2500))</f>
        <v>41.6</v>
      </c>
      <c r="K9" s="75">
        <f t="array" ref="K9">SUM((YEAR(Gastos!$A$2:$A$2500)=K$1)*(MONTH(Gastos!$A$2:$A$2500)=K$3)*(Gastos!$B$2:$B$2500=$A9)*(Gastos!$D$2:$D$2500))</f>
        <v>41.6</v>
      </c>
      <c r="L9" s="75">
        <f t="array" ref="L9">SUM((YEAR(Gastos!$A$2:$A$2500)=L$1)*(MONTH(Gastos!$A$2:$A$2500)=L$3)*(Gastos!$B$2:$B$2500=$A9)*(Gastos!$D$2:$D$2500))</f>
        <v>37.6</v>
      </c>
      <c r="M9" s="75">
        <f t="array" ref="M9">SUM((YEAR(Gastos!$A$2:$A$2500)=M$1)*(MONTH(Gastos!$A$2:$A$2500)=M$3)*(Gastos!$B$2:$B$2500=$A9)*(Gastos!$D$2:$D$2500))</f>
        <v>40</v>
      </c>
      <c r="N9" s="75">
        <f t="array" ref="N9">SUM((YEAR(Gastos!$A$2:$A$2500)=N$1)*(MONTH(Gastos!$A$2:$A$2500)=N$3)*(Gastos!$B$2:$B$2500=$A9)*(Gastos!$D$2:$D$2500))</f>
        <v>42.4</v>
      </c>
      <c r="O9" s="75">
        <f t="array" ref="O9">SUM((YEAR(Gastos!$A$2:$A$2500)=O$1)*(MONTH(Gastos!$A$2:$A$2500)=O$3)*(Gastos!$B$2:$B$2500=$A9)*(Gastos!$D$2:$D$2500))</f>
        <v>38.4</v>
      </c>
      <c r="P9" s="75">
        <f t="array" ref="P9">SUM((YEAR(Gastos!$A$2:$A$2500)=P$1)*(MONTH(Gastos!$A$2:$A$2500)=P$3)*(Gastos!$B$2:$B$2500=$A9)*(Gastos!$D$2:$D$2500))</f>
        <v>38.4</v>
      </c>
      <c r="Q9" s="75">
        <f t="array" ref="Q9">SUM((YEAR(Gastos!$A$2:$A$2500)=Q$1)*(MONTH(Gastos!$A$2:$A$2500)=Q$3)*(Gastos!$B$2:$B$2500=$A9)*(Gastos!$D$2:$D$2500))</f>
        <v>39.200000000000003</v>
      </c>
      <c r="R9" s="75">
        <f t="array" ref="R9">SUM((YEAR(Gastos!$A$2:$A$2500)=R$1)*(MONTH(Gastos!$A$2:$A$2500)=R$3)*(Gastos!$B$2:$B$2500=$A9)*(Gastos!$D$2:$D$2500))</f>
        <v>39.200000000000003</v>
      </c>
      <c r="S9" s="75">
        <f t="array" ref="S9">SUM((YEAR(Gastos!$A$2:$A$2500)=S$1)*(MONTH(Gastos!$A$2:$A$2500)=S$3)*(Gastos!$B$2:$B$2500=$A9)*(Gastos!$D$2:$D$2500))</f>
        <v>40.799999999999997</v>
      </c>
      <c r="T9" s="75">
        <f t="array" ref="T9">SUM((YEAR(Gastos!$A$2:$A$2500)=T$1)*(MONTH(Gastos!$A$2:$A$2500)=T$3)*(Gastos!$B$2:$B$2500=$A9)*(Gastos!$D$2:$D$2500))</f>
        <v>38.4</v>
      </c>
      <c r="U9" s="75">
        <f t="array" ref="U9">SUM((YEAR(Gastos!$A$2:$A$2500)=U$1)*(MONTH(Gastos!$A$2:$A$2500)=U$3)*(Gastos!$B$2:$B$2500=$A9)*(Gastos!$D$2:$D$2500))</f>
        <v>42.4</v>
      </c>
      <c r="V9" s="75">
        <f t="array" ref="V9">SUM((YEAR(Gastos!$A$2:$A$2500)=V$1)*(MONTH(Gastos!$A$2:$A$2500)=V$3)*(Gastos!$B$2:$B$2500=$A9)*(Gastos!$D$2:$D$2500))</f>
        <v>48.8</v>
      </c>
      <c r="W9" s="75">
        <f t="array" ref="W9">SUM((YEAR(Gastos!$A$2:$A$2500)=W$1)*(MONTH(Gastos!$A$2:$A$2500)=W$3)*(Gastos!$B$2:$B$2500=$A9)*(Gastos!$D$2:$D$2500))</f>
        <v>44</v>
      </c>
      <c r="X9" s="75">
        <f t="array" ref="X9">SUM((YEAR(Gastos!$A$2:$A$2500)=X$1)*(MONTH(Gastos!$A$2:$A$2500)=X$3)*(Gastos!$B$2:$B$2500=$A9)*(Gastos!$D$2:$D$2500))</f>
        <v>44.8</v>
      </c>
      <c r="Y9" s="75">
        <f t="array" ref="Y9">SUM((YEAR(Gastos!$A$2:$A$2500)=Y$1)*(MONTH(Gastos!$A$2:$A$2500)=Y$3)*(Gastos!$B$2:$B$2500=$A9)*(Gastos!$D$2:$D$2500))</f>
        <v>44.8</v>
      </c>
      <c r="Z9" s="75">
        <f t="array" ref="Z9">SUM((YEAR(Gastos!$A$2:$A$2500)=Z$1)*(MONTH(Gastos!$A$2:$A$2500)=Z$3)*(Gastos!$B$2:$B$2500=$A9)*(Gastos!$D$2:$D$2500))</f>
        <v>44</v>
      </c>
      <c r="AA9" s="75">
        <f t="array" ref="AA9">SUM((YEAR(Gastos!$A$2:$A$2500)=AA$1)*(MONTH(Gastos!$A$2:$A$2500)=AA$3)*(Gastos!$B$2:$B$2500=$A9)*(Gastos!$D$2:$D$2500))</f>
        <v>42.4</v>
      </c>
      <c r="AB9" s="75">
        <f t="array" ref="AB9">SUM((YEAR(Gastos!$A$2:$A$2500)=AB$1)*(MONTH(Gastos!$A$2:$A$2500)=AB$3)*(Gastos!$B$2:$B$2500=$A9)*(Gastos!$D$2:$D$2500))</f>
        <v>43.2</v>
      </c>
      <c r="AC9" s="75">
        <f t="array" ref="AC9">SUM((YEAR(Gastos!$A$2:$A$2500)=AC$1)*(MONTH(Gastos!$A$2:$A$2500)=AC$3)*(Gastos!$B$2:$B$2500=$A9)*(Gastos!$D$2:$D$2500))</f>
        <v>45.6</v>
      </c>
      <c r="AD9" s="75">
        <f t="array" ref="AD9">SUM((YEAR(Gastos!$A$2:$A$2500)=AD$1)*(MONTH(Gastos!$A$2:$A$2500)=AD$3)*(Gastos!$B$2:$B$2500=$A9)*(Gastos!$D$2:$D$2500))</f>
        <v>41.6</v>
      </c>
      <c r="AE9" s="75">
        <f t="array" ref="AE9">SUM((YEAR(Gastos!$A$2:$A$2500)=AE$1)*(MONTH(Gastos!$A$2:$A$2500)=AE$3)*(Gastos!$B$2:$B$2500=$A9)*(Gastos!$D$2:$D$2500))</f>
        <v>44.8</v>
      </c>
      <c r="AF9" s="75">
        <f t="array" ref="AF9">SUM((YEAR(Gastos!$A$2:$A$2500)=AF$1)*(MONTH(Gastos!$A$2:$A$2500)=AF$3)*(Gastos!$B$2:$B$2500=$A9)*(Gastos!$D$2:$D$2500))</f>
        <v>43.2</v>
      </c>
      <c r="AG9" s="75">
        <f t="array" ref="AG9">SUM((YEAR(Gastos!$A$2:$A$2500)=AG$1)*(MONTH(Gastos!$A$2:$A$2500)=AG$3)*(Gastos!$B$2:$B$2500=$A9)*(Gastos!$D$2:$D$2500))</f>
        <v>44.8</v>
      </c>
      <c r="AH9" s="75">
        <f t="array" ref="AH9">SUM((YEAR(Gastos!$A$2:$A$2500)=AH$1)*(MONTH(Gastos!$A$2:$A$2500)=AH$3)*(Gastos!$B$2:$B$2500=$A9)*(Gastos!$D$2:$D$2500))</f>
        <v>42.4</v>
      </c>
      <c r="AI9" s="75">
        <f t="array" ref="AI9">SUM((YEAR(Gastos!$A$2:$A$2500)=AI$1)*(MONTH(Gastos!$A$2:$A$2500)=AI$3)*(Gastos!$B$2:$B$2500=$A9)*(Gastos!$D$2:$D$2500))</f>
        <v>43.2</v>
      </c>
      <c r="AJ9" s="75">
        <f t="array" ref="AJ9">SUM((YEAR(Gastos!$A$2:$A$2500)=AJ$1)*(MONTH(Gastos!$A$2:$A$2500)=AJ$3)*(Gastos!$B$2:$B$2500=$A9)*(Gastos!$D$2:$D$2500))</f>
        <v>44</v>
      </c>
      <c r="AK9" s="75">
        <f t="array" ref="AK9">SUM((YEAR(Gastos!$A$2:$A$2500)=AK$1)*(MONTH(Gastos!$A$2:$A$2500)=AK$3)*(Gastos!$B$2:$B$2500=$A9)*(Gastos!$D$2:$D$2500))</f>
        <v>46.08</v>
      </c>
      <c r="AL9" s="75">
        <f t="array" ref="AL9">SUM((YEAR(Gastos!$A$2:$A$2500)=AL$1)*(MONTH(Gastos!$A$2:$A$2500)=AL$3)*(Gastos!$B$2:$B$2500=$A9)*(Gastos!$D$2:$D$2500))</f>
        <v>41.6</v>
      </c>
      <c r="AM9" s="75">
        <f t="array" ref="AM9">SUM((YEAR(Gastos!$A$2:$A$2500)=AM$1)*(MONTH(Gastos!$A$2:$A$2500)=AM$3)*(Gastos!$B$2:$B$2500=$A9)*(Gastos!$D$2:$D$2500))</f>
        <v>44.8</v>
      </c>
      <c r="AN9" s="75">
        <f t="array" ref="AN9">SUM((YEAR(Gastos!$A$2:$A$2500)=AN$1)*(MONTH(Gastos!$A$2:$A$2500)=AN$3)*(Gastos!$B$2:$B$2500=$A9)*(Gastos!$D$2:$D$2500))</f>
        <v>42.4</v>
      </c>
      <c r="AO9" s="75">
        <f t="array" ref="AO9">SUM((YEAR(Gastos!$A$2:$A$2500)=AO$1)*(MONTH(Gastos!$A$2:$A$2500)=AO$3)*(Gastos!$B$2:$B$2500=$A9)*(Gastos!$D$2:$D$2500))</f>
        <v>42.4</v>
      </c>
      <c r="AP9" s="75">
        <f t="array" ref="AP9">SUM((YEAR(Gastos!$A$2:$A$2500)=AP$1)*(MONTH(Gastos!$A$2:$A$2500)=AP$3)*(Gastos!$B$2:$B$2500=$A9)*(Gastos!$D$2:$D$2500))</f>
        <v>43.2</v>
      </c>
      <c r="AQ9" s="75">
        <f t="array" ref="AQ9">SUM((YEAR(Gastos!$A$2:$A$2500)=AQ$1)*(MONTH(Gastos!$A$2:$A$2500)=AQ$3)*(Gastos!$B$2:$B$2500=$A9)*(Gastos!$D$2:$D$2500))</f>
        <v>43.2</v>
      </c>
      <c r="AR9" s="75">
        <f t="array" ref="AR9">SUM((YEAR(Gastos!$A$2:$A$2500)=AR$1)*(MONTH(Gastos!$A$2:$A$2500)=AR$3)*(Gastos!$B$2:$B$2500=$A9)*(Gastos!$D$2:$D$2500))</f>
        <v>43.2</v>
      </c>
      <c r="AS9" s="75">
        <f t="array" ref="AS9">SUM((YEAR(Gastos!$A$2:$A$2500)=AS$1)*(MONTH(Gastos!$A$2:$A$2500)=AS$3)*(Gastos!$B$2:$B$2500=$A9)*(Gastos!$D$2:$D$2500))</f>
        <v>41.76</v>
      </c>
      <c r="AT9" s="75">
        <f t="array" ref="AT9">SUM((YEAR(Gastos!$A$2:$A$2500)=AT$1)*(MONTH(Gastos!$A$2:$A$2500)=AT$3)*(Gastos!$B$2:$B$2500=$A9)*(Gastos!$D$2:$D$2500))</f>
        <v>40.799999999999997</v>
      </c>
      <c r="AU9" s="75">
        <f t="array" ref="AU9">SUM((YEAR(Gastos!$A$2:$A$2500)=AU$1)*(MONTH(Gastos!$A$2:$A$2500)=AU$3)*(Gastos!$B$2:$B$2500=$A9)*(Gastos!$D$2:$D$2500))</f>
        <v>40.799999999999997</v>
      </c>
      <c r="AV9" s="75">
        <f t="array" ref="AV9">SUM((YEAR(Gastos!$A$2:$A$2500)=AV$1)*(MONTH(Gastos!$A$2:$A$2500)=AV$3)*(Gastos!$B$2:$B$2500=$A9)*(Gastos!$D$2:$D$2500))</f>
        <v>40.799999999999997</v>
      </c>
      <c r="AW9" s="75">
        <f t="array" ref="AW9">SUM((YEAR(Gastos!$A$2:$A$2500)=AW$1)*(MONTH(Gastos!$A$2:$A$2500)=AW$3)*(Gastos!$B$2:$B$2500=$A9)*(Gastos!$D$2:$D$2500))</f>
        <v>41.6</v>
      </c>
      <c r="AX9" s="75">
        <f t="array" ref="AX9">SUM((YEAR(Gastos!$A$2:$A$2500)=AX$1)*(MONTH(Gastos!$A$2:$A$2500)=AX$3)*(Gastos!$B$2:$B$2500=$A9)*(Gastos!$D$2:$D$2500))</f>
        <v>42.4</v>
      </c>
      <c r="AY9" s="75">
        <f t="array" ref="AY9">SUM((YEAR(Gastos!$A$2:$A$2500)=AY$1)*(MONTH(Gastos!$A$2:$A$2500)=AY$3)*(Gastos!$B$2:$B$2500=$A9)*(Gastos!$D$2:$D$2500))</f>
        <v>41.6</v>
      </c>
      <c r="AZ9" s="75">
        <f t="array" ref="AZ9">SUM((YEAR(Gastos!$A$2:$A$2500)=AZ$1)*(MONTH(Gastos!$A$2:$A$2500)=AZ$3)*(Gastos!$B$2:$B$2500=$A9)*(Gastos!$D$2:$D$2500))</f>
        <v>41.6</v>
      </c>
      <c r="BA9" s="75">
        <f t="array" ref="BA9">SUM((YEAR(Gastos!$A$2:$A$2500)=BA$1)*(MONTH(Gastos!$A$2:$A$2500)=BA$3)*(Gastos!$B$2:$B$2500=$A9)*(Gastos!$D$2:$D$2500))</f>
        <v>40.799999999999997</v>
      </c>
      <c r="BB9" s="75">
        <f t="array" ref="BB9">SUM((YEAR(Gastos!$A$2:$A$2500)=BB$1)*(MONTH(Gastos!$A$2:$A$2500)=BB$3)*(Gastos!$B$2:$B$2500=$A9)*(Gastos!$D$2:$D$2500))</f>
        <v>41.6</v>
      </c>
      <c r="BC9" s="75">
        <f t="array" ref="BC9">SUM((YEAR(Gastos!$A$2:$A$2500)=BC$1)*(MONTH(Gastos!$A$2:$A$2500)=BC$3)*(Gastos!$B$2:$B$2500=$A9)*(Gastos!$D$2:$D$2500))</f>
        <v>40.799999999999997</v>
      </c>
      <c r="BD9" s="75">
        <f t="array" ref="BD9">SUM((YEAR(Gastos!$A$2:$A$2500)=BD$1)*(MONTH(Gastos!$A$2:$A$2500)=BD$3)*(Gastos!$B$2:$B$2500=$A9)*(Gastos!$D$2:$D$2500))</f>
        <v>8.64</v>
      </c>
      <c r="BE9" s="75">
        <f t="array" ref="BE9">SUM((YEAR(Gastos!$A$2:$A$2500)=BE$1)*(MONTH(Gastos!$A$2:$A$2500)=BE$3)*(Gastos!$B$2:$B$2500=$A9)*(Gastos!$D$2:$D$2500))</f>
        <v>6.56</v>
      </c>
      <c r="BF9" s="75">
        <f t="array" ref="BF9">SUM((YEAR(Gastos!$A$2:$A$2500)=BF$1)*(MONTH(Gastos!$A$2:$A$2500)=BF$3)*(Gastos!$B$2:$B$2500=$A9)*(Gastos!$D$2:$D$2500))</f>
        <v>13.92</v>
      </c>
      <c r="BG9" s="75">
        <f t="array" ref="BG9">SUM((YEAR(Gastos!$A$2:$A$2500)=BG$1)*(MONTH(Gastos!$A$2:$A$2500)=BG$3)*(Gastos!$B$2:$B$2500=$A9)*(Gastos!$D$2:$D$2500))</f>
        <v>12.8</v>
      </c>
      <c r="BH9" s="75">
        <f t="array" ref="BH9">SUM((YEAR(Gastos!$A$2:$A$2500)=BH$1)*(MONTH(Gastos!$A$2:$A$2500)=BH$3)*(Gastos!$B$2:$B$2500=$A9)*(Gastos!$D$2:$D$2500))</f>
        <v>16.32</v>
      </c>
      <c r="BI9" s="75">
        <f t="array" ref="BI9">SUM((YEAR(Gastos!$A$2:$A$2500)=BI$1)*(MONTH(Gastos!$A$2:$A$2500)=BI$3)*(Gastos!$B$2:$B$2500=$A9)*(Gastos!$D$2:$D$2500))</f>
        <v>13.12</v>
      </c>
      <c r="BJ9" s="75">
        <f t="array" ref="BJ9">SUM((YEAR(Gastos!$A$2:$A$2500)=BJ$1)*(MONTH(Gastos!$A$2:$A$2500)=BJ$3)*(Gastos!$B$2:$B$2500=$A9)*(Gastos!$D$2:$D$2500))</f>
        <v>13.28</v>
      </c>
      <c r="BK9" s="75">
        <f t="array" ref="BK9">SUM((YEAR(Gastos!$A$2:$A$2500)=BK$1)*(MONTH(Gastos!$A$2:$A$2500)=BK$3)*(Gastos!$B$2:$B$2500=$A9)*(Gastos!$D$2:$D$2500))</f>
        <v>0</v>
      </c>
      <c r="BL9" s="75">
        <f t="array" ref="BL9">SUM((YEAR(Gastos!$A$2:$A$2500)=BL$1)*(MONTH(Gastos!$A$2:$A$2500)=BL$3)*(Gastos!$B$2:$B$2500=$A9)*(Gastos!$D$2:$D$2500))</f>
        <v>14.72</v>
      </c>
      <c r="BM9" s="75">
        <f t="array" ref="BM9">SUM((YEAR(Gastos!$A$2:$A$2500)=BM$1)*(MONTH(Gastos!$A$2:$A$2500)=BM$3)*(Gastos!$B$2:$B$2500=$A9)*(Gastos!$D$2:$D$2500))</f>
        <v>12.48</v>
      </c>
      <c r="BN9" s="75">
        <f t="array" ref="BN9">SUM((YEAR(Gastos!$A$2:$A$2500)=BN$1)*(MONTH(Gastos!$A$2:$A$2500)=BN$3)*(Gastos!$B$2:$B$2500=$A9)*(Gastos!$D$2:$D$2500))</f>
        <v>15.68</v>
      </c>
      <c r="BO9" s="75">
        <f t="array" ref="BO9">SUM((YEAR(Gastos!$A$2:$A$2500)=BO$1)*(MONTH(Gastos!$A$2:$A$2500)=BO$3)*(Gastos!$B$2:$B$2500=$A9)*(Gastos!$D$2:$D$2500))</f>
        <v>13.6</v>
      </c>
      <c r="BP9" s="75">
        <f t="array" ref="BP9">SUM((YEAR(Gastos!$A$2:$A$2500)=BP$1)*(MONTH(Gastos!$A$2:$A$2500)=BP$3)*(Gastos!$B$2:$B$2500=$A9)*(Gastos!$D$2:$D$2500))</f>
        <v>8.16</v>
      </c>
      <c r="BQ9" s="75">
        <f t="array" ref="BQ9">SUM((YEAR(Gastos!$A$2:$A$2500)=BQ$1)*(MONTH(Gastos!$A$2:$A$2500)=BQ$3)*(Gastos!$B$2:$B$2500=$A9)*(Gastos!$D$2:$D$2500))</f>
        <v>52.16</v>
      </c>
      <c r="BR9" s="75">
        <f t="array" ref="BR9">SUM((YEAR(Gastos!$A$2:$A$2500)=BR$1)*(MONTH(Gastos!$A$2:$A$2500)=BR$3)*(Gastos!$B$2:$B$2500=$A9)*(Gastos!$D$2:$D$2500))</f>
        <v>49.12</v>
      </c>
      <c r="BS9" s="75">
        <f t="array" ref="BS9">SUM((YEAR(Gastos!$A$2:$A$2500)=BS$1)*(MONTH(Gastos!$A$2:$A$2500)=BS$3)*(Gastos!$B$2:$B$2500=$A9)*(Gastos!$D$2:$D$2500))</f>
        <v>48.48</v>
      </c>
      <c r="BT9" s="75">
        <f t="array" ref="BT9">SUM((YEAR(Gastos!$A$2:$A$2500)=BT$1)*(MONTH(Gastos!$A$2:$A$2500)=BT$3)*(Gastos!$B$2:$B$2500=$A9)*(Gastos!$D$2:$D$2500))</f>
        <v>48.32</v>
      </c>
      <c r="BU9" s="75">
        <f t="array" ref="BU9">SUM((YEAR(Gastos!$A$2:$A$2500)=BU$1)*(MONTH(Gastos!$A$2:$A$2500)=BU$3)*(Gastos!$B$2:$B$2500=$A9)*(Gastos!$D$2:$D$2500))</f>
        <v>48.16</v>
      </c>
      <c r="BV9" s="75">
        <f t="array" ref="BV9">SUM((YEAR(Gastos!$A$2:$A$2500)=BV$1)*(MONTH(Gastos!$A$2:$A$2500)=BV$3)*(Gastos!$B$2:$B$2500=$A9)*(Gastos!$D$2:$D$2500))</f>
        <v>48.16</v>
      </c>
      <c r="BW9" s="75">
        <f t="array" ref="BW9">SUM((YEAR(Gastos!$A$2:$A$2500)=BW$1)*(MONTH(Gastos!$A$2:$A$2500)=BW$3)*(Gastos!$B$2:$B$2500=$A9)*(Gastos!$D$2:$D$2500))</f>
        <v>49.76</v>
      </c>
      <c r="BX9" s="75">
        <f t="array" ref="BX9">SUM((YEAR(Gastos!$A$2:$A$2500)=BX$1)*(MONTH(Gastos!$A$2:$A$2500)=BX$3)*(Gastos!$B$2:$B$2500=$A9)*(Gastos!$D$2:$D$2500))</f>
        <v>54.56</v>
      </c>
      <c r="BY9" s="75">
        <f t="array" ref="BY9">SUM((YEAR(Gastos!$A$2:$A$2500)=BY$1)*(MONTH(Gastos!$A$2:$A$2500)=BY$3)*(Gastos!$B$2:$B$2500=$A9)*(Gastos!$D$2:$D$2500))</f>
        <v>60.8</v>
      </c>
      <c r="BZ9" s="75">
        <f t="array" ref="BZ9">SUM((YEAR(Gastos!$A$2:$A$2500)=BZ$1)*(MONTH(Gastos!$A$2:$A$2500)=BZ$3)*(Gastos!$B$2:$B$2500=$A9)*(Gastos!$D$2:$D$2500))</f>
        <v>56.16</v>
      </c>
      <c r="CA9" s="75">
        <f t="array" ref="CA9">SUM((YEAR(Gastos!$A$2:$A$2500)=CA$1)*(MONTH(Gastos!$A$2:$A$2500)=CA$3)*(Gastos!$B$2:$B$2500=$A9)*(Gastos!$D$2:$D$2500))</f>
        <v>54.72</v>
      </c>
      <c r="CB9" s="75">
        <f t="array" ref="CB9">SUM((YEAR(Gastos!$A$2:$A$2500)=CB$1)*(MONTH(Gastos!$A$2:$A$2500)=CB$3)*(Gastos!$B$2:$B$2500=$A9)*(Gastos!$D$2:$D$2500))</f>
        <v>52.96</v>
      </c>
      <c r="CC9" s="75">
        <f t="array" ref="CC9">SUM((YEAR(Gastos!$A$2:$A$2500)=CC$1)*(MONTH(Gastos!$A$2:$A$2500)=CC$3)*(Gastos!$B$2:$B$2500=$A9)*(Gastos!$D$2:$D$2500))</f>
        <v>55.04</v>
      </c>
      <c r="CD9" s="75">
        <f t="array" ref="CD9">SUM((YEAR(Gastos!$A$2:$A$2500)=CD$1)*(MONTH(Gastos!$A$2:$A$2500)=CD$3)*(Gastos!$B$2:$B$2500=$A9)*(Gastos!$D$2:$D$2500))</f>
        <v>53.6</v>
      </c>
      <c r="CE9" s="75">
        <f t="array" ref="CE9">SUM((YEAR(Gastos!$A$2:$A$2500)=CE$1)*(MONTH(Gastos!$A$2:$A$2500)=CE$3)*(Gastos!$B$2:$B$2500=$A9)*(Gastos!$D$2:$D$2500))</f>
        <v>53.28</v>
      </c>
      <c r="CF9" s="75">
        <f t="array" ref="CF9">SUM((YEAR(Gastos!$A$2:$A$2500)=CF$1)*(MONTH(Gastos!$A$2:$A$2500)=CF$3)*(Gastos!$B$2:$B$2500=$A9)*(Gastos!$D$2:$D$2500))</f>
        <v>50.24</v>
      </c>
      <c r="CG9" s="75">
        <f t="array" ref="CG9">SUM((YEAR(Gastos!$A$2:$A$2500)=CG$1)*(MONTH(Gastos!$A$2:$A$2500)=CG$3)*(Gastos!$B$2:$B$2500=$A9)*(Gastos!$D$2:$D$2500))</f>
        <v>41.6</v>
      </c>
      <c r="CH9" s="75">
        <f t="array" ref="CH9">SUM((YEAR(Gastos!$A$2:$A$2500)=CH$1)*(MONTH(Gastos!$A$2:$A$2500)=CH$3)*(Gastos!$B$2:$B$2500=$A9)*(Gastos!$D$2:$D$2500))</f>
        <v>41.6</v>
      </c>
      <c r="CI9" s="75">
        <f t="array" ref="CI9">SUM((YEAR(Gastos!$A$2:$A$2500)=CI$1)*(MONTH(Gastos!$A$2:$A$2500)=CI$3)*(Gastos!$B$2:$B$2500=$A9)*(Gastos!$D$2:$D$2500))</f>
        <v>44.8</v>
      </c>
      <c r="CJ9" s="75">
        <f t="array" ref="CJ9">SUM((YEAR(Gastos!$A$2:$A$2500)=CJ$1)*(MONTH(Gastos!$A$2:$A$2500)=CJ$3)*(Gastos!$B$2:$B$2500=$A9)*(Gastos!$D$2:$D$2500))</f>
        <v>43.2</v>
      </c>
      <c r="CK9" s="75">
        <f t="array" ref="CK9">SUM((YEAR(Gastos!$A$2:$A$2500)=CK$1)*(MONTH(Gastos!$A$2:$A$2500)=CK$3)*(Gastos!$B$2:$B$2500=$A9)*(Gastos!$D$2:$D$2500))</f>
        <v>48</v>
      </c>
      <c r="CL9" s="75">
        <f t="array" ref="CL9">SUM((YEAR(Gastos!$A$2:$A$2500)=CL$1)*(MONTH(Gastos!$A$2:$A$2500)=CL$3)*(Gastos!$B$2:$B$2500=$A9)*(Gastos!$D$2:$D$2500))</f>
        <v>48</v>
      </c>
      <c r="CM9" s="75">
        <f t="array" ref="CM9">SUM((YEAR(Gastos!$A$2:$A$2500)=CM$1)*(MONTH(Gastos!$A$2:$A$2500)=CM$3)*(Gastos!$B$2:$B$2500=$A9)*(Gastos!$D$2:$D$2500))</f>
        <v>42.4</v>
      </c>
      <c r="CN9" s="75">
        <f t="array" ref="CN9">SUM((YEAR(Gastos!$A$2:$A$2500)=CN$1)*(MONTH(Gastos!$A$2:$A$2500)=CN$3)*(Gastos!$B$2:$B$2500=$A9)*(Gastos!$D$2:$D$2500))</f>
        <v>44.8</v>
      </c>
      <c r="CO9" s="75">
        <f t="array" ref="CO9">SUM((YEAR(Gastos!$A$2:$A$2500)=CO$1)*(MONTH(Gastos!$A$2:$A$2500)=CO$3)*(Gastos!$B$2:$B$2500=$A9)*(Gastos!$D$2:$D$2500))</f>
        <v>49.6</v>
      </c>
      <c r="CP9" s="75">
        <f t="array" ref="CP9">SUM((YEAR(Gastos!$A$2:$A$2500)=CP$1)*(MONTH(Gastos!$A$2:$A$2500)=CP$3)*(Gastos!$B$2:$B$2500=$A9)*(Gastos!$D$2:$D$2500))</f>
        <v>45.6</v>
      </c>
      <c r="CQ9" s="75">
        <f t="array" ref="CQ9">SUM((YEAR(Gastos!$A$2:$A$2500)=CQ$1)*(MONTH(Gastos!$A$2:$A$2500)=CQ$3)*(Gastos!$B$2:$B$2500=$A9)*(Gastos!$D$2:$D$2500))</f>
        <v>47.2</v>
      </c>
      <c r="CR9" s="75">
        <f t="array" ref="CR9">SUM((YEAR(Gastos!$A$2:$A$2500)=CR$1)*(MONTH(Gastos!$A$2:$A$2500)=CR$3)*(Gastos!$B$2:$B$2500=$A9)*(Gastos!$D$2:$D$2500))</f>
        <v>45.6</v>
      </c>
      <c r="CS9" s="75">
        <f t="array" ref="CS9">SUM((YEAR(Gastos!$A$2:$A$2500)=CS$1)*(MONTH(Gastos!$A$2:$A$2500)=CS$3)*(Gastos!$B$2:$B$2500=$A9)*(Gastos!$D$2:$D$2500))</f>
        <v>44</v>
      </c>
      <c r="CT9" s="75">
        <f t="array" ref="CT9">SUM((YEAR(Gastos!$A$2:$A$2500)=CT$1)*(MONTH(Gastos!$A$2:$A$2500)=CT$3)*(Gastos!$B$2:$B$2500=$A9)*(Gastos!$D$2:$D$2500))</f>
        <v>45.6</v>
      </c>
      <c r="CU9" s="75">
        <f t="array" ref="CU9">SUM((YEAR(Gastos!$A$2:$A$2500)=CU$1)*(MONTH(Gastos!$A$2:$A$2500)=CU$3)*(Gastos!$B$2:$B$2500=$A9)*(Gastos!$D$2:$D$2500))</f>
        <v>46.4</v>
      </c>
      <c r="CV9" s="75">
        <f t="array" ref="CV9">SUM((YEAR(Gastos!$A$2:$A$2500)=CV$1)*(MONTH(Gastos!$A$2:$A$2500)=CV$3)*(Gastos!$B$2:$B$2500=$A9)*(Gastos!$D$2:$D$2500))</f>
        <v>44.8</v>
      </c>
      <c r="CW9" s="75">
        <f t="array" ref="CW9">SUM((YEAR(Gastos!$A$2:$A$2500)=CW$1)*(MONTH(Gastos!$A$2:$A$2500)=CW$3)*(Gastos!$B$2:$B$2500=$A9)*(Gastos!$D$2:$D$2500))</f>
        <v>47.2</v>
      </c>
      <c r="CX9" s="75">
        <f t="array" ref="CX9">SUM((YEAR(Gastos!$A$2:$A$2500)=CX$1)*(MONTH(Gastos!$A$2:$A$2500)=CX$3)*(Gastos!$B$2:$B$2500=$A9)*(Gastos!$D$2:$D$2500))</f>
        <v>45.6</v>
      </c>
      <c r="CY9" s="75">
        <f t="array" ref="CY9">SUM((YEAR(Gastos!$A$2:$A$2500)=CY$1)*(MONTH(Gastos!$A$2:$A$2500)=CY$3)*(Gastos!$B$2:$B$2500=$A9)*(Gastos!$D$2:$D$2500))</f>
        <v>44.8</v>
      </c>
      <c r="CZ9" s="75">
        <f t="array" ref="CZ9">SUM((YEAR(Gastos!$A$2:$A$2500)=CZ$1)*(MONTH(Gastos!$A$2:$A$2500)=CZ$3)*(Gastos!$B$2:$B$2500=$A9)*(Gastos!$D$2:$D$2500))</f>
        <v>44.8</v>
      </c>
      <c r="DA9" s="75">
        <f t="array" ref="DA9">SUM((YEAR(Gastos!$A$2:$A$2500)=DA$1)*(MONTH(Gastos!$A$2:$A$2500)=DA$3)*(Gastos!$B$2:$B$2500=$A9)*(Gastos!$D$2:$D$2500))</f>
        <v>45.6</v>
      </c>
      <c r="DB9" s="75">
        <f t="array" ref="DB9">SUM((YEAR(Gastos!$A$2:$A$2500)=DB$1)*(MONTH(Gastos!$A$2:$A$2500)=DB$3)*(Gastos!$B$2:$B$2500=$A9)*(Gastos!$D$2:$D$2500))</f>
        <v>47.2</v>
      </c>
      <c r="DC9" s="75">
        <f t="array" ref="DC9">SUM((YEAR(Gastos!$A$2:$A$2500)=DC$1)*(MONTH(Gastos!$A$2:$A$2500)=DC$3)*(Gastos!$B$2:$B$2500=$A9)*(Gastos!$D$2:$D$2500))</f>
        <v>45.6</v>
      </c>
      <c r="DD9" s="75">
        <f t="array" ref="DD9">SUM((YEAR(Gastos!$A$2:$A$2500)=DD$1)*(MONTH(Gastos!$A$2:$A$2500)=DD$3)*(Gastos!$B$2:$B$2500=$A9)*(Gastos!$D$2:$D$2500))</f>
        <v>45.6</v>
      </c>
      <c r="DE9" s="75">
        <f t="array" ref="DE9">SUM((YEAR(Gastos!$A$2:$A$2500)=DE$1)*(MONTH(Gastos!$A$2:$A$2500)=DE$3)*(Gastos!$B$2:$B$2500=$A9)*(Gastos!$D$2:$D$2500))</f>
        <v>45.6</v>
      </c>
      <c r="DF9" s="75">
        <f t="array" ref="DF9">SUM((YEAR(Gastos!$A$2:$A$2500)=DF$1)*(MONTH(Gastos!$A$2:$A$2500)=DF$3)*(Gastos!$B$2:$B$2500=$A9)*(Gastos!$D$2:$D$2500))</f>
        <v>48</v>
      </c>
      <c r="DG9" s="75">
        <f t="array" ref="DG9">SUM((YEAR(Gastos!$A$2:$A$2500)=DG$1)*(MONTH(Gastos!$A$2:$A$2500)=DG$3)*(Gastos!$B$2:$B$2500=$A9)*(Gastos!$D$2:$D$2500))</f>
        <v>48</v>
      </c>
      <c r="DH9" s="75">
        <f t="array" ref="DH9">SUM((YEAR(Gastos!$A$2:$A$2500)=DH$1)*(MONTH(Gastos!$A$2:$A$2500)=DH$3)*(Gastos!$B$2:$B$2500=$A9)*(Gastos!$D$2:$D$2500))</f>
        <v>45.6</v>
      </c>
      <c r="DI9" s="75">
        <f t="array" ref="DI9">SUM((YEAR(Gastos!$A$2:$A$2500)=DI$1)*(MONTH(Gastos!$A$2:$A$2500)=DI$3)*(Gastos!$B$2:$B$2500=$A9)*(Gastos!$D$2:$D$2500))</f>
        <v>48.8</v>
      </c>
      <c r="DJ9" s="75">
        <f t="array" ref="DJ9">SUM((YEAR(Gastos!$A$2:$A$2500)=DJ$1)*(MONTH(Gastos!$A$2:$A$2500)=DJ$3)*(Gastos!$B$2:$B$2500=$A9)*(Gastos!$D$2:$D$2500))</f>
        <v>44.8</v>
      </c>
      <c r="DK9" s="75">
        <f t="array" ref="DK9">SUM((YEAR(Gastos!$A$2:$A$2500)=DK$1)*(MONTH(Gastos!$A$2:$A$2500)=DK$3)*(Gastos!$B$2:$B$2500=$A9)*(Gastos!$D$2:$D$2500))</f>
        <v>45</v>
      </c>
      <c r="DL9" s="75">
        <f t="array" ref="DL9">SUM((YEAR(Gastos!$A$2:$A$2500)=DL$1)*(MONTH(Gastos!$A$2:$A$2500)=DL$3)*(Gastos!$B$2:$B$2500=$A9)*(Gastos!$D$2:$D$2500))</f>
        <v>0</v>
      </c>
      <c r="DM9" s="75">
        <f t="array" ref="DM9">SUM((YEAR(Gastos!$A$2:$A$2500)=DM$1)*(MONTH(Gastos!$A$2:$A$2500)=DM$3)*(Gastos!$B$2:$B$2500=$A9)*(Gastos!$D$2:$D$2500))</f>
        <v>48.8</v>
      </c>
      <c r="DN9" s="75">
        <f t="array" ref="DN9">SUM((YEAR(Gastos!$A$2:$A$2500)=DN$1)*(MONTH(Gastos!$A$2:$A$2500)=DN$3)*(Gastos!$B$2:$B$2500=$A9)*(Gastos!$D$2:$D$2500))</f>
        <v>46.4</v>
      </c>
      <c r="DO9" s="75">
        <f t="array" ref="DO9">SUM((YEAR(Gastos!$A$2:$A$2500)=DO$1)*(MONTH(Gastos!$A$2:$A$2500)=DO$3)*(Gastos!$B$2:$B$2500=$A9)*(Gastos!$D$2:$D$2500))</f>
        <v>45.6</v>
      </c>
      <c r="DP9" s="75">
        <f t="array" ref="DP9">SUM((YEAR(Gastos!$A$2:$A$2500)=DP$1)*(MONTH(Gastos!$A$2:$A$2500)=DP$3)*(Gastos!$B$2:$B$2500=$A9)*(Gastos!$D$2:$D$2500))</f>
        <v>48</v>
      </c>
      <c r="DQ9" s="75">
        <f t="array" ref="DQ9">SUM((YEAR(Gastos!$A$2:$A$2500)=DQ$1)*(MONTH(Gastos!$A$2:$A$2500)=DQ$3)*(Gastos!$B$2:$B$2500=$A9)*(Gastos!$D$2:$D$2500))</f>
        <v>46.4</v>
      </c>
      <c r="DR9" s="75">
        <f t="array" ref="DR9">SUM((YEAR(Gastos!$A$2:$A$2500)=DR$1)*(MONTH(Gastos!$A$2:$A$2500)=DR$3)*(Gastos!$B$2:$B$2500=$A9)*(Gastos!$D$2:$D$2500))</f>
        <v>49.6</v>
      </c>
      <c r="DS9" s="75">
        <f t="array" ref="DS9">SUM((YEAR(Gastos!$A$2:$A$2500)=DS$1)*(MONTH(Gastos!$A$2:$A$2500)=DS$3)*(Gastos!$B$2:$B$2500=$A9)*(Gastos!$D$2:$D$2500))</f>
        <v>44.8</v>
      </c>
      <c r="DT9" s="75">
        <f t="array" ref="DT9">SUM((YEAR(Gastos!$A$2:$A$2500)=DT$1)*(MONTH(Gastos!$A$2:$A$2500)=DT$3)*(Gastos!$B$2:$B$2500=$A9)*(Gastos!$D$2:$D$2500))</f>
        <v>46.4</v>
      </c>
      <c r="DU9" s="75">
        <f t="array" ref="DU9">SUM((YEAR(Gastos!$A$2:$A$2500)=DU$1)*(MONTH(Gastos!$A$2:$A$2500)=DU$3)*(Gastos!$B$2:$B$2500=$A9)*(Gastos!$D$2:$D$2500))</f>
        <v>43.2</v>
      </c>
      <c r="DV9" s="75">
        <f t="array" ref="DV9">SUM((YEAR(Gastos!$A$2:$A$2500)=DV$1)*(MONTH(Gastos!$A$2:$A$2500)=DV$3)*(Gastos!$B$2:$B$2500=$A9)*(Gastos!$D$2:$D$2500))</f>
        <v>44.8</v>
      </c>
      <c r="DW9" s="75">
        <f t="array" ref="DW9">SUM((YEAR(Gastos!$A$2:$A$2500)=DW$1)*(MONTH(Gastos!$A$2:$A$2500)=DW$3)*(Gastos!$B$2:$B$2500=$A9)*(Gastos!$D$2:$D$2500))</f>
        <v>49.6</v>
      </c>
      <c r="DX9" s="75">
        <f t="array" ref="DX9">SUM((YEAR(Gastos!$A$2:$A$2500)=DX$1)*(MONTH(Gastos!$A$2:$A$2500)=DX$3)*(Gastos!$B$2:$B$2500=$A9)*(Gastos!$D$2:$D$2500))</f>
        <v>47.2</v>
      </c>
      <c r="DY9" s="75">
        <f t="array" ref="DY9">SUM((YEAR(Gastos!$A$2:$A$2500)=DY$1)*(MONTH(Gastos!$A$2:$A$2500)=DY$3)*(Gastos!$B$2:$B$2500=$A9)*(Gastos!$D$2:$D$2500))</f>
        <v>47.2</v>
      </c>
      <c r="DZ9" s="75">
        <f t="array" ref="DZ9">SUM((YEAR(Gastos!$A$2:$A$2500)=DZ$1)*(MONTH(Gastos!$A$2:$A$2500)=DZ$3)*(Gastos!$B$2:$B$2500=$A9)*(Gastos!$D$2:$D$2500))</f>
        <v>46.4</v>
      </c>
      <c r="EA9" s="75">
        <f t="array" ref="EA9">SUM((YEAR(Gastos!$A$2:$A$2500)=EA$1)*(MONTH(Gastos!$A$2:$A$2500)=EA$3)*(Gastos!$B$2:$B$2500=$A9)*(Gastos!$D$2:$D$2500))</f>
        <v>46.4</v>
      </c>
      <c r="EB9" s="75">
        <f t="array" ref="EB9">SUM((YEAR(Gastos!$A$2:$A$2500)=EB$1)*(MONTH(Gastos!$A$2:$A$2500)=EB$3)*(Gastos!$B$2:$B$2500=$A9)*(Gastos!$D$2:$D$2500))</f>
        <v>44</v>
      </c>
      <c r="EC9" s="75">
        <f t="array" ref="EC9">SUM((YEAR(Gastos!$A$2:$A$2500)=EC$1)*(MONTH(Gastos!$A$2:$A$2500)=EC$3)*(Gastos!$B$2:$B$2500=$A9)*(Gastos!$D$2:$D$2500))</f>
        <v>41.6</v>
      </c>
      <c r="ED9" s="75">
        <f t="array" ref="ED9">SUM((YEAR(Gastos!$A$2:$A$2500)=ED$1)*(MONTH(Gastos!$A$2:$A$2500)=ED$3)*(Gastos!$B$2:$B$2500=$A9)*(Gastos!$D$2:$D$2500))</f>
        <v>43.2</v>
      </c>
      <c r="EE9" s="75">
        <f t="array" ref="EE9">SUM((YEAR(Gastos!$A$2:$A$2500)=EE$1)*(MONTH(Gastos!$A$2:$A$2500)=EE$3)*(Gastos!$B$2:$B$2500=$A9)*(Gastos!$D$2:$D$2500))</f>
        <v>294.8</v>
      </c>
      <c r="EF9" s="75">
        <f t="array" ref="EF9">SUM((YEAR(Gastos!$A$2:$A$2500)=EF$1)*(MONTH(Gastos!$A$2:$A$2500)=EF$3)*(Gastos!$B$2:$B$2500=$A9)*(Gastos!$D$2:$D$2500))</f>
        <v>295.60000000000002</v>
      </c>
      <c r="EG9" s="75">
        <f t="array" ref="EG9">SUM((YEAR(Gastos!$A$2:$A$2500)=EG$1)*(MONTH(Gastos!$A$2:$A$2500)=EG$3)*(Gastos!$B$2:$B$2500=$A9)*(Gastos!$D$2:$D$2500))</f>
        <v>44.8</v>
      </c>
      <c r="EH9" s="75">
        <f t="array" ref="EH9">SUM((YEAR(Gastos!$A$2:$A$2500)=EH$1)*(MONTH(Gastos!$A$2:$A$2500)=EH$3)*(Gastos!$B$2:$B$2500=$A9)*(Gastos!$D$2:$D$2500))</f>
        <v>42.4</v>
      </c>
      <c r="EI9" s="75">
        <f t="array" ref="EI9">SUM((YEAR(Gastos!$A$2:$A$2500)=EI$1)*(MONTH(Gastos!$A$2:$A$2500)=EI$3)*(Gastos!$B$2:$B$2500=$A9)*(Gastos!$D$2:$D$2500))</f>
        <v>42.4</v>
      </c>
      <c r="EJ9" s="75">
        <f t="array" ref="EJ9">SUM((YEAR(Gastos!$A$2:$A$2500)=EJ$1)*(MONTH(Gastos!$A$2:$A$2500)=EJ$3)*(Gastos!$B$2:$B$2500=$A9)*(Gastos!$D$2:$D$2500))</f>
        <v>44.8</v>
      </c>
      <c r="EK9" s="75">
        <f t="array" ref="EK9">SUM((YEAR(Gastos!$A$2:$A$2500)=EK$1)*(MONTH(Gastos!$A$2:$A$2500)=EK$3)*(Gastos!$B$2:$B$2500=$A9)*(Gastos!$D$2:$D$2500))</f>
        <v>43.12</v>
      </c>
      <c r="EL9" s="75">
        <f t="array" ref="EL9">SUM((YEAR(Gastos!$A$2:$A$2500)=EL$1)*(MONTH(Gastos!$A$2:$A$2500)=EL$3)*(Gastos!$B$2:$B$2500=$A9)*(Gastos!$D$2:$D$2500))</f>
        <v>44.16</v>
      </c>
      <c r="EM9" s="75">
        <f t="array" ref="EM9">SUM((YEAR(Gastos!$A$2:$A$2500)=EM$1)*(MONTH(Gastos!$A$2:$A$2500)=EM$3)*(Gastos!$B$2:$B$2500=$A9)*(Gastos!$D$2:$D$2500))</f>
        <v>342.78</v>
      </c>
      <c r="EN9" s="75">
        <f t="array" ref="EN9">SUM((YEAR(Gastos!$A$2:$A$2500)=EN$1)*(MONTH(Gastos!$A$2:$A$2500)=EN$3)*(Gastos!$B$2:$B$2500=$A9)*(Gastos!$D$2:$D$2500))</f>
        <v>104.96000000000001</v>
      </c>
      <c r="EO9" s="75">
        <f t="array" ref="EO9">SUM((YEAR(Gastos!$A$2:$A$2500)=EO$1)*(MONTH(Gastos!$A$2:$A$2500)=EO$3)*(Gastos!$B$2:$B$2500=$A9)*(Gastos!$D$2:$D$2500))</f>
        <v>0</v>
      </c>
      <c r="EP9" s="75">
        <f t="array" ref="EP9">SUM((YEAR(Gastos!$A$2:$A$2500)=EP$1)*(MONTH(Gastos!$A$2:$A$2500)=EP$3)*(Gastos!$B$2:$B$2500=$A9)*(Gastos!$D$2:$D$2500))</f>
        <v>0</v>
      </c>
      <c r="EQ9" s="75">
        <f t="array" ref="EQ9">SUM((YEAR(Gastos!$A$2:$A$2500)=EQ$1)*(MONTH(Gastos!$A$2:$A$2500)=EQ$3)*(Gastos!$B$2:$B$2500=$A9)*(Gastos!$D$2:$D$2500))</f>
        <v>0</v>
      </c>
      <c r="ER9" s="75">
        <f t="array" ref="ER9">SUM((YEAR(Gastos!$A$2:$A$2500)=ER$1)*(MONTH(Gastos!$A$2:$A$2500)=ER$3)*(Gastos!$B$2:$B$2500=$A9)*(Gastos!$D$2:$D$2500))</f>
        <v>0</v>
      </c>
      <c r="ES9" s="75">
        <f t="array" ref="ES9">SUM((YEAR(Gastos!$A$2:$A$2500)=ES$1)*(MONTH(Gastos!$A$2:$A$2500)=ES$3)*(Gastos!$B$2:$B$2500=$A9)*(Gastos!$D$2:$D$2500))</f>
        <v>0</v>
      </c>
      <c r="ET9" s="75">
        <f t="array" ref="ET9">SUM((YEAR(Gastos!$A$2:$A$2500)=ET$1)*(MONTH(Gastos!$A$2:$A$2500)=ET$3)*(Gastos!$B$2:$B$2500=$A9)*(Gastos!$D$2:$D$2500))</f>
        <v>0</v>
      </c>
      <c r="EU9" s="75">
        <f t="array" ref="EU9">SUM((YEAR(Gastos!$A$2:$A$2500)=EU$1)*(MONTH(Gastos!$A$2:$A$2500)=EU$3)*(Gastos!$B$2:$B$2500=$A9)*(Gastos!$D$2:$D$2500))</f>
        <v>0</v>
      </c>
      <c r="EV9" s="75">
        <f t="array" ref="EV9">SUM((YEAR(Gastos!$A$2:$A$2500)=EV$1)*(MONTH(Gastos!$A$2:$A$2500)=EV$3)*(Gastos!$B$2:$B$2500=$A9)*(Gastos!$D$2:$D$2500))</f>
        <v>0</v>
      </c>
      <c r="EW9" s="75">
        <f t="array" ref="EW9">SUM((YEAR(Gastos!$A$2:$A$2500)=EW$1)*(MONTH(Gastos!$A$2:$A$2500)=EW$3)*(Gastos!$B$2:$B$2500=$A9)*(Gastos!$D$2:$D$2500))</f>
        <v>0</v>
      </c>
      <c r="EX9" s="75">
        <f t="array" ref="EX9">SUM((YEAR(Gastos!$A$2:$A$2500)=EX$1)*(MONTH(Gastos!$A$2:$A$2500)=EX$3)*(Gastos!$B$2:$B$2500=$A9)*(Gastos!$D$2:$D$2500))</f>
        <v>0</v>
      </c>
      <c r="EY9" s="75">
        <f t="array" ref="EY9">SUM((YEAR(Gastos!$A$2:$A$2500)=EY$1)*(MONTH(Gastos!$A$2:$A$2500)=EY$3)*(Gastos!$B$2:$B$2500=$A9)*(Gastos!$D$2:$D$2500))</f>
        <v>0</v>
      </c>
      <c r="EZ9" s="75">
        <f t="array" ref="EZ9">SUM((YEAR(Gastos!$A$2:$A$2500)=EZ$1)*(MONTH(Gastos!$A$2:$A$2500)=EZ$3)*(Gastos!$B$2:$B$2500=$A9)*(Gastos!$D$2:$D$2500))</f>
        <v>0</v>
      </c>
      <c r="FA9" s="75">
        <f t="array" ref="FA9">SUM((YEAR(Gastos!$A$2:$A$2500)=FA$1)*(MONTH(Gastos!$A$2:$A$2500)=FA$3)*(Gastos!$B$2:$B$2500=$A9)*(Gastos!$D$2:$D$2500))</f>
        <v>0</v>
      </c>
      <c r="FB9" s="75">
        <f t="array" ref="FB9">SUM((YEAR(Gastos!$A$2:$A$2500)=FB$1)*(MONTH(Gastos!$A$2:$A$2500)=FB$3)*(Gastos!$B$2:$B$2500=$A9)*(Gastos!$D$2:$D$2500))</f>
        <v>0</v>
      </c>
      <c r="FC9" s="75">
        <f t="array" ref="FC9">SUM((YEAR(Gastos!$A$2:$A$2500)=FC$1)*(MONTH(Gastos!$A$2:$A$2500)=FC$3)*(Gastos!$B$2:$B$2500=$A9)*(Gastos!$D$2:$D$2500))</f>
        <v>0</v>
      </c>
      <c r="FD9" s="75">
        <f t="array" ref="FD9">SUM((YEAR(Gastos!$A$2:$A$2500)=FD$1)*(MONTH(Gastos!$A$2:$A$2500)=FD$3)*(Gastos!$B$2:$B$2500=$A9)*(Gastos!$D$2:$D$2500))</f>
        <v>0</v>
      </c>
      <c r="FE9" s="75">
        <f t="array" ref="FE9">SUM((YEAR(Gastos!$A$2:$A$2500)=FE$1)*(MONTH(Gastos!$A$2:$A$2500)=FE$3)*(Gastos!$B$2:$B$2500=$A9)*(Gastos!$D$2:$D$2500))</f>
        <v>0</v>
      </c>
      <c r="FF9" s="75">
        <f t="array" ref="FF9">SUM((YEAR(Gastos!$A$2:$A$2500)=FF$1)*(MONTH(Gastos!$A$2:$A$2500)=FF$3)*(Gastos!$B$2:$B$2500=$A9)*(Gastos!$D$2:$D$2500))</f>
        <v>0</v>
      </c>
      <c r="FG9" s="75">
        <f t="array" ref="FG9">SUM((YEAR(Gastos!$A$2:$A$2500)=FG$1)*(MONTH(Gastos!$A$2:$A$2500)=FG$3)*(Gastos!$B$2:$B$2500=$A9)*(Gastos!$D$2:$D$2500))</f>
        <v>0</v>
      </c>
      <c r="FH9" s="75">
        <f t="array" ref="FH9">SUM((YEAR(Gastos!$A$2:$A$2500)=FH$1)*(MONTH(Gastos!$A$2:$A$2500)=FH$3)*(Gastos!$B$2:$B$2500=$A9)*(Gastos!$D$2:$D$2500))</f>
        <v>0</v>
      </c>
      <c r="FI9" s="75">
        <f t="array" ref="FI9">SUM((YEAR(Gastos!$A$2:$A$2500)=FI$1)*(MONTH(Gastos!$A$2:$A$2500)=FI$3)*(Gastos!$B$2:$B$2500=$A9)*(Gastos!$D$2:$D$2500))</f>
        <v>0</v>
      </c>
      <c r="FJ9" s="75">
        <f t="array" ref="FJ9">SUM((YEAR(Gastos!$A$2:$A$2500)=FJ$1)*(MONTH(Gastos!$A$2:$A$2500)=FJ$3)*(Gastos!$B$2:$B$2500=$A9)*(Gastos!$D$2:$D$2500))</f>
        <v>0</v>
      </c>
      <c r="FK9" s="75">
        <f t="array" ref="FK9">SUM((YEAR(Gastos!$A$2:$A$2500)=FK$1)*(MONTH(Gastos!$A$2:$A$2500)=FK$3)*(Gastos!$B$2:$B$2500=$A9)*(Gastos!$D$2:$D$2500))</f>
        <v>0</v>
      </c>
      <c r="FL9" s="75">
        <f t="array" ref="FL9">SUM((YEAR(Gastos!$A$2:$A$2500)=FL$1)*(MONTH(Gastos!$A$2:$A$2500)=FL$3)*(Gastos!$B$2:$B$2500=$A9)*(Gastos!$D$2:$D$2500))</f>
        <v>0</v>
      </c>
      <c r="FM9" s="75">
        <f t="array" ref="FM9">SUM((YEAR(Gastos!$A$2:$A$2500)=FM$1)*(MONTH(Gastos!$A$2:$A$2500)=FM$3)*(Gastos!$B$2:$B$2500=$A9)*(Gastos!$D$2:$D$2500))</f>
        <v>0</v>
      </c>
      <c r="FN9" s="75">
        <f t="array" ref="FN9">SUM((YEAR(Gastos!$A$2:$A$2500)=FN$1)*(MONTH(Gastos!$A$2:$A$2500)=FN$3)*(Gastos!$B$2:$B$2500=$A9)*(Gastos!$D$2:$D$2500))</f>
        <v>0</v>
      </c>
      <c r="FO9" s="75">
        <f t="array" ref="FO9">SUM((YEAR(Gastos!$A$2:$A$2500)=FO$1)*(MONTH(Gastos!$A$2:$A$2500)=FO$3)*(Gastos!$B$2:$B$2500=$A9)*(Gastos!$D$2:$D$2500))</f>
        <v>0</v>
      </c>
      <c r="FP9" s="75">
        <f t="array" ref="FP9">SUM((YEAR(Gastos!$A$2:$A$2500)=FP$1)*(MONTH(Gastos!$A$2:$A$2500)=FP$3)*(Gastos!$B$2:$B$2500=$A9)*(Gastos!$D$2:$D$2500))</f>
        <v>0</v>
      </c>
      <c r="FQ9" s="75">
        <f t="array" ref="FQ9">SUM((YEAR(Gastos!$A$2:$A$2500)=FQ$1)*(MONTH(Gastos!$A$2:$A$2500)=FQ$3)*(Gastos!$B$2:$B$2500=$A9)*(Gastos!$D$2:$D$2500))</f>
        <v>0</v>
      </c>
      <c r="FR9" s="75">
        <f t="array" ref="FR9">SUM((YEAR(Gastos!$A$2:$A$2500)=FR$1)*(MONTH(Gastos!$A$2:$A$2500)=FR$3)*(Gastos!$B$2:$B$2500=$A9)*(Gastos!$D$2:$D$2500))</f>
        <v>0</v>
      </c>
      <c r="FS9" s="75">
        <f t="array" ref="FS9">SUM((YEAR(Gastos!$A$2:$A$2500)=FS$1)*(MONTH(Gastos!$A$2:$A$2500)=FS$3)*(Gastos!$B$2:$B$2500=$A9)*(Gastos!$D$2:$D$2500))</f>
        <v>0</v>
      </c>
      <c r="FT9" s="75">
        <f t="array" ref="FT9">SUM((YEAR(Gastos!$A$2:$A$2500)=FT$1)*(MONTH(Gastos!$A$2:$A$2500)=FT$3)*(Gastos!$B$2:$B$2500=$A9)*(Gastos!$D$2:$D$2500))</f>
        <v>0</v>
      </c>
      <c r="FU9" s="75">
        <f t="array" ref="FU9">SUM((YEAR(Gastos!$A$2:$A$2500)=FU$1)*(MONTH(Gastos!$A$2:$A$2500)=FU$3)*(Gastos!$B$2:$B$2500=$A9)*(Gastos!$D$2:$D$2500))</f>
        <v>0</v>
      </c>
      <c r="FV9" s="75">
        <f t="array" ref="FV9">SUM((YEAR(Gastos!$A$2:$A$2500)=FV$1)*(MONTH(Gastos!$A$2:$A$2500)=FV$3)*(Gastos!$B$2:$B$2500=$A9)*(Gastos!$D$2:$D$2500))</f>
        <v>0</v>
      </c>
      <c r="FW9" s="75">
        <f t="array" ref="FW9">SUM((YEAR(Gastos!$A$2:$A$2500)=FW$1)*(MONTH(Gastos!$A$2:$A$2500)=FW$3)*(Gastos!$B$2:$B$2500=$A9)*(Gastos!$D$2:$D$2500))</f>
        <v>0</v>
      </c>
      <c r="FX9" s="75">
        <f t="array" ref="FX9">SUM((YEAR(Gastos!$A$2:$A$2500)=FX$1)*(MONTH(Gastos!$A$2:$A$2500)=FX$3)*(Gastos!$B$2:$B$2500=$A9)*(Gastos!$D$2:$D$2500))</f>
        <v>0</v>
      </c>
      <c r="FY9" s="75">
        <f t="array" ref="FY9">SUM((YEAR(Gastos!$A$2:$A$2500)=FY$1)*(MONTH(Gastos!$A$2:$A$2500)=FY$3)*(Gastos!$B$2:$B$2500=$A9)*(Gastos!$D$2:$D$2500))</f>
        <v>0</v>
      </c>
      <c r="FZ9" s="76">
        <f t="shared" si="65"/>
        <v>6732.9800000000005</v>
      </c>
      <c r="GA9" s="80"/>
      <c r="GB9" s="78">
        <f t="shared" si="66"/>
        <v>-346.88000000000011</v>
      </c>
      <c r="GF9" s="79">
        <f t="array" ref="GF9">SUM(((Gastos!$A$2:$A$1647)&gt;=GD$3)*((Gastos!$A$2:$A$1647)&lt;=GF$3)*(Gastos!$B$2:$B$1647=$A9)*(Gastos!$D$2:$D$1647))</f>
        <v>332.15999999999997</v>
      </c>
      <c r="GI9" s="79">
        <f t="array" ref="GI9">SUM(((Gastos!$A$2:$A$1647)&gt;=GG$3)*((Gastos!$A$2:$A$1647)&lt;=GI$3)*(Gastos!$B$2:$B$1647=$A9)*(Gastos!$D$2:$D$1647))</f>
        <v>679.04000000000008</v>
      </c>
      <c r="GL9" s="99">
        <f>BR120</f>
        <v>2019</v>
      </c>
      <c r="GM9" s="103">
        <f>BS120</f>
        <v>241895</v>
      </c>
      <c r="GN9" s="103">
        <f>BT120</f>
        <v>107004.22</v>
      </c>
      <c r="GO9" s="103">
        <f>BU120</f>
        <v>182505.18000000002</v>
      </c>
      <c r="GP9" s="104">
        <v>480617.8</v>
      </c>
      <c r="GQ9" s="103">
        <f t="shared" si="64"/>
        <v>531404.4</v>
      </c>
    </row>
    <row r="10" spans="1:201" ht="15" thickBot="1" x14ac:dyDescent="0.4">
      <c r="A10" s="74" t="str">
        <f>Gastos!AA8</f>
        <v>F. JARDINERIA</v>
      </c>
      <c r="B10" s="75">
        <f t="array" ref="B10">SUM((YEAR(Gastos!$A$2:$A$2500)=B$1)*(MONTH(Gastos!$A$2:$A$2500)=B$3)*(Gastos!$B$2:$B$2500=$A10)*(Gastos!$D$2:$D$2500))</f>
        <v>0</v>
      </c>
      <c r="C10" s="75">
        <f t="array" ref="C10">SUM((YEAR(Gastos!$A$2:$A$2500)=C$1)*(MONTH(Gastos!$A$2:$A$2500)=C$3)*(Gastos!$B$2:$B$2500=$A10)*(Gastos!$D$2:$D$2500))</f>
        <v>0</v>
      </c>
      <c r="D10" s="75">
        <f t="array" ref="D10">SUM((YEAR(Gastos!$A$2:$A$2500)=D$1)*(MONTH(Gastos!$A$2:$A$2500)=D$3)*(Gastos!$B$2:$B$2500=$A10)*(Gastos!$D$2:$D$2500))</f>
        <v>2100</v>
      </c>
      <c r="E10" s="75">
        <f t="array" ref="E10">SUM((YEAR(Gastos!$A$2:$A$2500)=E$1)*(MONTH(Gastos!$A$2:$A$2500)=E$3)*(Gastos!$B$2:$B$2500=$A10)*(Gastos!$D$2:$D$2500))</f>
        <v>0</v>
      </c>
      <c r="F10" s="75">
        <f t="array" ref="F10">SUM((YEAR(Gastos!$A$2:$A$2500)=F$1)*(MONTH(Gastos!$A$2:$A$2500)=F$3)*(Gastos!$B$2:$B$2500=$A10)*(Gastos!$D$2:$D$2500))</f>
        <v>9512</v>
      </c>
      <c r="G10" s="75">
        <f t="array" ref="G10">SUM((YEAR(Gastos!$A$2:$A$2500)=G$1)*(MONTH(Gastos!$A$2:$A$2500)=G$3)*(Gastos!$B$2:$B$2500=$A10)*(Gastos!$D$2:$D$2500))</f>
        <v>11600</v>
      </c>
      <c r="H10" s="75">
        <f t="array" ref="H10">SUM((YEAR(Gastos!$A$2:$A$2500)=H$1)*(MONTH(Gastos!$A$2:$A$2500)=H$3)*(Gastos!$B$2:$B$2500=$A10)*(Gastos!$D$2:$D$2500))</f>
        <v>5800</v>
      </c>
      <c r="I10" s="75">
        <f t="array" ref="I10">SUM((YEAR(Gastos!$A$2:$A$2500)=I$1)*(MONTH(Gastos!$A$2:$A$2500)=I$3)*(Gastos!$B$2:$B$2500=$A10)*(Gastos!$D$2:$D$2500))</f>
        <v>5800</v>
      </c>
      <c r="J10" s="75">
        <f t="array" ref="J10">SUM((YEAR(Gastos!$A$2:$A$2500)=J$1)*(MONTH(Gastos!$A$2:$A$2500)=J$3)*(Gastos!$B$2:$B$2500=$A10)*(Gastos!$D$2:$D$2500))</f>
        <v>5800</v>
      </c>
      <c r="K10" s="75">
        <f t="array" ref="K10">SUM((YEAR(Gastos!$A$2:$A$2500)=K$1)*(MONTH(Gastos!$A$2:$A$2500)=K$3)*(Gastos!$B$2:$B$2500=$A10)*(Gastos!$D$2:$D$2500))</f>
        <v>0</v>
      </c>
      <c r="L10" s="75">
        <f t="array" ref="L10">SUM((YEAR(Gastos!$A$2:$A$2500)=L$1)*(MONTH(Gastos!$A$2:$A$2500)=L$3)*(Gastos!$B$2:$B$2500=$A10)*(Gastos!$D$2:$D$2500))</f>
        <v>4640</v>
      </c>
      <c r="M10" s="75">
        <f t="array" ref="M10">SUM((YEAR(Gastos!$A$2:$A$2500)=M$1)*(MONTH(Gastos!$A$2:$A$2500)=M$3)*(Gastos!$B$2:$B$2500=$A10)*(Gastos!$D$2:$D$2500))</f>
        <v>2320</v>
      </c>
      <c r="N10" s="75">
        <f t="array" ref="N10">SUM((YEAR(Gastos!$A$2:$A$2500)=N$1)*(MONTH(Gastos!$A$2:$A$2500)=N$3)*(Gastos!$B$2:$B$2500=$A10)*(Gastos!$D$2:$D$2500))</f>
        <v>0</v>
      </c>
      <c r="O10" s="75">
        <f t="array" ref="O10">SUM((YEAR(Gastos!$A$2:$A$2500)=O$1)*(MONTH(Gastos!$A$2:$A$2500)=O$3)*(Gastos!$B$2:$B$2500=$A10)*(Gastos!$D$2:$D$2500))</f>
        <v>3480</v>
      </c>
      <c r="P10" s="75">
        <f t="array" ref="P10">SUM((YEAR(Gastos!$A$2:$A$2500)=P$1)*(MONTH(Gastos!$A$2:$A$2500)=P$3)*(Gastos!$B$2:$B$2500=$A10)*(Gastos!$D$2:$D$2500))</f>
        <v>2320</v>
      </c>
      <c r="Q10" s="75">
        <f t="array" ref="Q10">SUM((YEAR(Gastos!$A$2:$A$2500)=Q$1)*(MONTH(Gastos!$A$2:$A$2500)=Q$3)*(Gastos!$B$2:$B$2500=$A10)*(Gastos!$D$2:$D$2500))</f>
        <v>2320</v>
      </c>
      <c r="R10" s="75">
        <f t="array" ref="R10">SUM((YEAR(Gastos!$A$2:$A$2500)=R$1)*(MONTH(Gastos!$A$2:$A$2500)=R$3)*(Gastos!$B$2:$B$2500=$A10)*(Gastos!$D$2:$D$2500))</f>
        <v>4640</v>
      </c>
      <c r="S10" s="75">
        <f t="array" ref="S10">SUM((YEAR(Gastos!$A$2:$A$2500)=S$1)*(MONTH(Gastos!$A$2:$A$2500)=S$3)*(Gastos!$B$2:$B$2500=$A10)*(Gastos!$D$2:$D$2500))</f>
        <v>4640</v>
      </c>
      <c r="T10" s="75">
        <f t="array" ref="T10">SUM((YEAR(Gastos!$A$2:$A$2500)=T$1)*(MONTH(Gastos!$A$2:$A$2500)=T$3)*(Gastos!$B$2:$B$2500=$A10)*(Gastos!$D$2:$D$2500))</f>
        <v>4640</v>
      </c>
      <c r="U10" s="75">
        <f t="array" ref="U10">SUM((YEAR(Gastos!$A$2:$A$2500)=U$1)*(MONTH(Gastos!$A$2:$A$2500)=U$3)*(Gastos!$B$2:$B$2500=$A10)*(Gastos!$D$2:$D$2500))</f>
        <v>3755</v>
      </c>
      <c r="V10" s="75">
        <f t="array" ref="V10">SUM((YEAR(Gastos!$A$2:$A$2500)=V$1)*(MONTH(Gastos!$A$2:$A$2500)=V$3)*(Gastos!$B$2:$B$2500=$A10)*(Gastos!$D$2:$D$2500))</f>
        <v>2320</v>
      </c>
      <c r="W10" s="75">
        <f t="array" ref="W10">SUM((YEAR(Gastos!$A$2:$A$2500)=W$1)*(MONTH(Gastos!$A$2:$A$2500)=W$3)*(Gastos!$B$2:$B$2500=$A10)*(Gastos!$D$2:$D$2500))</f>
        <v>4640</v>
      </c>
      <c r="X10" s="75">
        <f t="array" ref="X10">SUM((YEAR(Gastos!$A$2:$A$2500)=X$1)*(MONTH(Gastos!$A$2:$A$2500)=X$3)*(Gastos!$B$2:$B$2500=$A10)*(Gastos!$D$2:$D$2500))</f>
        <v>2320</v>
      </c>
      <c r="Y10" s="75">
        <f t="array" ref="Y10">SUM((YEAR(Gastos!$A$2:$A$2500)=Y$1)*(MONTH(Gastos!$A$2:$A$2500)=Y$3)*(Gastos!$B$2:$B$2500=$A10)*(Gastos!$D$2:$D$2500))</f>
        <v>2320</v>
      </c>
      <c r="Z10" s="75">
        <f t="array" ref="Z10">SUM((YEAR(Gastos!$A$2:$A$2500)=Z$1)*(MONTH(Gastos!$A$2:$A$2500)=Z$3)*(Gastos!$B$2:$B$2500=$A10)*(Gastos!$D$2:$D$2500))</f>
        <v>2320</v>
      </c>
      <c r="AA10" s="75">
        <f t="array" ref="AA10">SUM((YEAR(Gastos!$A$2:$A$2500)=AA$1)*(MONTH(Gastos!$A$2:$A$2500)=AA$3)*(Gastos!$B$2:$B$2500=$A10)*(Gastos!$D$2:$D$2500))</f>
        <v>2320</v>
      </c>
      <c r="AB10" s="75">
        <f t="array" ref="AB10">SUM((YEAR(Gastos!$A$2:$A$2500)=AB$1)*(MONTH(Gastos!$A$2:$A$2500)=AB$3)*(Gastos!$B$2:$B$2500=$A10)*(Gastos!$D$2:$D$2500))</f>
        <v>2320</v>
      </c>
      <c r="AC10" s="75">
        <f t="array" ref="AC10">SUM((YEAR(Gastos!$A$2:$A$2500)=AC$1)*(MONTH(Gastos!$A$2:$A$2500)=AC$3)*(Gastos!$B$2:$B$2500=$A10)*(Gastos!$D$2:$D$2500))</f>
        <v>2320</v>
      </c>
      <c r="AD10" s="75">
        <f t="array" ref="AD10">SUM((YEAR(Gastos!$A$2:$A$2500)=AD$1)*(MONTH(Gastos!$A$2:$A$2500)=AD$3)*(Gastos!$B$2:$B$2500=$A10)*(Gastos!$D$2:$D$2500))</f>
        <v>2320</v>
      </c>
      <c r="AE10" s="75">
        <f t="array" ref="AE10">SUM((YEAR(Gastos!$A$2:$A$2500)=AE$1)*(MONTH(Gastos!$A$2:$A$2500)=AE$3)*(Gastos!$B$2:$B$2500=$A10)*(Gastos!$D$2:$D$2500))</f>
        <v>5600</v>
      </c>
      <c r="AF10" s="75">
        <f t="array" ref="AF10">SUM((YEAR(Gastos!$A$2:$A$2500)=AF$1)*(MONTH(Gastos!$A$2:$A$2500)=AF$3)*(Gastos!$B$2:$B$2500=$A10)*(Gastos!$D$2:$D$2500))</f>
        <v>2800</v>
      </c>
      <c r="AG10" s="75">
        <f t="array" ref="AG10">SUM((YEAR(Gastos!$A$2:$A$2500)=AG$1)*(MONTH(Gastos!$A$2:$A$2500)=AG$3)*(Gastos!$B$2:$B$2500=$A10)*(Gastos!$D$2:$D$2500))</f>
        <v>5600</v>
      </c>
      <c r="AH10" s="75">
        <f t="array" ref="AH10">SUM((YEAR(Gastos!$A$2:$A$2500)=AH$1)*(MONTH(Gastos!$A$2:$A$2500)=AH$3)*(Gastos!$B$2:$B$2500=$A10)*(Gastos!$D$2:$D$2500))</f>
        <v>0</v>
      </c>
      <c r="AI10" s="75">
        <f t="array" ref="AI10">SUM((YEAR(Gastos!$A$2:$A$2500)=AI$1)*(MONTH(Gastos!$A$2:$A$2500)=AI$3)*(Gastos!$B$2:$B$2500=$A10)*(Gastos!$D$2:$D$2500))</f>
        <v>2800</v>
      </c>
      <c r="AJ10" s="75">
        <f t="array" ref="AJ10">SUM((YEAR(Gastos!$A$2:$A$2500)=AJ$1)*(MONTH(Gastos!$A$2:$A$2500)=AJ$3)*(Gastos!$B$2:$B$2500=$A10)*(Gastos!$D$2:$D$2500))</f>
        <v>2800</v>
      </c>
      <c r="AK10" s="75">
        <f t="array" ref="AK10">SUM((YEAR(Gastos!$A$2:$A$2500)=AK$1)*(MONTH(Gastos!$A$2:$A$2500)=AK$3)*(Gastos!$B$2:$B$2500=$A10)*(Gastos!$D$2:$D$2500))</f>
        <v>2800</v>
      </c>
      <c r="AL10" s="75">
        <f t="array" ref="AL10">SUM((YEAR(Gastos!$A$2:$A$2500)=AL$1)*(MONTH(Gastos!$A$2:$A$2500)=AL$3)*(Gastos!$B$2:$B$2500=$A10)*(Gastos!$D$2:$D$2500))</f>
        <v>0</v>
      </c>
      <c r="AM10" s="75">
        <f t="array" ref="AM10">SUM((YEAR(Gastos!$A$2:$A$2500)=AM$1)*(MONTH(Gastos!$A$2:$A$2500)=AM$3)*(Gastos!$B$2:$B$2500=$A10)*(Gastos!$D$2:$D$2500))</f>
        <v>0</v>
      </c>
      <c r="AN10" s="75">
        <f t="array" ref="AN10">SUM((YEAR(Gastos!$A$2:$A$2500)=AN$1)*(MONTH(Gastos!$A$2:$A$2500)=AN$3)*(Gastos!$B$2:$B$2500=$A10)*(Gastos!$D$2:$D$2500))</f>
        <v>0</v>
      </c>
      <c r="AO10" s="75">
        <f t="array" ref="AO10">SUM((YEAR(Gastos!$A$2:$A$2500)=AO$1)*(MONTH(Gastos!$A$2:$A$2500)=AO$3)*(Gastos!$B$2:$B$2500=$A10)*(Gastos!$D$2:$D$2500))</f>
        <v>0</v>
      </c>
      <c r="AP10" s="75">
        <f t="array" ref="AP10">SUM((YEAR(Gastos!$A$2:$A$2500)=AP$1)*(MONTH(Gastos!$A$2:$A$2500)=AP$3)*(Gastos!$B$2:$B$2500=$A10)*(Gastos!$D$2:$D$2500))</f>
        <v>0</v>
      </c>
      <c r="AQ10" s="75">
        <f t="array" ref="AQ10">SUM((YEAR(Gastos!$A$2:$A$2500)=AQ$1)*(MONTH(Gastos!$A$2:$A$2500)=AQ$3)*(Gastos!$B$2:$B$2500=$A10)*(Gastos!$D$2:$D$2500))</f>
        <v>0</v>
      </c>
      <c r="AR10" s="75">
        <f t="array" ref="AR10">SUM((YEAR(Gastos!$A$2:$A$2500)=AR$1)*(MONTH(Gastos!$A$2:$A$2500)=AR$3)*(Gastos!$B$2:$B$2500=$A10)*(Gastos!$D$2:$D$2500))</f>
        <v>0</v>
      </c>
      <c r="AS10" s="75">
        <f t="array" ref="AS10">SUM((YEAR(Gastos!$A$2:$A$2500)=AS$1)*(MONTH(Gastos!$A$2:$A$2500)=AS$3)*(Gastos!$B$2:$B$2500=$A10)*(Gastos!$D$2:$D$2500))</f>
        <v>0</v>
      </c>
      <c r="AT10" s="75">
        <f t="array" ref="AT10">SUM((YEAR(Gastos!$A$2:$A$2500)=AT$1)*(MONTH(Gastos!$A$2:$A$2500)=AT$3)*(Gastos!$B$2:$B$2500=$A10)*(Gastos!$D$2:$D$2500))</f>
        <v>0</v>
      </c>
      <c r="AU10" s="75">
        <f t="array" ref="AU10">SUM((YEAR(Gastos!$A$2:$A$2500)=AU$1)*(MONTH(Gastos!$A$2:$A$2500)=AU$3)*(Gastos!$B$2:$B$2500=$A10)*(Gastos!$D$2:$D$2500))</f>
        <v>0</v>
      </c>
      <c r="AV10" s="75">
        <f t="array" ref="AV10">SUM((YEAR(Gastos!$A$2:$A$2500)=AV$1)*(MONTH(Gastos!$A$2:$A$2500)=AV$3)*(Gastos!$B$2:$B$2500=$A10)*(Gastos!$D$2:$D$2500))</f>
        <v>0</v>
      </c>
      <c r="AW10" s="75">
        <f t="array" ref="AW10">SUM((YEAR(Gastos!$A$2:$A$2500)=AW$1)*(MONTH(Gastos!$A$2:$A$2500)=AW$3)*(Gastos!$B$2:$B$2500=$A10)*(Gastos!$D$2:$D$2500))</f>
        <v>0</v>
      </c>
      <c r="AX10" s="75">
        <f t="array" ref="AX10">SUM((YEAR(Gastos!$A$2:$A$2500)=AX$1)*(MONTH(Gastos!$A$2:$A$2500)=AX$3)*(Gastos!$B$2:$B$2500=$A10)*(Gastos!$D$2:$D$2500))</f>
        <v>0</v>
      </c>
      <c r="AY10" s="75">
        <f t="array" ref="AY10">SUM((YEAR(Gastos!$A$2:$A$2500)=AY$1)*(MONTH(Gastos!$A$2:$A$2500)=AY$3)*(Gastos!$B$2:$B$2500=$A10)*(Gastos!$D$2:$D$2500))</f>
        <v>0</v>
      </c>
      <c r="AZ10" s="75">
        <f t="array" ref="AZ10">SUM((YEAR(Gastos!$A$2:$A$2500)=AZ$1)*(MONTH(Gastos!$A$2:$A$2500)=AZ$3)*(Gastos!$B$2:$B$2500=$A10)*(Gastos!$D$2:$D$2500))</f>
        <v>0</v>
      </c>
      <c r="BA10" s="75">
        <f t="array" ref="BA10">SUM((YEAR(Gastos!$A$2:$A$2500)=BA$1)*(MONTH(Gastos!$A$2:$A$2500)=BA$3)*(Gastos!$B$2:$B$2500=$A10)*(Gastos!$D$2:$D$2500))</f>
        <v>0</v>
      </c>
      <c r="BB10" s="75">
        <f t="array" ref="BB10">SUM((YEAR(Gastos!$A$2:$A$2500)=BB$1)*(MONTH(Gastos!$A$2:$A$2500)=BB$3)*(Gastos!$B$2:$B$2500=$A10)*(Gastos!$D$2:$D$2500))</f>
        <v>0</v>
      </c>
      <c r="BC10" s="75">
        <f t="array" ref="BC10">SUM((YEAR(Gastos!$A$2:$A$2500)=BC$1)*(MONTH(Gastos!$A$2:$A$2500)=BC$3)*(Gastos!$B$2:$B$2500=$A10)*(Gastos!$D$2:$D$2500))</f>
        <v>0</v>
      </c>
      <c r="BD10" s="75">
        <f t="array" ref="BD10">SUM((YEAR(Gastos!$A$2:$A$2500)=BD$1)*(MONTH(Gastos!$A$2:$A$2500)=BD$3)*(Gastos!$B$2:$B$2500=$A10)*(Gastos!$D$2:$D$2500))</f>
        <v>0</v>
      </c>
      <c r="BE10" s="75">
        <f t="array" ref="BE10">SUM((YEAR(Gastos!$A$2:$A$2500)=BE$1)*(MONTH(Gastos!$A$2:$A$2500)=BE$3)*(Gastos!$B$2:$B$2500=$A10)*(Gastos!$D$2:$D$2500))</f>
        <v>0</v>
      </c>
      <c r="BF10" s="75">
        <f t="array" ref="BF10">SUM((YEAR(Gastos!$A$2:$A$2500)=BF$1)*(MONTH(Gastos!$A$2:$A$2500)=BF$3)*(Gastos!$B$2:$B$2500=$A10)*(Gastos!$D$2:$D$2500))</f>
        <v>0</v>
      </c>
      <c r="BG10" s="75">
        <f t="array" ref="BG10">SUM((YEAR(Gastos!$A$2:$A$2500)=BG$1)*(MONTH(Gastos!$A$2:$A$2500)=BG$3)*(Gastos!$B$2:$B$2500=$A10)*(Gastos!$D$2:$D$2500))</f>
        <v>0</v>
      </c>
      <c r="BH10" s="75">
        <f t="array" ref="BH10">SUM((YEAR(Gastos!$A$2:$A$2500)=BH$1)*(MONTH(Gastos!$A$2:$A$2500)=BH$3)*(Gastos!$B$2:$B$2500=$A10)*(Gastos!$D$2:$D$2500))</f>
        <v>0</v>
      </c>
      <c r="BI10" s="75">
        <f t="array" ref="BI10">SUM((YEAR(Gastos!$A$2:$A$2500)=BI$1)*(MONTH(Gastos!$A$2:$A$2500)=BI$3)*(Gastos!$B$2:$B$2500=$A10)*(Gastos!$D$2:$D$2500))</f>
        <v>0</v>
      </c>
      <c r="BJ10" s="75">
        <f t="array" ref="BJ10">SUM((YEAR(Gastos!$A$2:$A$2500)=BJ$1)*(MONTH(Gastos!$A$2:$A$2500)=BJ$3)*(Gastos!$B$2:$B$2500=$A10)*(Gastos!$D$2:$D$2500))</f>
        <v>0</v>
      </c>
      <c r="BK10" s="75">
        <f t="array" ref="BK10">SUM((YEAR(Gastos!$A$2:$A$2500)=BK$1)*(MONTH(Gastos!$A$2:$A$2500)=BK$3)*(Gastos!$B$2:$B$2500=$A10)*(Gastos!$D$2:$D$2500))</f>
        <v>0</v>
      </c>
      <c r="BL10" s="75">
        <f t="array" ref="BL10">SUM((YEAR(Gastos!$A$2:$A$2500)=BL$1)*(MONTH(Gastos!$A$2:$A$2500)=BL$3)*(Gastos!$B$2:$B$2500=$A10)*(Gastos!$D$2:$D$2500))</f>
        <v>0</v>
      </c>
      <c r="BM10" s="75">
        <f t="array" ref="BM10">SUM((YEAR(Gastos!$A$2:$A$2500)=BM$1)*(MONTH(Gastos!$A$2:$A$2500)=BM$3)*(Gastos!$B$2:$B$2500=$A10)*(Gastos!$D$2:$D$2500))</f>
        <v>0</v>
      </c>
      <c r="BN10" s="75">
        <f t="array" ref="BN10">SUM((YEAR(Gastos!$A$2:$A$2500)=BN$1)*(MONTH(Gastos!$A$2:$A$2500)=BN$3)*(Gastos!$B$2:$B$2500=$A10)*(Gastos!$D$2:$D$2500))</f>
        <v>0</v>
      </c>
      <c r="BO10" s="75">
        <f t="array" ref="BO10">SUM((YEAR(Gastos!$A$2:$A$2500)=BO$1)*(MONTH(Gastos!$A$2:$A$2500)=BO$3)*(Gastos!$B$2:$B$2500=$A10)*(Gastos!$D$2:$D$2500))</f>
        <v>0</v>
      </c>
      <c r="BP10" s="75">
        <f t="array" ref="BP10">SUM((YEAR(Gastos!$A$2:$A$2500)=BP$1)*(MONTH(Gastos!$A$2:$A$2500)=BP$3)*(Gastos!$B$2:$B$2500=$A10)*(Gastos!$D$2:$D$2500))</f>
        <v>0</v>
      </c>
      <c r="BQ10" s="75">
        <f t="array" ref="BQ10">SUM((YEAR(Gastos!$A$2:$A$2500)=BQ$1)*(MONTH(Gastos!$A$2:$A$2500)=BQ$3)*(Gastos!$B$2:$B$2500=$A10)*(Gastos!$D$2:$D$2500))</f>
        <v>0</v>
      </c>
      <c r="BR10" s="75">
        <f t="array" ref="BR10">SUM((YEAR(Gastos!$A$2:$A$2500)=BR$1)*(MONTH(Gastos!$A$2:$A$2500)=BR$3)*(Gastos!$B$2:$B$2500=$A10)*(Gastos!$D$2:$D$2500))</f>
        <v>0</v>
      </c>
      <c r="BS10" s="75">
        <f t="array" ref="BS10">SUM((YEAR(Gastos!$A$2:$A$2500)=BS$1)*(MONTH(Gastos!$A$2:$A$2500)=BS$3)*(Gastos!$B$2:$B$2500=$A10)*(Gastos!$D$2:$D$2500))</f>
        <v>3500</v>
      </c>
      <c r="BT10" s="75">
        <f t="array" ref="BT10">SUM((YEAR(Gastos!$A$2:$A$2500)=BT$1)*(MONTH(Gastos!$A$2:$A$2500)=BT$3)*(Gastos!$B$2:$B$2500=$A10)*(Gastos!$D$2:$D$2500))</f>
        <v>0</v>
      </c>
      <c r="BU10" s="75">
        <f t="array" ref="BU10">SUM((YEAR(Gastos!$A$2:$A$2500)=BU$1)*(MONTH(Gastos!$A$2:$A$2500)=BU$3)*(Gastos!$B$2:$B$2500=$A10)*(Gastos!$D$2:$D$2500))</f>
        <v>0</v>
      </c>
      <c r="BV10" s="75">
        <f t="array" ref="BV10">SUM((YEAR(Gastos!$A$2:$A$2500)=BV$1)*(MONTH(Gastos!$A$2:$A$2500)=BV$3)*(Gastos!$B$2:$B$2500=$A10)*(Gastos!$D$2:$D$2500))</f>
        <v>0</v>
      </c>
      <c r="BW10" s="75">
        <f t="array" ref="BW10">SUM((YEAR(Gastos!$A$2:$A$2500)=BW$1)*(MONTH(Gastos!$A$2:$A$2500)=BW$3)*(Gastos!$B$2:$B$2500=$A10)*(Gastos!$D$2:$D$2500))</f>
        <v>8468</v>
      </c>
      <c r="BX10" s="75">
        <f t="array" ref="BX10">SUM((YEAR(Gastos!$A$2:$A$2500)=BX$1)*(MONTH(Gastos!$A$2:$A$2500)=BX$3)*(Gastos!$B$2:$B$2500=$A10)*(Gastos!$D$2:$D$2500))</f>
        <v>9976</v>
      </c>
      <c r="BY10" s="75">
        <f t="array" ref="BY10">SUM((YEAR(Gastos!$A$2:$A$2500)=BY$1)*(MONTH(Gastos!$A$2:$A$2500)=BY$3)*(Gastos!$B$2:$B$2500=$A10)*(Gastos!$D$2:$D$2500))</f>
        <v>4988</v>
      </c>
      <c r="BZ10" s="75">
        <f t="array" ref="BZ10">SUM((YEAR(Gastos!$A$2:$A$2500)=BZ$1)*(MONTH(Gastos!$A$2:$A$2500)=BZ$3)*(Gastos!$B$2:$B$2500=$A10)*(Gastos!$D$2:$D$2500))</f>
        <v>9976</v>
      </c>
      <c r="CA10" s="75">
        <f t="array" ref="CA10">SUM((YEAR(Gastos!$A$2:$A$2500)=CA$1)*(MONTH(Gastos!$A$2:$A$2500)=CA$3)*(Gastos!$B$2:$B$2500=$A10)*(Gastos!$D$2:$D$2500))</f>
        <v>9976</v>
      </c>
      <c r="CB10" s="75">
        <f t="array" ref="CB10">SUM((YEAR(Gastos!$A$2:$A$2500)=CB$1)*(MONTH(Gastos!$A$2:$A$2500)=CB$3)*(Gastos!$B$2:$B$2500=$A10)*(Gastos!$D$2:$D$2500))</f>
        <v>10208</v>
      </c>
      <c r="CC10" s="75">
        <f t="array" ref="CC10">SUM((YEAR(Gastos!$A$2:$A$2500)=CC$1)*(MONTH(Gastos!$A$2:$A$2500)=CC$3)*(Gastos!$B$2:$B$2500=$A10)*(Gastos!$D$2:$D$2500))</f>
        <v>9976</v>
      </c>
      <c r="CD10" s="75">
        <f t="array" ref="CD10">SUM((YEAR(Gastos!$A$2:$A$2500)=CD$1)*(MONTH(Gastos!$A$2:$A$2500)=CD$3)*(Gastos!$B$2:$B$2500=$A10)*(Gastos!$D$2:$D$2500))</f>
        <v>4988</v>
      </c>
      <c r="CE10" s="75">
        <f t="array" ref="CE10">SUM((YEAR(Gastos!$A$2:$A$2500)=CE$1)*(MONTH(Gastos!$A$2:$A$2500)=CE$3)*(Gastos!$B$2:$B$2500=$A10)*(Gastos!$D$2:$D$2500))</f>
        <v>9164</v>
      </c>
      <c r="CF10" s="75">
        <f t="array" ref="CF10">SUM((YEAR(Gastos!$A$2:$A$2500)=CF$1)*(MONTH(Gastos!$A$2:$A$2500)=CF$3)*(Gastos!$B$2:$B$2500=$A10)*(Gastos!$D$2:$D$2500))</f>
        <v>4988</v>
      </c>
      <c r="CG10" s="75">
        <f t="array" ref="CG10">SUM((YEAR(Gastos!$A$2:$A$2500)=CG$1)*(MONTH(Gastos!$A$2:$A$2500)=CG$3)*(Gastos!$B$2:$B$2500=$A10)*(Gastos!$D$2:$D$2500))</f>
        <v>4800</v>
      </c>
      <c r="CH10" s="75">
        <f t="array" ref="CH10">SUM((YEAR(Gastos!$A$2:$A$2500)=CH$1)*(MONTH(Gastos!$A$2:$A$2500)=CH$3)*(Gastos!$B$2:$B$2500=$A10)*(Gastos!$D$2:$D$2500))</f>
        <v>4800</v>
      </c>
      <c r="CI10" s="75">
        <f t="array" ref="CI10">SUM((YEAR(Gastos!$A$2:$A$2500)=CI$1)*(MONTH(Gastos!$A$2:$A$2500)=CI$3)*(Gastos!$B$2:$B$2500=$A10)*(Gastos!$D$2:$D$2500))</f>
        <v>8802</v>
      </c>
      <c r="CJ10" s="75">
        <f t="array" ref="CJ10">SUM((YEAR(Gastos!$A$2:$A$2500)=CJ$1)*(MONTH(Gastos!$A$2:$A$2500)=CJ$3)*(Gastos!$B$2:$B$2500=$A10)*(Gastos!$D$2:$D$2500))</f>
        <v>4800</v>
      </c>
      <c r="CK10" s="75">
        <f t="array" ref="CK10">SUM((YEAR(Gastos!$A$2:$A$2500)=CK$1)*(MONTH(Gastos!$A$2:$A$2500)=CK$3)*(Gastos!$B$2:$B$2500=$A10)*(Gastos!$D$2:$D$2500))</f>
        <v>4800</v>
      </c>
      <c r="CL10" s="75">
        <f t="array" ref="CL10">SUM((YEAR(Gastos!$A$2:$A$2500)=CL$1)*(MONTH(Gastos!$A$2:$A$2500)=CL$3)*(Gastos!$B$2:$B$2500=$A10)*(Gastos!$D$2:$D$2500))</f>
        <v>0</v>
      </c>
      <c r="CM10" s="75">
        <f t="array" ref="CM10">SUM((YEAR(Gastos!$A$2:$A$2500)=CM$1)*(MONTH(Gastos!$A$2:$A$2500)=CM$3)*(Gastos!$B$2:$B$2500=$A10)*(Gastos!$D$2:$D$2500))</f>
        <v>9600</v>
      </c>
      <c r="CN10" s="75">
        <f t="array" ref="CN10">SUM((YEAR(Gastos!$A$2:$A$2500)=CN$1)*(MONTH(Gastos!$A$2:$A$2500)=CN$3)*(Gastos!$B$2:$B$2500=$A10)*(Gastos!$D$2:$D$2500))</f>
        <v>6888</v>
      </c>
      <c r="CO10" s="75">
        <f t="array" ref="CO10">SUM((YEAR(Gastos!$A$2:$A$2500)=CO$1)*(MONTH(Gastos!$A$2:$A$2500)=CO$3)*(Gastos!$B$2:$B$2500=$A10)*(Gastos!$D$2:$D$2500))</f>
        <v>9600</v>
      </c>
      <c r="CP10" s="75">
        <f t="array" ref="CP10">SUM((YEAR(Gastos!$A$2:$A$2500)=CP$1)*(MONTH(Gastos!$A$2:$A$2500)=CP$3)*(Gastos!$B$2:$B$2500=$A10)*(Gastos!$D$2:$D$2500))</f>
        <v>9324</v>
      </c>
      <c r="CQ10" s="75">
        <f t="array" ref="CQ10">SUM((YEAR(Gastos!$A$2:$A$2500)=CQ$1)*(MONTH(Gastos!$A$2:$A$2500)=CQ$3)*(Gastos!$B$2:$B$2500=$A10)*(Gastos!$D$2:$D$2500))</f>
        <v>4800</v>
      </c>
      <c r="CR10" s="75">
        <f t="array" ref="CR10">SUM((YEAR(Gastos!$A$2:$A$2500)=CR$1)*(MONTH(Gastos!$A$2:$A$2500)=CR$3)*(Gastos!$B$2:$B$2500=$A10)*(Gastos!$D$2:$D$2500))</f>
        <v>4800</v>
      </c>
      <c r="CS10" s="75">
        <f t="array" ref="CS10">SUM((YEAR(Gastos!$A$2:$A$2500)=CS$1)*(MONTH(Gastos!$A$2:$A$2500)=CS$3)*(Gastos!$B$2:$B$2500=$A10)*(Gastos!$D$2:$D$2500))</f>
        <v>4800</v>
      </c>
      <c r="CT10" s="75">
        <f t="array" ref="CT10">SUM((YEAR(Gastos!$A$2:$A$2500)=CT$1)*(MONTH(Gastos!$A$2:$A$2500)=CT$3)*(Gastos!$B$2:$B$2500=$A10)*(Gastos!$D$2:$D$2500))</f>
        <v>7096.8</v>
      </c>
      <c r="CU10" s="75">
        <f t="array" ref="CU10">SUM((YEAR(Gastos!$A$2:$A$2500)=CU$1)*(MONTH(Gastos!$A$2:$A$2500)=CU$3)*(Gastos!$B$2:$B$2500=$A10)*(Gastos!$D$2:$D$2500))</f>
        <v>1972</v>
      </c>
      <c r="CV10" s="75">
        <f t="array" ref="CV10">SUM((YEAR(Gastos!$A$2:$A$2500)=CV$1)*(MONTH(Gastos!$A$2:$A$2500)=CV$3)*(Gastos!$B$2:$B$2500=$A10)*(Gastos!$D$2:$D$2500))</f>
        <v>4800</v>
      </c>
      <c r="CW10" s="75">
        <f t="array" ref="CW10">SUM((YEAR(Gastos!$A$2:$A$2500)=CW$1)*(MONTH(Gastos!$A$2:$A$2500)=CW$3)*(Gastos!$B$2:$B$2500=$A10)*(Gastos!$D$2:$D$2500))</f>
        <v>4800</v>
      </c>
      <c r="CX10" s="75">
        <f t="array" ref="CX10">SUM((YEAR(Gastos!$A$2:$A$2500)=CX$1)*(MONTH(Gastos!$A$2:$A$2500)=CX$3)*(Gastos!$B$2:$B$2500=$A10)*(Gastos!$D$2:$D$2500))</f>
        <v>9600</v>
      </c>
      <c r="CY10" s="75">
        <f t="array" ref="CY10">SUM((YEAR(Gastos!$A$2:$A$2500)=CY$1)*(MONTH(Gastos!$A$2:$A$2500)=CY$3)*(Gastos!$B$2:$B$2500=$A10)*(Gastos!$D$2:$D$2500))</f>
        <v>0</v>
      </c>
      <c r="CZ10" s="75">
        <f t="array" ref="CZ10">SUM((YEAR(Gastos!$A$2:$A$2500)=CZ$1)*(MONTH(Gastos!$A$2:$A$2500)=CZ$3)*(Gastos!$B$2:$B$2500=$A10)*(Gastos!$D$2:$D$2500))</f>
        <v>4800</v>
      </c>
      <c r="DA10" s="75">
        <f t="array" ref="DA10">SUM((YEAR(Gastos!$A$2:$A$2500)=DA$1)*(MONTH(Gastos!$A$2:$A$2500)=DA$3)*(Gastos!$B$2:$B$2500=$A10)*(Gastos!$D$2:$D$2500))</f>
        <v>4800</v>
      </c>
      <c r="DB10" s="75">
        <f t="array" ref="DB10">SUM((YEAR(Gastos!$A$2:$A$2500)=DB$1)*(MONTH(Gastos!$A$2:$A$2500)=DB$3)*(Gastos!$B$2:$B$2500=$A10)*(Gastos!$D$2:$D$2500))</f>
        <v>4988</v>
      </c>
      <c r="DC10" s="75">
        <f t="array" ref="DC10">SUM((YEAR(Gastos!$A$2:$A$2500)=DC$1)*(MONTH(Gastos!$A$2:$A$2500)=DC$3)*(Gastos!$B$2:$B$2500=$A10)*(Gastos!$D$2:$D$2500))</f>
        <v>0</v>
      </c>
      <c r="DD10" s="75">
        <f t="array" ref="DD10">SUM((YEAR(Gastos!$A$2:$A$2500)=DD$1)*(MONTH(Gastos!$A$2:$A$2500)=DD$3)*(Gastos!$B$2:$B$2500=$A10)*(Gastos!$D$2:$D$2500))</f>
        <v>0</v>
      </c>
      <c r="DE10" s="75">
        <f t="array" ref="DE10">SUM((YEAR(Gastos!$A$2:$A$2500)=DE$1)*(MONTH(Gastos!$A$2:$A$2500)=DE$3)*(Gastos!$B$2:$B$2500=$A10)*(Gastos!$D$2:$D$2500))</f>
        <v>5800</v>
      </c>
      <c r="DF10" s="75">
        <f t="array" ref="DF10">SUM((YEAR(Gastos!$A$2:$A$2500)=DF$1)*(MONTH(Gastos!$A$2:$A$2500)=DF$3)*(Gastos!$B$2:$B$2500=$A10)*(Gastos!$D$2:$D$2500))</f>
        <v>0</v>
      </c>
      <c r="DG10" s="75">
        <f t="array" ref="DG10">SUM((YEAR(Gastos!$A$2:$A$2500)=DG$1)*(MONTH(Gastos!$A$2:$A$2500)=DG$3)*(Gastos!$B$2:$B$2500=$A10)*(Gastos!$D$2:$D$2500))</f>
        <v>4988</v>
      </c>
      <c r="DH10" s="75">
        <f t="array" ref="DH10">SUM((YEAR(Gastos!$A$2:$A$2500)=DH$1)*(MONTH(Gastos!$A$2:$A$2500)=DH$3)*(Gastos!$B$2:$B$2500=$A10)*(Gastos!$D$2:$D$2500))</f>
        <v>4988</v>
      </c>
      <c r="DI10" s="75">
        <f t="array" ref="DI10">SUM((YEAR(Gastos!$A$2:$A$2500)=DI$1)*(MONTH(Gastos!$A$2:$A$2500)=DI$3)*(Gastos!$B$2:$B$2500=$A10)*(Gastos!$D$2:$D$2500))</f>
        <v>0</v>
      </c>
      <c r="DJ10" s="75">
        <f t="array" ref="DJ10">SUM((YEAR(Gastos!$A$2:$A$2500)=DJ$1)*(MONTH(Gastos!$A$2:$A$2500)=DJ$3)*(Gastos!$B$2:$B$2500=$A10)*(Gastos!$D$2:$D$2500))</f>
        <v>4988</v>
      </c>
      <c r="DK10" s="75">
        <f t="array" ref="DK10">SUM((YEAR(Gastos!$A$2:$A$2500)=DK$1)*(MONTH(Gastos!$A$2:$A$2500)=DK$3)*(Gastos!$B$2:$B$2500=$A10)*(Gastos!$D$2:$D$2500))</f>
        <v>4988</v>
      </c>
      <c r="DL10" s="75">
        <f t="array" ref="DL10">SUM((YEAR(Gastos!$A$2:$A$2500)=DL$1)*(MONTH(Gastos!$A$2:$A$2500)=DL$3)*(Gastos!$B$2:$B$2500=$A10)*(Gastos!$D$2:$D$2500))</f>
        <v>9976</v>
      </c>
      <c r="DM10" s="75">
        <f t="array" ref="DM10">SUM((YEAR(Gastos!$A$2:$A$2500)=DM$1)*(MONTH(Gastos!$A$2:$A$2500)=DM$3)*(Gastos!$B$2:$B$2500=$A10)*(Gastos!$D$2:$D$2500))</f>
        <v>0</v>
      </c>
      <c r="DN10" s="75">
        <f t="array" ref="DN10">SUM((YEAR(Gastos!$A$2:$A$2500)=DN$1)*(MONTH(Gastos!$A$2:$A$2500)=DN$3)*(Gastos!$B$2:$B$2500=$A10)*(Gastos!$D$2:$D$2500))</f>
        <v>4988</v>
      </c>
      <c r="DO10" s="75">
        <f t="array" ref="DO10">SUM((YEAR(Gastos!$A$2:$A$2500)=DO$1)*(MONTH(Gastos!$A$2:$A$2500)=DO$3)*(Gastos!$B$2:$B$2500=$A10)*(Gastos!$D$2:$D$2500))</f>
        <v>4988</v>
      </c>
      <c r="DP10" s="75">
        <f t="array" ref="DP10">SUM((YEAR(Gastos!$A$2:$A$2500)=DP$1)*(MONTH(Gastos!$A$2:$A$2500)=DP$3)*(Gastos!$B$2:$B$2500=$A10)*(Gastos!$D$2:$D$2500))</f>
        <v>0</v>
      </c>
      <c r="DQ10" s="75">
        <f t="array" ref="DQ10">SUM((YEAR(Gastos!$A$2:$A$2500)=DQ$1)*(MONTH(Gastos!$A$2:$A$2500)=DQ$3)*(Gastos!$B$2:$B$2500=$A10)*(Gastos!$D$2:$D$2500))</f>
        <v>9976</v>
      </c>
      <c r="DR10" s="75">
        <f t="array" ref="DR10">SUM((YEAR(Gastos!$A$2:$A$2500)=DR$1)*(MONTH(Gastos!$A$2:$A$2500)=DR$3)*(Gastos!$B$2:$B$2500=$A10)*(Gastos!$D$2:$D$2500))</f>
        <v>0</v>
      </c>
      <c r="DS10" s="75">
        <f t="array" ref="DS10">SUM((YEAR(Gastos!$A$2:$A$2500)=DS$1)*(MONTH(Gastos!$A$2:$A$2500)=DS$3)*(Gastos!$B$2:$B$2500=$A10)*(Gastos!$D$2:$D$2500))</f>
        <v>4988</v>
      </c>
      <c r="DT10" s="75">
        <f t="array" ref="DT10">SUM((YEAR(Gastos!$A$2:$A$2500)=DT$1)*(MONTH(Gastos!$A$2:$A$2500)=DT$3)*(Gastos!$B$2:$B$2500=$A10)*(Gastos!$D$2:$D$2500))</f>
        <v>0</v>
      </c>
      <c r="DU10" s="75">
        <f t="array" ref="DU10">SUM((YEAR(Gastos!$A$2:$A$2500)=DU$1)*(MONTH(Gastos!$A$2:$A$2500)=DU$3)*(Gastos!$B$2:$B$2500=$A10)*(Gastos!$D$2:$D$2500))</f>
        <v>0</v>
      </c>
      <c r="DV10" s="75">
        <f t="array" ref="DV10">SUM((YEAR(Gastos!$A$2:$A$2500)=DV$1)*(MONTH(Gastos!$A$2:$A$2500)=DV$3)*(Gastos!$B$2:$B$2500=$A10)*(Gastos!$D$2:$D$2500))</f>
        <v>6000</v>
      </c>
      <c r="DW10" s="75">
        <f t="array" ref="DW10">SUM((YEAR(Gastos!$A$2:$A$2500)=DW$1)*(MONTH(Gastos!$A$2:$A$2500)=DW$3)*(Gastos!$B$2:$B$2500=$A10)*(Gastos!$D$2:$D$2500))</f>
        <v>4988</v>
      </c>
      <c r="DX10" s="75">
        <f t="array" ref="DX10">SUM((YEAR(Gastos!$A$2:$A$2500)=DX$1)*(MONTH(Gastos!$A$2:$A$2500)=DX$3)*(Gastos!$B$2:$B$2500=$A10)*(Gastos!$D$2:$D$2500))</f>
        <v>5568</v>
      </c>
      <c r="DY10" s="75">
        <f t="array" ref="DY10">SUM((YEAR(Gastos!$A$2:$A$2500)=DY$1)*(MONTH(Gastos!$A$2:$A$2500)=DY$3)*(Gastos!$B$2:$B$2500=$A10)*(Gastos!$D$2:$D$2500))</f>
        <v>2842</v>
      </c>
      <c r="DZ10" s="75">
        <f t="array" ref="DZ10">SUM((YEAR(Gastos!$A$2:$A$2500)=DZ$1)*(MONTH(Gastos!$A$2:$A$2500)=DZ$3)*(Gastos!$B$2:$B$2500=$A10)*(Gastos!$D$2:$D$2500))</f>
        <v>13814</v>
      </c>
      <c r="EA10" s="75">
        <f t="array" ref="EA10">SUM((YEAR(Gastos!$A$2:$A$2500)=EA$1)*(MONTH(Gastos!$A$2:$A$2500)=EA$3)*(Gastos!$B$2:$B$2500=$A10)*(Gastos!$D$2:$D$2500))</f>
        <v>10330.66</v>
      </c>
      <c r="EB10" s="75">
        <f t="array" ref="EB10">SUM((YEAR(Gastos!$A$2:$A$2500)=EB$1)*(MONTH(Gastos!$A$2:$A$2500)=EB$3)*(Gastos!$B$2:$B$2500=$A10)*(Gastos!$D$2:$D$2500))</f>
        <v>0</v>
      </c>
      <c r="EC10" s="75">
        <f t="array" ref="EC10">SUM((YEAR(Gastos!$A$2:$A$2500)=EC$1)*(MONTH(Gastos!$A$2:$A$2500)=EC$3)*(Gastos!$B$2:$B$2500=$A10)*(Gastos!$D$2:$D$2500))</f>
        <v>4988</v>
      </c>
      <c r="ED10" s="75">
        <f t="array" ref="ED10">SUM((YEAR(Gastos!$A$2:$A$2500)=ED$1)*(MONTH(Gastos!$A$2:$A$2500)=ED$3)*(Gastos!$B$2:$B$2500=$A10)*(Gastos!$D$2:$D$2500))</f>
        <v>4988</v>
      </c>
      <c r="EE10" s="75">
        <f t="array" ref="EE10">SUM((YEAR(Gastos!$A$2:$A$2500)=EE$1)*(MONTH(Gastos!$A$2:$A$2500)=EE$3)*(Gastos!$B$2:$B$2500=$A10)*(Gastos!$D$2:$D$2500))</f>
        <v>4988</v>
      </c>
      <c r="EF10" s="75">
        <f t="array" ref="EF10">SUM((YEAR(Gastos!$A$2:$A$2500)=EF$1)*(MONTH(Gastos!$A$2:$A$2500)=EF$3)*(Gastos!$B$2:$B$2500=$A10)*(Gastos!$D$2:$D$2500))</f>
        <v>0</v>
      </c>
      <c r="EG10" s="75">
        <f t="array" ref="EG10">SUM((YEAR(Gastos!$A$2:$A$2500)=EG$1)*(MONTH(Gastos!$A$2:$A$2500)=EG$3)*(Gastos!$B$2:$B$2500=$A10)*(Gastos!$D$2:$D$2500))</f>
        <v>4988</v>
      </c>
      <c r="EH10" s="75">
        <f t="array" ref="EH10">SUM((YEAR(Gastos!$A$2:$A$2500)=EH$1)*(MONTH(Gastos!$A$2:$A$2500)=EH$3)*(Gastos!$B$2:$B$2500=$A10)*(Gastos!$D$2:$D$2500))</f>
        <v>0</v>
      </c>
      <c r="EI10" s="75">
        <f t="array" ref="EI10">SUM((YEAR(Gastos!$A$2:$A$2500)=EI$1)*(MONTH(Gastos!$A$2:$A$2500)=EI$3)*(Gastos!$B$2:$B$2500=$A10)*(Gastos!$D$2:$D$2500))</f>
        <v>4988</v>
      </c>
      <c r="EJ10" s="75">
        <f t="array" ref="EJ10">SUM((YEAR(Gastos!$A$2:$A$2500)=EJ$1)*(MONTH(Gastos!$A$2:$A$2500)=EJ$3)*(Gastos!$B$2:$B$2500=$A10)*(Gastos!$D$2:$D$2500))</f>
        <v>0</v>
      </c>
      <c r="EK10" s="75">
        <f t="array" ref="EK10">SUM((YEAR(Gastos!$A$2:$A$2500)=EK$1)*(MONTH(Gastos!$A$2:$A$2500)=EK$3)*(Gastos!$B$2:$B$2500=$A10)*(Gastos!$D$2:$D$2500))</f>
        <v>0</v>
      </c>
      <c r="EL10" s="75">
        <f t="array" ref="EL10">SUM((YEAR(Gastos!$A$2:$A$2500)=EL$1)*(MONTH(Gastos!$A$2:$A$2500)=EL$3)*(Gastos!$B$2:$B$2500=$A10)*(Gastos!$D$2:$D$2500))</f>
        <v>12188</v>
      </c>
      <c r="EM10" s="75">
        <f t="array" ref="EM10">SUM((YEAR(Gastos!$A$2:$A$2500)=EM$1)*(MONTH(Gastos!$A$2:$A$2500)=EM$3)*(Gastos!$B$2:$B$2500=$A10)*(Gastos!$D$2:$D$2500))</f>
        <v>12992</v>
      </c>
      <c r="EN10" s="75">
        <f t="array" ref="EN10">SUM((YEAR(Gastos!$A$2:$A$2500)=EN$1)*(MONTH(Gastos!$A$2:$A$2500)=EN$3)*(Gastos!$B$2:$B$2500=$A10)*(Gastos!$D$2:$D$2500))</f>
        <v>9976</v>
      </c>
      <c r="EO10" s="75">
        <f t="array" ref="EO10">SUM((YEAR(Gastos!$A$2:$A$2500)=EO$1)*(MONTH(Gastos!$A$2:$A$2500)=EO$3)*(Gastos!$B$2:$B$2500=$A10)*(Gastos!$D$2:$D$2500))</f>
        <v>0</v>
      </c>
      <c r="EP10" s="75">
        <f t="array" ref="EP10">SUM((YEAR(Gastos!$A$2:$A$2500)=EP$1)*(MONTH(Gastos!$A$2:$A$2500)=EP$3)*(Gastos!$B$2:$B$2500=$A10)*(Gastos!$D$2:$D$2500))</f>
        <v>0</v>
      </c>
      <c r="EQ10" s="75">
        <f t="array" ref="EQ10">SUM((YEAR(Gastos!$A$2:$A$2500)=EQ$1)*(MONTH(Gastos!$A$2:$A$2500)=EQ$3)*(Gastos!$B$2:$B$2500=$A10)*(Gastos!$D$2:$D$2500))</f>
        <v>0</v>
      </c>
      <c r="ER10" s="75">
        <f t="array" ref="ER10">SUM((YEAR(Gastos!$A$2:$A$2500)=ER$1)*(MONTH(Gastos!$A$2:$A$2500)=ER$3)*(Gastos!$B$2:$B$2500=$A10)*(Gastos!$D$2:$D$2500))</f>
        <v>0</v>
      </c>
      <c r="ES10" s="75">
        <f t="array" ref="ES10">SUM((YEAR(Gastos!$A$2:$A$2500)=ES$1)*(MONTH(Gastos!$A$2:$A$2500)=ES$3)*(Gastos!$B$2:$B$2500=$A10)*(Gastos!$D$2:$D$2500))</f>
        <v>0</v>
      </c>
      <c r="ET10" s="75">
        <f t="array" ref="ET10">SUM((YEAR(Gastos!$A$2:$A$2500)=ET$1)*(MONTH(Gastos!$A$2:$A$2500)=ET$3)*(Gastos!$B$2:$B$2500=$A10)*(Gastos!$D$2:$D$2500))</f>
        <v>0</v>
      </c>
      <c r="EU10" s="75">
        <f t="array" ref="EU10">SUM((YEAR(Gastos!$A$2:$A$2500)=EU$1)*(MONTH(Gastos!$A$2:$A$2500)=EU$3)*(Gastos!$B$2:$B$2500=$A10)*(Gastos!$D$2:$D$2500))</f>
        <v>0</v>
      </c>
      <c r="EV10" s="75">
        <f t="array" ref="EV10">SUM((YEAR(Gastos!$A$2:$A$2500)=EV$1)*(MONTH(Gastos!$A$2:$A$2500)=EV$3)*(Gastos!$B$2:$B$2500=$A10)*(Gastos!$D$2:$D$2500))</f>
        <v>0</v>
      </c>
      <c r="EW10" s="75">
        <f t="array" ref="EW10">SUM((YEAR(Gastos!$A$2:$A$2500)=EW$1)*(MONTH(Gastos!$A$2:$A$2500)=EW$3)*(Gastos!$B$2:$B$2500=$A10)*(Gastos!$D$2:$D$2500))</f>
        <v>0</v>
      </c>
      <c r="EX10" s="75">
        <f t="array" ref="EX10">SUM((YEAR(Gastos!$A$2:$A$2500)=EX$1)*(MONTH(Gastos!$A$2:$A$2500)=EX$3)*(Gastos!$B$2:$B$2500=$A10)*(Gastos!$D$2:$D$2500))</f>
        <v>0</v>
      </c>
      <c r="EY10" s="75">
        <f t="array" ref="EY10">SUM((YEAR(Gastos!$A$2:$A$2500)=EY$1)*(MONTH(Gastos!$A$2:$A$2500)=EY$3)*(Gastos!$B$2:$B$2500=$A10)*(Gastos!$D$2:$D$2500))</f>
        <v>0</v>
      </c>
      <c r="EZ10" s="75">
        <f t="array" ref="EZ10">SUM((YEAR(Gastos!$A$2:$A$2500)=EZ$1)*(MONTH(Gastos!$A$2:$A$2500)=EZ$3)*(Gastos!$B$2:$B$2500=$A10)*(Gastos!$D$2:$D$2500))</f>
        <v>0</v>
      </c>
      <c r="FA10" s="75">
        <f t="array" ref="FA10">SUM((YEAR(Gastos!$A$2:$A$2500)=FA$1)*(MONTH(Gastos!$A$2:$A$2500)=FA$3)*(Gastos!$B$2:$B$2500=$A10)*(Gastos!$D$2:$D$2500))</f>
        <v>0</v>
      </c>
      <c r="FB10" s="75">
        <f t="array" ref="FB10">SUM((YEAR(Gastos!$A$2:$A$2500)=FB$1)*(MONTH(Gastos!$A$2:$A$2500)=FB$3)*(Gastos!$B$2:$B$2500=$A10)*(Gastos!$D$2:$D$2500))</f>
        <v>0</v>
      </c>
      <c r="FC10" s="75">
        <f t="array" ref="FC10">SUM((YEAR(Gastos!$A$2:$A$2500)=FC$1)*(MONTH(Gastos!$A$2:$A$2500)=FC$3)*(Gastos!$B$2:$B$2500=$A10)*(Gastos!$D$2:$D$2500))</f>
        <v>0</v>
      </c>
      <c r="FD10" s="75">
        <f t="array" ref="FD10">SUM((YEAR(Gastos!$A$2:$A$2500)=FD$1)*(MONTH(Gastos!$A$2:$A$2500)=FD$3)*(Gastos!$B$2:$B$2500=$A10)*(Gastos!$D$2:$D$2500))</f>
        <v>0</v>
      </c>
      <c r="FE10" s="75">
        <f t="array" ref="FE10">SUM((YEAR(Gastos!$A$2:$A$2500)=FE$1)*(MONTH(Gastos!$A$2:$A$2500)=FE$3)*(Gastos!$B$2:$B$2500=$A10)*(Gastos!$D$2:$D$2500))</f>
        <v>0</v>
      </c>
      <c r="FF10" s="75">
        <f t="array" ref="FF10">SUM((YEAR(Gastos!$A$2:$A$2500)=FF$1)*(MONTH(Gastos!$A$2:$A$2500)=FF$3)*(Gastos!$B$2:$B$2500=$A10)*(Gastos!$D$2:$D$2500))</f>
        <v>0</v>
      </c>
      <c r="FG10" s="75">
        <f t="array" ref="FG10">SUM((YEAR(Gastos!$A$2:$A$2500)=FG$1)*(MONTH(Gastos!$A$2:$A$2500)=FG$3)*(Gastos!$B$2:$B$2500=$A10)*(Gastos!$D$2:$D$2500))</f>
        <v>0</v>
      </c>
      <c r="FH10" s="75">
        <f t="array" ref="FH10">SUM((YEAR(Gastos!$A$2:$A$2500)=FH$1)*(MONTH(Gastos!$A$2:$A$2500)=FH$3)*(Gastos!$B$2:$B$2500=$A10)*(Gastos!$D$2:$D$2500))</f>
        <v>0</v>
      </c>
      <c r="FI10" s="75">
        <f t="array" ref="FI10">SUM((YEAR(Gastos!$A$2:$A$2500)=FI$1)*(MONTH(Gastos!$A$2:$A$2500)=FI$3)*(Gastos!$B$2:$B$2500=$A10)*(Gastos!$D$2:$D$2500))</f>
        <v>0</v>
      </c>
      <c r="FJ10" s="75">
        <f t="array" ref="FJ10">SUM((YEAR(Gastos!$A$2:$A$2500)=FJ$1)*(MONTH(Gastos!$A$2:$A$2500)=FJ$3)*(Gastos!$B$2:$B$2500=$A10)*(Gastos!$D$2:$D$2500))</f>
        <v>0</v>
      </c>
      <c r="FK10" s="75">
        <f t="array" ref="FK10">SUM((YEAR(Gastos!$A$2:$A$2500)=FK$1)*(MONTH(Gastos!$A$2:$A$2500)=FK$3)*(Gastos!$B$2:$B$2500=$A10)*(Gastos!$D$2:$D$2500))</f>
        <v>0</v>
      </c>
      <c r="FL10" s="75">
        <f t="array" ref="FL10">SUM((YEAR(Gastos!$A$2:$A$2500)=FL$1)*(MONTH(Gastos!$A$2:$A$2500)=FL$3)*(Gastos!$B$2:$B$2500=$A10)*(Gastos!$D$2:$D$2500))</f>
        <v>0</v>
      </c>
      <c r="FM10" s="75">
        <f t="array" ref="FM10">SUM((YEAR(Gastos!$A$2:$A$2500)=FM$1)*(MONTH(Gastos!$A$2:$A$2500)=FM$3)*(Gastos!$B$2:$B$2500=$A10)*(Gastos!$D$2:$D$2500))</f>
        <v>0</v>
      </c>
      <c r="FN10" s="75">
        <f t="array" ref="FN10">SUM((YEAR(Gastos!$A$2:$A$2500)=FN$1)*(MONTH(Gastos!$A$2:$A$2500)=FN$3)*(Gastos!$B$2:$B$2500=$A10)*(Gastos!$D$2:$D$2500))</f>
        <v>0</v>
      </c>
      <c r="FO10" s="75">
        <f t="array" ref="FO10">SUM((YEAR(Gastos!$A$2:$A$2500)=FO$1)*(MONTH(Gastos!$A$2:$A$2500)=FO$3)*(Gastos!$B$2:$B$2500=$A10)*(Gastos!$D$2:$D$2500))</f>
        <v>0</v>
      </c>
      <c r="FP10" s="75">
        <f t="array" ref="FP10">SUM((YEAR(Gastos!$A$2:$A$2500)=FP$1)*(MONTH(Gastos!$A$2:$A$2500)=FP$3)*(Gastos!$B$2:$B$2500=$A10)*(Gastos!$D$2:$D$2500))</f>
        <v>0</v>
      </c>
      <c r="FQ10" s="75">
        <f t="array" ref="FQ10">SUM((YEAR(Gastos!$A$2:$A$2500)=FQ$1)*(MONTH(Gastos!$A$2:$A$2500)=FQ$3)*(Gastos!$B$2:$B$2500=$A10)*(Gastos!$D$2:$D$2500))</f>
        <v>0</v>
      </c>
      <c r="FR10" s="75">
        <f t="array" ref="FR10">SUM((YEAR(Gastos!$A$2:$A$2500)=FR$1)*(MONTH(Gastos!$A$2:$A$2500)=FR$3)*(Gastos!$B$2:$B$2500=$A10)*(Gastos!$D$2:$D$2500))</f>
        <v>0</v>
      </c>
      <c r="FS10" s="75">
        <f t="array" ref="FS10">SUM((YEAR(Gastos!$A$2:$A$2500)=FS$1)*(MONTH(Gastos!$A$2:$A$2500)=FS$3)*(Gastos!$B$2:$B$2500=$A10)*(Gastos!$D$2:$D$2500))</f>
        <v>0</v>
      </c>
      <c r="FT10" s="75">
        <f t="array" ref="FT10">SUM((YEAR(Gastos!$A$2:$A$2500)=FT$1)*(MONTH(Gastos!$A$2:$A$2500)=FT$3)*(Gastos!$B$2:$B$2500=$A10)*(Gastos!$D$2:$D$2500))</f>
        <v>0</v>
      </c>
      <c r="FU10" s="75">
        <f t="array" ref="FU10">SUM((YEAR(Gastos!$A$2:$A$2500)=FU$1)*(MONTH(Gastos!$A$2:$A$2500)=FU$3)*(Gastos!$B$2:$B$2500=$A10)*(Gastos!$D$2:$D$2500))</f>
        <v>0</v>
      </c>
      <c r="FV10" s="75">
        <f t="array" ref="FV10">SUM((YEAR(Gastos!$A$2:$A$2500)=FV$1)*(MONTH(Gastos!$A$2:$A$2500)=FV$3)*(Gastos!$B$2:$B$2500=$A10)*(Gastos!$D$2:$D$2500))</f>
        <v>0</v>
      </c>
      <c r="FW10" s="75">
        <f t="array" ref="FW10">SUM((YEAR(Gastos!$A$2:$A$2500)=FW$1)*(MONTH(Gastos!$A$2:$A$2500)=FW$3)*(Gastos!$B$2:$B$2500=$A10)*(Gastos!$D$2:$D$2500))</f>
        <v>0</v>
      </c>
      <c r="FX10" s="75">
        <f t="array" ref="FX10">SUM((YEAR(Gastos!$A$2:$A$2500)=FX$1)*(MONTH(Gastos!$A$2:$A$2500)=FX$3)*(Gastos!$B$2:$B$2500=$A10)*(Gastos!$D$2:$D$2500))</f>
        <v>0</v>
      </c>
      <c r="FY10" s="75">
        <f t="array" ref="FY10">SUM((YEAR(Gastos!$A$2:$A$2500)=FY$1)*(MONTH(Gastos!$A$2:$A$2500)=FY$3)*(Gastos!$B$2:$B$2500=$A10)*(Gastos!$D$2:$D$2500))</f>
        <v>0</v>
      </c>
      <c r="FZ10" s="76">
        <f t="shared" si="65"/>
        <v>490152.45999999996</v>
      </c>
      <c r="GA10" s="80"/>
      <c r="GB10" s="78">
        <f t="shared" si="66"/>
        <v>-84008</v>
      </c>
      <c r="GF10" s="79">
        <f t="array" ref="GF10">SUM(((Gastos!$A$2:$A$1647)&gt;=GD$3)*((Gastos!$A$2:$A$1647)&lt;=GF$3)*(Gastos!$B$2:$B$1647=$A10)*(Gastos!$D$2:$D$1647))</f>
        <v>3500</v>
      </c>
      <c r="GI10" s="79">
        <f t="array" ref="GI10">SUM(((Gastos!$A$2:$A$1647)&gt;=GG$3)*((Gastos!$A$2:$A$1647)&lt;=GI$3)*(Gastos!$B$2:$B$1647=$A10)*(Gastos!$D$2:$D$1647))</f>
        <v>87508</v>
      </c>
      <c r="GL10" s="100">
        <f>CD120</f>
        <v>2020</v>
      </c>
      <c r="GM10" s="102">
        <f>CE120</f>
        <v>298901</v>
      </c>
      <c r="GN10" s="102">
        <f>CF120</f>
        <v>224600.88</v>
      </c>
      <c r="GO10" s="102">
        <f>CG120</f>
        <v>88413.45</v>
      </c>
      <c r="GP10" s="106">
        <v>551251.71999999974</v>
      </c>
      <c r="GQ10" s="105">
        <f t="shared" si="64"/>
        <v>611915.32999999996</v>
      </c>
      <c r="GR10" s="109">
        <f>GQ10+GS10</f>
        <v>649220.31999999995</v>
      </c>
      <c r="GS10" s="107">
        <v>37304.99</v>
      </c>
    </row>
    <row r="11" spans="1:201" ht="15" thickBot="1" x14ac:dyDescent="0.4">
      <c r="A11" s="74" t="str">
        <f>Gastos!AA9</f>
        <v>F. OPS SERV BCA IN</v>
      </c>
      <c r="B11" s="75">
        <f t="array" ref="B11">SUM((YEAR(Gastos!$A$2:$A$2500)=B$1)*(MONTH(Gastos!$A$2:$A$2500)=B$3)*(Gastos!$B$2:$B$2500=$A11)*(Gastos!$D$2:$D$2500))</f>
        <v>0</v>
      </c>
      <c r="C11" s="75">
        <f t="array" ref="C11">SUM((YEAR(Gastos!$A$2:$A$2500)=C$1)*(MONTH(Gastos!$A$2:$A$2500)=C$3)*(Gastos!$B$2:$B$2500=$A11)*(Gastos!$D$2:$D$2500))</f>
        <v>0</v>
      </c>
      <c r="D11" s="75">
        <f t="array" ref="D11">SUM((YEAR(Gastos!$A$2:$A$2500)=D$1)*(MONTH(Gastos!$A$2:$A$2500)=D$3)*(Gastos!$B$2:$B$2500=$A11)*(Gastos!$D$2:$D$2500))</f>
        <v>0</v>
      </c>
      <c r="E11" s="75">
        <f t="array" ref="E11">SUM((YEAR(Gastos!$A$2:$A$2500)=E$1)*(MONTH(Gastos!$A$2:$A$2500)=E$3)*(Gastos!$B$2:$B$2500=$A11)*(Gastos!$D$2:$D$2500))</f>
        <v>0</v>
      </c>
      <c r="F11" s="75">
        <f t="array" ref="F11">SUM((YEAR(Gastos!$A$2:$A$2500)=F$1)*(MONTH(Gastos!$A$2:$A$2500)=F$3)*(Gastos!$B$2:$B$2500=$A11)*(Gastos!$D$2:$D$2500))</f>
        <v>0</v>
      </c>
      <c r="G11" s="75">
        <f t="array" ref="G11">SUM((YEAR(Gastos!$A$2:$A$2500)=G$1)*(MONTH(Gastos!$A$2:$A$2500)=G$3)*(Gastos!$B$2:$B$2500=$A11)*(Gastos!$D$2:$D$2500))</f>
        <v>0</v>
      </c>
      <c r="H11" s="75">
        <f t="array" ref="H11">SUM((YEAR(Gastos!$A$2:$A$2500)=H$1)*(MONTH(Gastos!$A$2:$A$2500)=H$3)*(Gastos!$B$2:$B$2500=$A11)*(Gastos!$D$2:$D$2500))</f>
        <v>0</v>
      </c>
      <c r="I11" s="75">
        <f t="array" ref="I11">SUM((YEAR(Gastos!$A$2:$A$2500)=I$1)*(MONTH(Gastos!$A$2:$A$2500)=I$3)*(Gastos!$B$2:$B$2500=$A11)*(Gastos!$D$2:$D$2500))</f>
        <v>0</v>
      </c>
      <c r="J11" s="75">
        <f t="array" ref="J11">SUM((YEAR(Gastos!$A$2:$A$2500)=J$1)*(MONTH(Gastos!$A$2:$A$2500)=J$3)*(Gastos!$B$2:$B$2500=$A11)*(Gastos!$D$2:$D$2500))</f>
        <v>0</v>
      </c>
      <c r="K11" s="75">
        <f t="array" ref="K11">SUM((YEAR(Gastos!$A$2:$A$2500)=K$1)*(MONTH(Gastos!$A$2:$A$2500)=K$3)*(Gastos!$B$2:$B$2500=$A11)*(Gastos!$D$2:$D$2500))</f>
        <v>40</v>
      </c>
      <c r="L11" s="75">
        <f t="array" ref="L11">SUM((YEAR(Gastos!$A$2:$A$2500)=L$1)*(MONTH(Gastos!$A$2:$A$2500)=L$3)*(Gastos!$B$2:$B$2500=$A11)*(Gastos!$D$2:$D$2500))</f>
        <v>0</v>
      </c>
      <c r="M11" s="75">
        <f t="array" ref="M11">SUM((YEAR(Gastos!$A$2:$A$2500)=M$1)*(MONTH(Gastos!$A$2:$A$2500)=M$3)*(Gastos!$B$2:$B$2500=$A11)*(Gastos!$D$2:$D$2500))</f>
        <v>30</v>
      </c>
      <c r="N11" s="75">
        <f t="array" ref="N11">SUM((YEAR(Gastos!$A$2:$A$2500)=N$1)*(MONTH(Gastos!$A$2:$A$2500)=N$3)*(Gastos!$B$2:$B$2500=$A11)*(Gastos!$D$2:$D$2500))</f>
        <v>45</v>
      </c>
      <c r="O11" s="75">
        <f t="array" ref="O11">SUM((YEAR(Gastos!$A$2:$A$2500)=O$1)*(MONTH(Gastos!$A$2:$A$2500)=O$3)*(Gastos!$B$2:$B$2500=$A11)*(Gastos!$D$2:$D$2500))</f>
        <v>0</v>
      </c>
      <c r="P11" s="75">
        <f t="array" ref="P11">SUM((YEAR(Gastos!$A$2:$A$2500)=P$1)*(MONTH(Gastos!$A$2:$A$2500)=P$3)*(Gastos!$B$2:$B$2500=$A11)*(Gastos!$D$2:$D$2500))</f>
        <v>20</v>
      </c>
      <c r="Q11" s="75">
        <f t="array" ref="Q11">SUM((YEAR(Gastos!$A$2:$A$2500)=Q$1)*(MONTH(Gastos!$A$2:$A$2500)=Q$3)*(Gastos!$B$2:$B$2500=$A11)*(Gastos!$D$2:$D$2500))</f>
        <v>0</v>
      </c>
      <c r="R11" s="75">
        <f t="array" ref="R11">SUM((YEAR(Gastos!$A$2:$A$2500)=R$1)*(MONTH(Gastos!$A$2:$A$2500)=R$3)*(Gastos!$B$2:$B$2500=$A11)*(Gastos!$D$2:$D$2500))</f>
        <v>25</v>
      </c>
      <c r="S11" s="75">
        <f t="array" ref="S11">SUM((YEAR(Gastos!$A$2:$A$2500)=S$1)*(MONTH(Gastos!$A$2:$A$2500)=S$3)*(Gastos!$B$2:$B$2500=$A11)*(Gastos!$D$2:$D$2500))</f>
        <v>0</v>
      </c>
      <c r="T11" s="75">
        <f t="array" ref="T11">SUM((YEAR(Gastos!$A$2:$A$2500)=T$1)*(MONTH(Gastos!$A$2:$A$2500)=T$3)*(Gastos!$B$2:$B$2500=$A11)*(Gastos!$D$2:$D$2500))</f>
        <v>0</v>
      </c>
      <c r="U11" s="75">
        <f t="array" ref="U11">SUM((YEAR(Gastos!$A$2:$A$2500)=U$1)*(MONTH(Gastos!$A$2:$A$2500)=U$3)*(Gastos!$B$2:$B$2500=$A11)*(Gastos!$D$2:$D$2500))</f>
        <v>45</v>
      </c>
      <c r="V11" s="75">
        <f t="array" ref="V11">SUM((YEAR(Gastos!$A$2:$A$2500)=V$1)*(MONTH(Gastos!$A$2:$A$2500)=V$3)*(Gastos!$B$2:$B$2500=$A11)*(Gastos!$D$2:$D$2500))</f>
        <v>55</v>
      </c>
      <c r="W11" s="75">
        <f t="array" ref="W11">SUM((YEAR(Gastos!$A$2:$A$2500)=W$1)*(MONTH(Gastos!$A$2:$A$2500)=W$3)*(Gastos!$B$2:$B$2500=$A11)*(Gastos!$D$2:$D$2500))</f>
        <v>0</v>
      </c>
      <c r="X11" s="75">
        <f t="array" ref="X11">SUM((YEAR(Gastos!$A$2:$A$2500)=X$1)*(MONTH(Gastos!$A$2:$A$2500)=X$3)*(Gastos!$B$2:$B$2500=$A11)*(Gastos!$D$2:$D$2500))</f>
        <v>0</v>
      </c>
      <c r="Y11" s="75">
        <f t="array" ref="Y11">SUM((YEAR(Gastos!$A$2:$A$2500)=Y$1)*(MONTH(Gastos!$A$2:$A$2500)=Y$3)*(Gastos!$B$2:$B$2500=$A11)*(Gastos!$D$2:$D$2500))</f>
        <v>0</v>
      </c>
      <c r="Z11" s="75">
        <f t="array" ref="Z11">SUM((YEAR(Gastos!$A$2:$A$2500)=Z$1)*(MONTH(Gastos!$A$2:$A$2500)=Z$3)*(Gastos!$B$2:$B$2500=$A11)*(Gastos!$D$2:$D$2500))</f>
        <v>25</v>
      </c>
      <c r="AA11" s="75">
        <f t="array" ref="AA11">SUM((YEAR(Gastos!$A$2:$A$2500)=AA$1)*(MONTH(Gastos!$A$2:$A$2500)=AA$3)*(Gastos!$B$2:$B$2500=$A11)*(Gastos!$D$2:$D$2500))</f>
        <v>0</v>
      </c>
      <c r="AB11" s="75">
        <f t="array" ref="AB11">SUM((YEAR(Gastos!$A$2:$A$2500)=AB$1)*(MONTH(Gastos!$A$2:$A$2500)=AB$3)*(Gastos!$B$2:$B$2500=$A11)*(Gastos!$D$2:$D$2500))</f>
        <v>20</v>
      </c>
      <c r="AC11" s="75">
        <f t="array" ref="AC11">SUM((YEAR(Gastos!$A$2:$A$2500)=AC$1)*(MONTH(Gastos!$A$2:$A$2500)=AC$3)*(Gastos!$B$2:$B$2500=$A11)*(Gastos!$D$2:$D$2500))</f>
        <v>35</v>
      </c>
      <c r="AD11" s="75">
        <f t="array" ref="AD11">SUM((YEAR(Gastos!$A$2:$A$2500)=AD$1)*(MONTH(Gastos!$A$2:$A$2500)=AD$3)*(Gastos!$B$2:$B$2500=$A11)*(Gastos!$D$2:$D$2500))</f>
        <v>0</v>
      </c>
      <c r="AE11" s="75">
        <f t="array" ref="AE11">SUM((YEAR(Gastos!$A$2:$A$2500)=AE$1)*(MONTH(Gastos!$A$2:$A$2500)=AE$3)*(Gastos!$B$2:$B$2500=$A11)*(Gastos!$D$2:$D$2500))</f>
        <v>30</v>
      </c>
      <c r="AF11" s="75">
        <f t="array" ref="AF11">SUM((YEAR(Gastos!$A$2:$A$2500)=AF$1)*(MONTH(Gastos!$A$2:$A$2500)=AF$3)*(Gastos!$B$2:$B$2500=$A11)*(Gastos!$D$2:$D$2500))</f>
        <v>0</v>
      </c>
      <c r="AG11" s="75">
        <f t="array" ref="AG11">SUM((YEAR(Gastos!$A$2:$A$2500)=AG$1)*(MONTH(Gastos!$A$2:$A$2500)=AG$3)*(Gastos!$B$2:$B$2500=$A11)*(Gastos!$D$2:$D$2500))</f>
        <v>0</v>
      </c>
      <c r="AH11" s="75">
        <f t="array" ref="AH11">SUM((YEAR(Gastos!$A$2:$A$2500)=AH$1)*(MONTH(Gastos!$A$2:$A$2500)=AH$3)*(Gastos!$B$2:$B$2500=$A11)*(Gastos!$D$2:$D$2500))</f>
        <v>0</v>
      </c>
      <c r="AI11" s="75">
        <f t="array" ref="AI11">SUM((YEAR(Gastos!$A$2:$A$2500)=AI$1)*(MONTH(Gastos!$A$2:$A$2500)=AI$3)*(Gastos!$B$2:$B$2500=$A11)*(Gastos!$D$2:$D$2500))</f>
        <v>0</v>
      </c>
      <c r="AJ11" s="75">
        <f t="array" ref="AJ11">SUM((YEAR(Gastos!$A$2:$A$2500)=AJ$1)*(MONTH(Gastos!$A$2:$A$2500)=AJ$3)*(Gastos!$B$2:$B$2500=$A11)*(Gastos!$D$2:$D$2500))</f>
        <v>0</v>
      </c>
      <c r="AK11" s="75">
        <f t="array" ref="AK11">SUM((YEAR(Gastos!$A$2:$A$2500)=AK$1)*(MONTH(Gastos!$A$2:$A$2500)=AK$3)*(Gastos!$B$2:$B$2500=$A11)*(Gastos!$D$2:$D$2500))</f>
        <v>38</v>
      </c>
      <c r="AL11" s="75">
        <f t="array" ref="AL11">SUM((YEAR(Gastos!$A$2:$A$2500)=AL$1)*(MONTH(Gastos!$A$2:$A$2500)=AL$3)*(Gastos!$B$2:$B$2500=$A11)*(Gastos!$D$2:$D$2500))</f>
        <v>10</v>
      </c>
      <c r="AM11" s="75">
        <f t="array" ref="AM11">SUM((YEAR(Gastos!$A$2:$A$2500)=AM$1)*(MONTH(Gastos!$A$2:$A$2500)=AM$3)*(Gastos!$B$2:$B$2500=$A11)*(Gastos!$D$2:$D$2500))</f>
        <v>15</v>
      </c>
      <c r="AN11" s="75">
        <f t="array" ref="AN11">SUM((YEAR(Gastos!$A$2:$A$2500)=AN$1)*(MONTH(Gastos!$A$2:$A$2500)=AN$3)*(Gastos!$B$2:$B$2500=$A11)*(Gastos!$D$2:$D$2500))</f>
        <v>15</v>
      </c>
      <c r="AO11" s="75">
        <f t="array" ref="AO11">SUM((YEAR(Gastos!$A$2:$A$2500)=AO$1)*(MONTH(Gastos!$A$2:$A$2500)=AO$3)*(Gastos!$B$2:$B$2500=$A11)*(Gastos!$D$2:$D$2500))</f>
        <v>0</v>
      </c>
      <c r="AP11" s="75">
        <f t="array" ref="AP11">SUM((YEAR(Gastos!$A$2:$A$2500)=AP$1)*(MONTH(Gastos!$A$2:$A$2500)=AP$3)*(Gastos!$B$2:$B$2500=$A11)*(Gastos!$D$2:$D$2500))</f>
        <v>0</v>
      </c>
      <c r="AQ11" s="75">
        <f t="array" ref="AQ11">SUM((YEAR(Gastos!$A$2:$A$2500)=AQ$1)*(MONTH(Gastos!$A$2:$A$2500)=AQ$3)*(Gastos!$B$2:$B$2500=$A11)*(Gastos!$D$2:$D$2500))</f>
        <v>0</v>
      </c>
      <c r="AR11" s="75">
        <f t="array" ref="AR11">SUM((YEAR(Gastos!$A$2:$A$2500)=AR$1)*(MONTH(Gastos!$A$2:$A$2500)=AR$3)*(Gastos!$B$2:$B$2500=$A11)*(Gastos!$D$2:$D$2500))</f>
        <v>0</v>
      </c>
      <c r="AS11" s="75">
        <f t="array" ref="AS11">SUM((YEAR(Gastos!$A$2:$A$2500)=AS$1)*(MONTH(Gastos!$A$2:$A$2500)=AS$3)*(Gastos!$B$2:$B$2500=$A11)*(Gastos!$D$2:$D$2500))</f>
        <v>0</v>
      </c>
      <c r="AT11" s="75">
        <f t="array" ref="AT11">SUM((YEAR(Gastos!$A$2:$A$2500)=AT$1)*(MONTH(Gastos!$A$2:$A$2500)=AT$3)*(Gastos!$B$2:$B$2500=$A11)*(Gastos!$D$2:$D$2500))</f>
        <v>5</v>
      </c>
      <c r="AU11" s="75">
        <f t="array" ref="AU11">SUM((YEAR(Gastos!$A$2:$A$2500)=AU$1)*(MONTH(Gastos!$A$2:$A$2500)=AU$3)*(Gastos!$B$2:$B$2500=$A11)*(Gastos!$D$2:$D$2500))</f>
        <v>0</v>
      </c>
      <c r="AV11" s="75">
        <f t="array" ref="AV11">SUM((YEAR(Gastos!$A$2:$A$2500)=AV$1)*(MONTH(Gastos!$A$2:$A$2500)=AV$3)*(Gastos!$B$2:$B$2500=$A11)*(Gastos!$D$2:$D$2500))</f>
        <v>0</v>
      </c>
      <c r="AW11" s="75">
        <f t="array" ref="AW11">SUM((YEAR(Gastos!$A$2:$A$2500)=AW$1)*(MONTH(Gastos!$A$2:$A$2500)=AW$3)*(Gastos!$B$2:$B$2500=$A11)*(Gastos!$D$2:$D$2500))</f>
        <v>0</v>
      </c>
      <c r="AX11" s="75">
        <f t="array" ref="AX11">SUM((YEAR(Gastos!$A$2:$A$2500)=AX$1)*(MONTH(Gastos!$A$2:$A$2500)=AX$3)*(Gastos!$B$2:$B$2500=$A11)*(Gastos!$D$2:$D$2500))</f>
        <v>0</v>
      </c>
      <c r="AY11" s="75">
        <f t="array" ref="AY11">SUM((YEAR(Gastos!$A$2:$A$2500)=AY$1)*(MONTH(Gastos!$A$2:$A$2500)=AY$3)*(Gastos!$B$2:$B$2500=$A11)*(Gastos!$D$2:$D$2500))</f>
        <v>0</v>
      </c>
      <c r="AZ11" s="75">
        <f t="array" ref="AZ11">SUM((YEAR(Gastos!$A$2:$A$2500)=AZ$1)*(MONTH(Gastos!$A$2:$A$2500)=AZ$3)*(Gastos!$B$2:$B$2500=$A11)*(Gastos!$D$2:$D$2500))</f>
        <v>0</v>
      </c>
      <c r="BA11" s="75">
        <f t="array" ref="BA11">SUM((YEAR(Gastos!$A$2:$A$2500)=BA$1)*(MONTH(Gastos!$A$2:$A$2500)=BA$3)*(Gastos!$B$2:$B$2500=$A11)*(Gastos!$D$2:$D$2500))</f>
        <v>0</v>
      </c>
      <c r="BB11" s="75">
        <f t="array" ref="BB11">SUM((YEAR(Gastos!$A$2:$A$2500)=BB$1)*(MONTH(Gastos!$A$2:$A$2500)=BB$3)*(Gastos!$B$2:$B$2500=$A11)*(Gastos!$D$2:$D$2500))</f>
        <v>10</v>
      </c>
      <c r="BC11" s="75">
        <f t="array" ref="BC11">SUM((YEAR(Gastos!$A$2:$A$2500)=BC$1)*(MONTH(Gastos!$A$2:$A$2500)=BC$3)*(Gastos!$B$2:$B$2500=$A11)*(Gastos!$D$2:$D$2500))</f>
        <v>5</v>
      </c>
      <c r="BD11" s="75">
        <f t="array" ref="BD11">SUM((YEAR(Gastos!$A$2:$A$2500)=BD$1)*(MONTH(Gastos!$A$2:$A$2500)=BD$3)*(Gastos!$B$2:$B$2500=$A11)*(Gastos!$D$2:$D$2500))</f>
        <v>0</v>
      </c>
      <c r="BE11" s="75">
        <f t="array" ref="BE11">SUM((YEAR(Gastos!$A$2:$A$2500)=BE$1)*(MONTH(Gastos!$A$2:$A$2500)=BE$3)*(Gastos!$B$2:$B$2500=$A11)*(Gastos!$D$2:$D$2500))</f>
        <v>0</v>
      </c>
      <c r="BF11" s="75">
        <f t="array" ref="BF11">SUM((YEAR(Gastos!$A$2:$A$2500)=BF$1)*(MONTH(Gastos!$A$2:$A$2500)=BF$3)*(Gastos!$B$2:$B$2500=$A11)*(Gastos!$D$2:$D$2500))</f>
        <v>0</v>
      </c>
      <c r="BG11" s="75">
        <f t="array" ref="BG11">SUM((YEAR(Gastos!$A$2:$A$2500)=BG$1)*(MONTH(Gastos!$A$2:$A$2500)=BG$3)*(Gastos!$B$2:$B$2500=$A11)*(Gastos!$D$2:$D$2500))</f>
        <v>0</v>
      </c>
      <c r="BH11" s="75">
        <f t="array" ref="BH11">SUM((YEAR(Gastos!$A$2:$A$2500)=BH$1)*(MONTH(Gastos!$A$2:$A$2500)=BH$3)*(Gastos!$B$2:$B$2500=$A11)*(Gastos!$D$2:$D$2500))</f>
        <v>0</v>
      </c>
      <c r="BI11" s="75">
        <f t="array" ref="BI11">SUM((YEAR(Gastos!$A$2:$A$2500)=BI$1)*(MONTH(Gastos!$A$2:$A$2500)=BI$3)*(Gastos!$B$2:$B$2500=$A11)*(Gastos!$D$2:$D$2500))</f>
        <v>0</v>
      </c>
      <c r="BJ11" s="75">
        <f t="array" ref="BJ11">SUM((YEAR(Gastos!$A$2:$A$2500)=BJ$1)*(MONTH(Gastos!$A$2:$A$2500)=BJ$3)*(Gastos!$B$2:$B$2500=$A11)*(Gastos!$D$2:$D$2500))</f>
        <v>0</v>
      </c>
      <c r="BK11" s="75">
        <f t="array" ref="BK11">SUM((YEAR(Gastos!$A$2:$A$2500)=BK$1)*(MONTH(Gastos!$A$2:$A$2500)=BK$3)*(Gastos!$B$2:$B$2500=$A11)*(Gastos!$D$2:$D$2500))</f>
        <v>0</v>
      </c>
      <c r="BL11" s="75">
        <f t="array" ref="BL11">SUM((YEAR(Gastos!$A$2:$A$2500)=BL$1)*(MONTH(Gastos!$A$2:$A$2500)=BL$3)*(Gastos!$B$2:$B$2500=$A11)*(Gastos!$D$2:$D$2500))</f>
        <v>0</v>
      </c>
      <c r="BM11" s="75">
        <f t="array" ref="BM11">SUM((YEAR(Gastos!$A$2:$A$2500)=BM$1)*(MONTH(Gastos!$A$2:$A$2500)=BM$3)*(Gastos!$B$2:$B$2500=$A11)*(Gastos!$D$2:$D$2500))</f>
        <v>78</v>
      </c>
      <c r="BN11" s="75">
        <f t="array" ref="BN11">SUM((YEAR(Gastos!$A$2:$A$2500)=BN$1)*(MONTH(Gastos!$A$2:$A$2500)=BN$3)*(Gastos!$B$2:$B$2500=$A11)*(Gastos!$D$2:$D$2500))</f>
        <v>98</v>
      </c>
      <c r="BO11" s="75">
        <f t="array" ref="BO11">SUM((YEAR(Gastos!$A$2:$A$2500)=BO$1)*(MONTH(Gastos!$A$2:$A$2500)=BO$3)*(Gastos!$B$2:$B$2500=$A11)*(Gastos!$D$2:$D$2500))</f>
        <v>85</v>
      </c>
      <c r="BP11" s="75">
        <f t="array" ref="BP11">SUM((YEAR(Gastos!$A$2:$A$2500)=BP$1)*(MONTH(Gastos!$A$2:$A$2500)=BP$3)*(Gastos!$B$2:$B$2500=$A11)*(Gastos!$D$2:$D$2500))</f>
        <v>51</v>
      </c>
      <c r="BQ11" s="75">
        <f t="array" ref="BQ11">SUM((YEAR(Gastos!$A$2:$A$2500)=BQ$1)*(MONTH(Gastos!$A$2:$A$2500)=BQ$3)*(Gastos!$B$2:$B$2500=$A11)*(Gastos!$D$2:$D$2500))</f>
        <v>76</v>
      </c>
      <c r="BR11" s="75">
        <f t="array" ref="BR11">SUM((YEAR(Gastos!$A$2:$A$2500)=BR$1)*(MONTH(Gastos!$A$2:$A$2500)=BR$3)*(Gastos!$B$2:$B$2500=$A11)*(Gastos!$D$2:$D$2500))</f>
        <v>57</v>
      </c>
      <c r="BS11" s="75">
        <f t="array" ref="BS11">SUM((YEAR(Gastos!$A$2:$A$2500)=BS$1)*(MONTH(Gastos!$A$2:$A$2500)=BS$3)*(Gastos!$B$2:$B$2500=$A11)*(Gastos!$D$2:$D$2500))</f>
        <v>53</v>
      </c>
      <c r="BT11" s="75">
        <f t="array" ref="BT11">SUM((YEAR(Gastos!$A$2:$A$2500)=BT$1)*(MONTH(Gastos!$A$2:$A$2500)=BT$3)*(Gastos!$B$2:$B$2500=$A11)*(Gastos!$D$2:$D$2500))</f>
        <v>52</v>
      </c>
      <c r="BU11" s="75">
        <f t="array" ref="BU11">SUM((YEAR(Gastos!$A$2:$A$2500)=BU$1)*(MONTH(Gastos!$A$2:$A$2500)=BU$3)*(Gastos!$B$2:$B$2500=$A11)*(Gastos!$D$2:$D$2500))</f>
        <v>51</v>
      </c>
      <c r="BV11" s="75">
        <f t="array" ref="BV11">SUM((YEAR(Gastos!$A$2:$A$2500)=BV$1)*(MONTH(Gastos!$A$2:$A$2500)=BV$3)*(Gastos!$B$2:$B$2500=$A11)*(Gastos!$D$2:$D$2500))</f>
        <v>51</v>
      </c>
      <c r="BW11" s="75">
        <f t="array" ref="BW11">SUM((YEAR(Gastos!$A$2:$A$2500)=BW$1)*(MONTH(Gastos!$A$2:$A$2500)=BW$3)*(Gastos!$B$2:$B$2500=$A11)*(Gastos!$D$2:$D$2500))</f>
        <v>61</v>
      </c>
      <c r="BX11" s="75">
        <f t="array" ref="BX11">SUM((YEAR(Gastos!$A$2:$A$2500)=BX$1)*(MONTH(Gastos!$A$2:$A$2500)=BX$3)*(Gastos!$B$2:$B$2500=$A11)*(Gastos!$D$2:$D$2500))</f>
        <v>91</v>
      </c>
      <c r="BY11" s="75">
        <f t="array" ref="BY11">SUM((YEAR(Gastos!$A$2:$A$2500)=BY$1)*(MONTH(Gastos!$A$2:$A$2500)=BY$3)*(Gastos!$B$2:$B$2500=$A11)*(Gastos!$D$2:$D$2500))</f>
        <v>130</v>
      </c>
      <c r="BZ11" s="75">
        <f t="array" ref="BZ11">SUM((YEAR(Gastos!$A$2:$A$2500)=BZ$1)*(MONTH(Gastos!$A$2:$A$2500)=BZ$3)*(Gastos!$B$2:$B$2500=$A11)*(Gastos!$D$2:$D$2500))</f>
        <v>101</v>
      </c>
      <c r="CA11" s="75">
        <f t="array" ref="CA11">SUM((YEAR(Gastos!$A$2:$A$2500)=CA$1)*(MONTH(Gastos!$A$2:$A$2500)=CA$3)*(Gastos!$B$2:$B$2500=$A11)*(Gastos!$D$2:$D$2500))</f>
        <v>92</v>
      </c>
      <c r="CB11" s="75">
        <f t="array" ref="CB11">SUM((YEAR(Gastos!$A$2:$A$2500)=CB$1)*(MONTH(Gastos!$A$2:$A$2500)=CB$3)*(Gastos!$B$2:$B$2500=$A11)*(Gastos!$D$2:$D$2500))</f>
        <v>81</v>
      </c>
      <c r="CC11" s="75">
        <f t="array" ref="CC11">SUM((YEAR(Gastos!$A$2:$A$2500)=CC$1)*(MONTH(Gastos!$A$2:$A$2500)=CC$3)*(Gastos!$B$2:$B$2500=$A11)*(Gastos!$D$2:$D$2500))</f>
        <v>94</v>
      </c>
      <c r="CD11" s="75">
        <f t="array" ref="CD11">SUM((YEAR(Gastos!$A$2:$A$2500)=CD$1)*(MONTH(Gastos!$A$2:$A$2500)=CD$3)*(Gastos!$B$2:$B$2500=$A11)*(Gastos!$D$2:$D$2500))</f>
        <v>85</v>
      </c>
      <c r="CE11" s="75">
        <f t="array" ref="CE11">SUM((YEAR(Gastos!$A$2:$A$2500)=CE$1)*(MONTH(Gastos!$A$2:$A$2500)=CE$3)*(Gastos!$B$2:$B$2500=$A11)*(Gastos!$D$2:$D$2500))</f>
        <v>83</v>
      </c>
      <c r="CF11" s="75">
        <f t="array" ref="CF11">SUM((YEAR(Gastos!$A$2:$A$2500)=CF$1)*(MONTH(Gastos!$A$2:$A$2500)=CF$3)*(Gastos!$B$2:$B$2500=$A11)*(Gastos!$D$2:$D$2500))</f>
        <v>64</v>
      </c>
      <c r="CG11" s="75">
        <f t="array" ref="CG11">SUM((YEAR(Gastos!$A$2:$A$2500)=CG$1)*(MONTH(Gastos!$A$2:$A$2500)=CG$3)*(Gastos!$B$2:$B$2500=$A11)*(Gastos!$D$2:$D$2500))</f>
        <v>10</v>
      </c>
      <c r="CH11" s="75">
        <f t="array" ref="CH11">SUM((YEAR(Gastos!$A$2:$A$2500)=CH$1)*(MONTH(Gastos!$A$2:$A$2500)=CH$3)*(Gastos!$B$2:$B$2500=$A11)*(Gastos!$D$2:$D$2500))</f>
        <v>10</v>
      </c>
      <c r="CI11" s="75">
        <f t="array" ref="CI11">SUM((YEAR(Gastos!$A$2:$A$2500)=CI$1)*(MONTH(Gastos!$A$2:$A$2500)=CI$3)*(Gastos!$B$2:$B$2500=$A11)*(Gastos!$D$2:$D$2500))</f>
        <v>30</v>
      </c>
      <c r="CJ11" s="75">
        <f t="array" ref="CJ11">SUM((YEAR(Gastos!$A$2:$A$2500)=CJ$1)*(MONTH(Gastos!$A$2:$A$2500)=CJ$3)*(Gastos!$B$2:$B$2500=$A11)*(Gastos!$D$2:$D$2500))</f>
        <v>20</v>
      </c>
      <c r="CK11" s="75">
        <f t="array" ref="CK11">SUM((YEAR(Gastos!$A$2:$A$2500)=CK$1)*(MONTH(Gastos!$A$2:$A$2500)=CK$3)*(Gastos!$B$2:$B$2500=$A11)*(Gastos!$D$2:$D$2500))</f>
        <v>50</v>
      </c>
      <c r="CL11" s="75">
        <f t="array" ref="CL11">SUM((YEAR(Gastos!$A$2:$A$2500)=CL$1)*(MONTH(Gastos!$A$2:$A$2500)=CL$3)*(Gastos!$B$2:$B$2500=$A11)*(Gastos!$D$2:$D$2500))</f>
        <v>50</v>
      </c>
      <c r="CM11" s="75">
        <f t="array" ref="CM11">SUM((YEAR(Gastos!$A$2:$A$2500)=CM$1)*(MONTH(Gastos!$A$2:$A$2500)=CM$3)*(Gastos!$B$2:$B$2500=$A11)*(Gastos!$D$2:$D$2500))</f>
        <v>15</v>
      </c>
      <c r="CN11" s="75">
        <f t="array" ref="CN11">SUM((YEAR(Gastos!$A$2:$A$2500)=CN$1)*(MONTH(Gastos!$A$2:$A$2500)=CN$3)*(Gastos!$B$2:$B$2500=$A11)*(Gastos!$D$2:$D$2500))</f>
        <v>30</v>
      </c>
      <c r="CO11" s="75">
        <f t="array" ref="CO11">SUM((YEAR(Gastos!$A$2:$A$2500)=CO$1)*(MONTH(Gastos!$A$2:$A$2500)=CO$3)*(Gastos!$B$2:$B$2500=$A11)*(Gastos!$D$2:$D$2500))</f>
        <v>60</v>
      </c>
      <c r="CP11" s="75">
        <f t="array" ref="CP11">SUM((YEAR(Gastos!$A$2:$A$2500)=CP$1)*(MONTH(Gastos!$A$2:$A$2500)=CP$3)*(Gastos!$B$2:$B$2500=$A11)*(Gastos!$D$2:$D$2500))</f>
        <v>35</v>
      </c>
      <c r="CQ11" s="75">
        <f t="array" ref="CQ11">SUM((YEAR(Gastos!$A$2:$A$2500)=CQ$1)*(MONTH(Gastos!$A$2:$A$2500)=CQ$3)*(Gastos!$B$2:$B$2500=$A11)*(Gastos!$D$2:$D$2500))</f>
        <v>45</v>
      </c>
      <c r="CR11" s="75">
        <f t="array" ref="CR11">SUM((YEAR(Gastos!$A$2:$A$2500)=CR$1)*(MONTH(Gastos!$A$2:$A$2500)=CR$3)*(Gastos!$B$2:$B$2500=$A11)*(Gastos!$D$2:$D$2500))</f>
        <v>35</v>
      </c>
      <c r="CS11" s="75">
        <f t="array" ref="CS11">SUM((YEAR(Gastos!$A$2:$A$2500)=CS$1)*(MONTH(Gastos!$A$2:$A$2500)=CS$3)*(Gastos!$B$2:$B$2500=$A11)*(Gastos!$D$2:$D$2500))</f>
        <v>25</v>
      </c>
      <c r="CT11" s="75">
        <f t="array" ref="CT11">SUM((YEAR(Gastos!$A$2:$A$2500)=CT$1)*(MONTH(Gastos!$A$2:$A$2500)=CT$3)*(Gastos!$B$2:$B$2500=$A11)*(Gastos!$D$2:$D$2500))</f>
        <v>35</v>
      </c>
      <c r="CU11" s="75">
        <f t="array" ref="CU11">SUM((YEAR(Gastos!$A$2:$A$2500)=CU$1)*(MONTH(Gastos!$A$2:$A$2500)=CU$3)*(Gastos!$B$2:$B$2500=$A11)*(Gastos!$D$2:$D$2500))</f>
        <v>40</v>
      </c>
      <c r="CV11" s="75">
        <f t="array" ref="CV11">SUM((YEAR(Gastos!$A$2:$A$2500)=CV$1)*(MONTH(Gastos!$A$2:$A$2500)=CV$3)*(Gastos!$B$2:$B$2500=$A11)*(Gastos!$D$2:$D$2500))</f>
        <v>30</v>
      </c>
      <c r="CW11" s="75">
        <f t="array" ref="CW11">SUM((YEAR(Gastos!$A$2:$A$2500)=CW$1)*(MONTH(Gastos!$A$2:$A$2500)=CW$3)*(Gastos!$B$2:$B$2500=$A11)*(Gastos!$D$2:$D$2500))</f>
        <v>45</v>
      </c>
      <c r="CX11" s="75">
        <f t="array" ref="CX11">SUM((YEAR(Gastos!$A$2:$A$2500)=CX$1)*(MONTH(Gastos!$A$2:$A$2500)=CX$3)*(Gastos!$B$2:$B$2500=$A11)*(Gastos!$D$2:$D$2500))</f>
        <v>35</v>
      </c>
      <c r="CY11" s="75">
        <f t="array" ref="CY11">SUM((YEAR(Gastos!$A$2:$A$2500)=CY$1)*(MONTH(Gastos!$A$2:$A$2500)=CY$3)*(Gastos!$B$2:$B$2500=$A11)*(Gastos!$D$2:$D$2500))</f>
        <v>30</v>
      </c>
      <c r="CZ11" s="75">
        <f t="array" ref="CZ11">SUM((YEAR(Gastos!$A$2:$A$2500)=CZ$1)*(MONTH(Gastos!$A$2:$A$2500)=CZ$3)*(Gastos!$B$2:$B$2500=$A11)*(Gastos!$D$2:$D$2500))</f>
        <v>30</v>
      </c>
      <c r="DA11" s="75">
        <f t="array" ref="DA11">SUM((YEAR(Gastos!$A$2:$A$2500)=DA$1)*(MONTH(Gastos!$A$2:$A$2500)=DA$3)*(Gastos!$B$2:$B$2500=$A11)*(Gastos!$D$2:$D$2500))</f>
        <v>35</v>
      </c>
      <c r="DB11" s="75">
        <f t="array" ref="DB11">SUM((YEAR(Gastos!$A$2:$A$2500)=DB$1)*(MONTH(Gastos!$A$2:$A$2500)=DB$3)*(Gastos!$B$2:$B$2500=$A11)*(Gastos!$D$2:$D$2500))</f>
        <v>45</v>
      </c>
      <c r="DC11" s="75">
        <f t="array" ref="DC11">SUM((YEAR(Gastos!$A$2:$A$2500)=DC$1)*(MONTH(Gastos!$A$2:$A$2500)=DC$3)*(Gastos!$B$2:$B$2500=$A11)*(Gastos!$D$2:$D$2500))</f>
        <v>35</v>
      </c>
      <c r="DD11" s="75">
        <f t="array" ref="DD11">SUM((YEAR(Gastos!$A$2:$A$2500)=DD$1)*(MONTH(Gastos!$A$2:$A$2500)=DD$3)*(Gastos!$B$2:$B$2500=$A11)*(Gastos!$D$2:$D$2500))</f>
        <v>35</v>
      </c>
      <c r="DE11" s="75">
        <f t="array" ref="DE11">SUM((YEAR(Gastos!$A$2:$A$2500)=DE$1)*(MONTH(Gastos!$A$2:$A$2500)=DE$3)*(Gastos!$B$2:$B$2500=$A11)*(Gastos!$D$2:$D$2500))</f>
        <v>35</v>
      </c>
      <c r="DF11" s="75">
        <f t="array" ref="DF11">SUM((YEAR(Gastos!$A$2:$A$2500)=DF$1)*(MONTH(Gastos!$A$2:$A$2500)=DF$3)*(Gastos!$B$2:$B$2500=$A11)*(Gastos!$D$2:$D$2500))</f>
        <v>50</v>
      </c>
      <c r="DG11" s="75">
        <f t="array" ref="DG11">SUM((YEAR(Gastos!$A$2:$A$2500)=DG$1)*(MONTH(Gastos!$A$2:$A$2500)=DG$3)*(Gastos!$B$2:$B$2500=$A11)*(Gastos!$D$2:$D$2500))</f>
        <v>50</v>
      </c>
      <c r="DH11" s="75">
        <f t="array" ref="DH11">SUM((YEAR(Gastos!$A$2:$A$2500)=DH$1)*(MONTH(Gastos!$A$2:$A$2500)=DH$3)*(Gastos!$B$2:$B$2500=$A11)*(Gastos!$D$2:$D$2500))</f>
        <v>35</v>
      </c>
      <c r="DI11" s="75">
        <f t="array" ref="DI11">SUM((YEAR(Gastos!$A$2:$A$2500)=DI$1)*(MONTH(Gastos!$A$2:$A$2500)=DI$3)*(Gastos!$B$2:$B$2500=$A11)*(Gastos!$D$2:$D$2500))</f>
        <v>55</v>
      </c>
      <c r="DJ11" s="75">
        <f t="array" ref="DJ11">SUM((YEAR(Gastos!$A$2:$A$2500)=DJ$1)*(MONTH(Gastos!$A$2:$A$2500)=DJ$3)*(Gastos!$B$2:$B$2500=$A11)*(Gastos!$D$2:$D$2500))</f>
        <v>30</v>
      </c>
      <c r="DK11" s="75">
        <f t="array" ref="DK11">SUM((YEAR(Gastos!$A$2:$A$2500)=DK$1)*(MONTH(Gastos!$A$2:$A$2500)=DK$3)*(Gastos!$B$2:$B$2500=$A11)*(Gastos!$D$2:$D$2500))</f>
        <v>250</v>
      </c>
      <c r="DL11" s="75">
        <f t="array" ref="DL11">SUM((YEAR(Gastos!$A$2:$A$2500)=DL$1)*(MONTH(Gastos!$A$2:$A$2500)=DL$3)*(Gastos!$B$2:$B$2500=$A11)*(Gastos!$D$2:$D$2500))</f>
        <v>40</v>
      </c>
      <c r="DM11" s="75">
        <f t="array" ref="DM11">SUM((YEAR(Gastos!$A$2:$A$2500)=DM$1)*(MONTH(Gastos!$A$2:$A$2500)=DM$3)*(Gastos!$B$2:$B$2500=$A11)*(Gastos!$D$2:$D$2500))</f>
        <v>55</v>
      </c>
      <c r="DN11" s="75">
        <f t="array" ref="DN11">SUM((YEAR(Gastos!$A$2:$A$2500)=DN$1)*(MONTH(Gastos!$A$2:$A$2500)=DN$3)*(Gastos!$B$2:$B$2500=$A11)*(Gastos!$D$2:$D$2500))</f>
        <v>40</v>
      </c>
      <c r="DO11" s="75">
        <f t="array" ref="DO11">SUM((YEAR(Gastos!$A$2:$A$2500)=DO$1)*(MONTH(Gastos!$A$2:$A$2500)=DO$3)*(Gastos!$B$2:$B$2500=$A11)*(Gastos!$D$2:$D$2500))</f>
        <v>35</v>
      </c>
      <c r="DP11" s="75">
        <f t="array" ref="DP11">SUM((YEAR(Gastos!$A$2:$A$2500)=DP$1)*(MONTH(Gastos!$A$2:$A$2500)=DP$3)*(Gastos!$B$2:$B$2500=$A11)*(Gastos!$D$2:$D$2500))</f>
        <v>50</v>
      </c>
      <c r="DQ11" s="75">
        <f t="array" ref="DQ11">SUM((YEAR(Gastos!$A$2:$A$2500)=DQ$1)*(MONTH(Gastos!$A$2:$A$2500)=DQ$3)*(Gastos!$B$2:$B$2500=$A11)*(Gastos!$D$2:$D$2500))</f>
        <v>40</v>
      </c>
      <c r="DR11" s="75">
        <f t="array" ref="DR11">SUM((YEAR(Gastos!$A$2:$A$2500)=DR$1)*(MONTH(Gastos!$A$2:$A$2500)=DR$3)*(Gastos!$B$2:$B$2500=$A11)*(Gastos!$D$2:$D$2500))</f>
        <v>60</v>
      </c>
      <c r="DS11" s="75">
        <f t="array" ref="DS11">SUM((YEAR(Gastos!$A$2:$A$2500)=DS$1)*(MONTH(Gastos!$A$2:$A$2500)=DS$3)*(Gastos!$B$2:$B$2500=$A11)*(Gastos!$D$2:$D$2500))</f>
        <v>30</v>
      </c>
      <c r="DT11" s="75">
        <f t="array" ref="DT11">SUM((YEAR(Gastos!$A$2:$A$2500)=DT$1)*(MONTH(Gastos!$A$2:$A$2500)=DT$3)*(Gastos!$B$2:$B$2500=$A11)*(Gastos!$D$2:$D$2500))</f>
        <v>40</v>
      </c>
      <c r="DU11" s="75">
        <f t="array" ref="DU11">SUM((YEAR(Gastos!$A$2:$A$2500)=DU$1)*(MONTH(Gastos!$A$2:$A$2500)=DU$3)*(Gastos!$B$2:$B$2500=$A11)*(Gastos!$D$2:$D$2500))</f>
        <v>20</v>
      </c>
      <c r="DV11" s="75">
        <f t="array" ref="DV11">SUM((YEAR(Gastos!$A$2:$A$2500)=DV$1)*(MONTH(Gastos!$A$2:$A$2500)=DV$3)*(Gastos!$B$2:$B$2500=$A11)*(Gastos!$D$2:$D$2500))</f>
        <v>30</v>
      </c>
      <c r="DW11" s="75">
        <f t="array" ref="DW11">SUM((YEAR(Gastos!$A$2:$A$2500)=DW$1)*(MONTH(Gastos!$A$2:$A$2500)=DW$3)*(Gastos!$B$2:$B$2500=$A11)*(Gastos!$D$2:$D$2500))</f>
        <v>60</v>
      </c>
      <c r="DX11" s="75">
        <f t="array" ref="DX11">SUM((YEAR(Gastos!$A$2:$A$2500)=DX$1)*(MONTH(Gastos!$A$2:$A$2500)=DX$3)*(Gastos!$B$2:$B$2500=$A11)*(Gastos!$D$2:$D$2500))</f>
        <v>45</v>
      </c>
      <c r="DY11" s="75">
        <f t="array" ref="DY11">SUM((YEAR(Gastos!$A$2:$A$2500)=DY$1)*(MONTH(Gastos!$A$2:$A$2500)=DY$3)*(Gastos!$B$2:$B$2500=$A11)*(Gastos!$D$2:$D$2500))</f>
        <v>45</v>
      </c>
      <c r="DZ11" s="75">
        <f t="array" ref="DZ11">SUM((YEAR(Gastos!$A$2:$A$2500)=DZ$1)*(MONTH(Gastos!$A$2:$A$2500)=DZ$3)*(Gastos!$B$2:$B$2500=$A11)*(Gastos!$D$2:$D$2500))</f>
        <v>40</v>
      </c>
      <c r="EA11" s="75">
        <f t="array" ref="EA11">SUM((YEAR(Gastos!$A$2:$A$2500)=EA$1)*(MONTH(Gastos!$A$2:$A$2500)=EA$3)*(Gastos!$B$2:$B$2500=$A11)*(Gastos!$D$2:$D$2500))</f>
        <v>40</v>
      </c>
      <c r="EB11" s="75">
        <f t="array" ref="EB11">SUM((YEAR(Gastos!$A$2:$A$2500)=EB$1)*(MONTH(Gastos!$A$2:$A$2500)=EB$3)*(Gastos!$B$2:$B$2500=$A11)*(Gastos!$D$2:$D$2500))</f>
        <v>25</v>
      </c>
      <c r="EC11" s="75">
        <f t="array" ref="EC11">SUM((YEAR(Gastos!$A$2:$A$2500)=EC$1)*(MONTH(Gastos!$A$2:$A$2500)=EC$3)*(Gastos!$B$2:$B$2500=$A11)*(Gastos!$D$2:$D$2500))</f>
        <v>10</v>
      </c>
      <c r="ED11" s="75">
        <f t="array" ref="ED11">SUM((YEAR(Gastos!$A$2:$A$2500)=ED$1)*(MONTH(Gastos!$A$2:$A$2500)=ED$3)*(Gastos!$B$2:$B$2500=$A11)*(Gastos!$D$2:$D$2500))</f>
        <v>20</v>
      </c>
      <c r="EE11" s="75">
        <f t="array" ref="EE11">SUM((YEAR(Gastos!$A$2:$A$2500)=EE$1)*(MONTH(Gastos!$A$2:$A$2500)=EE$3)*(Gastos!$B$2:$B$2500=$A11)*(Gastos!$D$2:$D$2500))</f>
        <v>30</v>
      </c>
      <c r="EF11" s="75">
        <f t="array" ref="EF11">SUM((YEAR(Gastos!$A$2:$A$2500)=EF$1)*(MONTH(Gastos!$A$2:$A$2500)=EF$3)*(Gastos!$B$2:$B$2500=$A11)*(Gastos!$D$2:$D$2500))</f>
        <v>35</v>
      </c>
      <c r="EG11" s="75">
        <f t="array" ref="EG11">SUM((YEAR(Gastos!$A$2:$A$2500)=EG$1)*(MONTH(Gastos!$A$2:$A$2500)=EG$3)*(Gastos!$B$2:$B$2500=$A11)*(Gastos!$D$2:$D$2500))</f>
        <v>30</v>
      </c>
      <c r="EH11" s="75">
        <f t="array" ref="EH11">SUM((YEAR(Gastos!$A$2:$A$2500)=EH$1)*(MONTH(Gastos!$A$2:$A$2500)=EH$3)*(Gastos!$B$2:$B$2500=$A11)*(Gastos!$D$2:$D$2500))</f>
        <v>15</v>
      </c>
      <c r="EI11" s="75">
        <f t="array" ref="EI11">SUM((YEAR(Gastos!$A$2:$A$2500)=EI$1)*(MONTH(Gastos!$A$2:$A$2500)=EI$3)*(Gastos!$B$2:$B$2500=$A11)*(Gastos!$D$2:$D$2500))</f>
        <v>15</v>
      </c>
      <c r="EJ11" s="75">
        <f t="array" ref="EJ11">SUM((YEAR(Gastos!$A$2:$A$2500)=EJ$1)*(MONTH(Gastos!$A$2:$A$2500)=EJ$3)*(Gastos!$B$2:$B$2500=$A11)*(Gastos!$D$2:$D$2500))</f>
        <v>30</v>
      </c>
      <c r="EK11" s="75">
        <f t="array" ref="EK11">SUM((YEAR(Gastos!$A$2:$A$2500)=EK$1)*(MONTH(Gastos!$A$2:$A$2500)=EK$3)*(Gastos!$B$2:$B$2500=$A11)*(Gastos!$D$2:$D$2500))</f>
        <v>19.5</v>
      </c>
      <c r="EL11" s="75">
        <f t="array" ref="EL11">SUM((YEAR(Gastos!$A$2:$A$2500)=EL$1)*(MONTH(Gastos!$A$2:$A$2500)=EL$3)*(Gastos!$B$2:$B$2500=$A11)*(Gastos!$D$2:$D$2500))</f>
        <v>26</v>
      </c>
      <c r="EM11" s="75">
        <f t="array" ref="EM11">SUM((YEAR(Gastos!$A$2:$A$2500)=EM$1)*(MONTH(Gastos!$A$2:$A$2500)=EM$3)*(Gastos!$B$2:$B$2500=$A11)*(Gastos!$D$2:$D$2500))</f>
        <v>0</v>
      </c>
      <c r="EN11" s="75">
        <f t="array" ref="EN11">SUM((YEAR(Gastos!$A$2:$A$2500)=EN$1)*(MONTH(Gastos!$A$2:$A$2500)=EN$3)*(Gastos!$B$2:$B$2500=$A11)*(Gastos!$D$2:$D$2500))</f>
        <v>156</v>
      </c>
      <c r="EO11" s="75">
        <f t="array" ref="EO11">SUM((YEAR(Gastos!$A$2:$A$2500)=EO$1)*(MONTH(Gastos!$A$2:$A$2500)=EO$3)*(Gastos!$B$2:$B$2500=$A11)*(Gastos!$D$2:$D$2500))</f>
        <v>0</v>
      </c>
      <c r="EP11" s="75">
        <f t="array" ref="EP11">SUM((YEAR(Gastos!$A$2:$A$2500)=EP$1)*(MONTH(Gastos!$A$2:$A$2500)=EP$3)*(Gastos!$B$2:$B$2500=$A11)*(Gastos!$D$2:$D$2500))</f>
        <v>0</v>
      </c>
      <c r="EQ11" s="75">
        <f t="array" ref="EQ11">SUM((YEAR(Gastos!$A$2:$A$2500)=EQ$1)*(MONTH(Gastos!$A$2:$A$2500)=EQ$3)*(Gastos!$B$2:$B$2500=$A11)*(Gastos!$D$2:$D$2500))</f>
        <v>0</v>
      </c>
      <c r="ER11" s="75">
        <f t="array" ref="ER11">SUM((YEAR(Gastos!$A$2:$A$2500)=ER$1)*(MONTH(Gastos!$A$2:$A$2500)=ER$3)*(Gastos!$B$2:$B$2500=$A11)*(Gastos!$D$2:$D$2500))</f>
        <v>0</v>
      </c>
      <c r="ES11" s="75">
        <f t="array" ref="ES11">SUM((YEAR(Gastos!$A$2:$A$2500)=ES$1)*(MONTH(Gastos!$A$2:$A$2500)=ES$3)*(Gastos!$B$2:$B$2500=$A11)*(Gastos!$D$2:$D$2500))</f>
        <v>0</v>
      </c>
      <c r="ET11" s="75">
        <f t="array" ref="ET11">SUM((YEAR(Gastos!$A$2:$A$2500)=ET$1)*(MONTH(Gastos!$A$2:$A$2500)=ET$3)*(Gastos!$B$2:$B$2500=$A11)*(Gastos!$D$2:$D$2500))</f>
        <v>0</v>
      </c>
      <c r="EU11" s="75">
        <f t="array" ref="EU11">SUM((YEAR(Gastos!$A$2:$A$2500)=EU$1)*(MONTH(Gastos!$A$2:$A$2500)=EU$3)*(Gastos!$B$2:$B$2500=$A11)*(Gastos!$D$2:$D$2500))</f>
        <v>0</v>
      </c>
      <c r="EV11" s="75">
        <f t="array" ref="EV11">SUM((YEAR(Gastos!$A$2:$A$2500)=EV$1)*(MONTH(Gastos!$A$2:$A$2500)=EV$3)*(Gastos!$B$2:$B$2500=$A11)*(Gastos!$D$2:$D$2500))</f>
        <v>0</v>
      </c>
      <c r="EW11" s="75">
        <f t="array" ref="EW11">SUM((YEAR(Gastos!$A$2:$A$2500)=EW$1)*(MONTH(Gastos!$A$2:$A$2500)=EW$3)*(Gastos!$B$2:$B$2500=$A11)*(Gastos!$D$2:$D$2500))</f>
        <v>0</v>
      </c>
      <c r="EX11" s="75">
        <f t="array" ref="EX11">SUM((YEAR(Gastos!$A$2:$A$2500)=EX$1)*(MONTH(Gastos!$A$2:$A$2500)=EX$3)*(Gastos!$B$2:$B$2500=$A11)*(Gastos!$D$2:$D$2500))</f>
        <v>0</v>
      </c>
      <c r="EY11" s="75">
        <f t="array" ref="EY11">SUM((YEAR(Gastos!$A$2:$A$2500)=EY$1)*(MONTH(Gastos!$A$2:$A$2500)=EY$3)*(Gastos!$B$2:$B$2500=$A11)*(Gastos!$D$2:$D$2500))</f>
        <v>0</v>
      </c>
      <c r="EZ11" s="75">
        <f t="array" ref="EZ11">SUM((YEAR(Gastos!$A$2:$A$2500)=EZ$1)*(MONTH(Gastos!$A$2:$A$2500)=EZ$3)*(Gastos!$B$2:$B$2500=$A11)*(Gastos!$D$2:$D$2500))</f>
        <v>0</v>
      </c>
      <c r="FA11" s="75">
        <f t="array" ref="FA11">SUM((YEAR(Gastos!$A$2:$A$2500)=FA$1)*(MONTH(Gastos!$A$2:$A$2500)=FA$3)*(Gastos!$B$2:$B$2500=$A11)*(Gastos!$D$2:$D$2500))</f>
        <v>0</v>
      </c>
      <c r="FB11" s="75">
        <f t="array" ref="FB11">SUM((YEAR(Gastos!$A$2:$A$2500)=FB$1)*(MONTH(Gastos!$A$2:$A$2500)=FB$3)*(Gastos!$B$2:$B$2500=$A11)*(Gastos!$D$2:$D$2500))</f>
        <v>0</v>
      </c>
      <c r="FC11" s="75">
        <f t="array" ref="FC11">SUM((YEAR(Gastos!$A$2:$A$2500)=FC$1)*(MONTH(Gastos!$A$2:$A$2500)=FC$3)*(Gastos!$B$2:$B$2500=$A11)*(Gastos!$D$2:$D$2500))</f>
        <v>0</v>
      </c>
      <c r="FD11" s="75">
        <f t="array" ref="FD11">SUM((YEAR(Gastos!$A$2:$A$2500)=FD$1)*(MONTH(Gastos!$A$2:$A$2500)=FD$3)*(Gastos!$B$2:$B$2500=$A11)*(Gastos!$D$2:$D$2500))</f>
        <v>0</v>
      </c>
      <c r="FE11" s="75">
        <f t="array" ref="FE11">SUM((YEAR(Gastos!$A$2:$A$2500)=FE$1)*(MONTH(Gastos!$A$2:$A$2500)=FE$3)*(Gastos!$B$2:$B$2500=$A11)*(Gastos!$D$2:$D$2500))</f>
        <v>0</v>
      </c>
      <c r="FF11" s="75">
        <f t="array" ref="FF11">SUM((YEAR(Gastos!$A$2:$A$2500)=FF$1)*(MONTH(Gastos!$A$2:$A$2500)=FF$3)*(Gastos!$B$2:$B$2500=$A11)*(Gastos!$D$2:$D$2500))</f>
        <v>0</v>
      </c>
      <c r="FG11" s="75">
        <f t="array" ref="FG11">SUM((YEAR(Gastos!$A$2:$A$2500)=FG$1)*(MONTH(Gastos!$A$2:$A$2500)=FG$3)*(Gastos!$B$2:$B$2500=$A11)*(Gastos!$D$2:$D$2500))</f>
        <v>0</v>
      </c>
      <c r="FH11" s="75">
        <f t="array" ref="FH11">SUM((YEAR(Gastos!$A$2:$A$2500)=FH$1)*(MONTH(Gastos!$A$2:$A$2500)=FH$3)*(Gastos!$B$2:$B$2500=$A11)*(Gastos!$D$2:$D$2500))</f>
        <v>0</v>
      </c>
      <c r="FI11" s="75">
        <f t="array" ref="FI11">SUM((YEAR(Gastos!$A$2:$A$2500)=FI$1)*(MONTH(Gastos!$A$2:$A$2500)=FI$3)*(Gastos!$B$2:$B$2500=$A11)*(Gastos!$D$2:$D$2500))</f>
        <v>0</v>
      </c>
      <c r="FJ11" s="75">
        <f t="array" ref="FJ11">SUM((YEAR(Gastos!$A$2:$A$2500)=FJ$1)*(MONTH(Gastos!$A$2:$A$2500)=FJ$3)*(Gastos!$B$2:$B$2500=$A11)*(Gastos!$D$2:$D$2500))</f>
        <v>0</v>
      </c>
      <c r="FK11" s="75">
        <f t="array" ref="FK11">SUM((YEAR(Gastos!$A$2:$A$2500)=FK$1)*(MONTH(Gastos!$A$2:$A$2500)=FK$3)*(Gastos!$B$2:$B$2500=$A11)*(Gastos!$D$2:$D$2500))</f>
        <v>0</v>
      </c>
      <c r="FL11" s="75">
        <f t="array" ref="FL11">SUM((YEAR(Gastos!$A$2:$A$2500)=FL$1)*(MONTH(Gastos!$A$2:$A$2500)=FL$3)*(Gastos!$B$2:$B$2500=$A11)*(Gastos!$D$2:$D$2500))</f>
        <v>0</v>
      </c>
      <c r="FM11" s="75">
        <f t="array" ref="FM11">SUM((YEAR(Gastos!$A$2:$A$2500)=FM$1)*(MONTH(Gastos!$A$2:$A$2500)=FM$3)*(Gastos!$B$2:$B$2500=$A11)*(Gastos!$D$2:$D$2500))</f>
        <v>0</v>
      </c>
      <c r="FN11" s="75">
        <f t="array" ref="FN11">SUM((YEAR(Gastos!$A$2:$A$2500)=FN$1)*(MONTH(Gastos!$A$2:$A$2500)=FN$3)*(Gastos!$B$2:$B$2500=$A11)*(Gastos!$D$2:$D$2500))</f>
        <v>0</v>
      </c>
      <c r="FO11" s="75">
        <f t="array" ref="FO11">SUM((YEAR(Gastos!$A$2:$A$2500)=FO$1)*(MONTH(Gastos!$A$2:$A$2500)=FO$3)*(Gastos!$B$2:$B$2500=$A11)*(Gastos!$D$2:$D$2500))</f>
        <v>0</v>
      </c>
      <c r="FP11" s="75">
        <f t="array" ref="FP11">SUM((YEAR(Gastos!$A$2:$A$2500)=FP$1)*(MONTH(Gastos!$A$2:$A$2500)=FP$3)*(Gastos!$B$2:$B$2500=$A11)*(Gastos!$D$2:$D$2500))</f>
        <v>0</v>
      </c>
      <c r="FQ11" s="75">
        <f t="array" ref="FQ11">SUM((YEAR(Gastos!$A$2:$A$2500)=FQ$1)*(MONTH(Gastos!$A$2:$A$2500)=FQ$3)*(Gastos!$B$2:$B$2500=$A11)*(Gastos!$D$2:$D$2500))</f>
        <v>0</v>
      </c>
      <c r="FR11" s="75">
        <f t="array" ref="FR11">SUM((YEAR(Gastos!$A$2:$A$2500)=FR$1)*(MONTH(Gastos!$A$2:$A$2500)=FR$3)*(Gastos!$B$2:$B$2500=$A11)*(Gastos!$D$2:$D$2500))</f>
        <v>0</v>
      </c>
      <c r="FS11" s="75">
        <f t="array" ref="FS11">SUM((YEAR(Gastos!$A$2:$A$2500)=FS$1)*(MONTH(Gastos!$A$2:$A$2500)=FS$3)*(Gastos!$B$2:$B$2500=$A11)*(Gastos!$D$2:$D$2500))</f>
        <v>0</v>
      </c>
      <c r="FT11" s="75">
        <f t="array" ref="FT11">SUM((YEAR(Gastos!$A$2:$A$2500)=FT$1)*(MONTH(Gastos!$A$2:$A$2500)=FT$3)*(Gastos!$B$2:$B$2500=$A11)*(Gastos!$D$2:$D$2500))</f>
        <v>0</v>
      </c>
      <c r="FU11" s="75">
        <f t="array" ref="FU11">SUM((YEAR(Gastos!$A$2:$A$2500)=FU$1)*(MONTH(Gastos!$A$2:$A$2500)=FU$3)*(Gastos!$B$2:$B$2500=$A11)*(Gastos!$D$2:$D$2500))</f>
        <v>0</v>
      </c>
      <c r="FV11" s="75">
        <f t="array" ref="FV11">SUM((YEAR(Gastos!$A$2:$A$2500)=FV$1)*(MONTH(Gastos!$A$2:$A$2500)=FV$3)*(Gastos!$B$2:$B$2500=$A11)*(Gastos!$D$2:$D$2500))</f>
        <v>0</v>
      </c>
      <c r="FW11" s="75">
        <f t="array" ref="FW11">SUM((YEAR(Gastos!$A$2:$A$2500)=FW$1)*(MONTH(Gastos!$A$2:$A$2500)=FW$3)*(Gastos!$B$2:$B$2500=$A11)*(Gastos!$D$2:$D$2500))</f>
        <v>0</v>
      </c>
      <c r="FX11" s="75">
        <f t="array" ref="FX11">SUM((YEAR(Gastos!$A$2:$A$2500)=FX$1)*(MONTH(Gastos!$A$2:$A$2500)=FX$3)*(Gastos!$B$2:$B$2500=$A11)*(Gastos!$D$2:$D$2500))</f>
        <v>0</v>
      </c>
      <c r="FY11" s="75">
        <f t="array" ref="FY11">SUM((YEAR(Gastos!$A$2:$A$2500)=FY$1)*(MONTH(Gastos!$A$2:$A$2500)=FY$3)*(Gastos!$B$2:$B$2500=$A11)*(Gastos!$D$2:$D$2500))</f>
        <v>0</v>
      </c>
      <c r="FZ11" s="76">
        <f t="shared" si="65"/>
        <v>4398.5</v>
      </c>
      <c r="GA11" s="80"/>
      <c r="GB11" s="78">
        <f t="shared" si="66"/>
        <v>-444</v>
      </c>
      <c r="GF11" s="79">
        <f t="array" ref="GF11">SUM(((Gastos!$A$2:$A$1647)&gt;=GD$3)*((Gastos!$A$2:$A$1647)&lt;=GF$3)*(Gastos!$B$2:$B$1647=$A11)*(Gastos!$D$2:$D$1647))</f>
        <v>550</v>
      </c>
      <c r="GI11" s="79">
        <f t="array" ref="GI11">SUM(((Gastos!$A$2:$A$1647)&gt;=GG$3)*((Gastos!$A$2:$A$1647)&lt;=GI$3)*(Gastos!$B$2:$B$1647=$A11)*(Gastos!$D$2:$D$1647))</f>
        <v>994</v>
      </c>
      <c r="GL11" s="100">
        <f>CP120</f>
        <v>2021</v>
      </c>
      <c r="GM11" s="102">
        <f>CQ120</f>
        <v>317264</v>
      </c>
      <c r="GN11" s="102">
        <f>CR120</f>
        <v>214926.80000000002</v>
      </c>
      <c r="GO11" s="102">
        <f>CS120</f>
        <v>80551.299999999988</v>
      </c>
      <c r="GP11" s="106">
        <v>660187.5199999999</v>
      </c>
      <c r="GQ11" s="105">
        <f t="shared" si="64"/>
        <v>612742.10000000009</v>
      </c>
      <c r="GR11" s="109">
        <f t="shared" ref="GR11:GR15" si="67">GQ11+GS11</f>
        <v>648808.10000000009</v>
      </c>
      <c r="GS11" s="107">
        <v>36066</v>
      </c>
    </row>
    <row r="12" spans="1:201" ht="15" thickBot="1" x14ac:dyDescent="0.4">
      <c r="A12" s="74" t="str">
        <f>Gastos!AA10</f>
        <v>F. RECOLECCION DE BASURA</v>
      </c>
      <c r="B12" s="75">
        <f t="array" ref="B12">SUM((YEAR(Gastos!$A$2:$A$2500)=B$1)*(MONTH(Gastos!$A$2:$A$2500)=B$3)*(Gastos!$B$2:$B$2500=$A12)*(Gastos!$D$2:$D$2500))</f>
        <v>0</v>
      </c>
      <c r="C12" s="75">
        <f t="array" ref="C12">SUM((YEAR(Gastos!$A$2:$A$2500)=C$1)*(MONTH(Gastos!$A$2:$A$2500)=C$3)*(Gastos!$B$2:$B$2500=$A12)*(Gastos!$D$2:$D$2500))</f>
        <v>0</v>
      </c>
      <c r="D12" s="75">
        <f t="array" ref="D12">SUM((YEAR(Gastos!$A$2:$A$2500)=D$1)*(MONTH(Gastos!$A$2:$A$2500)=D$3)*(Gastos!$B$2:$B$2500=$A12)*(Gastos!$D$2:$D$2500))</f>
        <v>0</v>
      </c>
      <c r="E12" s="75">
        <f t="array" ref="E12">SUM((YEAR(Gastos!$A$2:$A$2500)=E$1)*(MONTH(Gastos!$A$2:$A$2500)=E$3)*(Gastos!$B$2:$B$2500=$A12)*(Gastos!$D$2:$D$2500))</f>
        <v>0</v>
      </c>
      <c r="F12" s="75">
        <f t="array" ref="F12">SUM((YEAR(Gastos!$A$2:$A$2500)=F$1)*(MONTH(Gastos!$A$2:$A$2500)=F$3)*(Gastos!$B$2:$B$2500=$A12)*(Gastos!$D$2:$D$2500))</f>
        <v>0</v>
      </c>
      <c r="G12" s="75">
        <f t="array" ref="G12">SUM((YEAR(Gastos!$A$2:$A$2500)=G$1)*(MONTH(Gastos!$A$2:$A$2500)=G$3)*(Gastos!$B$2:$B$2500=$A12)*(Gastos!$D$2:$D$2500))</f>
        <v>0</v>
      </c>
      <c r="H12" s="75">
        <f t="array" ref="H12">SUM((YEAR(Gastos!$A$2:$A$2500)=H$1)*(MONTH(Gastos!$A$2:$A$2500)=H$3)*(Gastos!$B$2:$B$2500=$A12)*(Gastos!$D$2:$D$2500))</f>
        <v>0</v>
      </c>
      <c r="I12" s="75">
        <f t="array" ref="I12">SUM((YEAR(Gastos!$A$2:$A$2500)=I$1)*(MONTH(Gastos!$A$2:$A$2500)=I$3)*(Gastos!$B$2:$B$2500=$A12)*(Gastos!$D$2:$D$2500))</f>
        <v>0</v>
      </c>
      <c r="J12" s="75">
        <f t="array" ref="J12">SUM((YEAR(Gastos!$A$2:$A$2500)=J$1)*(MONTH(Gastos!$A$2:$A$2500)=J$3)*(Gastos!$B$2:$B$2500=$A12)*(Gastos!$D$2:$D$2500))</f>
        <v>0</v>
      </c>
      <c r="K12" s="75">
        <f t="array" ref="K12">SUM((YEAR(Gastos!$A$2:$A$2500)=K$1)*(MONTH(Gastos!$A$2:$A$2500)=K$3)*(Gastos!$B$2:$B$2500=$A12)*(Gastos!$D$2:$D$2500))</f>
        <v>0</v>
      </c>
      <c r="L12" s="75">
        <f t="array" ref="L12">SUM((YEAR(Gastos!$A$2:$A$2500)=L$1)*(MONTH(Gastos!$A$2:$A$2500)=L$3)*(Gastos!$B$2:$B$2500=$A12)*(Gastos!$D$2:$D$2500))</f>
        <v>0</v>
      </c>
      <c r="M12" s="75">
        <f t="array" ref="M12">SUM((YEAR(Gastos!$A$2:$A$2500)=M$1)*(MONTH(Gastos!$A$2:$A$2500)=M$3)*(Gastos!$B$2:$B$2500=$A12)*(Gastos!$D$2:$D$2500))</f>
        <v>0</v>
      </c>
      <c r="N12" s="75">
        <f t="array" ref="N12">SUM((YEAR(Gastos!$A$2:$A$2500)=N$1)*(MONTH(Gastos!$A$2:$A$2500)=N$3)*(Gastos!$B$2:$B$2500=$A12)*(Gastos!$D$2:$D$2500))</f>
        <v>0</v>
      </c>
      <c r="O12" s="75">
        <f t="array" ref="O12">SUM((YEAR(Gastos!$A$2:$A$2500)=O$1)*(MONTH(Gastos!$A$2:$A$2500)=O$3)*(Gastos!$B$2:$B$2500=$A12)*(Gastos!$D$2:$D$2500))</f>
        <v>0</v>
      </c>
      <c r="P12" s="75">
        <f t="array" ref="P12">SUM((YEAR(Gastos!$A$2:$A$2500)=P$1)*(MONTH(Gastos!$A$2:$A$2500)=P$3)*(Gastos!$B$2:$B$2500=$A12)*(Gastos!$D$2:$D$2500))</f>
        <v>0</v>
      </c>
      <c r="Q12" s="75">
        <f t="array" ref="Q12">SUM((YEAR(Gastos!$A$2:$A$2500)=Q$1)*(MONTH(Gastos!$A$2:$A$2500)=Q$3)*(Gastos!$B$2:$B$2500=$A12)*(Gastos!$D$2:$D$2500))</f>
        <v>0</v>
      </c>
      <c r="R12" s="75">
        <f t="array" ref="R12">SUM((YEAR(Gastos!$A$2:$A$2500)=R$1)*(MONTH(Gastos!$A$2:$A$2500)=R$3)*(Gastos!$B$2:$B$2500=$A12)*(Gastos!$D$2:$D$2500))</f>
        <v>0</v>
      </c>
      <c r="S12" s="75">
        <f t="array" ref="S12">SUM((YEAR(Gastos!$A$2:$A$2500)=S$1)*(MONTH(Gastos!$A$2:$A$2500)=S$3)*(Gastos!$B$2:$B$2500=$A12)*(Gastos!$D$2:$D$2500))</f>
        <v>0</v>
      </c>
      <c r="T12" s="75">
        <f t="array" ref="T12">SUM((YEAR(Gastos!$A$2:$A$2500)=T$1)*(MONTH(Gastos!$A$2:$A$2500)=T$3)*(Gastos!$B$2:$B$2500=$A12)*(Gastos!$D$2:$D$2500))</f>
        <v>0</v>
      </c>
      <c r="U12" s="75">
        <f t="array" ref="U12">SUM((YEAR(Gastos!$A$2:$A$2500)=U$1)*(MONTH(Gastos!$A$2:$A$2500)=U$3)*(Gastos!$B$2:$B$2500=$A12)*(Gastos!$D$2:$D$2500))</f>
        <v>0</v>
      </c>
      <c r="V12" s="75">
        <f t="array" ref="V12">SUM((YEAR(Gastos!$A$2:$A$2500)=V$1)*(MONTH(Gastos!$A$2:$A$2500)=V$3)*(Gastos!$B$2:$B$2500=$A12)*(Gastos!$D$2:$D$2500))</f>
        <v>0</v>
      </c>
      <c r="W12" s="75">
        <f t="array" ref="W12">SUM((YEAR(Gastos!$A$2:$A$2500)=W$1)*(MONTH(Gastos!$A$2:$A$2500)=W$3)*(Gastos!$B$2:$B$2500=$A12)*(Gastos!$D$2:$D$2500))</f>
        <v>0</v>
      </c>
      <c r="X12" s="75">
        <f t="array" ref="X12">SUM((YEAR(Gastos!$A$2:$A$2500)=X$1)*(MONTH(Gastos!$A$2:$A$2500)=X$3)*(Gastos!$B$2:$B$2500=$A12)*(Gastos!$D$2:$D$2500))</f>
        <v>0</v>
      </c>
      <c r="Y12" s="75">
        <f t="array" ref="Y12">SUM((YEAR(Gastos!$A$2:$A$2500)=Y$1)*(MONTH(Gastos!$A$2:$A$2500)=Y$3)*(Gastos!$B$2:$B$2500=$A12)*(Gastos!$D$2:$D$2500))</f>
        <v>0</v>
      </c>
      <c r="Z12" s="75">
        <f t="array" ref="Z12">SUM((YEAR(Gastos!$A$2:$A$2500)=Z$1)*(MONTH(Gastos!$A$2:$A$2500)=Z$3)*(Gastos!$B$2:$B$2500=$A12)*(Gastos!$D$2:$D$2500))</f>
        <v>0</v>
      </c>
      <c r="AA12" s="75">
        <f t="array" ref="AA12">SUM((YEAR(Gastos!$A$2:$A$2500)=AA$1)*(MONTH(Gastos!$A$2:$A$2500)=AA$3)*(Gastos!$B$2:$B$2500=$A12)*(Gastos!$D$2:$D$2500))</f>
        <v>0</v>
      </c>
      <c r="AB12" s="75">
        <f t="array" ref="AB12">SUM((YEAR(Gastos!$A$2:$A$2500)=AB$1)*(MONTH(Gastos!$A$2:$A$2500)=AB$3)*(Gastos!$B$2:$B$2500=$A12)*(Gastos!$D$2:$D$2500))</f>
        <v>0</v>
      </c>
      <c r="AC12" s="75">
        <f t="array" ref="AC12">SUM((YEAR(Gastos!$A$2:$A$2500)=AC$1)*(MONTH(Gastos!$A$2:$A$2500)=AC$3)*(Gastos!$B$2:$B$2500=$A12)*(Gastos!$D$2:$D$2500))</f>
        <v>0</v>
      </c>
      <c r="AD12" s="75">
        <f t="array" ref="AD12">SUM((YEAR(Gastos!$A$2:$A$2500)=AD$1)*(MONTH(Gastos!$A$2:$A$2500)=AD$3)*(Gastos!$B$2:$B$2500=$A12)*(Gastos!$D$2:$D$2500))</f>
        <v>0</v>
      </c>
      <c r="AE12" s="75">
        <f t="array" ref="AE12">SUM((YEAR(Gastos!$A$2:$A$2500)=AE$1)*(MONTH(Gastos!$A$2:$A$2500)=AE$3)*(Gastos!$B$2:$B$2500=$A12)*(Gastos!$D$2:$D$2500))</f>
        <v>0</v>
      </c>
      <c r="AF12" s="75">
        <f t="array" ref="AF12">SUM((YEAR(Gastos!$A$2:$A$2500)=AF$1)*(MONTH(Gastos!$A$2:$A$2500)=AF$3)*(Gastos!$B$2:$B$2500=$A12)*(Gastos!$D$2:$D$2500))</f>
        <v>0</v>
      </c>
      <c r="AG12" s="75">
        <f t="array" ref="AG12">SUM((YEAR(Gastos!$A$2:$A$2500)=AG$1)*(MONTH(Gastos!$A$2:$A$2500)=AG$3)*(Gastos!$B$2:$B$2500=$A12)*(Gastos!$D$2:$D$2500))</f>
        <v>0</v>
      </c>
      <c r="AH12" s="75">
        <f t="array" ref="AH12">SUM((YEAR(Gastos!$A$2:$A$2500)=AH$1)*(MONTH(Gastos!$A$2:$A$2500)=AH$3)*(Gastos!$B$2:$B$2500=$A12)*(Gastos!$D$2:$D$2500))</f>
        <v>0</v>
      </c>
      <c r="AI12" s="75">
        <f t="array" ref="AI12">SUM((YEAR(Gastos!$A$2:$A$2500)=AI$1)*(MONTH(Gastos!$A$2:$A$2500)=AI$3)*(Gastos!$B$2:$B$2500=$A12)*(Gastos!$D$2:$D$2500))</f>
        <v>0</v>
      </c>
      <c r="AJ12" s="75">
        <f t="array" ref="AJ12">SUM((YEAR(Gastos!$A$2:$A$2500)=AJ$1)*(MONTH(Gastos!$A$2:$A$2500)=AJ$3)*(Gastos!$B$2:$B$2500=$A12)*(Gastos!$D$2:$D$2500))</f>
        <v>0</v>
      </c>
      <c r="AK12" s="75">
        <f t="array" ref="AK12">SUM((YEAR(Gastos!$A$2:$A$2500)=AK$1)*(MONTH(Gastos!$A$2:$A$2500)=AK$3)*(Gastos!$B$2:$B$2500=$A12)*(Gastos!$D$2:$D$2500))</f>
        <v>0</v>
      </c>
      <c r="AL12" s="75">
        <f t="array" ref="AL12">SUM((YEAR(Gastos!$A$2:$A$2500)=AL$1)*(MONTH(Gastos!$A$2:$A$2500)=AL$3)*(Gastos!$B$2:$B$2500=$A12)*(Gastos!$D$2:$D$2500))</f>
        <v>0</v>
      </c>
      <c r="AM12" s="75">
        <f t="array" ref="AM12">SUM((YEAR(Gastos!$A$2:$A$2500)=AM$1)*(MONTH(Gastos!$A$2:$A$2500)=AM$3)*(Gastos!$B$2:$B$2500=$A12)*(Gastos!$D$2:$D$2500))</f>
        <v>0</v>
      </c>
      <c r="AN12" s="75">
        <f t="array" ref="AN12">SUM((YEAR(Gastos!$A$2:$A$2500)=AN$1)*(MONTH(Gastos!$A$2:$A$2500)=AN$3)*(Gastos!$B$2:$B$2500=$A12)*(Gastos!$D$2:$D$2500))</f>
        <v>0</v>
      </c>
      <c r="AO12" s="75">
        <f t="array" ref="AO12">SUM((YEAR(Gastos!$A$2:$A$2500)=AO$1)*(MONTH(Gastos!$A$2:$A$2500)=AO$3)*(Gastos!$B$2:$B$2500=$A12)*(Gastos!$D$2:$D$2500))</f>
        <v>0</v>
      </c>
      <c r="AP12" s="75">
        <f t="array" ref="AP12">SUM((YEAR(Gastos!$A$2:$A$2500)=AP$1)*(MONTH(Gastos!$A$2:$A$2500)=AP$3)*(Gastos!$B$2:$B$2500=$A12)*(Gastos!$D$2:$D$2500))</f>
        <v>0</v>
      </c>
      <c r="AQ12" s="75">
        <f t="array" ref="AQ12">SUM((YEAR(Gastos!$A$2:$A$2500)=AQ$1)*(MONTH(Gastos!$A$2:$A$2500)=AQ$3)*(Gastos!$B$2:$B$2500=$A12)*(Gastos!$D$2:$D$2500))</f>
        <v>0</v>
      </c>
      <c r="AR12" s="75">
        <f t="array" ref="AR12">SUM((YEAR(Gastos!$A$2:$A$2500)=AR$1)*(MONTH(Gastos!$A$2:$A$2500)=AR$3)*(Gastos!$B$2:$B$2500=$A12)*(Gastos!$D$2:$D$2500))</f>
        <v>0</v>
      </c>
      <c r="AS12" s="75">
        <f t="array" ref="AS12">SUM((YEAR(Gastos!$A$2:$A$2500)=AS$1)*(MONTH(Gastos!$A$2:$A$2500)=AS$3)*(Gastos!$B$2:$B$2500=$A12)*(Gastos!$D$2:$D$2500))</f>
        <v>0</v>
      </c>
      <c r="AT12" s="75">
        <f t="array" ref="AT12">SUM((YEAR(Gastos!$A$2:$A$2500)=AT$1)*(MONTH(Gastos!$A$2:$A$2500)=AT$3)*(Gastos!$B$2:$B$2500=$A12)*(Gastos!$D$2:$D$2500))</f>
        <v>0</v>
      </c>
      <c r="AU12" s="75">
        <f t="array" ref="AU12">SUM((YEAR(Gastos!$A$2:$A$2500)=AU$1)*(MONTH(Gastos!$A$2:$A$2500)=AU$3)*(Gastos!$B$2:$B$2500=$A12)*(Gastos!$D$2:$D$2500))</f>
        <v>0</v>
      </c>
      <c r="AV12" s="75">
        <f t="array" ref="AV12">SUM((YEAR(Gastos!$A$2:$A$2500)=AV$1)*(MONTH(Gastos!$A$2:$A$2500)=AV$3)*(Gastos!$B$2:$B$2500=$A12)*(Gastos!$D$2:$D$2500))</f>
        <v>0</v>
      </c>
      <c r="AW12" s="75">
        <f t="array" ref="AW12">SUM((YEAR(Gastos!$A$2:$A$2500)=AW$1)*(MONTH(Gastos!$A$2:$A$2500)=AW$3)*(Gastos!$B$2:$B$2500=$A12)*(Gastos!$D$2:$D$2500))</f>
        <v>0</v>
      </c>
      <c r="AX12" s="75">
        <f t="array" ref="AX12">SUM((YEAR(Gastos!$A$2:$A$2500)=AX$1)*(MONTH(Gastos!$A$2:$A$2500)=AX$3)*(Gastos!$B$2:$B$2500=$A12)*(Gastos!$D$2:$D$2500))</f>
        <v>0</v>
      </c>
      <c r="AY12" s="75">
        <f t="array" ref="AY12">SUM((YEAR(Gastos!$A$2:$A$2500)=AY$1)*(MONTH(Gastos!$A$2:$A$2500)=AY$3)*(Gastos!$B$2:$B$2500=$A12)*(Gastos!$D$2:$D$2500))</f>
        <v>0</v>
      </c>
      <c r="AZ12" s="75">
        <f t="array" ref="AZ12">SUM((YEAR(Gastos!$A$2:$A$2500)=AZ$1)*(MONTH(Gastos!$A$2:$A$2500)=AZ$3)*(Gastos!$B$2:$B$2500=$A12)*(Gastos!$D$2:$D$2500))</f>
        <v>0</v>
      </c>
      <c r="BA12" s="75">
        <f t="array" ref="BA12">SUM((YEAR(Gastos!$A$2:$A$2500)=BA$1)*(MONTH(Gastos!$A$2:$A$2500)=BA$3)*(Gastos!$B$2:$B$2500=$A12)*(Gastos!$D$2:$D$2500))</f>
        <v>0</v>
      </c>
      <c r="BB12" s="75">
        <f t="array" ref="BB12">SUM((YEAR(Gastos!$A$2:$A$2500)=BB$1)*(MONTH(Gastos!$A$2:$A$2500)=BB$3)*(Gastos!$B$2:$B$2500=$A12)*(Gastos!$D$2:$D$2500))</f>
        <v>0</v>
      </c>
      <c r="BC12" s="75">
        <f t="array" ref="BC12">SUM((YEAR(Gastos!$A$2:$A$2500)=BC$1)*(MONTH(Gastos!$A$2:$A$2500)=BC$3)*(Gastos!$B$2:$B$2500=$A12)*(Gastos!$D$2:$D$2500))</f>
        <v>0</v>
      </c>
      <c r="BD12" s="75">
        <f t="array" ref="BD12">SUM((YEAR(Gastos!$A$2:$A$2500)=BD$1)*(MONTH(Gastos!$A$2:$A$2500)=BD$3)*(Gastos!$B$2:$B$2500=$A12)*(Gastos!$D$2:$D$2500))</f>
        <v>0</v>
      </c>
      <c r="BE12" s="75">
        <f t="array" ref="BE12">SUM((YEAR(Gastos!$A$2:$A$2500)=BE$1)*(MONTH(Gastos!$A$2:$A$2500)=BE$3)*(Gastos!$B$2:$B$2500=$A12)*(Gastos!$D$2:$D$2500))</f>
        <v>0</v>
      </c>
      <c r="BF12" s="75">
        <f t="array" ref="BF12">SUM((YEAR(Gastos!$A$2:$A$2500)=BF$1)*(MONTH(Gastos!$A$2:$A$2500)=BF$3)*(Gastos!$B$2:$B$2500=$A12)*(Gastos!$D$2:$D$2500))</f>
        <v>0</v>
      </c>
      <c r="BG12" s="75">
        <f t="array" ref="BG12">SUM((YEAR(Gastos!$A$2:$A$2500)=BG$1)*(MONTH(Gastos!$A$2:$A$2500)=BG$3)*(Gastos!$B$2:$B$2500=$A12)*(Gastos!$D$2:$D$2500))</f>
        <v>0</v>
      </c>
      <c r="BH12" s="75">
        <f t="array" ref="BH12">SUM((YEAR(Gastos!$A$2:$A$2500)=BH$1)*(MONTH(Gastos!$A$2:$A$2500)=BH$3)*(Gastos!$B$2:$B$2500=$A12)*(Gastos!$D$2:$D$2500))</f>
        <v>0</v>
      </c>
      <c r="BI12" s="75">
        <f t="array" ref="BI12">SUM((YEAR(Gastos!$A$2:$A$2500)=BI$1)*(MONTH(Gastos!$A$2:$A$2500)=BI$3)*(Gastos!$B$2:$B$2500=$A12)*(Gastos!$D$2:$D$2500))</f>
        <v>0</v>
      </c>
      <c r="BJ12" s="75">
        <f t="array" ref="BJ12">SUM((YEAR(Gastos!$A$2:$A$2500)=BJ$1)*(MONTH(Gastos!$A$2:$A$2500)=BJ$3)*(Gastos!$B$2:$B$2500=$A12)*(Gastos!$D$2:$D$2500))</f>
        <v>0</v>
      </c>
      <c r="BK12" s="75">
        <f t="array" ref="BK12">SUM((YEAR(Gastos!$A$2:$A$2500)=BK$1)*(MONTH(Gastos!$A$2:$A$2500)=BK$3)*(Gastos!$B$2:$B$2500=$A12)*(Gastos!$D$2:$D$2500))</f>
        <v>0</v>
      </c>
      <c r="BL12" s="75">
        <f t="array" ref="BL12">SUM((YEAR(Gastos!$A$2:$A$2500)=BL$1)*(MONTH(Gastos!$A$2:$A$2500)=BL$3)*(Gastos!$B$2:$B$2500=$A12)*(Gastos!$D$2:$D$2500))</f>
        <v>0</v>
      </c>
      <c r="BM12" s="75">
        <f t="array" ref="BM12">SUM((YEAR(Gastos!$A$2:$A$2500)=BM$1)*(MONTH(Gastos!$A$2:$A$2500)=BM$3)*(Gastos!$B$2:$B$2500=$A12)*(Gastos!$D$2:$D$2500))</f>
        <v>0</v>
      </c>
      <c r="BN12" s="75">
        <f t="array" ref="BN12">SUM((YEAR(Gastos!$A$2:$A$2500)=BN$1)*(MONTH(Gastos!$A$2:$A$2500)=BN$3)*(Gastos!$B$2:$B$2500=$A12)*(Gastos!$D$2:$D$2500))</f>
        <v>0</v>
      </c>
      <c r="BO12" s="75">
        <f t="array" ref="BO12">SUM((YEAR(Gastos!$A$2:$A$2500)=BO$1)*(MONTH(Gastos!$A$2:$A$2500)=BO$3)*(Gastos!$B$2:$B$2500=$A12)*(Gastos!$D$2:$D$2500))</f>
        <v>0</v>
      </c>
      <c r="BP12" s="75">
        <f t="array" ref="BP12">SUM((YEAR(Gastos!$A$2:$A$2500)=BP$1)*(MONTH(Gastos!$A$2:$A$2500)=BP$3)*(Gastos!$B$2:$B$2500=$A12)*(Gastos!$D$2:$D$2500))</f>
        <v>0</v>
      </c>
      <c r="BQ12" s="75">
        <f t="array" ref="BQ12">SUM((YEAR(Gastos!$A$2:$A$2500)=BQ$1)*(MONTH(Gastos!$A$2:$A$2500)=BQ$3)*(Gastos!$B$2:$B$2500=$A12)*(Gastos!$D$2:$D$2500))</f>
        <v>0</v>
      </c>
      <c r="BR12" s="75">
        <f t="array" ref="BR12">SUM((YEAR(Gastos!$A$2:$A$2500)=BR$1)*(MONTH(Gastos!$A$2:$A$2500)=BR$3)*(Gastos!$B$2:$B$2500=$A12)*(Gastos!$D$2:$D$2500))</f>
        <v>0</v>
      </c>
      <c r="BS12" s="75">
        <f t="array" ref="BS12">SUM((YEAR(Gastos!$A$2:$A$2500)=BS$1)*(MONTH(Gastos!$A$2:$A$2500)=BS$3)*(Gastos!$B$2:$B$2500=$A12)*(Gastos!$D$2:$D$2500))</f>
        <v>0</v>
      </c>
      <c r="BT12" s="75">
        <f t="array" ref="BT12">SUM((YEAR(Gastos!$A$2:$A$2500)=BT$1)*(MONTH(Gastos!$A$2:$A$2500)=BT$3)*(Gastos!$B$2:$B$2500=$A12)*(Gastos!$D$2:$D$2500))</f>
        <v>0</v>
      </c>
      <c r="BU12" s="75">
        <f t="array" ref="BU12">SUM((YEAR(Gastos!$A$2:$A$2500)=BU$1)*(MONTH(Gastos!$A$2:$A$2500)=BU$3)*(Gastos!$B$2:$B$2500=$A12)*(Gastos!$D$2:$D$2500))</f>
        <v>0</v>
      </c>
      <c r="BV12" s="75">
        <f t="array" ref="BV12">SUM((YEAR(Gastos!$A$2:$A$2500)=BV$1)*(MONTH(Gastos!$A$2:$A$2500)=BV$3)*(Gastos!$B$2:$B$2500=$A12)*(Gastos!$D$2:$D$2500))</f>
        <v>0</v>
      </c>
      <c r="BW12" s="75">
        <f t="array" ref="BW12">SUM((YEAR(Gastos!$A$2:$A$2500)=BW$1)*(MONTH(Gastos!$A$2:$A$2500)=BW$3)*(Gastos!$B$2:$B$2500=$A12)*(Gastos!$D$2:$D$2500))</f>
        <v>0</v>
      </c>
      <c r="BX12" s="75">
        <f t="array" ref="BX12">SUM((YEAR(Gastos!$A$2:$A$2500)=BX$1)*(MONTH(Gastos!$A$2:$A$2500)=BX$3)*(Gastos!$B$2:$B$2500=$A12)*(Gastos!$D$2:$D$2500))</f>
        <v>0</v>
      </c>
      <c r="BY12" s="75">
        <f t="array" ref="BY12">SUM((YEAR(Gastos!$A$2:$A$2500)=BY$1)*(MONTH(Gastos!$A$2:$A$2500)=BY$3)*(Gastos!$B$2:$B$2500=$A12)*(Gastos!$D$2:$D$2500))</f>
        <v>0</v>
      </c>
      <c r="BZ12" s="75">
        <f t="array" ref="BZ12">SUM((YEAR(Gastos!$A$2:$A$2500)=BZ$1)*(MONTH(Gastos!$A$2:$A$2500)=BZ$3)*(Gastos!$B$2:$B$2500=$A12)*(Gastos!$D$2:$D$2500))</f>
        <v>0</v>
      </c>
      <c r="CA12" s="75">
        <f t="array" ref="CA12">SUM((YEAR(Gastos!$A$2:$A$2500)=CA$1)*(MONTH(Gastos!$A$2:$A$2500)=CA$3)*(Gastos!$B$2:$B$2500=$A12)*(Gastos!$D$2:$D$2500))</f>
        <v>0</v>
      </c>
      <c r="CB12" s="75">
        <f t="array" ref="CB12">SUM((YEAR(Gastos!$A$2:$A$2500)=CB$1)*(MONTH(Gastos!$A$2:$A$2500)=CB$3)*(Gastos!$B$2:$B$2500=$A12)*(Gastos!$D$2:$D$2500))</f>
        <v>0</v>
      </c>
      <c r="CC12" s="75">
        <f t="array" ref="CC12">SUM((YEAR(Gastos!$A$2:$A$2500)=CC$1)*(MONTH(Gastos!$A$2:$A$2500)=CC$3)*(Gastos!$B$2:$B$2500=$A12)*(Gastos!$D$2:$D$2500))</f>
        <v>0</v>
      </c>
      <c r="CD12" s="75">
        <f t="array" ref="CD12">SUM((YEAR(Gastos!$A$2:$A$2500)=CD$1)*(MONTH(Gastos!$A$2:$A$2500)=CD$3)*(Gastos!$B$2:$B$2500=$A12)*(Gastos!$D$2:$D$2500))</f>
        <v>0</v>
      </c>
      <c r="CE12" s="75">
        <f t="array" ref="CE12">SUM((YEAR(Gastos!$A$2:$A$2500)=CE$1)*(MONTH(Gastos!$A$2:$A$2500)=CE$3)*(Gastos!$B$2:$B$2500=$A12)*(Gastos!$D$2:$D$2500))</f>
        <v>0</v>
      </c>
      <c r="CF12" s="75">
        <f t="array" ref="CF12">SUM((YEAR(Gastos!$A$2:$A$2500)=CF$1)*(MONTH(Gastos!$A$2:$A$2500)=CF$3)*(Gastos!$B$2:$B$2500=$A12)*(Gastos!$D$2:$D$2500))</f>
        <v>0</v>
      </c>
      <c r="CG12" s="75">
        <f t="array" ref="CG12">SUM((YEAR(Gastos!$A$2:$A$2500)=CG$1)*(MONTH(Gastos!$A$2:$A$2500)=CG$3)*(Gastos!$B$2:$B$2500=$A12)*(Gastos!$D$2:$D$2500))</f>
        <v>0</v>
      </c>
      <c r="CH12" s="75">
        <f t="array" ref="CH12">SUM((YEAR(Gastos!$A$2:$A$2500)=CH$1)*(MONTH(Gastos!$A$2:$A$2500)=CH$3)*(Gastos!$B$2:$B$2500=$A12)*(Gastos!$D$2:$D$2500))</f>
        <v>0</v>
      </c>
      <c r="CI12" s="75">
        <f t="array" ref="CI12">SUM((YEAR(Gastos!$A$2:$A$2500)=CI$1)*(MONTH(Gastos!$A$2:$A$2500)=CI$3)*(Gastos!$B$2:$B$2500=$A12)*(Gastos!$D$2:$D$2500))</f>
        <v>0</v>
      </c>
      <c r="CJ12" s="75">
        <f t="array" ref="CJ12">SUM((YEAR(Gastos!$A$2:$A$2500)=CJ$1)*(MONTH(Gastos!$A$2:$A$2500)=CJ$3)*(Gastos!$B$2:$B$2500=$A12)*(Gastos!$D$2:$D$2500))</f>
        <v>0</v>
      </c>
      <c r="CK12" s="75">
        <f t="array" ref="CK12">SUM((YEAR(Gastos!$A$2:$A$2500)=CK$1)*(MONTH(Gastos!$A$2:$A$2500)=CK$3)*(Gastos!$B$2:$B$2500=$A12)*(Gastos!$D$2:$D$2500))</f>
        <v>0</v>
      </c>
      <c r="CL12" s="75">
        <f t="array" ref="CL12">SUM((YEAR(Gastos!$A$2:$A$2500)=CL$1)*(MONTH(Gastos!$A$2:$A$2500)=CL$3)*(Gastos!$B$2:$B$2500=$A12)*(Gastos!$D$2:$D$2500))</f>
        <v>0</v>
      </c>
      <c r="CM12" s="75">
        <f t="array" ref="CM12">SUM((YEAR(Gastos!$A$2:$A$2500)=CM$1)*(MONTH(Gastos!$A$2:$A$2500)=CM$3)*(Gastos!$B$2:$B$2500=$A12)*(Gastos!$D$2:$D$2500))</f>
        <v>0</v>
      </c>
      <c r="CN12" s="75">
        <f t="array" ref="CN12">SUM((YEAR(Gastos!$A$2:$A$2500)=CN$1)*(MONTH(Gastos!$A$2:$A$2500)=CN$3)*(Gastos!$B$2:$B$2500=$A12)*(Gastos!$D$2:$D$2500))</f>
        <v>0</v>
      </c>
      <c r="CO12" s="75">
        <f t="array" ref="CO12">SUM((YEAR(Gastos!$A$2:$A$2500)=CO$1)*(MONTH(Gastos!$A$2:$A$2500)=CO$3)*(Gastos!$B$2:$B$2500=$A12)*(Gastos!$D$2:$D$2500))</f>
        <v>0</v>
      </c>
      <c r="CP12" s="75">
        <f t="array" ref="CP12">SUM((YEAR(Gastos!$A$2:$A$2500)=CP$1)*(MONTH(Gastos!$A$2:$A$2500)=CP$3)*(Gastos!$B$2:$B$2500=$A12)*(Gastos!$D$2:$D$2500))</f>
        <v>0</v>
      </c>
      <c r="CQ12" s="75">
        <f t="array" ref="CQ12">SUM((YEAR(Gastos!$A$2:$A$2500)=CQ$1)*(MONTH(Gastos!$A$2:$A$2500)=CQ$3)*(Gastos!$B$2:$B$2500=$A12)*(Gastos!$D$2:$D$2500))</f>
        <v>0</v>
      </c>
      <c r="CR12" s="75">
        <f t="array" ref="CR12">SUM((YEAR(Gastos!$A$2:$A$2500)=CR$1)*(MONTH(Gastos!$A$2:$A$2500)=CR$3)*(Gastos!$B$2:$B$2500=$A12)*(Gastos!$D$2:$D$2500))</f>
        <v>0</v>
      </c>
      <c r="CS12" s="75">
        <f t="array" ref="CS12">SUM((YEAR(Gastos!$A$2:$A$2500)=CS$1)*(MONTH(Gastos!$A$2:$A$2500)=CS$3)*(Gastos!$B$2:$B$2500=$A12)*(Gastos!$D$2:$D$2500))</f>
        <v>0</v>
      </c>
      <c r="CT12" s="75">
        <f t="array" ref="CT12">SUM((YEAR(Gastos!$A$2:$A$2500)=CT$1)*(MONTH(Gastos!$A$2:$A$2500)=CT$3)*(Gastos!$B$2:$B$2500=$A12)*(Gastos!$D$2:$D$2500))</f>
        <v>1113.5999999999999</v>
      </c>
      <c r="CU12" s="75">
        <f t="array" ref="CU12">SUM((YEAR(Gastos!$A$2:$A$2500)=CU$1)*(MONTH(Gastos!$A$2:$A$2500)=CU$3)*(Gastos!$B$2:$B$2500=$A12)*(Gastos!$D$2:$D$2500))</f>
        <v>0</v>
      </c>
      <c r="CV12" s="75">
        <f t="array" ref="CV12">SUM((YEAR(Gastos!$A$2:$A$2500)=CV$1)*(MONTH(Gastos!$A$2:$A$2500)=CV$3)*(Gastos!$B$2:$B$2500=$A12)*(Gastos!$D$2:$D$2500))</f>
        <v>0</v>
      </c>
      <c r="CW12" s="75">
        <f t="array" ref="CW12">SUM((YEAR(Gastos!$A$2:$A$2500)=CW$1)*(MONTH(Gastos!$A$2:$A$2500)=CW$3)*(Gastos!$B$2:$B$2500=$A12)*(Gastos!$D$2:$D$2500))</f>
        <v>0</v>
      </c>
      <c r="CX12" s="75">
        <f t="array" ref="CX12">SUM((YEAR(Gastos!$A$2:$A$2500)=CX$1)*(MONTH(Gastos!$A$2:$A$2500)=CX$3)*(Gastos!$B$2:$B$2500=$A12)*(Gastos!$D$2:$D$2500))</f>
        <v>0</v>
      </c>
      <c r="CY12" s="75">
        <f t="array" ref="CY12">SUM((YEAR(Gastos!$A$2:$A$2500)=CY$1)*(MONTH(Gastos!$A$2:$A$2500)=CY$3)*(Gastos!$B$2:$B$2500=$A12)*(Gastos!$D$2:$D$2500))</f>
        <v>0</v>
      </c>
      <c r="CZ12" s="75">
        <f t="array" ref="CZ12">SUM((YEAR(Gastos!$A$2:$A$2500)=CZ$1)*(MONTH(Gastos!$A$2:$A$2500)=CZ$3)*(Gastos!$B$2:$B$2500=$A12)*(Gastos!$D$2:$D$2500))</f>
        <v>0</v>
      </c>
      <c r="DA12" s="75">
        <f t="array" ref="DA12">SUM((YEAR(Gastos!$A$2:$A$2500)=DA$1)*(MONTH(Gastos!$A$2:$A$2500)=DA$3)*(Gastos!$B$2:$B$2500=$A12)*(Gastos!$D$2:$D$2500))</f>
        <v>0</v>
      </c>
      <c r="DB12" s="75">
        <f t="array" ref="DB12">SUM((YEAR(Gastos!$A$2:$A$2500)=DB$1)*(MONTH(Gastos!$A$2:$A$2500)=DB$3)*(Gastos!$B$2:$B$2500=$A12)*(Gastos!$D$2:$D$2500))</f>
        <v>0</v>
      </c>
      <c r="DC12" s="75">
        <f t="array" ref="DC12">SUM((YEAR(Gastos!$A$2:$A$2500)=DC$1)*(MONTH(Gastos!$A$2:$A$2500)=DC$3)*(Gastos!$B$2:$B$2500=$A12)*(Gastos!$D$2:$D$2500))</f>
        <v>0</v>
      </c>
      <c r="DD12" s="75">
        <f t="array" ref="DD12">SUM((YEAR(Gastos!$A$2:$A$2500)=DD$1)*(MONTH(Gastos!$A$2:$A$2500)=DD$3)*(Gastos!$B$2:$B$2500=$A12)*(Gastos!$D$2:$D$2500))</f>
        <v>0</v>
      </c>
      <c r="DE12" s="75">
        <f t="array" ref="DE12">SUM((YEAR(Gastos!$A$2:$A$2500)=DE$1)*(MONTH(Gastos!$A$2:$A$2500)=DE$3)*(Gastos!$B$2:$B$2500=$A12)*(Gastos!$D$2:$D$2500))</f>
        <v>0</v>
      </c>
      <c r="DF12" s="75">
        <f t="array" ref="DF12">SUM((YEAR(Gastos!$A$2:$A$2500)=DF$1)*(MONTH(Gastos!$A$2:$A$2500)=DF$3)*(Gastos!$B$2:$B$2500=$A12)*(Gastos!$D$2:$D$2500))</f>
        <v>0</v>
      </c>
      <c r="DG12" s="75">
        <f t="array" ref="DG12">SUM((YEAR(Gastos!$A$2:$A$2500)=DG$1)*(MONTH(Gastos!$A$2:$A$2500)=DG$3)*(Gastos!$B$2:$B$2500=$A12)*(Gastos!$D$2:$D$2500))</f>
        <v>0</v>
      </c>
      <c r="DH12" s="75">
        <f t="array" ref="DH12">SUM((YEAR(Gastos!$A$2:$A$2500)=DH$1)*(MONTH(Gastos!$A$2:$A$2500)=DH$3)*(Gastos!$B$2:$B$2500=$A12)*(Gastos!$D$2:$D$2500))</f>
        <v>0</v>
      </c>
      <c r="DI12" s="75">
        <f t="array" ref="DI12">SUM((YEAR(Gastos!$A$2:$A$2500)=DI$1)*(MONTH(Gastos!$A$2:$A$2500)=DI$3)*(Gastos!$B$2:$B$2500=$A12)*(Gastos!$D$2:$D$2500))</f>
        <v>0</v>
      </c>
      <c r="DJ12" s="75">
        <f t="array" ref="DJ12">SUM((YEAR(Gastos!$A$2:$A$2500)=DJ$1)*(MONTH(Gastos!$A$2:$A$2500)=DJ$3)*(Gastos!$B$2:$B$2500=$A12)*(Gastos!$D$2:$D$2500))</f>
        <v>0</v>
      </c>
      <c r="DK12" s="75">
        <f t="array" ref="DK12">SUM((YEAR(Gastos!$A$2:$A$2500)=DK$1)*(MONTH(Gastos!$A$2:$A$2500)=DK$3)*(Gastos!$B$2:$B$2500=$A12)*(Gastos!$D$2:$D$2500))</f>
        <v>0</v>
      </c>
      <c r="DL12" s="75">
        <f t="array" ref="DL12">SUM((YEAR(Gastos!$A$2:$A$2500)=DL$1)*(MONTH(Gastos!$A$2:$A$2500)=DL$3)*(Gastos!$B$2:$B$2500=$A12)*(Gastos!$D$2:$D$2500))</f>
        <v>0</v>
      </c>
      <c r="DM12" s="75">
        <f t="array" ref="DM12">SUM((YEAR(Gastos!$A$2:$A$2500)=DM$1)*(MONTH(Gastos!$A$2:$A$2500)=DM$3)*(Gastos!$B$2:$B$2500=$A12)*(Gastos!$D$2:$D$2500))</f>
        <v>0</v>
      </c>
      <c r="DN12" s="75">
        <f t="array" ref="DN12">SUM((YEAR(Gastos!$A$2:$A$2500)=DN$1)*(MONTH(Gastos!$A$2:$A$2500)=DN$3)*(Gastos!$B$2:$B$2500=$A12)*(Gastos!$D$2:$D$2500))</f>
        <v>0</v>
      </c>
      <c r="DO12" s="75">
        <f t="array" ref="DO12">SUM((YEAR(Gastos!$A$2:$A$2500)=DO$1)*(MONTH(Gastos!$A$2:$A$2500)=DO$3)*(Gastos!$B$2:$B$2500=$A12)*(Gastos!$D$2:$D$2500))</f>
        <v>0</v>
      </c>
      <c r="DP12" s="75">
        <f t="array" ref="DP12">SUM((YEAR(Gastos!$A$2:$A$2500)=DP$1)*(MONTH(Gastos!$A$2:$A$2500)=DP$3)*(Gastos!$B$2:$B$2500=$A12)*(Gastos!$D$2:$D$2500))</f>
        <v>0</v>
      </c>
      <c r="DQ12" s="75">
        <f t="array" ref="DQ12">SUM((YEAR(Gastos!$A$2:$A$2500)=DQ$1)*(MONTH(Gastos!$A$2:$A$2500)=DQ$3)*(Gastos!$B$2:$B$2500=$A12)*(Gastos!$D$2:$D$2500))</f>
        <v>0</v>
      </c>
      <c r="DR12" s="75">
        <f t="array" ref="DR12">SUM((YEAR(Gastos!$A$2:$A$2500)=DR$1)*(MONTH(Gastos!$A$2:$A$2500)=DR$3)*(Gastos!$B$2:$B$2500=$A12)*(Gastos!$D$2:$D$2500))</f>
        <v>0</v>
      </c>
      <c r="DS12" s="75">
        <f t="array" ref="DS12">SUM((YEAR(Gastos!$A$2:$A$2500)=DS$1)*(MONTH(Gastos!$A$2:$A$2500)=DS$3)*(Gastos!$B$2:$B$2500=$A12)*(Gastos!$D$2:$D$2500))</f>
        <v>5046</v>
      </c>
      <c r="DT12" s="75">
        <f t="array" ref="DT12">SUM((YEAR(Gastos!$A$2:$A$2500)=DT$1)*(MONTH(Gastos!$A$2:$A$2500)=DT$3)*(Gastos!$B$2:$B$2500=$A12)*(Gastos!$D$2:$D$2500))</f>
        <v>0</v>
      </c>
      <c r="DU12" s="75">
        <f t="array" ref="DU12">SUM((YEAR(Gastos!$A$2:$A$2500)=DU$1)*(MONTH(Gastos!$A$2:$A$2500)=DU$3)*(Gastos!$B$2:$B$2500=$A12)*(Gastos!$D$2:$D$2500))</f>
        <v>0</v>
      </c>
      <c r="DV12" s="75">
        <f t="array" ref="DV12">SUM((YEAR(Gastos!$A$2:$A$2500)=DV$1)*(MONTH(Gastos!$A$2:$A$2500)=DV$3)*(Gastos!$B$2:$B$2500=$A12)*(Gastos!$D$2:$D$2500))</f>
        <v>17250.28</v>
      </c>
      <c r="DW12" s="75">
        <f t="array" ref="DW12">SUM((YEAR(Gastos!$A$2:$A$2500)=DW$1)*(MONTH(Gastos!$A$2:$A$2500)=DW$3)*(Gastos!$B$2:$B$2500=$A12)*(Gastos!$D$2:$D$2500))</f>
        <v>5046</v>
      </c>
      <c r="DX12" s="75">
        <f t="array" ref="DX12">SUM((YEAR(Gastos!$A$2:$A$2500)=DX$1)*(MONTH(Gastos!$A$2:$A$2500)=DX$3)*(Gastos!$B$2:$B$2500=$A12)*(Gastos!$D$2:$D$2500))</f>
        <v>0</v>
      </c>
      <c r="DY12" s="75">
        <f t="array" ref="DY12">SUM((YEAR(Gastos!$A$2:$A$2500)=DY$1)*(MONTH(Gastos!$A$2:$A$2500)=DY$3)*(Gastos!$B$2:$B$2500=$A12)*(Gastos!$D$2:$D$2500))</f>
        <v>4459.25</v>
      </c>
      <c r="DZ12" s="75">
        <f t="array" ref="DZ12">SUM((YEAR(Gastos!$A$2:$A$2500)=DZ$1)*(MONTH(Gastos!$A$2:$A$2500)=DZ$3)*(Gastos!$B$2:$B$2500=$A12)*(Gastos!$D$2:$D$2500))</f>
        <v>5046</v>
      </c>
      <c r="EA12" s="75">
        <f t="array" ref="EA12">SUM((YEAR(Gastos!$A$2:$A$2500)=EA$1)*(MONTH(Gastos!$A$2:$A$2500)=EA$3)*(Gastos!$B$2:$B$2500=$A12)*(Gastos!$D$2:$D$2500))</f>
        <v>5046</v>
      </c>
      <c r="EB12" s="75">
        <f t="array" ref="EB12">SUM((YEAR(Gastos!$A$2:$A$2500)=EB$1)*(MONTH(Gastos!$A$2:$A$2500)=EB$3)*(Gastos!$B$2:$B$2500=$A12)*(Gastos!$D$2:$D$2500))</f>
        <v>5046</v>
      </c>
      <c r="EC12" s="75">
        <f t="array" ref="EC12">SUM((YEAR(Gastos!$A$2:$A$2500)=EC$1)*(MONTH(Gastos!$A$2:$A$2500)=EC$3)*(Gastos!$B$2:$B$2500=$A12)*(Gastos!$D$2:$D$2500))</f>
        <v>5046</v>
      </c>
      <c r="ED12" s="75">
        <f t="array" ref="ED12">SUM((YEAR(Gastos!$A$2:$A$2500)=ED$1)*(MONTH(Gastos!$A$2:$A$2500)=ED$3)*(Gastos!$B$2:$B$2500=$A12)*(Gastos!$D$2:$D$2500))</f>
        <v>5046</v>
      </c>
      <c r="EE12" s="75">
        <f t="array" ref="EE12">SUM((YEAR(Gastos!$A$2:$A$2500)=EE$1)*(MONTH(Gastos!$A$2:$A$2500)=EE$3)*(Gastos!$B$2:$B$2500=$A12)*(Gastos!$D$2:$D$2500))</f>
        <v>6055.2</v>
      </c>
      <c r="EF12" s="75">
        <f t="array" ref="EF12">SUM((YEAR(Gastos!$A$2:$A$2500)=EF$1)*(MONTH(Gastos!$A$2:$A$2500)=EF$3)*(Gastos!$B$2:$B$2500=$A12)*(Gastos!$D$2:$D$2500))</f>
        <v>6055.2</v>
      </c>
      <c r="EG12" s="75">
        <f t="array" ref="EG12">SUM((YEAR(Gastos!$A$2:$A$2500)=EG$1)*(MONTH(Gastos!$A$2:$A$2500)=EG$3)*(Gastos!$B$2:$B$2500=$A12)*(Gastos!$D$2:$D$2500))</f>
        <v>4991.62</v>
      </c>
      <c r="EH12" s="75">
        <f t="array" ref="EH12">SUM((YEAR(Gastos!$A$2:$A$2500)=EH$1)*(MONTH(Gastos!$A$2:$A$2500)=EH$3)*(Gastos!$B$2:$B$2500=$A12)*(Gastos!$D$2:$D$2500))</f>
        <v>4991.62</v>
      </c>
      <c r="EI12" s="75">
        <f t="array" ref="EI12">SUM((YEAR(Gastos!$A$2:$A$2500)=EI$1)*(MONTH(Gastos!$A$2:$A$2500)=EI$3)*(Gastos!$B$2:$B$2500=$A12)*(Gastos!$D$2:$D$2500))</f>
        <v>4991.62</v>
      </c>
      <c r="EJ12" s="75">
        <f t="array" ref="EJ12">SUM((YEAR(Gastos!$A$2:$A$2500)=EJ$1)*(MONTH(Gastos!$A$2:$A$2500)=EJ$3)*(Gastos!$B$2:$B$2500=$A12)*(Gastos!$D$2:$D$2500))</f>
        <v>4991.62</v>
      </c>
      <c r="EK12" s="75">
        <f t="array" ref="EK12">SUM((YEAR(Gastos!$A$2:$A$2500)=EK$1)*(MONTH(Gastos!$A$2:$A$2500)=EK$3)*(Gastos!$B$2:$B$2500=$A12)*(Gastos!$D$2:$D$2500))</f>
        <v>4991.62</v>
      </c>
      <c r="EL12" s="75">
        <f t="array" ref="EL12">SUM((YEAR(Gastos!$A$2:$A$2500)=EL$1)*(MONTH(Gastos!$A$2:$A$2500)=EL$3)*(Gastos!$B$2:$B$2500=$A12)*(Gastos!$D$2:$D$2500))</f>
        <v>4991.62</v>
      </c>
      <c r="EM12" s="75">
        <f t="array" ref="EM12">SUM((YEAR(Gastos!$A$2:$A$2500)=EM$1)*(MONTH(Gastos!$A$2:$A$2500)=EM$3)*(Gastos!$B$2:$B$2500=$A12)*(Gastos!$D$2:$D$2500))</f>
        <v>4991.62</v>
      </c>
      <c r="EN12" s="75">
        <f t="array" ref="EN12">SUM((YEAR(Gastos!$A$2:$A$2500)=EN$1)*(MONTH(Gastos!$A$2:$A$2500)=EN$3)*(Gastos!$B$2:$B$2500=$A12)*(Gastos!$D$2:$D$2500))</f>
        <v>10037.619999999999</v>
      </c>
      <c r="EO12" s="75">
        <f t="array" ref="EO12">SUM((YEAR(Gastos!$A$2:$A$2500)=EO$1)*(MONTH(Gastos!$A$2:$A$2500)=EO$3)*(Gastos!$B$2:$B$2500=$A12)*(Gastos!$D$2:$D$2500))</f>
        <v>0</v>
      </c>
      <c r="EP12" s="75">
        <f t="array" ref="EP12">SUM((YEAR(Gastos!$A$2:$A$2500)=EP$1)*(MONTH(Gastos!$A$2:$A$2500)=EP$3)*(Gastos!$B$2:$B$2500=$A12)*(Gastos!$D$2:$D$2500))</f>
        <v>0</v>
      </c>
      <c r="EQ12" s="75">
        <f t="array" ref="EQ12">SUM((YEAR(Gastos!$A$2:$A$2500)=EQ$1)*(MONTH(Gastos!$A$2:$A$2500)=EQ$3)*(Gastos!$B$2:$B$2500=$A12)*(Gastos!$D$2:$D$2500))</f>
        <v>0</v>
      </c>
      <c r="ER12" s="75">
        <f t="array" ref="ER12">SUM((YEAR(Gastos!$A$2:$A$2500)=ER$1)*(MONTH(Gastos!$A$2:$A$2500)=ER$3)*(Gastos!$B$2:$B$2500=$A12)*(Gastos!$D$2:$D$2500))</f>
        <v>0</v>
      </c>
      <c r="ES12" s="75">
        <f t="array" ref="ES12">SUM((YEAR(Gastos!$A$2:$A$2500)=ES$1)*(MONTH(Gastos!$A$2:$A$2500)=ES$3)*(Gastos!$B$2:$B$2500=$A12)*(Gastos!$D$2:$D$2500))</f>
        <v>0</v>
      </c>
      <c r="ET12" s="75">
        <f t="array" ref="ET12">SUM((YEAR(Gastos!$A$2:$A$2500)=ET$1)*(MONTH(Gastos!$A$2:$A$2500)=ET$3)*(Gastos!$B$2:$B$2500=$A12)*(Gastos!$D$2:$D$2500))</f>
        <v>0</v>
      </c>
      <c r="EU12" s="75">
        <f t="array" ref="EU12">SUM((YEAR(Gastos!$A$2:$A$2500)=EU$1)*(MONTH(Gastos!$A$2:$A$2500)=EU$3)*(Gastos!$B$2:$B$2500=$A12)*(Gastos!$D$2:$D$2500))</f>
        <v>0</v>
      </c>
      <c r="EV12" s="75">
        <f t="array" ref="EV12">SUM((YEAR(Gastos!$A$2:$A$2500)=EV$1)*(MONTH(Gastos!$A$2:$A$2500)=EV$3)*(Gastos!$B$2:$B$2500=$A12)*(Gastos!$D$2:$D$2500))</f>
        <v>0</v>
      </c>
      <c r="EW12" s="75">
        <f t="array" ref="EW12">SUM((YEAR(Gastos!$A$2:$A$2500)=EW$1)*(MONTH(Gastos!$A$2:$A$2500)=EW$3)*(Gastos!$B$2:$B$2500=$A12)*(Gastos!$D$2:$D$2500))</f>
        <v>0</v>
      </c>
      <c r="EX12" s="75">
        <f t="array" ref="EX12">SUM((YEAR(Gastos!$A$2:$A$2500)=EX$1)*(MONTH(Gastos!$A$2:$A$2500)=EX$3)*(Gastos!$B$2:$B$2500=$A12)*(Gastos!$D$2:$D$2500))</f>
        <v>0</v>
      </c>
      <c r="EY12" s="75">
        <f t="array" ref="EY12">SUM((YEAR(Gastos!$A$2:$A$2500)=EY$1)*(MONTH(Gastos!$A$2:$A$2500)=EY$3)*(Gastos!$B$2:$B$2500=$A12)*(Gastos!$D$2:$D$2500))</f>
        <v>0</v>
      </c>
      <c r="EZ12" s="75">
        <f t="array" ref="EZ12">SUM((YEAR(Gastos!$A$2:$A$2500)=EZ$1)*(MONTH(Gastos!$A$2:$A$2500)=EZ$3)*(Gastos!$B$2:$B$2500=$A12)*(Gastos!$D$2:$D$2500))</f>
        <v>0</v>
      </c>
      <c r="FA12" s="75">
        <f t="array" ref="FA12">SUM((YEAR(Gastos!$A$2:$A$2500)=FA$1)*(MONTH(Gastos!$A$2:$A$2500)=FA$3)*(Gastos!$B$2:$B$2500=$A12)*(Gastos!$D$2:$D$2500))</f>
        <v>0</v>
      </c>
      <c r="FB12" s="75">
        <f t="array" ref="FB12">SUM((YEAR(Gastos!$A$2:$A$2500)=FB$1)*(MONTH(Gastos!$A$2:$A$2500)=FB$3)*(Gastos!$B$2:$B$2500=$A12)*(Gastos!$D$2:$D$2500))</f>
        <v>0</v>
      </c>
      <c r="FC12" s="75">
        <f t="array" ref="FC12">SUM((YEAR(Gastos!$A$2:$A$2500)=FC$1)*(MONTH(Gastos!$A$2:$A$2500)=FC$3)*(Gastos!$B$2:$B$2500=$A12)*(Gastos!$D$2:$D$2500))</f>
        <v>0</v>
      </c>
      <c r="FD12" s="75">
        <f t="array" ref="FD12">SUM((YEAR(Gastos!$A$2:$A$2500)=FD$1)*(MONTH(Gastos!$A$2:$A$2500)=FD$3)*(Gastos!$B$2:$B$2500=$A12)*(Gastos!$D$2:$D$2500))</f>
        <v>0</v>
      </c>
      <c r="FE12" s="75">
        <f t="array" ref="FE12">SUM((YEAR(Gastos!$A$2:$A$2500)=FE$1)*(MONTH(Gastos!$A$2:$A$2500)=FE$3)*(Gastos!$B$2:$B$2500=$A12)*(Gastos!$D$2:$D$2500))</f>
        <v>0</v>
      </c>
      <c r="FF12" s="75">
        <f t="array" ref="FF12">SUM((YEAR(Gastos!$A$2:$A$2500)=FF$1)*(MONTH(Gastos!$A$2:$A$2500)=FF$3)*(Gastos!$B$2:$B$2500=$A12)*(Gastos!$D$2:$D$2500))</f>
        <v>0</v>
      </c>
      <c r="FG12" s="75">
        <f t="array" ref="FG12">SUM((YEAR(Gastos!$A$2:$A$2500)=FG$1)*(MONTH(Gastos!$A$2:$A$2500)=FG$3)*(Gastos!$B$2:$B$2500=$A12)*(Gastos!$D$2:$D$2500))</f>
        <v>0</v>
      </c>
      <c r="FH12" s="75">
        <f t="array" ref="FH12">SUM((YEAR(Gastos!$A$2:$A$2500)=FH$1)*(MONTH(Gastos!$A$2:$A$2500)=FH$3)*(Gastos!$B$2:$B$2500=$A12)*(Gastos!$D$2:$D$2500))</f>
        <v>0</v>
      </c>
      <c r="FI12" s="75">
        <f t="array" ref="FI12">SUM((YEAR(Gastos!$A$2:$A$2500)=FI$1)*(MONTH(Gastos!$A$2:$A$2500)=FI$3)*(Gastos!$B$2:$B$2500=$A12)*(Gastos!$D$2:$D$2500))</f>
        <v>0</v>
      </c>
      <c r="FJ12" s="75">
        <f t="array" ref="FJ12">SUM((YEAR(Gastos!$A$2:$A$2500)=FJ$1)*(MONTH(Gastos!$A$2:$A$2500)=FJ$3)*(Gastos!$B$2:$B$2500=$A12)*(Gastos!$D$2:$D$2500))</f>
        <v>0</v>
      </c>
      <c r="FK12" s="75">
        <f t="array" ref="FK12">SUM((YEAR(Gastos!$A$2:$A$2500)=FK$1)*(MONTH(Gastos!$A$2:$A$2500)=FK$3)*(Gastos!$B$2:$B$2500=$A12)*(Gastos!$D$2:$D$2500))</f>
        <v>0</v>
      </c>
      <c r="FL12" s="75">
        <f t="array" ref="FL12">SUM((YEAR(Gastos!$A$2:$A$2500)=FL$1)*(MONTH(Gastos!$A$2:$A$2500)=FL$3)*(Gastos!$B$2:$B$2500=$A12)*(Gastos!$D$2:$D$2500))</f>
        <v>0</v>
      </c>
      <c r="FM12" s="75">
        <f t="array" ref="FM12">SUM((YEAR(Gastos!$A$2:$A$2500)=FM$1)*(MONTH(Gastos!$A$2:$A$2500)=FM$3)*(Gastos!$B$2:$B$2500=$A12)*(Gastos!$D$2:$D$2500))</f>
        <v>0</v>
      </c>
      <c r="FN12" s="75">
        <f t="array" ref="FN12">SUM((YEAR(Gastos!$A$2:$A$2500)=FN$1)*(MONTH(Gastos!$A$2:$A$2500)=FN$3)*(Gastos!$B$2:$B$2500=$A12)*(Gastos!$D$2:$D$2500))</f>
        <v>0</v>
      </c>
      <c r="FO12" s="75">
        <f t="array" ref="FO12">SUM((YEAR(Gastos!$A$2:$A$2500)=FO$1)*(MONTH(Gastos!$A$2:$A$2500)=FO$3)*(Gastos!$B$2:$B$2500=$A12)*(Gastos!$D$2:$D$2500))</f>
        <v>0</v>
      </c>
      <c r="FP12" s="75">
        <f t="array" ref="FP12">SUM((YEAR(Gastos!$A$2:$A$2500)=FP$1)*(MONTH(Gastos!$A$2:$A$2500)=FP$3)*(Gastos!$B$2:$B$2500=$A12)*(Gastos!$D$2:$D$2500))</f>
        <v>0</v>
      </c>
      <c r="FQ12" s="75">
        <f t="array" ref="FQ12">SUM((YEAR(Gastos!$A$2:$A$2500)=FQ$1)*(MONTH(Gastos!$A$2:$A$2500)=FQ$3)*(Gastos!$B$2:$B$2500=$A12)*(Gastos!$D$2:$D$2500))</f>
        <v>0</v>
      </c>
      <c r="FR12" s="75">
        <f t="array" ref="FR12">SUM((YEAR(Gastos!$A$2:$A$2500)=FR$1)*(MONTH(Gastos!$A$2:$A$2500)=FR$3)*(Gastos!$B$2:$B$2500=$A12)*(Gastos!$D$2:$D$2500))</f>
        <v>0</v>
      </c>
      <c r="FS12" s="75">
        <f t="array" ref="FS12">SUM((YEAR(Gastos!$A$2:$A$2500)=FS$1)*(MONTH(Gastos!$A$2:$A$2500)=FS$3)*(Gastos!$B$2:$B$2500=$A12)*(Gastos!$D$2:$D$2500))</f>
        <v>0</v>
      </c>
      <c r="FT12" s="75">
        <f t="array" ref="FT12">SUM((YEAR(Gastos!$A$2:$A$2500)=FT$1)*(MONTH(Gastos!$A$2:$A$2500)=FT$3)*(Gastos!$B$2:$B$2500=$A12)*(Gastos!$D$2:$D$2500))</f>
        <v>0</v>
      </c>
      <c r="FU12" s="75">
        <f t="array" ref="FU12">SUM((YEAR(Gastos!$A$2:$A$2500)=FU$1)*(MONTH(Gastos!$A$2:$A$2500)=FU$3)*(Gastos!$B$2:$B$2500=$A12)*(Gastos!$D$2:$D$2500))</f>
        <v>0</v>
      </c>
      <c r="FV12" s="75">
        <f t="array" ref="FV12">SUM((YEAR(Gastos!$A$2:$A$2500)=FV$1)*(MONTH(Gastos!$A$2:$A$2500)=FV$3)*(Gastos!$B$2:$B$2500=$A12)*(Gastos!$D$2:$D$2500))</f>
        <v>0</v>
      </c>
      <c r="FW12" s="75">
        <f t="array" ref="FW12">SUM((YEAR(Gastos!$A$2:$A$2500)=FW$1)*(MONTH(Gastos!$A$2:$A$2500)=FW$3)*(Gastos!$B$2:$B$2500=$A12)*(Gastos!$D$2:$D$2500))</f>
        <v>0</v>
      </c>
      <c r="FX12" s="75">
        <f t="array" ref="FX12">SUM((YEAR(Gastos!$A$2:$A$2500)=FX$1)*(MONTH(Gastos!$A$2:$A$2500)=FX$3)*(Gastos!$B$2:$B$2500=$A12)*(Gastos!$D$2:$D$2500))</f>
        <v>0</v>
      </c>
      <c r="FY12" s="75">
        <f t="array" ref="FY12">SUM((YEAR(Gastos!$A$2:$A$2500)=FY$1)*(MONTH(Gastos!$A$2:$A$2500)=FY$3)*(Gastos!$B$2:$B$2500=$A12)*(Gastos!$D$2:$D$2500))</f>
        <v>0</v>
      </c>
      <c r="FZ12" s="76">
        <f t="shared" si="65"/>
        <v>115234.48999999996</v>
      </c>
      <c r="GA12" s="80"/>
      <c r="GB12" s="78">
        <f t="shared" si="66"/>
        <v>0</v>
      </c>
      <c r="GF12" s="79">
        <f t="array" ref="GF12">SUM(((Gastos!$A$2:$A$1647)&gt;=GD$3)*((Gastos!$A$2:$A$1647)&lt;=GF$3)*(Gastos!$B$2:$B$1647=$A12)*(Gastos!$D$2:$D$1647))</f>
        <v>0</v>
      </c>
      <c r="GI12" s="79">
        <f t="array" ref="GI12">SUM(((Gastos!$A$2:$A$1647)&gt;=GG$3)*((Gastos!$A$2:$A$1647)&lt;=GI$3)*(Gastos!$B$2:$B$1647=$A12)*(Gastos!$D$2:$D$1647))</f>
        <v>0</v>
      </c>
      <c r="GL12" s="100">
        <f>DB120</f>
        <v>2022</v>
      </c>
      <c r="GM12" s="102">
        <f>DC120</f>
        <v>349990</v>
      </c>
      <c r="GN12" s="102">
        <f>DD120</f>
        <v>201705.32</v>
      </c>
      <c r="GO12" s="102">
        <f>DE120</f>
        <v>104122.35</v>
      </c>
      <c r="GP12" s="106">
        <v>597609.22</v>
      </c>
      <c r="GQ12" s="105">
        <f t="shared" si="64"/>
        <v>655817.67000000004</v>
      </c>
      <c r="GR12" s="109">
        <f t="shared" si="67"/>
        <v>700513.67</v>
      </c>
      <c r="GS12" s="107">
        <v>44696</v>
      </c>
    </row>
    <row r="13" spans="1:201" ht="15" thickBot="1" x14ac:dyDescent="0.4">
      <c r="A13" s="74" t="str">
        <f>Gastos!AA11</f>
        <v>F. RIEGO PIPA AGUA TRATADA</v>
      </c>
      <c r="B13" s="75">
        <f t="array" ref="B13">SUM((YEAR(Gastos!$A$2:$A$2500)=B$1)*(MONTH(Gastos!$A$2:$A$2500)=B$3)*(Gastos!$B$2:$B$2500=$A13)*(Gastos!$D$2:$D$2500))</f>
        <v>0</v>
      </c>
      <c r="C13" s="75">
        <f t="array" ref="C13">SUM((YEAR(Gastos!$A$2:$A$2500)=C$1)*(MONTH(Gastos!$A$2:$A$2500)=C$3)*(Gastos!$B$2:$B$2500=$A13)*(Gastos!$D$2:$D$2500))</f>
        <v>0</v>
      </c>
      <c r="D13" s="75">
        <f t="array" ref="D13">SUM((YEAR(Gastos!$A$2:$A$2500)=D$1)*(MONTH(Gastos!$A$2:$A$2500)=D$3)*(Gastos!$B$2:$B$2500=$A13)*(Gastos!$D$2:$D$2500))</f>
        <v>0</v>
      </c>
      <c r="E13" s="75">
        <f t="array" ref="E13">SUM((YEAR(Gastos!$A$2:$A$2500)=E$1)*(MONTH(Gastos!$A$2:$A$2500)=E$3)*(Gastos!$B$2:$B$2500=$A13)*(Gastos!$D$2:$D$2500))</f>
        <v>0</v>
      </c>
      <c r="F13" s="75">
        <f t="array" ref="F13">SUM((YEAR(Gastos!$A$2:$A$2500)=F$1)*(MONTH(Gastos!$A$2:$A$2500)=F$3)*(Gastos!$B$2:$B$2500=$A13)*(Gastos!$D$2:$D$2500))</f>
        <v>0</v>
      </c>
      <c r="G13" s="75">
        <f t="array" ref="G13">SUM((YEAR(Gastos!$A$2:$A$2500)=G$1)*(MONTH(Gastos!$A$2:$A$2500)=G$3)*(Gastos!$B$2:$B$2500=$A13)*(Gastos!$D$2:$D$2500))</f>
        <v>0</v>
      </c>
      <c r="H13" s="75">
        <f t="array" ref="H13">SUM((YEAR(Gastos!$A$2:$A$2500)=H$1)*(MONTH(Gastos!$A$2:$A$2500)=H$3)*(Gastos!$B$2:$B$2500=$A13)*(Gastos!$D$2:$D$2500))</f>
        <v>0</v>
      </c>
      <c r="I13" s="75">
        <f t="array" ref="I13">SUM((YEAR(Gastos!$A$2:$A$2500)=I$1)*(MONTH(Gastos!$A$2:$A$2500)=I$3)*(Gastos!$B$2:$B$2500=$A13)*(Gastos!$D$2:$D$2500))</f>
        <v>0</v>
      </c>
      <c r="J13" s="75">
        <f t="array" ref="J13">SUM((YEAR(Gastos!$A$2:$A$2500)=J$1)*(MONTH(Gastos!$A$2:$A$2500)=J$3)*(Gastos!$B$2:$B$2500=$A13)*(Gastos!$D$2:$D$2500))</f>
        <v>0</v>
      </c>
      <c r="K13" s="75">
        <f t="array" ref="K13">SUM((YEAR(Gastos!$A$2:$A$2500)=K$1)*(MONTH(Gastos!$A$2:$A$2500)=K$3)*(Gastos!$B$2:$B$2500=$A13)*(Gastos!$D$2:$D$2500))</f>
        <v>0</v>
      </c>
      <c r="L13" s="75">
        <f t="array" ref="L13">SUM((YEAR(Gastos!$A$2:$A$2500)=L$1)*(MONTH(Gastos!$A$2:$A$2500)=L$3)*(Gastos!$B$2:$B$2500=$A13)*(Gastos!$D$2:$D$2500))</f>
        <v>0</v>
      </c>
      <c r="M13" s="75">
        <f t="array" ref="M13">SUM((YEAR(Gastos!$A$2:$A$2500)=M$1)*(MONTH(Gastos!$A$2:$A$2500)=M$3)*(Gastos!$B$2:$B$2500=$A13)*(Gastos!$D$2:$D$2500))</f>
        <v>0</v>
      </c>
      <c r="N13" s="75">
        <f t="array" ref="N13">SUM((YEAR(Gastos!$A$2:$A$2500)=N$1)*(MONTH(Gastos!$A$2:$A$2500)=N$3)*(Gastos!$B$2:$B$2500=$A13)*(Gastos!$D$2:$D$2500))</f>
        <v>0</v>
      </c>
      <c r="O13" s="75">
        <f t="array" ref="O13">SUM((YEAR(Gastos!$A$2:$A$2500)=O$1)*(MONTH(Gastos!$A$2:$A$2500)=O$3)*(Gastos!$B$2:$B$2500=$A13)*(Gastos!$D$2:$D$2500))</f>
        <v>0</v>
      </c>
      <c r="P13" s="75">
        <f t="array" ref="P13">SUM((YEAR(Gastos!$A$2:$A$2500)=P$1)*(MONTH(Gastos!$A$2:$A$2500)=P$3)*(Gastos!$B$2:$B$2500=$A13)*(Gastos!$D$2:$D$2500))</f>
        <v>0</v>
      </c>
      <c r="Q13" s="75">
        <f t="array" ref="Q13">SUM((YEAR(Gastos!$A$2:$A$2500)=Q$1)*(MONTH(Gastos!$A$2:$A$2500)=Q$3)*(Gastos!$B$2:$B$2500=$A13)*(Gastos!$D$2:$D$2500))</f>
        <v>0</v>
      </c>
      <c r="R13" s="75">
        <f t="array" ref="R13">SUM((YEAR(Gastos!$A$2:$A$2500)=R$1)*(MONTH(Gastos!$A$2:$A$2500)=R$3)*(Gastos!$B$2:$B$2500=$A13)*(Gastos!$D$2:$D$2500))</f>
        <v>0</v>
      </c>
      <c r="S13" s="75">
        <f t="array" ref="S13">SUM((YEAR(Gastos!$A$2:$A$2500)=S$1)*(MONTH(Gastos!$A$2:$A$2500)=S$3)*(Gastos!$B$2:$B$2500=$A13)*(Gastos!$D$2:$D$2500))</f>
        <v>0</v>
      </c>
      <c r="T13" s="75">
        <f t="array" ref="T13">SUM((YEAR(Gastos!$A$2:$A$2500)=T$1)*(MONTH(Gastos!$A$2:$A$2500)=T$3)*(Gastos!$B$2:$B$2500=$A13)*(Gastos!$D$2:$D$2500))</f>
        <v>0</v>
      </c>
      <c r="U13" s="75">
        <f t="array" ref="U13">SUM((YEAR(Gastos!$A$2:$A$2500)=U$1)*(MONTH(Gastos!$A$2:$A$2500)=U$3)*(Gastos!$B$2:$B$2500=$A13)*(Gastos!$D$2:$D$2500))</f>
        <v>0</v>
      </c>
      <c r="V13" s="75">
        <f t="array" ref="V13">SUM((YEAR(Gastos!$A$2:$A$2500)=V$1)*(MONTH(Gastos!$A$2:$A$2500)=V$3)*(Gastos!$B$2:$B$2500=$A13)*(Gastos!$D$2:$D$2500))</f>
        <v>0</v>
      </c>
      <c r="W13" s="75">
        <f t="array" ref="W13">SUM((YEAR(Gastos!$A$2:$A$2500)=W$1)*(MONTH(Gastos!$A$2:$A$2500)=W$3)*(Gastos!$B$2:$B$2500=$A13)*(Gastos!$D$2:$D$2500))</f>
        <v>0</v>
      </c>
      <c r="X13" s="75">
        <f t="array" ref="X13">SUM((YEAR(Gastos!$A$2:$A$2500)=X$1)*(MONTH(Gastos!$A$2:$A$2500)=X$3)*(Gastos!$B$2:$B$2500=$A13)*(Gastos!$D$2:$D$2500))</f>
        <v>0</v>
      </c>
      <c r="Y13" s="75">
        <f t="array" ref="Y13">SUM((YEAR(Gastos!$A$2:$A$2500)=Y$1)*(MONTH(Gastos!$A$2:$A$2500)=Y$3)*(Gastos!$B$2:$B$2500=$A13)*(Gastos!$D$2:$D$2500))</f>
        <v>0</v>
      </c>
      <c r="Z13" s="75">
        <f t="array" ref="Z13">SUM((YEAR(Gastos!$A$2:$A$2500)=Z$1)*(MONTH(Gastos!$A$2:$A$2500)=Z$3)*(Gastos!$B$2:$B$2500=$A13)*(Gastos!$D$2:$D$2500))</f>
        <v>0</v>
      </c>
      <c r="AA13" s="75">
        <f t="array" ref="AA13">SUM((YEAR(Gastos!$A$2:$A$2500)=AA$1)*(MONTH(Gastos!$A$2:$A$2500)=AA$3)*(Gastos!$B$2:$B$2500=$A13)*(Gastos!$D$2:$D$2500))</f>
        <v>0</v>
      </c>
      <c r="AB13" s="75">
        <f t="array" ref="AB13">SUM((YEAR(Gastos!$A$2:$A$2500)=AB$1)*(MONTH(Gastos!$A$2:$A$2500)=AB$3)*(Gastos!$B$2:$B$2500=$A13)*(Gastos!$D$2:$D$2500))</f>
        <v>0</v>
      </c>
      <c r="AC13" s="75">
        <f t="array" ref="AC13">SUM((YEAR(Gastos!$A$2:$A$2500)=AC$1)*(MONTH(Gastos!$A$2:$A$2500)=AC$3)*(Gastos!$B$2:$B$2500=$A13)*(Gastos!$D$2:$D$2500))</f>
        <v>0</v>
      </c>
      <c r="AD13" s="75">
        <f t="array" ref="AD13">SUM((YEAR(Gastos!$A$2:$A$2500)=AD$1)*(MONTH(Gastos!$A$2:$A$2500)=AD$3)*(Gastos!$B$2:$B$2500=$A13)*(Gastos!$D$2:$D$2500))</f>
        <v>0</v>
      </c>
      <c r="AE13" s="75">
        <f t="array" ref="AE13">SUM((YEAR(Gastos!$A$2:$A$2500)=AE$1)*(MONTH(Gastos!$A$2:$A$2500)=AE$3)*(Gastos!$B$2:$B$2500=$A13)*(Gastos!$D$2:$D$2500))</f>
        <v>0</v>
      </c>
      <c r="AF13" s="75">
        <f t="array" ref="AF13">SUM((YEAR(Gastos!$A$2:$A$2500)=AF$1)*(MONTH(Gastos!$A$2:$A$2500)=AF$3)*(Gastos!$B$2:$B$2500=$A13)*(Gastos!$D$2:$D$2500))</f>
        <v>0</v>
      </c>
      <c r="AG13" s="75">
        <f t="array" ref="AG13">SUM((YEAR(Gastos!$A$2:$A$2500)=AG$1)*(MONTH(Gastos!$A$2:$A$2500)=AG$3)*(Gastos!$B$2:$B$2500=$A13)*(Gastos!$D$2:$D$2500))</f>
        <v>0</v>
      </c>
      <c r="AH13" s="75">
        <f t="array" ref="AH13">SUM((YEAR(Gastos!$A$2:$A$2500)=AH$1)*(MONTH(Gastos!$A$2:$A$2500)=AH$3)*(Gastos!$B$2:$B$2500=$A13)*(Gastos!$D$2:$D$2500))</f>
        <v>0</v>
      </c>
      <c r="AI13" s="75">
        <f t="array" ref="AI13">SUM((YEAR(Gastos!$A$2:$A$2500)=AI$1)*(MONTH(Gastos!$A$2:$A$2500)=AI$3)*(Gastos!$B$2:$B$2500=$A13)*(Gastos!$D$2:$D$2500))</f>
        <v>0</v>
      </c>
      <c r="AJ13" s="75">
        <f t="array" ref="AJ13">SUM((YEAR(Gastos!$A$2:$A$2500)=AJ$1)*(MONTH(Gastos!$A$2:$A$2500)=AJ$3)*(Gastos!$B$2:$B$2500=$A13)*(Gastos!$D$2:$D$2500))</f>
        <v>0</v>
      </c>
      <c r="AK13" s="75">
        <f t="array" ref="AK13">SUM((YEAR(Gastos!$A$2:$A$2500)=AK$1)*(MONTH(Gastos!$A$2:$A$2500)=AK$3)*(Gastos!$B$2:$B$2500=$A13)*(Gastos!$D$2:$D$2500))</f>
        <v>0</v>
      </c>
      <c r="AL13" s="75">
        <f t="array" ref="AL13">SUM((YEAR(Gastos!$A$2:$A$2500)=AL$1)*(MONTH(Gastos!$A$2:$A$2500)=AL$3)*(Gastos!$B$2:$B$2500=$A13)*(Gastos!$D$2:$D$2500))</f>
        <v>0</v>
      </c>
      <c r="AM13" s="75">
        <f t="array" ref="AM13">SUM((YEAR(Gastos!$A$2:$A$2500)=AM$1)*(MONTH(Gastos!$A$2:$A$2500)=AM$3)*(Gastos!$B$2:$B$2500=$A13)*(Gastos!$D$2:$D$2500))</f>
        <v>0</v>
      </c>
      <c r="AN13" s="75">
        <f t="array" ref="AN13">SUM((YEAR(Gastos!$A$2:$A$2500)=AN$1)*(MONTH(Gastos!$A$2:$A$2500)=AN$3)*(Gastos!$B$2:$B$2500=$A13)*(Gastos!$D$2:$D$2500))</f>
        <v>0</v>
      </c>
      <c r="AO13" s="75">
        <f t="array" ref="AO13">SUM((YEAR(Gastos!$A$2:$A$2500)=AO$1)*(MONTH(Gastos!$A$2:$A$2500)=AO$3)*(Gastos!$B$2:$B$2500=$A13)*(Gastos!$D$2:$D$2500))</f>
        <v>0</v>
      </c>
      <c r="AP13" s="75">
        <f t="array" ref="AP13">SUM((YEAR(Gastos!$A$2:$A$2500)=AP$1)*(MONTH(Gastos!$A$2:$A$2500)=AP$3)*(Gastos!$B$2:$B$2500=$A13)*(Gastos!$D$2:$D$2500))</f>
        <v>0</v>
      </c>
      <c r="AQ13" s="75">
        <f t="array" ref="AQ13">SUM((YEAR(Gastos!$A$2:$A$2500)=AQ$1)*(MONTH(Gastos!$A$2:$A$2500)=AQ$3)*(Gastos!$B$2:$B$2500=$A13)*(Gastos!$D$2:$D$2500))</f>
        <v>0</v>
      </c>
      <c r="AR13" s="75">
        <f t="array" ref="AR13">SUM((YEAR(Gastos!$A$2:$A$2500)=AR$1)*(MONTH(Gastos!$A$2:$A$2500)=AR$3)*(Gastos!$B$2:$B$2500=$A13)*(Gastos!$D$2:$D$2500))</f>
        <v>0</v>
      </c>
      <c r="AS13" s="75">
        <f t="array" ref="AS13">SUM((YEAR(Gastos!$A$2:$A$2500)=AS$1)*(MONTH(Gastos!$A$2:$A$2500)=AS$3)*(Gastos!$B$2:$B$2500=$A13)*(Gastos!$D$2:$D$2500))</f>
        <v>0</v>
      </c>
      <c r="AT13" s="75">
        <f t="array" ref="AT13">SUM((YEAR(Gastos!$A$2:$A$2500)=AT$1)*(MONTH(Gastos!$A$2:$A$2500)=AT$3)*(Gastos!$B$2:$B$2500=$A13)*(Gastos!$D$2:$D$2500))</f>
        <v>0</v>
      </c>
      <c r="AU13" s="75">
        <f t="array" ref="AU13">SUM((YEAR(Gastos!$A$2:$A$2500)=AU$1)*(MONTH(Gastos!$A$2:$A$2500)=AU$3)*(Gastos!$B$2:$B$2500=$A13)*(Gastos!$D$2:$D$2500))</f>
        <v>0</v>
      </c>
      <c r="AV13" s="75">
        <f t="array" ref="AV13">SUM((YEAR(Gastos!$A$2:$A$2500)=AV$1)*(MONTH(Gastos!$A$2:$A$2500)=AV$3)*(Gastos!$B$2:$B$2500=$A13)*(Gastos!$D$2:$D$2500))</f>
        <v>0</v>
      </c>
      <c r="AW13" s="75">
        <f t="array" ref="AW13">SUM((YEAR(Gastos!$A$2:$A$2500)=AW$1)*(MONTH(Gastos!$A$2:$A$2500)=AW$3)*(Gastos!$B$2:$B$2500=$A13)*(Gastos!$D$2:$D$2500))</f>
        <v>0</v>
      </c>
      <c r="AX13" s="75">
        <f t="array" ref="AX13">SUM((YEAR(Gastos!$A$2:$A$2500)=AX$1)*(MONTH(Gastos!$A$2:$A$2500)=AX$3)*(Gastos!$B$2:$B$2500=$A13)*(Gastos!$D$2:$D$2500))</f>
        <v>0</v>
      </c>
      <c r="AY13" s="75">
        <f t="array" ref="AY13">SUM((YEAR(Gastos!$A$2:$A$2500)=AY$1)*(MONTH(Gastos!$A$2:$A$2500)=AY$3)*(Gastos!$B$2:$B$2500=$A13)*(Gastos!$D$2:$D$2500))</f>
        <v>0</v>
      </c>
      <c r="AZ13" s="75">
        <f t="array" ref="AZ13">SUM((YEAR(Gastos!$A$2:$A$2500)=AZ$1)*(MONTH(Gastos!$A$2:$A$2500)=AZ$3)*(Gastos!$B$2:$B$2500=$A13)*(Gastos!$D$2:$D$2500))</f>
        <v>0</v>
      </c>
      <c r="BA13" s="75">
        <f t="array" ref="BA13">SUM((YEAR(Gastos!$A$2:$A$2500)=BA$1)*(MONTH(Gastos!$A$2:$A$2500)=BA$3)*(Gastos!$B$2:$B$2500=$A13)*(Gastos!$D$2:$D$2500))</f>
        <v>0</v>
      </c>
      <c r="BB13" s="75">
        <f t="array" ref="BB13">SUM((YEAR(Gastos!$A$2:$A$2500)=BB$1)*(MONTH(Gastos!$A$2:$A$2500)=BB$3)*(Gastos!$B$2:$B$2500=$A13)*(Gastos!$D$2:$D$2500))</f>
        <v>0</v>
      </c>
      <c r="BC13" s="75">
        <f t="array" ref="BC13">SUM((YEAR(Gastos!$A$2:$A$2500)=BC$1)*(MONTH(Gastos!$A$2:$A$2500)=BC$3)*(Gastos!$B$2:$B$2500=$A13)*(Gastos!$D$2:$D$2500))</f>
        <v>0</v>
      </c>
      <c r="BD13" s="75">
        <f t="array" ref="BD13">SUM((YEAR(Gastos!$A$2:$A$2500)=BD$1)*(MONTH(Gastos!$A$2:$A$2500)=BD$3)*(Gastos!$B$2:$B$2500=$A13)*(Gastos!$D$2:$D$2500))</f>
        <v>0</v>
      </c>
      <c r="BE13" s="75">
        <f t="array" ref="BE13">SUM((YEAR(Gastos!$A$2:$A$2500)=BE$1)*(MONTH(Gastos!$A$2:$A$2500)=BE$3)*(Gastos!$B$2:$B$2500=$A13)*(Gastos!$D$2:$D$2500))</f>
        <v>0</v>
      </c>
      <c r="BF13" s="75">
        <f t="array" ref="BF13">SUM((YEAR(Gastos!$A$2:$A$2500)=BF$1)*(MONTH(Gastos!$A$2:$A$2500)=BF$3)*(Gastos!$B$2:$B$2500=$A13)*(Gastos!$D$2:$D$2500))</f>
        <v>0</v>
      </c>
      <c r="BG13" s="75">
        <f t="array" ref="BG13">SUM((YEAR(Gastos!$A$2:$A$2500)=BG$1)*(MONTH(Gastos!$A$2:$A$2500)=BG$3)*(Gastos!$B$2:$B$2500=$A13)*(Gastos!$D$2:$D$2500))</f>
        <v>0</v>
      </c>
      <c r="BH13" s="75">
        <f t="array" ref="BH13">SUM((YEAR(Gastos!$A$2:$A$2500)=BH$1)*(MONTH(Gastos!$A$2:$A$2500)=BH$3)*(Gastos!$B$2:$B$2500=$A13)*(Gastos!$D$2:$D$2500))</f>
        <v>0</v>
      </c>
      <c r="BI13" s="75">
        <f t="array" ref="BI13">SUM((YEAR(Gastos!$A$2:$A$2500)=BI$1)*(MONTH(Gastos!$A$2:$A$2500)=BI$3)*(Gastos!$B$2:$B$2500=$A13)*(Gastos!$D$2:$D$2500))</f>
        <v>0</v>
      </c>
      <c r="BJ13" s="75">
        <f t="array" ref="BJ13">SUM((YEAR(Gastos!$A$2:$A$2500)=BJ$1)*(MONTH(Gastos!$A$2:$A$2500)=BJ$3)*(Gastos!$B$2:$B$2500=$A13)*(Gastos!$D$2:$D$2500))</f>
        <v>0</v>
      </c>
      <c r="BK13" s="75">
        <f t="array" ref="BK13">SUM((YEAR(Gastos!$A$2:$A$2500)=BK$1)*(MONTH(Gastos!$A$2:$A$2500)=BK$3)*(Gastos!$B$2:$B$2500=$A13)*(Gastos!$D$2:$D$2500))</f>
        <v>0</v>
      </c>
      <c r="BL13" s="75">
        <f t="array" ref="BL13">SUM((YEAR(Gastos!$A$2:$A$2500)=BL$1)*(MONTH(Gastos!$A$2:$A$2500)=BL$3)*(Gastos!$B$2:$B$2500=$A13)*(Gastos!$D$2:$D$2500))</f>
        <v>0</v>
      </c>
      <c r="BM13" s="75">
        <f t="array" ref="BM13">SUM((YEAR(Gastos!$A$2:$A$2500)=BM$1)*(MONTH(Gastos!$A$2:$A$2500)=BM$3)*(Gastos!$B$2:$B$2500=$A13)*(Gastos!$D$2:$D$2500))</f>
        <v>0</v>
      </c>
      <c r="BN13" s="75">
        <f t="array" ref="BN13">SUM((YEAR(Gastos!$A$2:$A$2500)=BN$1)*(MONTH(Gastos!$A$2:$A$2500)=BN$3)*(Gastos!$B$2:$B$2500=$A13)*(Gastos!$D$2:$D$2500))</f>
        <v>0</v>
      </c>
      <c r="BO13" s="75">
        <f t="array" ref="BO13">SUM((YEAR(Gastos!$A$2:$A$2500)=BO$1)*(MONTH(Gastos!$A$2:$A$2500)=BO$3)*(Gastos!$B$2:$B$2500=$A13)*(Gastos!$D$2:$D$2500))</f>
        <v>0</v>
      </c>
      <c r="BP13" s="75">
        <f t="array" ref="BP13">SUM((YEAR(Gastos!$A$2:$A$2500)=BP$1)*(MONTH(Gastos!$A$2:$A$2500)=BP$3)*(Gastos!$B$2:$B$2500=$A13)*(Gastos!$D$2:$D$2500))</f>
        <v>0</v>
      </c>
      <c r="BQ13" s="75">
        <f t="array" ref="BQ13">SUM((YEAR(Gastos!$A$2:$A$2500)=BQ$1)*(MONTH(Gastos!$A$2:$A$2500)=BQ$3)*(Gastos!$B$2:$B$2500=$A13)*(Gastos!$D$2:$D$2500))</f>
        <v>0</v>
      </c>
      <c r="BR13" s="75">
        <f t="array" ref="BR13">SUM((YEAR(Gastos!$A$2:$A$2500)=BR$1)*(MONTH(Gastos!$A$2:$A$2500)=BR$3)*(Gastos!$B$2:$B$2500=$A13)*(Gastos!$D$2:$D$2500))</f>
        <v>0</v>
      </c>
      <c r="BS13" s="75">
        <f t="array" ref="BS13">SUM((YEAR(Gastos!$A$2:$A$2500)=BS$1)*(MONTH(Gastos!$A$2:$A$2500)=BS$3)*(Gastos!$B$2:$B$2500=$A13)*(Gastos!$D$2:$D$2500))</f>
        <v>0</v>
      </c>
      <c r="BT13" s="75">
        <f t="array" ref="BT13">SUM((YEAR(Gastos!$A$2:$A$2500)=BT$1)*(MONTH(Gastos!$A$2:$A$2500)=BT$3)*(Gastos!$B$2:$B$2500=$A13)*(Gastos!$D$2:$D$2500))</f>
        <v>0</v>
      </c>
      <c r="BU13" s="75">
        <f t="array" ref="BU13">SUM((YEAR(Gastos!$A$2:$A$2500)=BU$1)*(MONTH(Gastos!$A$2:$A$2500)=BU$3)*(Gastos!$B$2:$B$2500=$A13)*(Gastos!$D$2:$D$2500))</f>
        <v>0</v>
      </c>
      <c r="BV13" s="75">
        <f t="array" ref="BV13">SUM((YEAR(Gastos!$A$2:$A$2500)=BV$1)*(MONTH(Gastos!$A$2:$A$2500)=BV$3)*(Gastos!$B$2:$B$2500=$A13)*(Gastos!$D$2:$D$2500))</f>
        <v>0</v>
      </c>
      <c r="BW13" s="75">
        <f t="array" ref="BW13">SUM((YEAR(Gastos!$A$2:$A$2500)=BW$1)*(MONTH(Gastos!$A$2:$A$2500)=BW$3)*(Gastos!$B$2:$B$2500=$A13)*(Gastos!$D$2:$D$2500))</f>
        <v>0</v>
      </c>
      <c r="BX13" s="75">
        <f t="array" ref="BX13">SUM((YEAR(Gastos!$A$2:$A$2500)=BX$1)*(MONTH(Gastos!$A$2:$A$2500)=BX$3)*(Gastos!$B$2:$B$2500=$A13)*(Gastos!$D$2:$D$2500))</f>
        <v>0</v>
      </c>
      <c r="BY13" s="75">
        <f t="array" ref="BY13">SUM((YEAR(Gastos!$A$2:$A$2500)=BY$1)*(MONTH(Gastos!$A$2:$A$2500)=BY$3)*(Gastos!$B$2:$B$2500=$A13)*(Gastos!$D$2:$D$2500))</f>
        <v>0</v>
      </c>
      <c r="BZ13" s="75">
        <f t="array" ref="BZ13">SUM((YEAR(Gastos!$A$2:$A$2500)=BZ$1)*(MONTH(Gastos!$A$2:$A$2500)=BZ$3)*(Gastos!$B$2:$B$2500=$A13)*(Gastos!$D$2:$D$2500))</f>
        <v>0</v>
      </c>
      <c r="CA13" s="75">
        <f t="array" ref="CA13">SUM((YEAR(Gastos!$A$2:$A$2500)=CA$1)*(MONTH(Gastos!$A$2:$A$2500)=CA$3)*(Gastos!$B$2:$B$2500=$A13)*(Gastos!$D$2:$D$2500))</f>
        <v>0</v>
      </c>
      <c r="CB13" s="75">
        <f t="array" ref="CB13">SUM((YEAR(Gastos!$A$2:$A$2500)=CB$1)*(MONTH(Gastos!$A$2:$A$2500)=CB$3)*(Gastos!$B$2:$B$2500=$A13)*(Gastos!$D$2:$D$2500))</f>
        <v>0</v>
      </c>
      <c r="CC13" s="75">
        <f t="array" ref="CC13">SUM((YEAR(Gastos!$A$2:$A$2500)=CC$1)*(MONTH(Gastos!$A$2:$A$2500)=CC$3)*(Gastos!$B$2:$B$2500=$A13)*(Gastos!$D$2:$D$2500))</f>
        <v>0</v>
      </c>
      <c r="CD13" s="75">
        <f t="array" ref="CD13">SUM((YEAR(Gastos!$A$2:$A$2500)=CD$1)*(MONTH(Gastos!$A$2:$A$2500)=CD$3)*(Gastos!$B$2:$B$2500=$A13)*(Gastos!$D$2:$D$2500))</f>
        <v>0</v>
      </c>
      <c r="CE13" s="75">
        <f t="array" ref="CE13">SUM((YEAR(Gastos!$A$2:$A$2500)=CE$1)*(MONTH(Gastos!$A$2:$A$2500)=CE$3)*(Gastos!$B$2:$B$2500=$A13)*(Gastos!$D$2:$D$2500))</f>
        <v>0</v>
      </c>
      <c r="CF13" s="75">
        <f t="array" ref="CF13">SUM((YEAR(Gastos!$A$2:$A$2500)=CF$1)*(MONTH(Gastos!$A$2:$A$2500)=CF$3)*(Gastos!$B$2:$B$2500=$A13)*(Gastos!$D$2:$D$2500))</f>
        <v>0</v>
      </c>
      <c r="CG13" s="75">
        <f t="array" ref="CG13">SUM((YEAR(Gastos!$A$2:$A$2500)=CG$1)*(MONTH(Gastos!$A$2:$A$2500)=CG$3)*(Gastos!$B$2:$B$2500=$A13)*(Gastos!$D$2:$D$2500))</f>
        <v>0</v>
      </c>
      <c r="CH13" s="75">
        <f t="array" ref="CH13">SUM((YEAR(Gastos!$A$2:$A$2500)=CH$1)*(MONTH(Gastos!$A$2:$A$2500)=CH$3)*(Gastos!$B$2:$B$2500=$A13)*(Gastos!$D$2:$D$2500))</f>
        <v>0</v>
      </c>
      <c r="CI13" s="75">
        <f t="array" ref="CI13">SUM((YEAR(Gastos!$A$2:$A$2500)=CI$1)*(MONTH(Gastos!$A$2:$A$2500)=CI$3)*(Gastos!$B$2:$B$2500=$A13)*(Gastos!$D$2:$D$2500))</f>
        <v>0</v>
      </c>
      <c r="CJ13" s="75">
        <f t="array" ref="CJ13">SUM((YEAR(Gastos!$A$2:$A$2500)=CJ$1)*(MONTH(Gastos!$A$2:$A$2500)=CJ$3)*(Gastos!$B$2:$B$2500=$A13)*(Gastos!$D$2:$D$2500))</f>
        <v>0</v>
      </c>
      <c r="CK13" s="75">
        <f t="array" ref="CK13">SUM((YEAR(Gastos!$A$2:$A$2500)=CK$1)*(MONTH(Gastos!$A$2:$A$2500)=CK$3)*(Gastos!$B$2:$B$2500=$A13)*(Gastos!$D$2:$D$2500))</f>
        <v>0</v>
      </c>
      <c r="CL13" s="75">
        <f t="array" ref="CL13">SUM((YEAR(Gastos!$A$2:$A$2500)=CL$1)*(MONTH(Gastos!$A$2:$A$2500)=CL$3)*(Gastos!$B$2:$B$2500=$A13)*(Gastos!$D$2:$D$2500))</f>
        <v>0</v>
      </c>
      <c r="CM13" s="75">
        <f t="array" ref="CM13">SUM((YEAR(Gastos!$A$2:$A$2500)=CM$1)*(MONTH(Gastos!$A$2:$A$2500)=CM$3)*(Gastos!$B$2:$B$2500=$A13)*(Gastos!$D$2:$D$2500))</f>
        <v>0</v>
      </c>
      <c r="CN13" s="75">
        <f t="array" ref="CN13">SUM((YEAR(Gastos!$A$2:$A$2500)=CN$1)*(MONTH(Gastos!$A$2:$A$2500)=CN$3)*(Gastos!$B$2:$B$2500=$A13)*(Gastos!$D$2:$D$2500))</f>
        <v>0</v>
      </c>
      <c r="CO13" s="75">
        <f t="array" ref="CO13">SUM((YEAR(Gastos!$A$2:$A$2500)=CO$1)*(MONTH(Gastos!$A$2:$A$2500)=CO$3)*(Gastos!$B$2:$B$2500=$A13)*(Gastos!$D$2:$D$2500))</f>
        <v>0</v>
      </c>
      <c r="CP13" s="75">
        <f t="array" ref="CP13">SUM((YEAR(Gastos!$A$2:$A$2500)=CP$1)*(MONTH(Gastos!$A$2:$A$2500)=CP$3)*(Gastos!$B$2:$B$2500=$A13)*(Gastos!$D$2:$D$2500))</f>
        <v>0</v>
      </c>
      <c r="CQ13" s="75">
        <f t="array" ref="CQ13">SUM((YEAR(Gastos!$A$2:$A$2500)=CQ$1)*(MONTH(Gastos!$A$2:$A$2500)=CQ$3)*(Gastos!$B$2:$B$2500=$A13)*(Gastos!$D$2:$D$2500))</f>
        <v>0</v>
      </c>
      <c r="CR13" s="75">
        <f t="array" ref="CR13">SUM((YEAR(Gastos!$A$2:$A$2500)=CR$1)*(MONTH(Gastos!$A$2:$A$2500)=CR$3)*(Gastos!$B$2:$B$2500=$A13)*(Gastos!$D$2:$D$2500))</f>
        <v>0</v>
      </c>
      <c r="CS13" s="75">
        <f t="array" ref="CS13">SUM((YEAR(Gastos!$A$2:$A$2500)=CS$1)*(MONTH(Gastos!$A$2:$A$2500)=CS$3)*(Gastos!$B$2:$B$2500=$A13)*(Gastos!$D$2:$D$2500))</f>
        <v>0</v>
      </c>
      <c r="CT13" s="75">
        <f t="array" ref="CT13">SUM((YEAR(Gastos!$A$2:$A$2500)=CT$1)*(MONTH(Gastos!$A$2:$A$2500)=CT$3)*(Gastos!$B$2:$B$2500=$A13)*(Gastos!$D$2:$D$2500))</f>
        <v>0</v>
      </c>
      <c r="CU13" s="75">
        <f t="array" ref="CU13">SUM((YEAR(Gastos!$A$2:$A$2500)=CU$1)*(MONTH(Gastos!$A$2:$A$2500)=CU$3)*(Gastos!$B$2:$B$2500=$A13)*(Gastos!$D$2:$D$2500))</f>
        <v>0</v>
      </c>
      <c r="CV13" s="75">
        <f t="array" ref="CV13">SUM((YEAR(Gastos!$A$2:$A$2500)=CV$1)*(MONTH(Gastos!$A$2:$A$2500)=CV$3)*(Gastos!$B$2:$B$2500=$A13)*(Gastos!$D$2:$D$2500))</f>
        <v>0</v>
      </c>
      <c r="CW13" s="75">
        <f t="array" ref="CW13">SUM((YEAR(Gastos!$A$2:$A$2500)=CW$1)*(MONTH(Gastos!$A$2:$A$2500)=CW$3)*(Gastos!$B$2:$B$2500=$A13)*(Gastos!$D$2:$D$2500))</f>
        <v>0</v>
      </c>
      <c r="CX13" s="75">
        <f t="array" ref="CX13">SUM((YEAR(Gastos!$A$2:$A$2500)=CX$1)*(MONTH(Gastos!$A$2:$A$2500)=CX$3)*(Gastos!$B$2:$B$2500=$A13)*(Gastos!$D$2:$D$2500))</f>
        <v>0</v>
      </c>
      <c r="CY13" s="75">
        <f t="array" ref="CY13">SUM((YEAR(Gastos!$A$2:$A$2500)=CY$1)*(MONTH(Gastos!$A$2:$A$2500)=CY$3)*(Gastos!$B$2:$B$2500=$A13)*(Gastos!$D$2:$D$2500))</f>
        <v>0</v>
      </c>
      <c r="CZ13" s="75">
        <f t="array" ref="CZ13">SUM((YEAR(Gastos!$A$2:$A$2500)=CZ$1)*(MONTH(Gastos!$A$2:$A$2500)=CZ$3)*(Gastos!$B$2:$B$2500=$A13)*(Gastos!$D$2:$D$2500))</f>
        <v>0</v>
      </c>
      <c r="DA13" s="75">
        <f t="array" ref="DA13">SUM((YEAR(Gastos!$A$2:$A$2500)=DA$1)*(MONTH(Gastos!$A$2:$A$2500)=DA$3)*(Gastos!$B$2:$B$2500=$A13)*(Gastos!$D$2:$D$2500))</f>
        <v>0</v>
      </c>
      <c r="DB13" s="75">
        <f t="array" ref="DB13">SUM((YEAR(Gastos!$A$2:$A$2500)=DB$1)*(MONTH(Gastos!$A$2:$A$2500)=DB$3)*(Gastos!$B$2:$B$2500=$A13)*(Gastos!$D$2:$D$2500))</f>
        <v>0</v>
      </c>
      <c r="DC13" s="75">
        <f t="array" ref="DC13">SUM((YEAR(Gastos!$A$2:$A$2500)=DC$1)*(MONTH(Gastos!$A$2:$A$2500)=DC$3)*(Gastos!$B$2:$B$2500=$A13)*(Gastos!$D$2:$D$2500))</f>
        <v>0</v>
      </c>
      <c r="DD13" s="75">
        <f t="array" ref="DD13">SUM((YEAR(Gastos!$A$2:$A$2500)=DD$1)*(MONTH(Gastos!$A$2:$A$2500)=DD$3)*(Gastos!$B$2:$B$2500=$A13)*(Gastos!$D$2:$D$2500))</f>
        <v>0</v>
      </c>
      <c r="DE13" s="75">
        <f t="array" ref="DE13">SUM((YEAR(Gastos!$A$2:$A$2500)=DE$1)*(MONTH(Gastos!$A$2:$A$2500)=DE$3)*(Gastos!$B$2:$B$2500=$A13)*(Gastos!$D$2:$D$2500))</f>
        <v>0</v>
      </c>
      <c r="DF13" s="75">
        <f t="array" ref="DF13">SUM((YEAR(Gastos!$A$2:$A$2500)=DF$1)*(MONTH(Gastos!$A$2:$A$2500)=DF$3)*(Gastos!$B$2:$B$2500=$A13)*(Gastos!$D$2:$D$2500))</f>
        <v>0</v>
      </c>
      <c r="DG13" s="75">
        <f t="array" ref="DG13">SUM((YEAR(Gastos!$A$2:$A$2500)=DG$1)*(MONTH(Gastos!$A$2:$A$2500)=DG$3)*(Gastos!$B$2:$B$2500=$A13)*(Gastos!$D$2:$D$2500))</f>
        <v>0</v>
      </c>
      <c r="DH13" s="75">
        <f t="array" ref="DH13">SUM((YEAR(Gastos!$A$2:$A$2500)=DH$1)*(MONTH(Gastos!$A$2:$A$2500)=DH$3)*(Gastos!$B$2:$B$2500=$A13)*(Gastos!$D$2:$D$2500))</f>
        <v>0</v>
      </c>
      <c r="DI13" s="75">
        <f t="array" ref="DI13">SUM((YEAR(Gastos!$A$2:$A$2500)=DI$1)*(MONTH(Gastos!$A$2:$A$2500)=DI$3)*(Gastos!$B$2:$B$2500=$A13)*(Gastos!$D$2:$D$2500))</f>
        <v>0</v>
      </c>
      <c r="DJ13" s="75">
        <f t="array" ref="DJ13">SUM((YEAR(Gastos!$A$2:$A$2500)=DJ$1)*(MONTH(Gastos!$A$2:$A$2500)=DJ$3)*(Gastos!$B$2:$B$2500=$A13)*(Gastos!$D$2:$D$2500))</f>
        <v>0</v>
      </c>
      <c r="DK13" s="75">
        <f t="array" ref="DK13">SUM((YEAR(Gastos!$A$2:$A$2500)=DK$1)*(MONTH(Gastos!$A$2:$A$2500)=DK$3)*(Gastos!$B$2:$B$2500=$A13)*(Gastos!$D$2:$D$2500))</f>
        <v>0</v>
      </c>
      <c r="DL13" s="75">
        <f t="array" ref="DL13">SUM((YEAR(Gastos!$A$2:$A$2500)=DL$1)*(MONTH(Gastos!$A$2:$A$2500)=DL$3)*(Gastos!$B$2:$B$2500=$A13)*(Gastos!$D$2:$D$2500))</f>
        <v>0</v>
      </c>
      <c r="DM13" s="75">
        <f t="array" ref="DM13">SUM((YEAR(Gastos!$A$2:$A$2500)=DM$1)*(MONTH(Gastos!$A$2:$A$2500)=DM$3)*(Gastos!$B$2:$B$2500=$A13)*(Gastos!$D$2:$D$2500))</f>
        <v>0</v>
      </c>
      <c r="DN13" s="75">
        <f t="array" ref="DN13">SUM((YEAR(Gastos!$A$2:$A$2500)=DN$1)*(MONTH(Gastos!$A$2:$A$2500)=DN$3)*(Gastos!$B$2:$B$2500=$A13)*(Gastos!$D$2:$D$2500))</f>
        <v>0</v>
      </c>
      <c r="DO13" s="75">
        <f t="array" ref="DO13">SUM((YEAR(Gastos!$A$2:$A$2500)=DO$1)*(MONTH(Gastos!$A$2:$A$2500)=DO$3)*(Gastos!$B$2:$B$2500=$A13)*(Gastos!$D$2:$D$2500))</f>
        <v>0</v>
      </c>
      <c r="DP13" s="75">
        <f t="array" ref="DP13">SUM((YEAR(Gastos!$A$2:$A$2500)=DP$1)*(MONTH(Gastos!$A$2:$A$2500)=DP$3)*(Gastos!$B$2:$B$2500=$A13)*(Gastos!$D$2:$D$2500))</f>
        <v>0</v>
      </c>
      <c r="DQ13" s="75">
        <f t="array" ref="DQ13">SUM((YEAR(Gastos!$A$2:$A$2500)=DQ$1)*(MONTH(Gastos!$A$2:$A$2500)=DQ$3)*(Gastos!$B$2:$B$2500=$A13)*(Gastos!$D$2:$D$2500))</f>
        <v>0</v>
      </c>
      <c r="DR13" s="75">
        <f t="array" ref="DR13">SUM((YEAR(Gastos!$A$2:$A$2500)=DR$1)*(MONTH(Gastos!$A$2:$A$2500)=DR$3)*(Gastos!$B$2:$B$2500=$A13)*(Gastos!$D$2:$D$2500))</f>
        <v>0</v>
      </c>
      <c r="DS13" s="75">
        <f t="array" ref="DS13">SUM((YEAR(Gastos!$A$2:$A$2500)=DS$1)*(MONTH(Gastos!$A$2:$A$2500)=DS$3)*(Gastos!$B$2:$B$2500=$A13)*(Gastos!$D$2:$D$2500))</f>
        <v>0</v>
      </c>
      <c r="DT13" s="75">
        <f t="array" ref="DT13">SUM((YEAR(Gastos!$A$2:$A$2500)=DT$1)*(MONTH(Gastos!$A$2:$A$2500)=DT$3)*(Gastos!$B$2:$B$2500=$A13)*(Gastos!$D$2:$D$2500))</f>
        <v>0</v>
      </c>
      <c r="DU13" s="75">
        <f t="array" ref="DU13">SUM((YEAR(Gastos!$A$2:$A$2500)=DU$1)*(MONTH(Gastos!$A$2:$A$2500)=DU$3)*(Gastos!$B$2:$B$2500=$A13)*(Gastos!$D$2:$D$2500))</f>
        <v>0</v>
      </c>
      <c r="DV13" s="75">
        <f t="array" ref="DV13">SUM((YEAR(Gastos!$A$2:$A$2500)=DV$1)*(MONTH(Gastos!$A$2:$A$2500)=DV$3)*(Gastos!$B$2:$B$2500=$A13)*(Gastos!$D$2:$D$2500))</f>
        <v>11016</v>
      </c>
      <c r="DW13" s="75">
        <f t="array" ref="DW13">SUM((YEAR(Gastos!$A$2:$A$2500)=DW$1)*(MONTH(Gastos!$A$2:$A$2500)=DW$3)*(Gastos!$B$2:$B$2500=$A13)*(Gastos!$D$2:$D$2500))</f>
        <v>19278</v>
      </c>
      <c r="DX13" s="75">
        <f t="array" ref="DX13">SUM((YEAR(Gastos!$A$2:$A$2500)=DX$1)*(MONTH(Gastos!$A$2:$A$2500)=DX$3)*(Gastos!$B$2:$B$2500=$A13)*(Gastos!$D$2:$D$2500))</f>
        <v>6039.77</v>
      </c>
      <c r="DY13" s="75">
        <f t="array" ref="DY13">SUM((YEAR(Gastos!$A$2:$A$2500)=DY$1)*(MONTH(Gastos!$A$2:$A$2500)=DY$3)*(Gastos!$B$2:$B$2500=$A13)*(Gastos!$D$2:$D$2500))</f>
        <v>0</v>
      </c>
      <c r="DZ13" s="75">
        <f t="array" ref="DZ13">SUM((YEAR(Gastos!$A$2:$A$2500)=DZ$1)*(MONTH(Gastos!$A$2:$A$2500)=DZ$3)*(Gastos!$B$2:$B$2500=$A13)*(Gastos!$D$2:$D$2500))</f>
        <v>0</v>
      </c>
      <c r="EA13" s="75">
        <f t="array" ref="EA13">SUM((YEAR(Gastos!$A$2:$A$2500)=EA$1)*(MONTH(Gastos!$A$2:$A$2500)=EA$3)*(Gastos!$B$2:$B$2500=$A13)*(Gastos!$D$2:$D$2500))</f>
        <v>0</v>
      </c>
      <c r="EB13" s="75">
        <f t="array" ref="EB13">SUM((YEAR(Gastos!$A$2:$A$2500)=EB$1)*(MONTH(Gastos!$A$2:$A$2500)=EB$3)*(Gastos!$B$2:$B$2500=$A13)*(Gastos!$D$2:$D$2500))</f>
        <v>0</v>
      </c>
      <c r="EC13" s="75">
        <f t="array" ref="EC13">SUM((YEAR(Gastos!$A$2:$A$2500)=EC$1)*(MONTH(Gastos!$A$2:$A$2500)=EC$3)*(Gastos!$B$2:$B$2500=$A13)*(Gastos!$D$2:$D$2500))</f>
        <v>9180</v>
      </c>
      <c r="ED13" s="75">
        <f t="array" ref="ED13">SUM((YEAR(Gastos!$A$2:$A$2500)=ED$1)*(MONTH(Gastos!$A$2:$A$2500)=ED$3)*(Gastos!$B$2:$B$2500=$A13)*(Gastos!$D$2:$D$2500))</f>
        <v>12852</v>
      </c>
      <c r="EE13" s="75">
        <f t="array" ref="EE13">SUM((YEAR(Gastos!$A$2:$A$2500)=EE$1)*(MONTH(Gastos!$A$2:$A$2500)=EE$3)*(Gastos!$B$2:$B$2500=$A13)*(Gastos!$D$2:$D$2500))</f>
        <v>0</v>
      </c>
      <c r="EF13" s="75">
        <f t="array" ref="EF13">SUM((YEAR(Gastos!$A$2:$A$2500)=EF$1)*(MONTH(Gastos!$A$2:$A$2500)=EF$3)*(Gastos!$B$2:$B$2500=$A13)*(Gastos!$D$2:$D$2500))</f>
        <v>5508</v>
      </c>
      <c r="EG13" s="75">
        <f t="array" ref="EG13">SUM((YEAR(Gastos!$A$2:$A$2500)=EG$1)*(MONTH(Gastos!$A$2:$A$2500)=EG$3)*(Gastos!$B$2:$B$2500=$A13)*(Gastos!$D$2:$D$2500))</f>
        <v>12852</v>
      </c>
      <c r="EH13" s="75">
        <f t="array" ref="EH13">SUM((YEAR(Gastos!$A$2:$A$2500)=EH$1)*(MONTH(Gastos!$A$2:$A$2500)=EH$3)*(Gastos!$B$2:$B$2500=$A13)*(Gastos!$D$2:$D$2500))</f>
        <v>0</v>
      </c>
      <c r="EI13" s="75">
        <f t="array" ref="EI13">SUM((YEAR(Gastos!$A$2:$A$2500)=EI$1)*(MONTH(Gastos!$A$2:$A$2500)=EI$3)*(Gastos!$B$2:$B$2500=$A13)*(Gastos!$D$2:$D$2500))</f>
        <v>0</v>
      </c>
      <c r="EJ13" s="75">
        <f t="array" ref="EJ13">SUM((YEAR(Gastos!$A$2:$A$2500)=EJ$1)*(MONTH(Gastos!$A$2:$A$2500)=EJ$3)*(Gastos!$B$2:$B$2500=$A13)*(Gastos!$D$2:$D$2500))</f>
        <v>10098</v>
      </c>
      <c r="EK13" s="75">
        <f t="array" ref="EK13">SUM((YEAR(Gastos!$A$2:$A$2500)=EK$1)*(MONTH(Gastos!$A$2:$A$2500)=EK$3)*(Gastos!$B$2:$B$2500=$A13)*(Gastos!$D$2:$D$2500))</f>
        <v>7344</v>
      </c>
      <c r="EL13" s="75">
        <f t="array" ref="EL13">SUM((YEAR(Gastos!$A$2:$A$2500)=EL$1)*(MONTH(Gastos!$A$2:$A$2500)=EL$3)*(Gastos!$B$2:$B$2500=$A13)*(Gastos!$D$2:$D$2500))</f>
        <v>3672</v>
      </c>
      <c r="EM13" s="75">
        <f t="array" ref="EM13">SUM((YEAR(Gastos!$A$2:$A$2500)=EM$1)*(MONTH(Gastos!$A$2:$A$2500)=EM$3)*(Gastos!$B$2:$B$2500=$A13)*(Gastos!$D$2:$D$2500))</f>
        <v>0</v>
      </c>
      <c r="EN13" s="75">
        <f t="array" ref="EN13">SUM((YEAR(Gastos!$A$2:$A$2500)=EN$1)*(MONTH(Gastos!$A$2:$A$2500)=EN$3)*(Gastos!$B$2:$B$2500=$A13)*(Gastos!$D$2:$D$2500))</f>
        <v>0</v>
      </c>
      <c r="EO13" s="75">
        <f t="array" ref="EO13">SUM((YEAR(Gastos!$A$2:$A$2500)=EO$1)*(MONTH(Gastos!$A$2:$A$2500)=EO$3)*(Gastos!$B$2:$B$2500=$A13)*(Gastos!$D$2:$D$2500))</f>
        <v>0</v>
      </c>
      <c r="EP13" s="75">
        <f t="array" ref="EP13">SUM((YEAR(Gastos!$A$2:$A$2500)=EP$1)*(MONTH(Gastos!$A$2:$A$2500)=EP$3)*(Gastos!$B$2:$B$2500=$A13)*(Gastos!$D$2:$D$2500))</f>
        <v>0</v>
      </c>
      <c r="EQ13" s="75">
        <f t="array" ref="EQ13">SUM((YEAR(Gastos!$A$2:$A$2500)=EQ$1)*(MONTH(Gastos!$A$2:$A$2500)=EQ$3)*(Gastos!$B$2:$B$2500=$A13)*(Gastos!$D$2:$D$2500))</f>
        <v>0</v>
      </c>
      <c r="ER13" s="75">
        <f t="array" ref="ER13">SUM((YEAR(Gastos!$A$2:$A$2500)=ER$1)*(MONTH(Gastos!$A$2:$A$2500)=ER$3)*(Gastos!$B$2:$B$2500=$A13)*(Gastos!$D$2:$D$2500))</f>
        <v>0</v>
      </c>
      <c r="ES13" s="75">
        <f t="array" ref="ES13">SUM((YEAR(Gastos!$A$2:$A$2500)=ES$1)*(MONTH(Gastos!$A$2:$A$2500)=ES$3)*(Gastos!$B$2:$B$2500=$A13)*(Gastos!$D$2:$D$2500))</f>
        <v>0</v>
      </c>
      <c r="ET13" s="75">
        <f t="array" ref="ET13">SUM((YEAR(Gastos!$A$2:$A$2500)=ET$1)*(MONTH(Gastos!$A$2:$A$2500)=ET$3)*(Gastos!$B$2:$B$2500=$A13)*(Gastos!$D$2:$D$2500))</f>
        <v>0</v>
      </c>
      <c r="EU13" s="75">
        <f t="array" ref="EU13">SUM((YEAR(Gastos!$A$2:$A$2500)=EU$1)*(MONTH(Gastos!$A$2:$A$2500)=EU$3)*(Gastos!$B$2:$B$2500=$A13)*(Gastos!$D$2:$D$2500))</f>
        <v>0</v>
      </c>
      <c r="EV13" s="75">
        <f t="array" ref="EV13">SUM((YEAR(Gastos!$A$2:$A$2500)=EV$1)*(MONTH(Gastos!$A$2:$A$2500)=EV$3)*(Gastos!$B$2:$B$2500=$A13)*(Gastos!$D$2:$D$2500))</f>
        <v>0</v>
      </c>
      <c r="EW13" s="75">
        <f t="array" ref="EW13">SUM((YEAR(Gastos!$A$2:$A$2500)=EW$1)*(MONTH(Gastos!$A$2:$A$2500)=EW$3)*(Gastos!$B$2:$B$2500=$A13)*(Gastos!$D$2:$D$2500))</f>
        <v>0</v>
      </c>
      <c r="EX13" s="75">
        <f t="array" ref="EX13">SUM((YEAR(Gastos!$A$2:$A$2500)=EX$1)*(MONTH(Gastos!$A$2:$A$2500)=EX$3)*(Gastos!$B$2:$B$2500=$A13)*(Gastos!$D$2:$D$2500))</f>
        <v>0</v>
      </c>
      <c r="EY13" s="75">
        <f t="array" ref="EY13">SUM((YEAR(Gastos!$A$2:$A$2500)=EY$1)*(MONTH(Gastos!$A$2:$A$2500)=EY$3)*(Gastos!$B$2:$B$2500=$A13)*(Gastos!$D$2:$D$2500))</f>
        <v>0</v>
      </c>
      <c r="EZ13" s="75">
        <f t="array" ref="EZ13">SUM((YEAR(Gastos!$A$2:$A$2500)=EZ$1)*(MONTH(Gastos!$A$2:$A$2500)=EZ$3)*(Gastos!$B$2:$B$2500=$A13)*(Gastos!$D$2:$D$2500))</f>
        <v>0</v>
      </c>
      <c r="FA13" s="75">
        <f t="array" ref="FA13">SUM((YEAR(Gastos!$A$2:$A$2500)=FA$1)*(MONTH(Gastos!$A$2:$A$2500)=FA$3)*(Gastos!$B$2:$B$2500=$A13)*(Gastos!$D$2:$D$2500))</f>
        <v>0</v>
      </c>
      <c r="FB13" s="75">
        <f t="array" ref="FB13">SUM((YEAR(Gastos!$A$2:$A$2500)=FB$1)*(MONTH(Gastos!$A$2:$A$2500)=FB$3)*(Gastos!$B$2:$B$2500=$A13)*(Gastos!$D$2:$D$2500))</f>
        <v>0</v>
      </c>
      <c r="FC13" s="75">
        <f t="array" ref="FC13">SUM((YEAR(Gastos!$A$2:$A$2500)=FC$1)*(MONTH(Gastos!$A$2:$A$2500)=FC$3)*(Gastos!$B$2:$B$2500=$A13)*(Gastos!$D$2:$D$2500))</f>
        <v>0</v>
      </c>
      <c r="FD13" s="75">
        <f t="array" ref="FD13">SUM((YEAR(Gastos!$A$2:$A$2500)=FD$1)*(MONTH(Gastos!$A$2:$A$2500)=FD$3)*(Gastos!$B$2:$B$2500=$A13)*(Gastos!$D$2:$D$2500))</f>
        <v>0</v>
      </c>
      <c r="FE13" s="75">
        <f t="array" ref="FE13">SUM((YEAR(Gastos!$A$2:$A$2500)=FE$1)*(MONTH(Gastos!$A$2:$A$2500)=FE$3)*(Gastos!$B$2:$B$2500=$A13)*(Gastos!$D$2:$D$2500))</f>
        <v>0</v>
      </c>
      <c r="FF13" s="75">
        <f t="array" ref="FF13">SUM((YEAR(Gastos!$A$2:$A$2500)=FF$1)*(MONTH(Gastos!$A$2:$A$2500)=FF$3)*(Gastos!$B$2:$B$2500=$A13)*(Gastos!$D$2:$D$2500))</f>
        <v>0</v>
      </c>
      <c r="FG13" s="75">
        <f t="array" ref="FG13">SUM((YEAR(Gastos!$A$2:$A$2500)=FG$1)*(MONTH(Gastos!$A$2:$A$2500)=FG$3)*(Gastos!$B$2:$B$2500=$A13)*(Gastos!$D$2:$D$2500))</f>
        <v>0</v>
      </c>
      <c r="FH13" s="75">
        <f t="array" ref="FH13">SUM((YEAR(Gastos!$A$2:$A$2500)=FH$1)*(MONTH(Gastos!$A$2:$A$2500)=FH$3)*(Gastos!$B$2:$B$2500=$A13)*(Gastos!$D$2:$D$2500))</f>
        <v>0</v>
      </c>
      <c r="FI13" s="75">
        <f t="array" ref="FI13">SUM((YEAR(Gastos!$A$2:$A$2500)=FI$1)*(MONTH(Gastos!$A$2:$A$2500)=FI$3)*(Gastos!$B$2:$B$2500=$A13)*(Gastos!$D$2:$D$2500))</f>
        <v>0</v>
      </c>
      <c r="FJ13" s="75">
        <f t="array" ref="FJ13">SUM((YEAR(Gastos!$A$2:$A$2500)=FJ$1)*(MONTH(Gastos!$A$2:$A$2500)=FJ$3)*(Gastos!$B$2:$B$2500=$A13)*(Gastos!$D$2:$D$2500))</f>
        <v>0</v>
      </c>
      <c r="FK13" s="75">
        <f t="array" ref="FK13">SUM((YEAR(Gastos!$A$2:$A$2500)=FK$1)*(MONTH(Gastos!$A$2:$A$2500)=FK$3)*(Gastos!$B$2:$B$2500=$A13)*(Gastos!$D$2:$D$2500))</f>
        <v>0</v>
      </c>
      <c r="FL13" s="75">
        <f t="array" ref="FL13">SUM((YEAR(Gastos!$A$2:$A$2500)=FL$1)*(MONTH(Gastos!$A$2:$A$2500)=FL$3)*(Gastos!$B$2:$B$2500=$A13)*(Gastos!$D$2:$D$2500))</f>
        <v>0</v>
      </c>
      <c r="FM13" s="75">
        <f t="array" ref="FM13">SUM((YEAR(Gastos!$A$2:$A$2500)=FM$1)*(MONTH(Gastos!$A$2:$A$2500)=FM$3)*(Gastos!$B$2:$B$2500=$A13)*(Gastos!$D$2:$D$2500))</f>
        <v>0</v>
      </c>
      <c r="FN13" s="75">
        <f t="array" ref="FN13">SUM((YEAR(Gastos!$A$2:$A$2500)=FN$1)*(MONTH(Gastos!$A$2:$A$2500)=FN$3)*(Gastos!$B$2:$B$2500=$A13)*(Gastos!$D$2:$D$2500))</f>
        <v>0</v>
      </c>
      <c r="FO13" s="75">
        <f t="array" ref="FO13">SUM((YEAR(Gastos!$A$2:$A$2500)=FO$1)*(MONTH(Gastos!$A$2:$A$2500)=FO$3)*(Gastos!$B$2:$B$2500=$A13)*(Gastos!$D$2:$D$2500))</f>
        <v>0</v>
      </c>
      <c r="FP13" s="75">
        <f t="array" ref="FP13">SUM((YEAR(Gastos!$A$2:$A$2500)=FP$1)*(MONTH(Gastos!$A$2:$A$2500)=FP$3)*(Gastos!$B$2:$B$2500=$A13)*(Gastos!$D$2:$D$2500))</f>
        <v>0</v>
      </c>
      <c r="FQ13" s="75">
        <f t="array" ref="FQ13">SUM((YEAR(Gastos!$A$2:$A$2500)=FQ$1)*(MONTH(Gastos!$A$2:$A$2500)=FQ$3)*(Gastos!$B$2:$B$2500=$A13)*(Gastos!$D$2:$D$2500))</f>
        <v>0</v>
      </c>
      <c r="FR13" s="75">
        <f t="array" ref="FR13">SUM((YEAR(Gastos!$A$2:$A$2500)=FR$1)*(MONTH(Gastos!$A$2:$A$2500)=FR$3)*(Gastos!$B$2:$B$2500=$A13)*(Gastos!$D$2:$D$2500))</f>
        <v>0</v>
      </c>
      <c r="FS13" s="75">
        <f t="array" ref="FS13">SUM((YEAR(Gastos!$A$2:$A$2500)=FS$1)*(MONTH(Gastos!$A$2:$A$2500)=FS$3)*(Gastos!$B$2:$B$2500=$A13)*(Gastos!$D$2:$D$2500))</f>
        <v>0</v>
      </c>
      <c r="FT13" s="75">
        <f t="array" ref="FT13">SUM((YEAR(Gastos!$A$2:$A$2500)=FT$1)*(MONTH(Gastos!$A$2:$A$2500)=FT$3)*(Gastos!$B$2:$B$2500=$A13)*(Gastos!$D$2:$D$2500))</f>
        <v>0</v>
      </c>
      <c r="FU13" s="75">
        <f t="array" ref="FU13">SUM((YEAR(Gastos!$A$2:$A$2500)=FU$1)*(MONTH(Gastos!$A$2:$A$2500)=FU$3)*(Gastos!$B$2:$B$2500=$A13)*(Gastos!$D$2:$D$2500))</f>
        <v>0</v>
      </c>
      <c r="FV13" s="75">
        <f t="array" ref="FV13">SUM((YEAR(Gastos!$A$2:$A$2500)=FV$1)*(MONTH(Gastos!$A$2:$A$2500)=FV$3)*(Gastos!$B$2:$B$2500=$A13)*(Gastos!$D$2:$D$2500))</f>
        <v>0</v>
      </c>
      <c r="FW13" s="75">
        <f t="array" ref="FW13">SUM((YEAR(Gastos!$A$2:$A$2500)=FW$1)*(MONTH(Gastos!$A$2:$A$2500)=FW$3)*(Gastos!$B$2:$B$2500=$A13)*(Gastos!$D$2:$D$2500))</f>
        <v>0</v>
      </c>
      <c r="FX13" s="75">
        <f t="array" ref="FX13">SUM((YEAR(Gastos!$A$2:$A$2500)=FX$1)*(MONTH(Gastos!$A$2:$A$2500)=FX$3)*(Gastos!$B$2:$B$2500=$A13)*(Gastos!$D$2:$D$2500))</f>
        <v>0</v>
      </c>
      <c r="FY13" s="75">
        <f t="array" ref="FY13">SUM((YEAR(Gastos!$A$2:$A$2500)=FY$1)*(MONTH(Gastos!$A$2:$A$2500)=FY$3)*(Gastos!$B$2:$B$2500=$A13)*(Gastos!$D$2:$D$2500))</f>
        <v>0</v>
      </c>
      <c r="FZ13" s="76">
        <f t="shared" si="65"/>
        <v>97839.77</v>
      </c>
      <c r="GA13" s="80"/>
      <c r="GB13" s="78">
        <f t="shared" si="66"/>
        <v>0</v>
      </c>
      <c r="GF13" s="79">
        <f t="array" ref="GF13">SUM(((Gastos!$A$2:$A$1647)&gt;=GD$3)*((Gastos!$A$2:$A$1647)&lt;=GF$3)*(Gastos!$B$2:$B$1647=$A13)*(Gastos!$D$2:$D$1647))</f>
        <v>0</v>
      </c>
      <c r="GI13" s="79">
        <f t="array" ref="GI13">SUM(((Gastos!$A$2:$A$1647)&gt;=GG$3)*((Gastos!$A$2:$A$1647)&lt;=GI$3)*(Gastos!$B$2:$B$1647=$A13)*(Gastos!$D$2:$D$1647))</f>
        <v>0</v>
      </c>
      <c r="GL13" s="100">
        <f>DN120</f>
        <v>2023</v>
      </c>
      <c r="GM13" s="102">
        <f>DO120</f>
        <v>335145</v>
      </c>
      <c r="GN13" s="102">
        <f>DP120</f>
        <v>183148.27000000002</v>
      </c>
      <c r="GO13" s="102">
        <f>DQ120</f>
        <v>20897.64</v>
      </c>
      <c r="GP13" s="106">
        <v>568560.55699999991</v>
      </c>
      <c r="GQ13" s="105">
        <f t="shared" si="64"/>
        <v>539190.91</v>
      </c>
      <c r="GR13" s="109">
        <f t="shared" si="67"/>
        <v>580215.91</v>
      </c>
      <c r="GS13" s="107">
        <v>41025</v>
      </c>
    </row>
    <row r="14" spans="1:201" ht="15" thickBot="1" x14ac:dyDescent="0.4">
      <c r="A14" s="74" t="str">
        <f>Gastos!AA12</f>
        <v>F. SERV BANCA INTERNET</v>
      </c>
      <c r="B14" s="75">
        <f t="array" ref="B14">SUM((YEAR(Gastos!$A$2:$A$2500)=B$1)*(MONTH(Gastos!$A$2:$A$2500)=B$3)*(Gastos!$B$2:$B$2500=$A14)*(Gastos!$D$2:$D$2500))</f>
        <v>220</v>
      </c>
      <c r="C14" s="75">
        <f t="array" ref="C14">SUM((YEAR(Gastos!$A$2:$A$2500)=C$1)*(MONTH(Gastos!$A$2:$A$2500)=C$3)*(Gastos!$B$2:$B$2500=$A14)*(Gastos!$D$2:$D$2500))</f>
        <v>220</v>
      </c>
      <c r="D14" s="75">
        <f t="array" ref="D14">SUM((YEAR(Gastos!$A$2:$A$2500)=D$1)*(MONTH(Gastos!$A$2:$A$2500)=D$3)*(Gastos!$B$2:$B$2500=$A14)*(Gastos!$D$2:$D$2500))</f>
        <v>220</v>
      </c>
      <c r="E14" s="75">
        <f t="array" ref="E14">SUM((YEAR(Gastos!$A$2:$A$2500)=E$1)*(MONTH(Gastos!$A$2:$A$2500)=E$3)*(Gastos!$B$2:$B$2500=$A14)*(Gastos!$D$2:$D$2500))</f>
        <v>0</v>
      </c>
      <c r="F14" s="75">
        <f t="array" ref="F14">SUM((YEAR(Gastos!$A$2:$A$2500)=F$1)*(MONTH(Gastos!$A$2:$A$2500)=F$3)*(Gastos!$B$2:$B$2500=$A14)*(Gastos!$D$2:$D$2500))</f>
        <v>220</v>
      </c>
      <c r="G14" s="75">
        <f t="array" ref="G14">SUM((YEAR(Gastos!$A$2:$A$2500)=G$1)*(MONTH(Gastos!$A$2:$A$2500)=G$3)*(Gastos!$B$2:$B$2500=$A14)*(Gastos!$D$2:$D$2500))</f>
        <v>247</v>
      </c>
      <c r="H14" s="75">
        <f t="array" ref="H14">SUM((YEAR(Gastos!$A$2:$A$2500)=H$1)*(MONTH(Gastos!$A$2:$A$2500)=H$3)*(Gastos!$B$2:$B$2500=$A14)*(Gastos!$D$2:$D$2500))</f>
        <v>250</v>
      </c>
      <c r="I14" s="75">
        <f t="array" ref="I14">SUM((YEAR(Gastos!$A$2:$A$2500)=I$1)*(MONTH(Gastos!$A$2:$A$2500)=I$3)*(Gastos!$B$2:$B$2500=$A14)*(Gastos!$D$2:$D$2500))</f>
        <v>250</v>
      </c>
      <c r="J14" s="75">
        <f t="array" ref="J14">SUM((YEAR(Gastos!$A$2:$A$2500)=J$1)*(MONTH(Gastos!$A$2:$A$2500)=J$3)*(Gastos!$B$2:$B$2500=$A14)*(Gastos!$D$2:$D$2500))</f>
        <v>260</v>
      </c>
      <c r="K14" s="75">
        <f t="array" ref="K14">SUM((YEAR(Gastos!$A$2:$A$2500)=K$1)*(MONTH(Gastos!$A$2:$A$2500)=K$3)*(Gastos!$B$2:$B$2500=$A14)*(Gastos!$D$2:$D$2500))</f>
        <v>220</v>
      </c>
      <c r="L14" s="75">
        <f t="array" ref="L14">SUM((YEAR(Gastos!$A$2:$A$2500)=L$1)*(MONTH(Gastos!$A$2:$A$2500)=L$3)*(Gastos!$B$2:$B$2500=$A14)*(Gastos!$D$2:$D$2500))</f>
        <v>235</v>
      </c>
      <c r="M14" s="75">
        <f t="array" ref="M14">SUM((YEAR(Gastos!$A$2:$A$2500)=M$1)*(MONTH(Gastos!$A$2:$A$2500)=M$3)*(Gastos!$B$2:$B$2500=$A14)*(Gastos!$D$2:$D$2500))</f>
        <v>220</v>
      </c>
      <c r="N14" s="75">
        <f t="array" ref="N14">SUM((YEAR(Gastos!$A$2:$A$2500)=N$1)*(MONTH(Gastos!$A$2:$A$2500)=N$3)*(Gastos!$B$2:$B$2500=$A14)*(Gastos!$D$2:$D$2500))</f>
        <v>220</v>
      </c>
      <c r="O14" s="75">
        <f t="array" ref="O14">SUM((YEAR(Gastos!$A$2:$A$2500)=O$1)*(MONTH(Gastos!$A$2:$A$2500)=O$3)*(Gastos!$B$2:$B$2500=$A14)*(Gastos!$D$2:$D$2500))</f>
        <v>240</v>
      </c>
      <c r="P14" s="75">
        <f t="array" ref="P14">SUM((YEAR(Gastos!$A$2:$A$2500)=P$1)*(MONTH(Gastos!$A$2:$A$2500)=P$3)*(Gastos!$B$2:$B$2500=$A14)*(Gastos!$D$2:$D$2500))</f>
        <v>220</v>
      </c>
      <c r="Q14" s="75">
        <f t="array" ref="Q14">SUM((YEAR(Gastos!$A$2:$A$2500)=Q$1)*(MONTH(Gastos!$A$2:$A$2500)=Q$3)*(Gastos!$B$2:$B$2500=$A14)*(Gastos!$D$2:$D$2500))</f>
        <v>245</v>
      </c>
      <c r="R14" s="75">
        <f t="array" ref="R14">SUM((YEAR(Gastos!$A$2:$A$2500)=R$1)*(MONTH(Gastos!$A$2:$A$2500)=R$3)*(Gastos!$B$2:$B$2500=$A14)*(Gastos!$D$2:$D$2500))</f>
        <v>220</v>
      </c>
      <c r="S14" s="75">
        <f t="array" ref="S14">SUM((YEAR(Gastos!$A$2:$A$2500)=S$1)*(MONTH(Gastos!$A$2:$A$2500)=S$3)*(Gastos!$B$2:$B$2500=$A14)*(Gastos!$D$2:$D$2500))</f>
        <v>255</v>
      </c>
      <c r="T14" s="75">
        <f t="array" ref="T14">SUM((YEAR(Gastos!$A$2:$A$2500)=T$1)*(MONTH(Gastos!$A$2:$A$2500)=T$3)*(Gastos!$B$2:$B$2500=$A14)*(Gastos!$D$2:$D$2500))</f>
        <v>240</v>
      </c>
      <c r="U14" s="75">
        <f t="array" ref="U14">SUM((YEAR(Gastos!$A$2:$A$2500)=U$1)*(MONTH(Gastos!$A$2:$A$2500)=U$3)*(Gastos!$B$2:$B$2500=$A14)*(Gastos!$D$2:$D$2500))</f>
        <v>220</v>
      </c>
      <c r="V14" s="75">
        <f t="array" ref="V14">SUM((YEAR(Gastos!$A$2:$A$2500)=V$1)*(MONTH(Gastos!$A$2:$A$2500)=V$3)*(Gastos!$B$2:$B$2500=$A14)*(Gastos!$D$2:$D$2500))</f>
        <v>250</v>
      </c>
      <c r="W14" s="75">
        <f t="array" ref="W14">SUM((YEAR(Gastos!$A$2:$A$2500)=W$1)*(MONTH(Gastos!$A$2:$A$2500)=W$3)*(Gastos!$B$2:$B$2500=$A14)*(Gastos!$D$2:$D$2500))</f>
        <v>275</v>
      </c>
      <c r="X14" s="75">
        <f t="array" ref="X14">SUM((YEAR(Gastos!$A$2:$A$2500)=X$1)*(MONTH(Gastos!$A$2:$A$2500)=X$3)*(Gastos!$B$2:$B$2500=$A14)*(Gastos!$D$2:$D$2500))</f>
        <v>280</v>
      </c>
      <c r="Y14" s="75">
        <f t="array" ref="Y14">SUM((YEAR(Gastos!$A$2:$A$2500)=Y$1)*(MONTH(Gastos!$A$2:$A$2500)=Y$3)*(Gastos!$B$2:$B$2500=$A14)*(Gastos!$D$2:$D$2500))</f>
        <v>280</v>
      </c>
      <c r="Z14" s="75">
        <f t="array" ref="Z14">SUM((YEAR(Gastos!$A$2:$A$2500)=Z$1)*(MONTH(Gastos!$A$2:$A$2500)=Z$3)*(Gastos!$B$2:$B$2500=$A14)*(Gastos!$D$2:$D$2500))</f>
        <v>250</v>
      </c>
      <c r="AA14" s="75">
        <f t="array" ref="AA14">SUM((YEAR(Gastos!$A$2:$A$2500)=AA$1)*(MONTH(Gastos!$A$2:$A$2500)=AA$3)*(Gastos!$B$2:$B$2500=$A14)*(Gastos!$D$2:$D$2500))</f>
        <v>265</v>
      </c>
      <c r="AB14" s="75">
        <f t="array" ref="AB14">SUM((YEAR(Gastos!$A$2:$A$2500)=AB$1)*(MONTH(Gastos!$A$2:$A$2500)=AB$3)*(Gastos!$B$2:$B$2500=$A14)*(Gastos!$D$2:$D$2500))</f>
        <v>250</v>
      </c>
      <c r="AC14" s="75">
        <f t="array" ref="AC14">SUM((YEAR(Gastos!$A$2:$A$2500)=AC$1)*(MONTH(Gastos!$A$2:$A$2500)=AC$3)*(Gastos!$B$2:$B$2500=$A14)*(Gastos!$D$2:$D$2500))</f>
        <v>250</v>
      </c>
      <c r="AD14" s="75">
        <f t="array" ref="AD14">SUM((YEAR(Gastos!$A$2:$A$2500)=AD$1)*(MONTH(Gastos!$A$2:$A$2500)=AD$3)*(Gastos!$B$2:$B$2500=$A14)*(Gastos!$D$2:$D$2500))</f>
        <v>260</v>
      </c>
      <c r="AE14" s="75">
        <f t="array" ref="AE14">SUM((YEAR(Gastos!$A$2:$A$2500)=AE$1)*(MONTH(Gastos!$A$2:$A$2500)=AE$3)*(Gastos!$B$2:$B$2500=$A14)*(Gastos!$D$2:$D$2500))</f>
        <v>250</v>
      </c>
      <c r="AF14" s="75">
        <f t="array" ref="AF14">SUM((YEAR(Gastos!$A$2:$A$2500)=AF$1)*(MONTH(Gastos!$A$2:$A$2500)=AF$3)*(Gastos!$B$2:$B$2500=$A14)*(Gastos!$D$2:$D$2500))</f>
        <v>270</v>
      </c>
      <c r="AG14" s="75">
        <f t="array" ref="AG14">SUM((YEAR(Gastos!$A$2:$A$2500)=AG$1)*(MONTH(Gastos!$A$2:$A$2500)=AG$3)*(Gastos!$B$2:$B$2500=$A14)*(Gastos!$D$2:$D$2500))</f>
        <v>280</v>
      </c>
      <c r="AH14" s="75">
        <f t="array" ref="AH14">SUM((YEAR(Gastos!$A$2:$A$2500)=AH$1)*(MONTH(Gastos!$A$2:$A$2500)=AH$3)*(Gastos!$B$2:$B$2500=$A14)*(Gastos!$D$2:$D$2500))</f>
        <v>265</v>
      </c>
      <c r="AI14" s="75">
        <f t="array" ref="AI14">SUM((YEAR(Gastos!$A$2:$A$2500)=AI$1)*(MONTH(Gastos!$A$2:$A$2500)=AI$3)*(Gastos!$B$2:$B$2500=$A14)*(Gastos!$D$2:$D$2500))</f>
        <v>270</v>
      </c>
      <c r="AJ14" s="75">
        <f t="array" ref="AJ14">SUM((YEAR(Gastos!$A$2:$A$2500)=AJ$1)*(MONTH(Gastos!$A$2:$A$2500)=AJ$3)*(Gastos!$B$2:$B$2500=$A14)*(Gastos!$D$2:$D$2500))</f>
        <v>275</v>
      </c>
      <c r="AK14" s="75">
        <f t="array" ref="AK14">SUM((YEAR(Gastos!$A$2:$A$2500)=AK$1)*(MONTH(Gastos!$A$2:$A$2500)=AK$3)*(Gastos!$B$2:$B$2500=$A14)*(Gastos!$D$2:$D$2500))</f>
        <v>250</v>
      </c>
      <c r="AL14" s="75">
        <f t="array" ref="AL14">SUM((YEAR(Gastos!$A$2:$A$2500)=AL$1)*(MONTH(Gastos!$A$2:$A$2500)=AL$3)*(Gastos!$B$2:$B$2500=$A14)*(Gastos!$D$2:$D$2500))</f>
        <v>250</v>
      </c>
      <c r="AM14" s="75">
        <f t="array" ref="AM14">SUM((YEAR(Gastos!$A$2:$A$2500)=AM$1)*(MONTH(Gastos!$A$2:$A$2500)=AM$3)*(Gastos!$B$2:$B$2500=$A14)*(Gastos!$D$2:$D$2500))</f>
        <v>265</v>
      </c>
      <c r="AN14" s="75">
        <f t="array" ref="AN14">SUM((YEAR(Gastos!$A$2:$A$2500)=AN$1)*(MONTH(Gastos!$A$2:$A$2500)=AN$3)*(Gastos!$B$2:$B$2500=$A14)*(Gastos!$D$2:$D$2500))</f>
        <v>250</v>
      </c>
      <c r="AO14" s="75">
        <f t="array" ref="AO14">SUM((YEAR(Gastos!$A$2:$A$2500)=AO$1)*(MONTH(Gastos!$A$2:$A$2500)=AO$3)*(Gastos!$B$2:$B$2500=$A14)*(Gastos!$D$2:$D$2500))</f>
        <v>265</v>
      </c>
      <c r="AP14" s="75">
        <f t="array" ref="AP14">SUM((YEAR(Gastos!$A$2:$A$2500)=AP$1)*(MONTH(Gastos!$A$2:$A$2500)=AP$3)*(Gastos!$B$2:$B$2500=$A14)*(Gastos!$D$2:$D$2500))</f>
        <v>270</v>
      </c>
      <c r="AQ14" s="75">
        <f t="array" ref="AQ14">SUM((YEAR(Gastos!$A$2:$A$2500)=AQ$1)*(MONTH(Gastos!$A$2:$A$2500)=AQ$3)*(Gastos!$B$2:$B$2500=$A14)*(Gastos!$D$2:$D$2500))</f>
        <v>270</v>
      </c>
      <c r="AR14" s="75">
        <f t="array" ref="AR14">SUM((YEAR(Gastos!$A$2:$A$2500)=AR$1)*(MONTH(Gastos!$A$2:$A$2500)=AR$3)*(Gastos!$B$2:$B$2500=$A14)*(Gastos!$D$2:$D$2500))</f>
        <v>270</v>
      </c>
      <c r="AS14" s="75">
        <f t="array" ref="AS14">SUM((YEAR(Gastos!$A$2:$A$2500)=AS$1)*(MONTH(Gastos!$A$2:$A$2500)=AS$3)*(Gastos!$B$2:$B$2500=$A14)*(Gastos!$D$2:$D$2500))</f>
        <v>261</v>
      </c>
      <c r="AT14" s="75">
        <f t="array" ref="AT14">SUM((YEAR(Gastos!$A$2:$A$2500)=AT$1)*(MONTH(Gastos!$A$2:$A$2500)=AT$3)*(Gastos!$B$2:$B$2500=$A14)*(Gastos!$D$2:$D$2500))</f>
        <v>250</v>
      </c>
      <c r="AU14" s="75">
        <f t="array" ref="AU14">SUM((YEAR(Gastos!$A$2:$A$2500)=AU$1)*(MONTH(Gastos!$A$2:$A$2500)=AU$3)*(Gastos!$B$2:$B$2500=$A14)*(Gastos!$D$2:$D$2500))</f>
        <v>255</v>
      </c>
      <c r="AV14" s="75">
        <f t="array" ref="AV14">SUM((YEAR(Gastos!$A$2:$A$2500)=AV$1)*(MONTH(Gastos!$A$2:$A$2500)=AV$3)*(Gastos!$B$2:$B$2500=$A14)*(Gastos!$D$2:$D$2500))</f>
        <v>255</v>
      </c>
      <c r="AW14" s="75">
        <f t="array" ref="AW14">SUM((YEAR(Gastos!$A$2:$A$2500)=AW$1)*(MONTH(Gastos!$A$2:$A$2500)=AW$3)*(Gastos!$B$2:$B$2500=$A14)*(Gastos!$D$2:$D$2500))</f>
        <v>260</v>
      </c>
      <c r="AX14" s="75">
        <f t="array" ref="AX14">SUM((YEAR(Gastos!$A$2:$A$2500)=AX$1)*(MONTH(Gastos!$A$2:$A$2500)=AX$3)*(Gastos!$B$2:$B$2500=$A14)*(Gastos!$D$2:$D$2500))</f>
        <v>265</v>
      </c>
      <c r="AY14" s="75">
        <f t="array" ref="AY14">SUM((YEAR(Gastos!$A$2:$A$2500)=AY$1)*(MONTH(Gastos!$A$2:$A$2500)=AY$3)*(Gastos!$B$2:$B$2500=$A14)*(Gastos!$D$2:$D$2500))</f>
        <v>260</v>
      </c>
      <c r="AZ14" s="75">
        <f t="array" ref="AZ14">SUM((YEAR(Gastos!$A$2:$A$2500)=AZ$1)*(MONTH(Gastos!$A$2:$A$2500)=AZ$3)*(Gastos!$B$2:$B$2500=$A14)*(Gastos!$D$2:$D$2500))</f>
        <v>260</v>
      </c>
      <c r="BA14" s="75">
        <f t="array" ref="BA14">SUM((YEAR(Gastos!$A$2:$A$2500)=BA$1)*(MONTH(Gastos!$A$2:$A$2500)=BA$3)*(Gastos!$B$2:$B$2500=$A14)*(Gastos!$D$2:$D$2500))</f>
        <v>255</v>
      </c>
      <c r="BB14" s="75">
        <f t="array" ref="BB14">SUM((YEAR(Gastos!$A$2:$A$2500)=BB$1)*(MONTH(Gastos!$A$2:$A$2500)=BB$3)*(Gastos!$B$2:$B$2500=$A14)*(Gastos!$D$2:$D$2500))</f>
        <v>250</v>
      </c>
      <c r="BC14" s="75">
        <f t="array" ref="BC14">SUM((YEAR(Gastos!$A$2:$A$2500)=BC$1)*(MONTH(Gastos!$A$2:$A$2500)=BC$3)*(Gastos!$B$2:$B$2500=$A14)*(Gastos!$D$2:$D$2500))</f>
        <v>250</v>
      </c>
      <c r="BD14" s="75">
        <f t="array" ref="BD14">SUM((YEAR(Gastos!$A$2:$A$2500)=BD$1)*(MONTH(Gastos!$A$2:$A$2500)=BD$3)*(Gastos!$B$2:$B$2500=$A14)*(Gastos!$D$2:$D$2500))</f>
        <v>54</v>
      </c>
      <c r="BE14" s="75">
        <f t="array" ref="BE14">SUM((YEAR(Gastos!$A$2:$A$2500)=BE$1)*(MONTH(Gastos!$A$2:$A$2500)=BE$3)*(Gastos!$B$2:$B$2500=$A14)*(Gastos!$D$2:$D$2500))</f>
        <v>41</v>
      </c>
      <c r="BF14" s="75">
        <f t="array" ref="BF14">SUM((YEAR(Gastos!$A$2:$A$2500)=BF$1)*(MONTH(Gastos!$A$2:$A$2500)=BF$3)*(Gastos!$B$2:$B$2500=$A14)*(Gastos!$D$2:$D$2500))</f>
        <v>87</v>
      </c>
      <c r="BG14" s="75">
        <f t="array" ref="BG14">SUM((YEAR(Gastos!$A$2:$A$2500)=BG$1)*(MONTH(Gastos!$A$2:$A$2500)=BG$3)*(Gastos!$B$2:$B$2500=$A14)*(Gastos!$D$2:$D$2500))</f>
        <v>80</v>
      </c>
      <c r="BH14" s="75">
        <f t="array" ref="BH14">SUM((YEAR(Gastos!$A$2:$A$2500)=BH$1)*(MONTH(Gastos!$A$2:$A$2500)=BH$3)*(Gastos!$B$2:$B$2500=$A14)*(Gastos!$D$2:$D$2500))</f>
        <v>102</v>
      </c>
      <c r="BI14" s="75">
        <f t="array" ref="BI14">SUM((YEAR(Gastos!$A$2:$A$2500)=BI$1)*(MONTH(Gastos!$A$2:$A$2500)=BI$3)*(Gastos!$B$2:$B$2500=$A14)*(Gastos!$D$2:$D$2500))</f>
        <v>82</v>
      </c>
      <c r="BJ14" s="75">
        <f t="array" ref="BJ14">SUM((YEAR(Gastos!$A$2:$A$2500)=BJ$1)*(MONTH(Gastos!$A$2:$A$2500)=BJ$3)*(Gastos!$B$2:$B$2500=$A14)*(Gastos!$D$2:$D$2500))</f>
        <v>83</v>
      </c>
      <c r="BK14" s="75">
        <f t="array" ref="BK14">SUM((YEAR(Gastos!$A$2:$A$2500)=BK$1)*(MONTH(Gastos!$A$2:$A$2500)=BK$3)*(Gastos!$B$2:$B$2500=$A14)*(Gastos!$D$2:$D$2500))</f>
        <v>0</v>
      </c>
      <c r="BL14" s="75">
        <f t="array" ref="BL14">SUM((YEAR(Gastos!$A$2:$A$2500)=BL$1)*(MONTH(Gastos!$A$2:$A$2500)=BL$3)*(Gastos!$B$2:$B$2500=$A14)*(Gastos!$D$2:$D$2500))</f>
        <v>92</v>
      </c>
      <c r="BM14" s="75">
        <f t="array" ref="BM14">SUM((YEAR(Gastos!$A$2:$A$2500)=BM$1)*(MONTH(Gastos!$A$2:$A$2500)=BM$3)*(Gastos!$B$2:$B$2500=$A14)*(Gastos!$D$2:$D$2500))</f>
        <v>0</v>
      </c>
      <c r="BN14" s="75">
        <f t="array" ref="BN14">SUM((YEAR(Gastos!$A$2:$A$2500)=BN$1)*(MONTH(Gastos!$A$2:$A$2500)=BN$3)*(Gastos!$B$2:$B$2500=$A14)*(Gastos!$D$2:$D$2500))</f>
        <v>0</v>
      </c>
      <c r="BO14" s="75">
        <f t="array" ref="BO14">SUM((YEAR(Gastos!$A$2:$A$2500)=BO$1)*(MONTH(Gastos!$A$2:$A$2500)=BO$3)*(Gastos!$B$2:$B$2500=$A14)*(Gastos!$D$2:$D$2500))</f>
        <v>0</v>
      </c>
      <c r="BP14" s="75">
        <f t="array" ref="BP14">SUM((YEAR(Gastos!$A$2:$A$2500)=BP$1)*(MONTH(Gastos!$A$2:$A$2500)=BP$3)*(Gastos!$B$2:$B$2500=$A14)*(Gastos!$D$2:$D$2500))</f>
        <v>0</v>
      </c>
      <c r="BQ14" s="75">
        <f t="array" ref="BQ14">SUM((YEAR(Gastos!$A$2:$A$2500)=BQ$1)*(MONTH(Gastos!$A$2:$A$2500)=BQ$3)*(Gastos!$B$2:$B$2500=$A14)*(Gastos!$D$2:$D$2500))</f>
        <v>250</v>
      </c>
      <c r="BR14" s="75">
        <f t="array" ref="BR14">SUM((YEAR(Gastos!$A$2:$A$2500)=BR$1)*(MONTH(Gastos!$A$2:$A$2500)=BR$3)*(Gastos!$B$2:$B$2500=$A14)*(Gastos!$D$2:$D$2500))</f>
        <v>250</v>
      </c>
      <c r="BS14" s="75">
        <f t="array" ref="BS14">SUM((YEAR(Gastos!$A$2:$A$2500)=BS$1)*(MONTH(Gastos!$A$2:$A$2500)=BS$3)*(Gastos!$B$2:$B$2500=$A14)*(Gastos!$D$2:$D$2500))</f>
        <v>250</v>
      </c>
      <c r="BT14" s="75">
        <f t="array" ref="BT14">SUM((YEAR(Gastos!$A$2:$A$2500)=BT$1)*(MONTH(Gastos!$A$2:$A$2500)=BT$3)*(Gastos!$B$2:$B$2500=$A14)*(Gastos!$D$2:$D$2500))</f>
        <v>250</v>
      </c>
      <c r="BU14" s="75">
        <f t="array" ref="BU14">SUM((YEAR(Gastos!$A$2:$A$2500)=BU$1)*(MONTH(Gastos!$A$2:$A$2500)=BU$3)*(Gastos!$B$2:$B$2500=$A14)*(Gastos!$D$2:$D$2500))</f>
        <v>250</v>
      </c>
      <c r="BV14" s="75">
        <f t="array" ref="BV14">SUM((YEAR(Gastos!$A$2:$A$2500)=BV$1)*(MONTH(Gastos!$A$2:$A$2500)=BV$3)*(Gastos!$B$2:$B$2500=$A14)*(Gastos!$D$2:$D$2500))</f>
        <v>250</v>
      </c>
      <c r="BW14" s="75">
        <f t="array" ref="BW14">SUM((YEAR(Gastos!$A$2:$A$2500)=BW$1)*(MONTH(Gastos!$A$2:$A$2500)=BW$3)*(Gastos!$B$2:$B$2500=$A14)*(Gastos!$D$2:$D$2500))</f>
        <v>250</v>
      </c>
      <c r="BX14" s="75">
        <f t="array" ref="BX14">SUM((YEAR(Gastos!$A$2:$A$2500)=BX$1)*(MONTH(Gastos!$A$2:$A$2500)=BX$3)*(Gastos!$B$2:$B$2500=$A14)*(Gastos!$D$2:$D$2500))</f>
        <v>250</v>
      </c>
      <c r="BY14" s="75">
        <f t="array" ref="BY14">SUM((YEAR(Gastos!$A$2:$A$2500)=BY$1)*(MONTH(Gastos!$A$2:$A$2500)=BY$3)*(Gastos!$B$2:$B$2500=$A14)*(Gastos!$D$2:$D$2500))</f>
        <v>250</v>
      </c>
      <c r="BZ14" s="75">
        <f t="array" ref="BZ14">SUM((YEAR(Gastos!$A$2:$A$2500)=BZ$1)*(MONTH(Gastos!$A$2:$A$2500)=BZ$3)*(Gastos!$B$2:$B$2500=$A14)*(Gastos!$D$2:$D$2500))</f>
        <v>250</v>
      </c>
      <c r="CA14" s="75">
        <f t="array" ref="CA14">SUM((YEAR(Gastos!$A$2:$A$2500)=CA$1)*(MONTH(Gastos!$A$2:$A$2500)=CA$3)*(Gastos!$B$2:$B$2500=$A14)*(Gastos!$D$2:$D$2500))</f>
        <v>250</v>
      </c>
      <c r="CB14" s="75">
        <f t="array" ref="CB14">SUM((YEAR(Gastos!$A$2:$A$2500)=CB$1)*(MONTH(Gastos!$A$2:$A$2500)=CB$3)*(Gastos!$B$2:$B$2500=$A14)*(Gastos!$D$2:$D$2500))</f>
        <v>250</v>
      </c>
      <c r="CC14" s="75">
        <f t="array" ref="CC14">SUM((YEAR(Gastos!$A$2:$A$2500)=CC$1)*(MONTH(Gastos!$A$2:$A$2500)=CC$3)*(Gastos!$B$2:$B$2500=$A14)*(Gastos!$D$2:$D$2500))</f>
        <v>250</v>
      </c>
      <c r="CD14" s="75">
        <f t="array" ref="CD14">SUM((YEAR(Gastos!$A$2:$A$2500)=CD$1)*(MONTH(Gastos!$A$2:$A$2500)=CD$3)*(Gastos!$B$2:$B$2500=$A14)*(Gastos!$D$2:$D$2500))</f>
        <v>250</v>
      </c>
      <c r="CE14" s="75">
        <f t="array" ref="CE14">SUM((YEAR(Gastos!$A$2:$A$2500)=CE$1)*(MONTH(Gastos!$A$2:$A$2500)=CE$3)*(Gastos!$B$2:$B$2500=$A14)*(Gastos!$D$2:$D$2500))</f>
        <v>250</v>
      </c>
      <c r="CF14" s="75">
        <f t="array" ref="CF14">SUM((YEAR(Gastos!$A$2:$A$2500)=CF$1)*(MONTH(Gastos!$A$2:$A$2500)=CF$3)*(Gastos!$B$2:$B$2500=$A14)*(Gastos!$D$2:$D$2500))</f>
        <v>250</v>
      </c>
      <c r="CG14" s="75">
        <f t="array" ref="CG14">SUM((YEAR(Gastos!$A$2:$A$2500)=CG$1)*(MONTH(Gastos!$A$2:$A$2500)=CG$3)*(Gastos!$B$2:$B$2500=$A14)*(Gastos!$D$2:$D$2500))</f>
        <v>250</v>
      </c>
      <c r="CH14" s="75">
        <f t="array" ref="CH14">SUM((YEAR(Gastos!$A$2:$A$2500)=CH$1)*(MONTH(Gastos!$A$2:$A$2500)=CH$3)*(Gastos!$B$2:$B$2500=$A14)*(Gastos!$D$2:$D$2500))</f>
        <v>250</v>
      </c>
      <c r="CI14" s="75">
        <f t="array" ref="CI14">SUM((YEAR(Gastos!$A$2:$A$2500)=CI$1)*(MONTH(Gastos!$A$2:$A$2500)=CI$3)*(Gastos!$B$2:$B$2500=$A14)*(Gastos!$D$2:$D$2500))</f>
        <v>250</v>
      </c>
      <c r="CJ14" s="75">
        <f t="array" ref="CJ14">SUM((YEAR(Gastos!$A$2:$A$2500)=CJ$1)*(MONTH(Gastos!$A$2:$A$2500)=CJ$3)*(Gastos!$B$2:$B$2500=$A14)*(Gastos!$D$2:$D$2500))</f>
        <v>250</v>
      </c>
      <c r="CK14" s="75">
        <f t="array" ref="CK14">SUM((YEAR(Gastos!$A$2:$A$2500)=CK$1)*(MONTH(Gastos!$A$2:$A$2500)=CK$3)*(Gastos!$B$2:$B$2500=$A14)*(Gastos!$D$2:$D$2500))</f>
        <v>250</v>
      </c>
      <c r="CL14" s="75">
        <f t="array" ref="CL14">SUM((YEAR(Gastos!$A$2:$A$2500)=CL$1)*(MONTH(Gastos!$A$2:$A$2500)=CL$3)*(Gastos!$B$2:$B$2500=$A14)*(Gastos!$D$2:$D$2500))</f>
        <v>250</v>
      </c>
      <c r="CM14" s="75">
        <f t="array" ref="CM14">SUM((YEAR(Gastos!$A$2:$A$2500)=CM$1)*(MONTH(Gastos!$A$2:$A$2500)=CM$3)*(Gastos!$B$2:$B$2500=$A14)*(Gastos!$D$2:$D$2500))</f>
        <v>250</v>
      </c>
      <c r="CN14" s="75">
        <f t="array" ref="CN14">SUM((YEAR(Gastos!$A$2:$A$2500)=CN$1)*(MONTH(Gastos!$A$2:$A$2500)=CN$3)*(Gastos!$B$2:$B$2500=$A14)*(Gastos!$D$2:$D$2500))</f>
        <v>250</v>
      </c>
      <c r="CO14" s="75">
        <f t="array" ref="CO14">SUM((YEAR(Gastos!$A$2:$A$2500)=CO$1)*(MONTH(Gastos!$A$2:$A$2500)=CO$3)*(Gastos!$B$2:$B$2500=$A14)*(Gastos!$D$2:$D$2500))</f>
        <v>250</v>
      </c>
      <c r="CP14" s="75">
        <f t="array" ref="CP14">SUM((YEAR(Gastos!$A$2:$A$2500)=CP$1)*(MONTH(Gastos!$A$2:$A$2500)=CP$3)*(Gastos!$B$2:$B$2500=$A14)*(Gastos!$D$2:$D$2500))</f>
        <v>250</v>
      </c>
      <c r="CQ14" s="75">
        <f t="array" ref="CQ14">SUM((YEAR(Gastos!$A$2:$A$2500)=CQ$1)*(MONTH(Gastos!$A$2:$A$2500)=CQ$3)*(Gastos!$B$2:$B$2500=$A14)*(Gastos!$D$2:$D$2500))</f>
        <v>250</v>
      </c>
      <c r="CR14" s="75">
        <f t="array" ref="CR14">SUM((YEAR(Gastos!$A$2:$A$2500)=CR$1)*(MONTH(Gastos!$A$2:$A$2500)=CR$3)*(Gastos!$B$2:$B$2500=$A14)*(Gastos!$D$2:$D$2500))</f>
        <v>250</v>
      </c>
      <c r="CS14" s="75">
        <f t="array" ref="CS14">SUM((YEAR(Gastos!$A$2:$A$2500)=CS$1)*(MONTH(Gastos!$A$2:$A$2500)=CS$3)*(Gastos!$B$2:$B$2500=$A14)*(Gastos!$D$2:$D$2500))</f>
        <v>250</v>
      </c>
      <c r="CT14" s="75">
        <f t="array" ref="CT14">SUM((YEAR(Gastos!$A$2:$A$2500)=CT$1)*(MONTH(Gastos!$A$2:$A$2500)=CT$3)*(Gastos!$B$2:$B$2500=$A14)*(Gastos!$D$2:$D$2500))</f>
        <v>250</v>
      </c>
      <c r="CU14" s="75">
        <f t="array" ref="CU14">SUM((YEAR(Gastos!$A$2:$A$2500)=CU$1)*(MONTH(Gastos!$A$2:$A$2500)=CU$3)*(Gastos!$B$2:$B$2500=$A14)*(Gastos!$D$2:$D$2500))</f>
        <v>250</v>
      </c>
      <c r="CV14" s="75">
        <f t="array" ref="CV14">SUM((YEAR(Gastos!$A$2:$A$2500)=CV$1)*(MONTH(Gastos!$A$2:$A$2500)=CV$3)*(Gastos!$B$2:$B$2500=$A14)*(Gastos!$D$2:$D$2500))</f>
        <v>250</v>
      </c>
      <c r="CW14" s="75">
        <f t="array" ref="CW14">SUM((YEAR(Gastos!$A$2:$A$2500)=CW$1)*(MONTH(Gastos!$A$2:$A$2500)=CW$3)*(Gastos!$B$2:$B$2500=$A14)*(Gastos!$D$2:$D$2500))</f>
        <v>250</v>
      </c>
      <c r="CX14" s="75">
        <f t="array" ref="CX14">SUM((YEAR(Gastos!$A$2:$A$2500)=CX$1)*(MONTH(Gastos!$A$2:$A$2500)=CX$3)*(Gastos!$B$2:$B$2500=$A14)*(Gastos!$D$2:$D$2500))</f>
        <v>250</v>
      </c>
      <c r="CY14" s="75">
        <f t="array" ref="CY14">SUM((YEAR(Gastos!$A$2:$A$2500)=CY$1)*(MONTH(Gastos!$A$2:$A$2500)=CY$3)*(Gastos!$B$2:$B$2500=$A14)*(Gastos!$D$2:$D$2500))</f>
        <v>250</v>
      </c>
      <c r="CZ14" s="75">
        <f t="array" ref="CZ14">SUM((YEAR(Gastos!$A$2:$A$2500)=CZ$1)*(MONTH(Gastos!$A$2:$A$2500)=CZ$3)*(Gastos!$B$2:$B$2500=$A14)*(Gastos!$D$2:$D$2500))</f>
        <v>250</v>
      </c>
      <c r="DA14" s="75">
        <f t="array" ref="DA14">SUM((YEAR(Gastos!$A$2:$A$2500)=DA$1)*(MONTH(Gastos!$A$2:$A$2500)=DA$3)*(Gastos!$B$2:$B$2500=$A14)*(Gastos!$D$2:$D$2500))</f>
        <v>250</v>
      </c>
      <c r="DB14" s="75">
        <f t="array" ref="DB14">SUM((YEAR(Gastos!$A$2:$A$2500)=DB$1)*(MONTH(Gastos!$A$2:$A$2500)=DB$3)*(Gastos!$B$2:$B$2500=$A14)*(Gastos!$D$2:$D$2500))</f>
        <v>250</v>
      </c>
      <c r="DC14" s="75">
        <f t="array" ref="DC14">SUM((YEAR(Gastos!$A$2:$A$2500)=DC$1)*(MONTH(Gastos!$A$2:$A$2500)=DC$3)*(Gastos!$B$2:$B$2500=$A14)*(Gastos!$D$2:$D$2500))</f>
        <v>250</v>
      </c>
      <c r="DD14" s="75">
        <f t="array" ref="DD14">SUM((YEAR(Gastos!$A$2:$A$2500)=DD$1)*(MONTH(Gastos!$A$2:$A$2500)=DD$3)*(Gastos!$B$2:$B$2500=$A14)*(Gastos!$D$2:$D$2500))</f>
        <v>250</v>
      </c>
      <c r="DE14" s="75">
        <f t="array" ref="DE14">SUM((YEAR(Gastos!$A$2:$A$2500)=DE$1)*(MONTH(Gastos!$A$2:$A$2500)=DE$3)*(Gastos!$B$2:$B$2500=$A14)*(Gastos!$D$2:$D$2500))</f>
        <v>250</v>
      </c>
      <c r="DF14" s="75">
        <f t="array" ref="DF14">SUM((YEAR(Gastos!$A$2:$A$2500)=DF$1)*(MONTH(Gastos!$A$2:$A$2500)=DF$3)*(Gastos!$B$2:$B$2500=$A14)*(Gastos!$D$2:$D$2500))</f>
        <v>250</v>
      </c>
      <c r="DG14" s="75">
        <f t="array" ref="DG14">SUM((YEAR(Gastos!$A$2:$A$2500)=DG$1)*(MONTH(Gastos!$A$2:$A$2500)=DG$3)*(Gastos!$B$2:$B$2500=$A14)*(Gastos!$D$2:$D$2500))</f>
        <v>250</v>
      </c>
      <c r="DH14" s="75">
        <f t="array" ref="DH14">SUM((YEAR(Gastos!$A$2:$A$2500)=DH$1)*(MONTH(Gastos!$A$2:$A$2500)=DH$3)*(Gastos!$B$2:$B$2500=$A14)*(Gastos!$D$2:$D$2500))</f>
        <v>250</v>
      </c>
      <c r="DI14" s="75">
        <f t="array" ref="DI14">SUM((YEAR(Gastos!$A$2:$A$2500)=DI$1)*(MONTH(Gastos!$A$2:$A$2500)=DI$3)*(Gastos!$B$2:$B$2500=$A14)*(Gastos!$D$2:$D$2500))</f>
        <v>250</v>
      </c>
      <c r="DJ14" s="75">
        <f t="array" ref="DJ14">SUM((YEAR(Gastos!$A$2:$A$2500)=DJ$1)*(MONTH(Gastos!$A$2:$A$2500)=DJ$3)*(Gastos!$B$2:$B$2500=$A14)*(Gastos!$D$2:$D$2500))</f>
        <v>250</v>
      </c>
      <c r="DK14" s="75">
        <f t="array" ref="DK14">SUM((YEAR(Gastos!$A$2:$A$2500)=DK$1)*(MONTH(Gastos!$A$2:$A$2500)=DK$3)*(Gastos!$B$2:$B$2500=$A14)*(Gastos!$D$2:$D$2500))</f>
        <v>47.2</v>
      </c>
      <c r="DL14" s="75">
        <f t="array" ref="DL14">SUM((YEAR(Gastos!$A$2:$A$2500)=DL$1)*(MONTH(Gastos!$A$2:$A$2500)=DL$3)*(Gastos!$B$2:$B$2500=$A14)*(Gastos!$D$2:$D$2500))</f>
        <v>296.39999999999998</v>
      </c>
      <c r="DM14" s="75">
        <f t="array" ref="DM14">SUM((YEAR(Gastos!$A$2:$A$2500)=DM$1)*(MONTH(Gastos!$A$2:$A$2500)=DM$3)*(Gastos!$B$2:$B$2500=$A14)*(Gastos!$D$2:$D$2500))</f>
        <v>250</v>
      </c>
      <c r="DN14" s="75">
        <f t="array" ref="DN14">SUM((YEAR(Gastos!$A$2:$A$2500)=DN$1)*(MONTH(Gastos!$A$2:$A$2500)=DN$3)*(Gastos!$B$2:$B$2500=$A14)*(Gastos!$D$2:$D$2500))</f>
        <v>250</v>
      </c>
      <c r="DO14" s="75">
        <f t="array" ref="DO14">SUM((YEAR(Gastos!$A$2:$A$2500)=DO$1)*(MONTH(Gastos!$A$2:$A$2500)=DO$3)*(Gastos!$B$2:$B$2500=$A14)*(Gastos!$D$2:$D$2500))</f>
        <v>250</v>
      </c>
      <c r="DP14" s="75">
        <f t="array" ref="DP14">SUM((YEAR(Gastos!$A$2:$A$2500)=DP$1)*(MONTH(Gastos!$A$2:$A$2500)=DP$3)*(Gastos!$B$2:$B$2500=$A14)*(Gastos!$D$2:$D$2500))</f>
        <v>250</v>
      </c>
      <c r="DQ14" s="75">
        <f t="array" ref="DQ14">SUM((YEAR(Gastos!$A$2:$A$2500)=DQ$1)*(MONTH(Gastos!$A$2:$A$2500)=DQ$3)*(Gastos!$B$2:$B$2500=$A14)*(Gastos!$D$2:$D$2500))</f>
        <v>250</v>
      </c>
      <c r="DR14" s="75">
        <f t="array" ref="DR14">SUM((YEAR(Gastos!$A$2:$A$2500)=DR$1)*(MONTH(Gastos!$A$2:$A$2500)=DR$3)*(Gastos!$B$2:$B$2500=$A14)*(Gastos!$D$2:$D$2500))</f>
        <v>250</v>
      </c>
      <c r="DS14" s="75">
        <f t="array" ref="DS14">SUM((YEAR(Gastos!$A$2:$A$2500)=DS$1)*(MONTH(Gastos!$A$2:$A$2500)=DS$3)*(Gastos!$B$2:$B$2500=$A14)*(Gastos!$D$2:$D$2500))</f>
        <v>250</v>
      </c>
      <c r="DT14" s="75">
        <f t="array" ref="DT14">SUM((YEAR(Gastos!$A$2:$A$2500)=DT$1)*(MONTH(Gastos!$A$2:$A$2500)=DT$3)*(Gastos!$B$2:$B$2500=$A14)*(Gastos!$D$2:$D$2500))</f>
        <v>250</v>
      </c>
      <c r="DU14" s="75">
        <f t="array" ref="DU14">SUM((YEAR(Gastos!$A$2:$A$2500)=DU$1)*(MONTH(Gastos!$A$2:$A$2500)=DU$3)*(Gastos!$B$2:$B$2500=$A14)*(Gastos!$D$2:$D$2500))</f>
        <v>250</v>
      </c>
      <c r="DV14" s="75">
        <f t="array" ref="DV14">SUM((YEAR(Gastos!$A$2:$A$2500)=DV$1)*(MONTH(Gastos!$A$2:$A$2500)=DV$3)*(Gastos!$B$2:$B$2500=$A14)*(Gastos!$D$2:$D$2500))</f>
        <v>250</v>
      </c>
      <c r="DW14" s="75">
        <f t="array" ref="DW14">SUM((YEAR(Gastos!$A$2:$A$2500)=DW$1)*(MONTH(Gastos!$A$2:$A$2500)=DW$3)*(Gastos!$B$2:$B$2500=$A14)*(Gastos!$D$2:$D$2500))</f>
        <v>250</v>
      </c>
      <c r="DX14" s="75">
        <f t="array" ref="DX14">SUM((YEAR(Gastos!$A$2:$A$2500)=DX$1)*(MONTH(Gastos!$A$2:$A$2500)=DX$3)*(Gastos!$B$2:$B$2500=$A14)*(Gastos!$D$2:$D$2500))</f>
        <v>250</v>
      </c>
      <c r="DY14" s="75">
        <f t="array" ref="DY14">SUM((YEAR(Gastos!$A$2:$A$2500)=DY$1)*(MONTH(Gastos!$A$2:$A$2500)=DY$3)*(Gastos!$B$2:$B$2500=$A14)*(Gastos!$D$2:$D$2500))</f>
        <v>250</v>
      </c>
      <c r="DZ14" s="75">
        <f t="array" ref="DZ14">SUM((YEAR(Gastos!$A$2:$A$2500)=DZ$1)*(MONTH(Gastos!$A$2:$A$2500)=DZ$3)*(Gastos!$B$2:$B$2500=$A14)*(Gastos!$D$2:$D$2500))</f>
        <v>250</v>
      </c>
      <c r="EA14" s="75">
        <f t="array" ref="EA14">SUM((YEAR(Gastos!$A$2:$A$2500)=EA$1)*(MONTH(Gastos!$A$2:$A$2500)=EA$3)*(Gastos!$B$2:$B$2500=$A14)*(Gastos!$D$2:$D$2500))</f>
        <v>250</v>
      </c>
      <c r="EB14" s="75">
        <f t="array" ref="EB14">SUM((YEAR(Gastos!$A$2:$A$2500)=EB$1)*(MONTH(Gastos!$A$2:$A$2500)=EB$3)*(Gastos!$B$2:$B$2500=$A14)*(Gastos!$D$2:$D$2500))</f>
        <v>250</v>
      </c>
      <c r="EC14" s="75">
        <f t="array" ref="EC14">SUM((YEAR(Gastos!$A$2:$A$2500)=EC$1)*(MONTH(Gastos!$A$2:$A$2500)=EC$3)*(Gastos!$B$2:$B$2500=$A14)*(Gastos!$D$2:$D$2500))</f>
        <v>250</v>
      </c>
      <c r="ED14" s="75">
        <f t="array" ref="ED14">SUM((YEAR(Gastos!$A$2:$A$2500)=ED$1)*(MONTH(Gastos!$A$2:$A$2500)=ED$3)*(Gastos!$B$2:$B$2500=$A14)*(Gastos!$D$2:$D$2500))</f>
        <v>250</v>
      </c>
      <c r="EE14" s="75">
        <f t="array" ref="EE14">SUM((YEAR(Gastos!$A$2:$A$2500)=EE$1)*(MONTH(Gastos!$A$2:$A$2500)=EE$3)*(Gastos!$B$2:$B$2500=$A14)*(Gastos!$D$2:$D$2500))</f>
        <v>0</v>
      </c>
      <c r="EF14" s="75">
        <f t="array" ref="EF14">SUM((YEAR(Gastos!$A$2:$A$2500)=EF$1)*(MONTH(Gastos!$A$2:$A$2500)=EF$3)*(Gastos!$B$2:$B$2500=$A14)*(Gastos!$D$2:$D$2500))</f>
        <v>0</v>
      </c>
      <c r="EG14" s="75">
        <f t="array" ref="EG14">SUM((YEAR(Gastos!$A$2:$A$2500)=EG$1)*(MONTH(Gastos!$A$2:$A$2500)=EG$3)*(Gastos!$B$2:$B$2500=$A14)*(Gastos!$D$2:$D$2500))</f>
        <v>250</v>
      </c>
      <c r="EH14" s="75">
        <f t="array" ref="EH14">SUM((YEAR(Gastos!$A$2:$A$2500)=EH$1)*(MONTH(Gastos!$A$2:$A$2500)=EH$3)*(Gastos!$B$2:$B$2500=$A14)*(Gastos!$D$2:$D$2500))</f>
        <v>250</v>
      </c>
      <c r="EI14" s="75">
        <f t="array" ref="EI14">SUM((YEAR(Gastos!$A$2:$A$2500)=EI$1)*(MONTH(Gastos!$A$2:$A$2500)=EI$3)*(Gastos!$B$2:$B$2500=$A14)*(Gastos!$D$2:$D$2500))</f>
        <v>250</v>
      </c>
      <c r="EJ14" s="75">
        <f t="array" ref="EJ14">SUM((YEAR(Gastos!$A$2:$A$2500)=EJ$1)*(MONTH(Gastos!$A$2:$A$2500)=EJ$3)*(Gastos!$B$2:$B$2500=$A14)*(Gastos!$D$2:$D$2500))</f>
        <v>0</v>
      </c>
      <c r="EK14" s="75">
        <f t="array" ref="EK14">SUM((YEAR(Gastos!$A$2:$A$2500)=EK$1)*(MONTH(Gastos!$A$2:$A$2500)=EK$3)*(Gastos!$B$2:$B$2500=$A14)*(Gastos!$D$2:$D$2500))</f>
        <v>250</v>
      </c>
      <c r="EL14" s="75">
        <f t="array" ref="EL14">SUM((YEAR(Gastos!$A$2:$A$2500)=EL$1)*(MONTH(Gastos!$A$2:$A$2500)=EL$3)*(Gastos!$B$2:$B$2500=$A14)*(Gastos!$D$2:$D$2500))</f>
        <v>250</v>
      </c>
      <c r="EM14" s="75">
        <f t="array" ref="EM14">SUM((YEAR(Gastos!$A$2:$A$2500)=EM$1)*(MONTH(Gastos!$A$2:$A$2500)=EM$3)*(Gastos!$B$2:$B$2500=$A14)*(Gastos!$D$2:$D$2500))</f>
        <v>0</v>
      </c>
      <c r="EN14" s="75">
        <f t="array" ref="EN14">SUM((YEAR(Gastos!$A$2:$A$2500)=EN$1)*(MONTH(Gastos!$A$2:$A$2500)=EN$3)*(Gastos!$B$2:$B$2500=$A14)*(Gastos!$D$2:$D$2500))</f>
        <v>500</v>
      </c>
      <c r="EO14" s="75">
        <f t="array" ref="EO14">SUM((YEAR(Gastos!$A$2:$A$2500)=EO$1)*(MONTH(Gastos!$A$2:$A$2500)=EO$3)*(Gastos!$B$2:$B$2500=$A14)*(Gastos!$D$2:$D$2500))</f>
        <v>0</v>
      </c>
      <c r="EP14" s="75">
        <f t="array" ref="EP14">SUM((YEAR(Gastos!$A$2:$A$2500)=EP$1)*(MONTH(Gastos!$A$2:$A$2500)=EP$3)*(Gastos!$B$2:$B$2500=$A14)*(Gastos!$D$2:$D$2500))</f>
        <v>0</v>
      </c>
      <c r="EQ14" s="75">
        <f t="array" ref="EQ14">SUM((YEAR(Gastos!$A$2:$A$2500)=EQ$1)*(MONTH(Gastos!$A$2:$A$2500)=EQ$3)*(Gastos!$B$2:$B$2500=$A14)*(Gastos!$D$2:$D$2500))</f>
        <v>0</v>
      </c>
      <c r="ER14" s="75">
        <f t="array" ref="ER14">SUM((YEAR(Gastos!$A$2:$A$2500)=ER$1)*(MONTH(Gastos!$A$2:$A$2500)=ER$3)*(Gastos!$B$2:$B$2500=$A14)*(Gastos!$D$2:$D$2500))</f>
        <v>0</v>
      </c>
      <c r="ES14" s="75">
        <f t="array" ref="ES14">SUM((YEAR(Gastos!$A$2:$A$2500)=ES$1)*(MONTH(Gastos!$A$2:$A$2500)=ES$3)*(Gastos!$B$2:$B$2500=$A14)*(Gastos!$D$2:$D$2500))</f>
        <v>0</v>
      </c>
      <c r="ET14" s="75">
        <f t="array" ref="ET14">SUM((YEAR(Gastos!$A$2:$A$2500)=ET$1)*(MONTH(Gastos!$A$2:$A$2500)=ET$3)*(Gastos!$B$2:$B$2500=$A14)*(Gastos!$D$2:$D$2500))</f>
        <v>0</v>
      </c>
      <c r="EU14" s="75">
        <f t="array" ref="EU14">SUM((YEAR(Gastos!$A$2:$A$2500)=EU$1)*(MONTH(Gastos!$A$2:$A$2500)=EU$3)*(Gastos!$B$2:$B$2500=$A14)*(Gastos!$D$2:$D$2500))</f>
        <v>0</v>
      </c>
      <c r="EV14" s="75">
        <f t="array" ref="EV14">SUM((YEAR(Gastos!$A$2:$A$2500)=EV$1)*(MONTH(Gastos!$A$2:$A$2500)=EV$3)*(Gastos!$B$2:$B$2500=$A14)*(Gastos!$D$2:$D$2500))</f>
        <v>0</v>
      </c>
      <c r="EW14" s="75">
        <f t="array" ref="EW14">SUM((YEAR(Gastos!$A$2:$A$2500)=EW$1)*(MONTH(Gastos!$A$2:$A$2500)=EW$3)*(Gastos!$B$2:$B$2500=$A14)*(Gastos!$D$2:$D$2500))</f>
        <v>0</v>
      </c>
      <c r="EX14" s="75">
        <f t="array" ref="EX14">SUM((YEAR(Gastos!$A$2:$A$2500)=EX$1)*(MONTH(Gastos!$A$2:$A$2500)=EX$3)*(Gastos!$B$2:$B$2500=$A14)*(Gastos!$D$2:$D$2500))</f>
        <v>0</v>
      </c>
      <c r="EY14" s="75">
        <f t="array" ref="EY14">SUM((YEAR(Gastos!$A$2:$A$2500)=EY$1)*(MONTH(Gastos!$A$2:$A$2500)=EY$3)*(Gastos!$B$2:$B$2500=$A14)*(Gastos!$D$2:$D$2500))</f>
        <v>0</v>
      </c>
      <c r="EZ14" s="75">
        <f t="array" ref="EZ14">SUM((YEAR(Gastos!$A$2:$A$2500)=EZ$1)*(MONTH(Gastos!$A$2:$A$2500)=EZ$3)*(Gastos!$B$2:$B$2500=$A14)*(Gastos!$D$2:$D$2500))</f>
        <v>0</v>
      </c>
      <c r="FA14" s="75">
        <f t="array" ref="FA14">SUM((YEAR(Gastos!$A$2:$A$2500)=FA$1)*(MONTH(Gastos!$A$2:$A$2500)=FA$3)*(Gastos!$B$2:$B$2500=$A14)*(Gastos!$D$2:$D$2500))</f>
        <v>0</v>
      </c>
      <c r="FB14" s="75">
        <f t="array" ref="FB14">SUM((YEAR(Gastos!$A$2:$A$2500)=FB$1)*(MONTH(Gastos!$A$2:$A$2500)=FB$3)*(Gastos!$B$2:$B$2500=$A14)*(Gastos!$D$2:$D$2500))</f>
        <v>0</v>
      </c>
      <c r="FC14" s="75">
        <f t="array" ref="FC14">SUM((YEAR(Gastos!$A$2:$A$2500)=FC$1)*(MONTH(Gastos!$A$2:$A$2500)=FC$3)*(Gastos!$B$2:$B$2500=$A14)*(Gastos!$D$2:$D$2500))</f>
        <v>0</v>
      </c>
      <c r="FD14" s="75">
        <f t="array" ref="FD14">SUM((YEAR(Gastos!$A$2:$A$2500)=FD$1)*(MONTH(Gastos!$A$2:$A$2500)=FD$3)*(Gastos!$B$2:$B$2500=$A14)*(Gastos!$D$2:$D$2500))</f>
        <v>0</v>
      </c>
      <c r="FE14" s="75">
        <f t="array" ref="FE14">SUM((YEAR(Gastos!$A$2:$A$2500)=FE$1)*(MONTH(Gastos!$A$2:$A$2500)=FE$3)*(Gastos!$B$2:$B$2500=$A14)*(Gastos!$D$2:$D$2500))</f>
        <v>0</v>
      </c>
      <c r="FF14" s="75">
        <f t="array" ref="FF14">SUM((YEAR(Gastos!$A$2:$A$2500)=FF$1)*(MONTH(Gastos!$A$2:$A$2500)=FF$3)*(Gastos!$B$2:$B$2500=$A14)*(Gastos!$D$2:$D$2500))</f>
        <v>0</v>
      </c>
      <c r="FG14" s="75">
        <f t="array" ref="FG14">SUM((YEAR(Gastos!$A$2:$A$2500)=FG$1)*(MONTH(Gastos!$A$2:$A$2500)=FG$3)*(Gastos!$B$2:$B$2500=$A14)*(Gastos!$D$2:$D$2500))</f>
        <v>0</v>
      </c>
      <c r="FH14" s="75">
        <f t="array" ref="FH14">SUM((YEAR(Gastos!$A$2:$A$2500)=FH$1)*(MONTH(Gastos!$A$2:$A$2500)=FH$3)*(Gastos!$B$2:$B$2500=$A14)*(Gastos!$D$2:$D$2500))</f>
        <v>0</v>
      </c>
      <c r="FI14" s="75">
        <f t="array" ref="FI14">SUM((YEAR(Gastos!$A$2:$A$2500)=FI$1)*(MONTH(Gastos!$A$2:$A$2500)=FI$3)*(Gastos!$B$2:$B$2500=$A14)*(Gastos!$D$2:$D$2500))</f>
        <v>0</v>
      </c>
      <c r="FJ14" s="75">
        <f t="array" ref="FJ14">SUM((YEAR(Gastos!$A$2:$A$2500)=FJ$1)*(MONTH(Gastos!$A$2:$A$2500)=FJ$3)*(Gastos!$B$2:$B$2500=$A14)*(Gastos!$D$2:$D$2500))</f>
        <v>0</v>
      </c>
      <c r="FK14" s="75">
        <f t="array" ref="FK14">SUM((YEAR(Gastos!$A$2:$A$2500)=FK$1)*(MONTH(Gastos!$A$2:$A$2500)=FK$3)*(Gastos!$B$2:$B$2500=$A14)*(Gastos!$D$2:$D$2500))</f>
        <v>0</v>
      </c>
      <c r="FL14" s="75">
        <f t="array" ref="FL14">SUM((YEAR(Gastos!$A$2:$A$2500)=FL$1)*(MONTH(Gastos!$A$2:$A$2500)=FL$3)*(Gastos!$B$2:$B$2500=$A14)*(Gastos!$D$2:$D$2500))</f>
        <v>0</v>
      </c>
      <c r="FM14" s="75">
        <f t="array" ref="FM14">SUM((YEAR(Gastos!$A$2:$A$2500)=FM$1)*(MONTH(Gastos!$A$2:$A$2500)=FM$3)*(Gastos!$B$2:$B$2500=$A14)*(Gastos!$D$2:$D$2500))</f>
        <v>0</v>
      </c>
      <c r="FN14" s="75">
        <f t="array" ref="FN14">SUM((YEAR(Gastos!$A$2:$A$2500)=FN$1)*(MONTH(Gastos!$A$2:$A$2500)=FN$3)*(Gastos!$B$2:$B$2500=$A14)*(Gastos!$D$2:$D$2500))</f>
        <v>0</v>
      </c>
      <c r="FO14" s="75">
        <f t="array" ref="FO14">SUM((YEAR(Gastos!$A$2:$A$2500)=FO$1)*(MONTH(Gastos!$A$2:$A$2500)=FO$3)*(Gastos!$B$2:$B$2500=$A14)*(Gastos!$D$2:$D$2500))</f>
        <v>0</v>
      </c>
      <c r="FP14" s="75">
        <f t="array" ref="FP14">SUM((YEAR(Gastos!$A$2:$A$2500)=FP$1)*(MONTH(Gastos!$A$2:$A$2500)=FP$3)*(Gastos!$B$2:$B$2500=$A14)*(Gastos!$D$2:$D$2500))</f>
        <v>0</v>
      </c>
      <c r="FQ14" s="75">
        <f t="array" ref="FQ14">SUM((YEAR(Gastos!$A$2:$A$2500)=FQ$1)*(MONTH(Gastos!$A$2:$A$2500)=FQ$3)*(Gastos!$B$2:$B$2500=$A14)*(Gastos!$D$2:$D$2500))</f>
        <v>0</v>
      </c>
      <c r="FR14" s="75">
        <f t="array" ref="FR14">SUM((YEAR(Gastos!$A$2:$A$2500)=FR$1)*(MONTH(Gastos!$A$2:$A$2500)=FR$3)*(Gastos!$B$2:$B$2500=$A14)*(Gastos!$D$2:$D$2500))</f>
        <v>0</v>
      </c>
      <c r="FS14" s="75">
        <f t="array" ref="FS14">SUM((YEAR(Gastos!$A$2:$A$2500)=FS$1)*(MONTH(Gastos!$A$2:$A$2500)=FS$3)*(Gastos!$B$2:$B$2500=$A14)*(Gastos!$D$2:$D$2500))</f>
        <v>0</v>
      </c>
      <c r="FT14" s="75">
        <f t="array" ref="FT14">SUM((YEAR(Gastos!$A$2:$A$2500)=FT$1)*(MONTH(Gastos!$A$2:$A$2500)=FT$3)*(Gastos!$B$2:$B$2500=$A14)*(Gastos!$D$2:$D$2500))</f>
        <v>0</v>
      </c>
      <c r="FU14" s="75">
        <f t="array" ref="FU14">SUM((YEAR(Gastos!$A$2:$A$2500)=FU$1)*(MONTH(Gastos!$A$2:$A$2500)=FU$3)*(Gastos!$B$2:$B$2500=$A14)*(Gastos!$D$2:$D$2500))</f>
        <v>0</v>
      </c>
      <c r="FV14" s="75">
        <f t="array" ref="FV14">SUM((YEAR(Gastos!$A$2:$A$2500)=FV$1)*(MONTH(Gastos!$A$2:$A$2500)=FV$3)*(Gastos!$B$2:$B$2500=$A14)*(Gastos!$D$2:$D$2500))</f>
        <v>0</v>
      </c>
      <c r="FW14" s="75">
        <f t="array" ref="FW14">SUM((YEAR(Gastos!$A$2:$A$2500)=FW$1)*(MONTH(Gastos!$A$2:$A$2500)=FW$3)*(Gastos!$B$2:$B$2500=$A14)*(Gastos!$D$2:$D$2500))</f>
        <v>0</v>
      </c>
      <c r="FX14" s="75">
        <f t="array" ref="FX14">SUM((YEAR(Gastos!$A$2:$A$2500)=FX$1)*(MONTH(Gastos!$A$2:$A$2500)=FX$3)*(Gastos!$B$2:$B$2500=$A14)*(Gastos!$D$2:$D$2500))</f>
        <v>0</v>
      </c>
      <c r="FY14" s="75">
        <f t="array" ref="FY14">SUM((YEAR(Gastos!$A$2:$A$2500)=FY$1)*(MONTH(Gastos!$A$2:$A$2500)=FY$3)*(Gastos!$B$2:$B$2500=$A14)*(Gastos!$D$2:$D$2500))</f>
        <v>0</v>
      </c>
      <c r="FZ14" s="76">
        <f t="shared" si="65"/>
        <v>32017.600000000002</v>
      </c>
      <c r="GA14" s="80"/>
      <c r="GB14" s="78">
        <f t="shared" si="66"/>
        <v>-1724</v>
      </c>
      <c r="GF14" s="79">
        <f t="array" ref="GF14">SUM(((Gastos!$A$2:$A$1647)&gt;=GD$3)*((Gastos!$A$2:$A$1647)&lt;=GF$3)*(Gastos!$B$2:$B$1647=$A14)*(Gastos!$D$2:$D$1647))</f>
        <v>1526</v>
      </c>
      <c r="GI14" s="79">
        <f t="array" ref="GI14">SUM(((Gastos!$A$2:$A$1647)&gt;=GG$3)*((Gastos!$A$2:$A$1647)&lt;=GI$3)*(Gastos!$B$2:$B$1647=$A14)*(Gastos!$D$2:$D$1647))</f>
        <v>3250</v>
      </c>
      <c r="GL14" s="100">
        <f>DZ120</f>
        <v>2024</v>
      </c>
      <c r="GM14" s="102">
        <f>EA120</f>
        <v>312898</v>
      </c>
      <c r="GN14" s="102">
        <f>EB120</f>
        <v>208390.16</v>
      </c>
      <c r="GO14" s="102">
        <f>EC120</f>
        <v>23751.8</v>
      </c>
      <c r="GP14" s="106">
        <v>567858</v>
      </c>
      <c r="GQ14" s="105">
        <f t="shared" si="64"/>
        <v>545039.96000000008</v>
      </c>
      <c r="GR14" s="109">
        <f t="shared" si="67"/>
        <v>740694.96000000008</v>
      </c>
      <c r="GS14" s="107">
        <v>195655</v>
      </c>
    </row>
    <row r="15" spans="1:201" ht="15" thickBot="1" x14ac:dyDescent="0.4">
      <c r="A15" s="74" t="str">
        <f>Gastos!AA13</f>
        <v>F. SPEI ENVIADO LIBERTAD</v>
      </c>
      <c r="B15" s="75">
        <f t="array" ref="B15">SUM((YEAR(Gastos!$A$2:$A$2500)=B$1)*(MONTH(Gastos!$A$2:$A$2500)=B$3)*(Gastos!$B$2:$B$2500=$A15)*(Gastos!$D$2:$D$2500))</f>
        <v>0</v>
      </c>
      <c r="C15" s="75">
        <f t="array" ref="C15">SUM((YEAR(Gastos!$A$2:$A$2500)=C$1)*(MONTH(Gastos!$A$2:$A$2500)=C$3)*(Gastos!$B$2:$B$2500=$A15)*(Gastos!$D$2:$D$2500))</f>
        <v>0</v>
      </c>
      <c r="D15" s="75">
        <f t="array" ref="D15">SUM((YEAR(Gastos!$A$2:$A$2500)=D$1)*(MONTH(Gastos!$A$2:$A$2500)=D$3)*(Gastos!$B$2:$B$2500=$A15)*(Gastos!$D$2:$D$2500))</f>
        <v>0</v>
      </c>
      <c r="E15" s="75">
        <f t="array" ref="E15">SUM((YEAR(Gastos!$A$2:$A$2500)=E$1)*(MONTH(Gastos!$A$2:$A$2500)=E$3)*(Gastos!$B$2:$B$2500=$A15)*(Gastos!$D$2:$D$2500))</f>
        <v>0</v>
      </c>
      <c r="F15" s="75">
        <f t="array" ref="F15">SUM((YEAR(Gastos!$A$2:$A$2500)=F$1)*(MONTH(Gastos!$A$2:$A$2500)=F$3)*(Gastos!$B$2:$B$2500=$A15)*(Gastos!$D$2:$D$2500))</f>
        <v>0</v>
      </c>
      <c r="G15" s="75">
        <f t="array" ref="G15">SUM((YEAR(Gastos!$A$2:$A$2500)=G$1)*(MONTH(Gastos!$A$2:$A$2500)=G$3)*(Gastos!$B$2:$B$2500=$A15)*(Gastos!$D$2:$D$2500))</f>
        <v>0</v>
      </c>
      <c r="H15" s="75">
        <f t="array" ref="H15">SUM((YEAR(Gastos!$A$2:$A$2500)=H$1)*(MONTH(Gastos!$A$2:$A$2500)=H$3)*(Gastos!$B$2:$B$2500=$A15)*(Gastos!$D$2:$D$2500))</f>
        <v>0</v>
      </c>
      <c r="I15" s="75">
        <f t="array" ref="I15">SUM((YEAR(Gastos!$A$2:$A$2500)=I$1)*(MONTH(Gastos!$A$2:$A$2500)=I$3)*(Gastos!$B$2:$B$2500=$A15)*(Gastos!$D$2:$D$2500))</f>
        <v>0</v>
      </c>
      <c r="J15" s="75">
        <f t="array" ref="J15">SUM((YEAR(Gastos!$A$2:$A$2500)=J$1)*(MONTH(Gastos!$A$2:$A$2500)=J$3)*(Gastos!$B$2:$B$2500=$A15)*(Gastos!$D$2:$D$2500))</f>
        <v>0</v>
      </c>
      <c r="K15" s="75">
        <f t="array" ref="K15">SUM((YEAR(Gastos!$A$2:$A$2500)=K$1)*(MONTH(Gastos!$A$2:$A$2500)=K$3)*(Gastos!$B$2:$B$2500=$A15)*(Gastos!$D$2:$D$2500))</f>
        <v>0</v>
      </c>
      <c r="L15" s="75">
        <f t="array" ref="L15">SUM((YEAR(Gastos!$A$2:$A$2500)=L$1)*(MONTH(Gastos!$A$2:$A$2500)=L$3)*(Gastos!$B$2:$B$2500=$A15)*(Gastos!$D$2:$D$2500))</f>
        <v>0</v>
      </c>
      <c r="M15" s="75">
        <f t="array" ref="M15">SUM((YEAR(Gastos!$A$2:$A$2500)=M$1)*(MONTH(Gastos!$A$2:$A$2500)=M$3)*(Gastos!$B$2:$B$2500=$A15)*(Gastos!$D$2:$D$2500))</f>
        <v>0</v>
      </c>
      <c r="N15" s="75">
        <f t="array" ref="N15">SUM((YEAR(Gastos!$A$2:$A$2500)=N$1)*(MONTH(Gastos!$A$2:$A$2500)=N$3)*(Gastos!$B$2:$B$2500=$A15)*(Gastos!$D$2:$D$2500))</f>
        <v>0</v>
      </c>
      <c r="O15" s="75">
        <f t="array" ref="O15">SUM((YEAR(Gastos!$A$2:$A$2500)=O$1)*(MONTH(Gastos!$A$2:$A$2500)=O$3)*(Gastos!$B$2:$B$2500=$A15)*(Gastos!$D$2:$D$2500))</f>
        <v>0</v>
      </c>
      <c r="P15" s="75">
        <f t="array" ref="P15">SUM((YEAR(Gastos!$A$2:$A$2500)=P$1)*(MONTH(Gastos!$A$2:$A$2500)=P$3)*(Gastos!$B$2:$B$2500=$A15)*(Gastos!$D$2:$D$2500))</f>
        <v>0</v>
      </c>
      <c r="Q15" s="75">
        <f t="array" ref="Q15">SUM((YEAR(Gastos!$A$2:$A$2500)=Q$1)*(MONTH(Gastos!$A$2:$A$2500)=Q$3)*(Gastos!$B$2:$B$2500=$A15)*(Gastos!$D$2:$D$2500))</f>
        <v>0</v>
      </c>
      <c r="R15" s="75">
        <f t="array" ref="R15">SUM((YEAR(Gastos!$A$2:$A$2500)=R$1)*(MONTH(Gastos!$A$2:$A$2500)=R$3)*(Gastos!$B$2:$B$2500=$A15)*(Gastos!$D$2:$D$2500))</f>
        <v>0</v>
      </c>
      <c r="S15" s="75">
        <f t="array" ref="S15">SUM((YEAR(Gastos!$A$2:$A$2500)=S$1)*(MONTH(Gastos!$A$2:$A$2500)=S$3)*(Gastos!$B$2:$B$2500=$A15)*(Gastos!$D$2:$D$2500))</f>
        <v>0</v>
      </c>
      <c r="T15" s="75">
        <f t="array" ref="T15">SUM((YEAR(Gastos!$A$2:$A$2500)=T$1)*(MONTH(Gastos!$A$2:$A$2500)=T$3)*(Gastos!$B$2:$B$2500=$A15)*(Gastos!$D$2:$D$2500))</f>
        <v>0</v>
      </c>
      <c r="U15" s="75">
        <f t="array" ref="U15">SUM((YEAR(Gastos!$A$2:$A$2500)=U$1)*(MONTH(Gastos!$A$2:$A$2500)=U$3)*(Gastos!$B$2:$B$2500=$A15)*(Gastos!$D$2:$D$2500))</f>
        <v>0</v>
      </c>
      <c r="V15" s="75">
        <f t="array" ref="V15">SUM((YEAR(Gastos!$A$2:$A$2500)=V$1)*(MONTH(Gastos!$A$2:$A$2500)=V$3)*(Gastos!$B$2:$B$2500=$A15)*(Gastos!$D$2:$D$2500))</f>
        <v>0</v>
      </c>
      <c r="W15" s="75">
        <f t="array" ref="W15">SUM((YEAR(Gastos!$A$2:$A$2500)=W$1)*(MONTH(Gastos!$A$2:$A$2500)=W$3)*(Gastos!$B$2:$B$2500=$A15)*(Gastos!$D$2:$D$2500))</f>
        <v>0</v>
      </c>
      <c r="X15" s="75">
        <f t="array" ref="X15">SUM((YEAR(Gastos!$A$2:$A$2500)=X$1)*(MONTH(Gastos!$A$2:$A$2500)=X$3)*(Gastos!$B$2:$B$2500=$A15)*(Gastos!$D$2:$D$2500))</f>
        <v>0</v>
      </c>
      <c r="Y15" s="75">
        <f t="array" ref="Y15">SUM((YEAR(Gastos!$A$2:$A$2500)=Y$1)*(MONTH(Gastos!$A$2:$A$2500)=Y$3)*(Gastos!$B$2:$B$2500=$A15)*(Gastos!$D$2:$D$2500))</f>
        <v>0</v>
      </c>
      <c r="Z15" s="75">
        <f t="array" ref="Z15">SUM((YEAR(Gastos!$A$2:$A$2500)=Z$1)*(MONTH(Gastos!$A$2:$A$2500)=Z$3)*(Gastos!$B$2:$B$2500=$A15)*(Gastos!$D$2:$D$2500))</f>
        <v>0</v>
      </c>
      <c r="AA15" s="75">
        <f t="array" ref="AA15">SUM((YEAR(Gastos!$A$2:$A$2500)=AA$1)*(MONTH(Gastos!$A$2:$A$2500)=AA$3)*(Gastos!$B$2:$B$2500=$A15)*(Gastos!$D$2:$D$2500))</f>
        <v>0</v>
      </c>
      <c r="AB15" s="75">
        <f t="array" ref="AB15">SUM((YEAR(Gastos!$A$2:$A$2500)=AB$1)*(MONTH(Gastos!$A$2:$A$2500)=AB$3)*(Gastos!$B$2:$B$2500=$A15)*(Gastos!$D$2:$D$2500))</f>
        <v>0</v>
      </c>
      <c r="AC15" s="75">
        <f t="array" ref="AC15">SUM((YEAR(Gastos!$A$2:$A$2500)=AC$1)*(MONTH(Gastos!$A$2:$A$2500)=AC$3)*(Gastos!$B$2:$B$2500=$A15)*(Gastos!$D$2:$D$2500))</f>
        <v>0</v>
      </c>
      <c r="AD15" s="75">
        <f t="array" ref="AD15">SUM((YEAR(Gastos!$A$2:$A$2500)=AD$1)*(MONTH(Gastos!$A$2:$A$2500)=AD$3)*(Gastos!$B$2:$B$2500=$A15)*(Gastos!$D$2:$D$2500))</f>
        <v>0</v>
      </c>
      <c r="AE15" s="75">
        <f t="array" ref="AE15">SUM((YEAR(Gastos!$A$2:$A$2500)=AE$1)*(MONTH(Gastos!$A$2:$A$2500)=AE$3)*(Gastos!$B$2:$B$2500=$A15)*(Gastos!$D$2:$D$2500))</f>
        <v>0</v>
      </c>
      <c r="AF15" s="75">
        <f t="array" ref="AF15">SUM((YEAR(Gastos!$A$2:$A$2500)=AF$1)*(MONTH(Gastos!$A$2:$A$2500)=AF$3)*(Gastos!$B$2:$B$2500=$A15)*(Gastos!$D$2:$D$2500))</f>
        <v>0</v>
      </c>
      <c r="AG15" s="75">
        <f t="array" ref="AG15">SUM((YEAR(Gastos!$A$2:$A$2500)=AG$1)*(MONTH(Gastos!$A$2:$A$2500)=AG$3)*(Gastos!$B$2:$B$2500=$A15)*(Gastos!$D$2:$D$2500))</f>
        <v>0</v>
      </c>
      <c r="AH15" s="75">
        <f t="array" ref="AH15">SUM((YEAR(Gastos!$A$2:$A$2500)=AH$1)*(MONTH(Gastos!$A$2:$A$2500)=AH$3)*(Gastos!$B$2:$B$2500=$A15)*(Gastos!$D$2:$D$2500))</f>
        <v>0</v>
      </c>
      <c r="AI15" s="75">
        <f t="array" ref="AI15">SUM((YEAR(Gastos!$A$2:$A$2500)=AI$1)*(MONTH(Gastos!$A$2:$A$2500)=AI$3)*(Gastos!$B$2:$B$2500=$A15)*(Gastos!$D$2:$D$2500))</f>
        <v>0</v>
      </c>
      <c r="AJ15" s="75">
        <f t="array" ref="AJ15">SUM((YEAR(Gastos!$A$2:$A$2500)=AJ$1)*(MONTH(Gastos!$A$2:$A$2500)=AJ$3)*(Gastos!$B$2:$B$2500=$A15)*(Gastos!$D$2:$D$2500))</f>
        <v>0</v>
      </c>
      <c r="AK15" s="75">
        <f t="array" ref="AK15">SUM((YEAR(Gastos!$A$2:$A$2500)=AK$1)*(MONTH(Gastos!$A$2:$A$2500)=AK$3)*(Gastos!$B$2:$B$2500=$A15)*(Gastos!$D$2:$D$2500))</f>
        <v>0</v>
      </c>
      <c r="AL15" s="75">
        <f t="array" ref="AL15">SUM((YEAR(Gastos!$A$2:$A$2500)=AL$1)*(MONTH(Gastos!$A$2:$A$2500)=AL$3)*(Gastos!$B$2:$B$2500=$A15)*(Gastos!$D$2:$D$2500))</f>
        <v>0</v>
      </c>
      <c r="AM15" s="75">
        <f t="array" ref="AM15">SUM((YEAR(Gastos!$A$2:$A$2500)=AM$1)*(MONTH(Gastos!$A$2:$A$2500)=AM$3)*(Gastos!$B$2:$B$2500=$A15)*(Gastos!$D$2:$D$2500))</f>
        <v>0</v>
      </c>
      <c r="AN15" s="75">
        <f t="array" ref="AN15">SUM((YEAR(Gastos!$A$2:$A$2500)=AN$1)*(MONTH(Gastos!$A$2:$A$2500)=AN$3)*(Gastos!$B$2:$B$2500=$A15)*(Gastos!$D$2:$D$2500))</f>
        <v>0</v>
      </c>
      <c r="AO15" s="75">
        <f t="array" ref="AO15">SUM((YEAR(Gastos!$A$2:$A$2500)=AO$1)*(MONTH(Gastos!$A$2:$A$2500)=AO$3)*(Gastos!$B$2:$B$2500=$A15)*(Gastos!$D$2:$D$2500))</f>
        <v>0</v>
      </c>
      <c r="AP15" s="75">
        <f t="array" ref="AP15">SUM((YEAR(Gastos!$A$2:$A$2500)=AP$1)*(MONTH(Gastos!$A$2:$A$2500)=AP$3)*(Gastos!$B$2:$B$2500=$A15)*(Gastos!$D$2:$D$2500))</f>
        <v>0</v>
      </c>
      <c r="AQ15" s="75">
        <f t="array" ref="AQ15">SUM((YEAR(Gastos!$A$2:$A$2500)=AQ$1)*(MONTH(Gastos!$A$2:$A$2500)=AQ$3)*(Gastos!$B$2:$B$2500=$A15)*(Gastos!$D$2:$D$2500))</f>
        <v>0</v>
      </c>
      <c r="AR15" s="75">
        <f t="array" ref="AR15">SUM((YEAR(Gastos!$A$2:$A$2500)=AR$1)*(MONTH(Gastos!$A$2:$A$2500)=AR$3)*(Gastos!$B$2:$B$2500=$A15)*(Gastos!$D$2:$D$2500))</f>
        <v>0</v>
      </c>
      <c r="AS15" s="75">
        <f t="array" ref="AS15">SUM((YEAR(Gastos!$A$2:$A$2500)=AS$1)*(MONTH(Gastos!$A$2:$A$2500)=AS$3)*(Gastos!$B$2:$B$2500=$A15)*(Gastos!$D$2:$D$2500))</f>
        <v>0</v>
      </c>
      <c r="AT15" s="75">
        <f t="array" ref="AT15">SUM((YEAR(Gastos!$A$2:$A$2500)=AT$1)*(MONTH(Gastos!$A$2:$A$2500)=AT$3)*(Gastos!$B$2:$B$2500=$A15)*(Gastos!$D$2:$D$2500))</f>
        <v>0</v>
      </c>
      <c r="AU15" s="75">
        <f t="array" ref="AU15">SUM((YEAR(Gastos!$A$2:$A$2500)=AU$1)*(MONTH(Gastos!$A$2:$A$2500)=AU$3)*(Gastos!$B$2:$B$2500=$A15)*(Gastos!$D$2:$D$2500))</f>
        <v>0</v>
      </c>
      <c r="AV15" s="75">
        <f t="array" ref="AV15">SUM((YEAR(Gastos!$A$2:$A$2500)=AV$1)*(MONTH(Gastos!$A$2:$A$2500)=AV$3)*(Gastos!$B$2:$B$2500=$A15)*(Gastos!$D$2:$D$2500))</f>
        <v>0</v>
      </c>
      <c r="AW15" s="75">
        <f t="array" ref="AW15">SUM((YEAR(Gastos!$A$2:$A$2500)=AW$1)*(MONTH(Gastos!$A$2:$A$2500)=AW$3)*(Gastos!$B$2:$B$2500=$A15)*(Gastos!$D$2:$D$2500))</f>
        <v>0</v>
      </c>
      <c r="AX15" s="75">
        <f t="array" ref="AX15">SUM((YEAR(Gastos!$A$2:$A$2500)=AX$1)*(MONTH(Gastos!$A$2:$A$2500)=AX$3)*(Gastos!$B$2:$B$2500=$A15)*(Gastos!$D$2:$D$2500))</f>
        <v>0</v>
      </c>
      <c r="AY15" s="75">
        <f t="array" ref="AY15">SUM((YEAR(Gastos!$A$2:$A$2500)=AY$1)*(MONTH(Gastos!$A$2:$A$2500)=AY$3)*(Gastos!$B$2:$B$2500=$A15)*(Gastos!$D$2:$D$2500))</f>
        <v>0</v>
      </c>
      <c r="AZ15" s="75">
        <f t="array" ref="AZ15">SUM((YEAR(Gastos!$A$2:$A$2500)=AZ$1)*(MONTH(Gastos!$A$2:$A$2500)=AZ$3)*(Gastos!$B$2:$B$2500=$A15)*(Gastos!$D$2:$D$2500))</f>
        <v>0</v>
      </c>
      <c r="BA15" s="75">
        <f t="array" ref="BA15">SUM((YEAR(Gastos!$A$2:$A$2500)=BA$1)*(MONTH(Gastos!$A$2:$A$2500)=BA$3)*(Gastos!$B$2:$B$2500=$A15)*(Gastos!$D$2:$D$2500))</f>
        <v>0</v>
      </c>
      <c r="BB15" s="75">
        <f t="array" ref="BB15">SUM((YEAR(Gastos!$A$2:$A$2500)=BB$1)*(MONTH(Gastos!$A$2:$A$2500)=BB$3)*(Gastos!$B$2:$B$2500=$A15)*(Gastos!$D$2:$D$2500))</f>
        <v>0</v>
      </c>
      <c r="BC15" s="75">
        <f t="array" ref="BC15">SUM((YEAR(Gastos!$A$2:$A$2500)=BC$1)*(MONTH(Gastos!$A$2:$A$2500)=BC$3)*(Gastos!$B$2:$B$2500=$A15)*(Gastos!$D$2:$D$2500))</f>
        <v>0</v>
      </c>
      <c r="BD15" s="75">
        <f t="array" ref="BD15">SUM((YEAR(Gastos!$A$2:$A$2500)=BD$1)*(MONTH(Gastos!$A$2:$A$2500)=BD$3)*(Gastos!$B$2:$B$2500=$A15)*(Gastos!$D$2:$D$2500))</f>
        <v>0</v>
      </c>
      <c r="BE15" s="75">
        <f t="array" ref="BE15">SUM((YEAR(Gastos!$A$2:$A$2500)=BE$1)*(MONTH(Gastos!$A$2:$A$2500)=BE$3)*(Gastos!$B$2:$B$2500=$A15)*(Gastos!$D$2:$D$2500))</f>
        <v>0</v>
      </c>
      <c r="BF15" s="75">
        <f t="array" ref="BF15">SUM((YEAR(Gastos!$A$2:$A$2500)=BF$1)*(MONTH(Gastos!$A$2:$A$2500)=BF$3)*(Gastos!$B$2:$B$2500=$A15)*(Gastos!$D$2:$D$2500))</f>
        <v>0</v>
      </c>
      <c r="BG15" s="75">
        <f t="array" ref="BG15">SUM((YEAR(Gastos!$A$2:$A$2500)=BG$1)*(MONTH(Gastos!$A$2:$A$2500)=BG$3)*(Gastos!$B$2:$B$2500=$A15)*(Gastos!$D$2:$D$2500))</f>
        <v>14157.630000000001</v>
      </c>
      <c r="BH15" s="75">
        <f t="array" ref="BH15">SUM((YEAR(Gastos!$A$2:$A$2500)=BH$1)*(MONTH(Gastos!$A$2:$A$2500)=BH$3)*(Gastos!$B$2:$B$2500=$A15)*(Gastos!$D$2:$D$2500))</f>
        <v>10198.15</v>
      </c>
      <c r="BI15" s="75">
        <f t="array" ref="BI15">SUM((YEAR(Gastos!$A$2:$A$2500)=BI$1)*(MONTH(Gastos!$A$2:$A$2500)=BI$3)*(Gastos!$B$2:$B$2500=$A15)*(Gastos!$D$2:$D$2500))</f>
        <v>7125.4</v>
      </c>
      <c r="BJ15" s="75">
        <f t="array" ref="BJ15">SUM((YEAR(Gastos!$A$2:$A$2500)=BJ$1)*(MONTH(Gastos!$A$2:$A$2500)=BJ$3)*(Gastos!$B$2:$B$2500=$A15)*(Gastos!$D$2:$D$2500))</f>
        <v>0</v>
      </c>
      <c r="BK15" s="75">
        <f t="array" ref="BK15">SUM((YEAR(Gastos!$A$2:$A$2500)=BK$1)*(MONTH(Gastos!$A$2:$A$2500)=BK$3)*(Gastos!$B$2:$B$2500=$A15)*(Gastos!$D$2:$D$2500))</f>
        <v>0</v>
      </c>
      <c r="BL15" s="75">
        <f t="array" ref="BL15">SUM((YEAR(Gastos!$A$2:$A$2500)=BL$1)*(MONTH(Gastos!$A$2:$A$2500)=BL$3)*(Gastos!$B$2:$B$2500=$A15)*(Gastos!$D$2:$D$2500))</f>
        <v>0</v>
      </c>
      <c r="BM15" s="75">
        <f t="array" ref="BM15">SUM((YEAR(Gastos!$A$2:$A$2500)=BM$1)*(MONTH(Gastos!$A$2:$A$2500)=BM$3)*(Gastos!$B$2:$B$2500=$A15)*(Gastos!$D$2:$D$2500))</f>
        <v>1459.1</v>
      </c>
      <c r="BN15" s="75">
        <f t="array" ref="BN15">SUM((YEAR(Gastos!$A$2:$A$2500)=BN$1)*(MONTH(Gastos!$A$2:$A$2500)=BN$3)*(Gastos!$B$2:$B$2500=$A15)*(Gastos!$D$2:$D$2500))</f>
        <v>0</v>
      </c>
      <c r="BO15" s="75">
        <f t="array" ref="BO15">SUM((YEAR(Gastos!$A$2:$A$2500)=BO$1)*(MONTH(Gastos!$A$2:$A$2500)=BO$3)*(Gastos!$B$2:$B$2500=$A15)*(Gastos!$D$2:$D$2500))</f>
        <v>0</v>
      </c>
      <c r="BP15" s="75">
        <f t="array" ref="BP15">SUM((YEAR(Gastos!$A$2:$A$2500)=BP$1)*(MONTH(Gastos!$A$2:$A$2500)=BP$3)*(Gastos!$B$2:$B$2500=$A15)*(Gastos!$D$2:$D$2500))</f>
        <v>0</v>
      </c>
      <c r="BQ15" s="75">
        <f t="array" ref="BQ15">SUM((YEAR(Gastos!$A$2:$A$2500)=BQ$1)*(MONTH(Gastos!$A$2:$A$2500)=BQ$3)*(Gastos!$B$2:$B$2500=$A15)*(Gastos!$D$2:$D$2500))</f>
        <v>0</v>
      </c>
      <c r="BR15" s="75">
        <f t="array" ref="BR15">SUM((YEAR(Gastos!$A$2:$A$2500)=BR$1)*(MONTH(Gastos!$A$2:$A$2500)=BR$3)*(Gastos!$B$2:$B$2500=$A15)*(Gastos!$D$2:$D$2500))</f>
        <v>0</v>
      </c>
      <c r="BS15" s="75">
        <f t="array" ref="BS15">SUM((YEAR(Gastos!$A$2:$A$2500)=BS$1)*(MONTH(Gastos!$A$2:$A$2500)=BS$3)*(Gastos!$B$2:$B$2500=$A15)*(Gastos!$D$2:$D$2500))</f>
        <v>0</v>
      </c>
      <c r="BT15" s="75">
        <f t="array" ref="BT15">SUM((YEAR(Gastos!$A$2:$A$2500)=BT$1)*(MONTH(Gastos!$A$2:$A$2500)=BT$3)*(Gastos!$B$2:$B$2500=$A15)*(Gastos!$D$2:$D$2500))</f>
        <v>0</v>
      </c>
      <c r="BU15" s="75">
        <f t="array" ref="BU15">SUM((YEAR(Gastos!$A$2:$A$2500)=BU$1)*(MONTH(Gastos!$A$2:$A$2500)=BU$3)*(Gastos!$B$2:$B$2500=$A15)*(Gastos!$D$2:$D$2500))</f>
        <v>0</v>
      </c>
      <c r="BV15" s="75">
        <f t="array" ref="BV15">SUM((YEAR(Gastos!$A$2:$A$2500)=BV$1)*(MONTH(Gastos!$A$2:$A$2500)=BV$3)*(Gastos!$B$2:$B$2500=$A15)*(Gastos!$D$2:$D$2500))</f>
        <v>0</v>
      </c>
      <c r="BW15" s="75">
        <f t="array" ref="BW15">SUM((YEAR(Gastos!$A$2:$A$2500)=BW$1)*(MONTH(Gastos!$A$2:$A$2500)=BW$3)*(Gastos!$B$2:$B$2500=$A15)*(Gastos!$D$2:$D$2500))</f>
        <v>0</v>
      </c>
      <c r="BX15" s="75">
        <f t="array" ref="BX15">SUM((YEAR(Gastos!$A$2:$A$2500)=BX$1)*(MONTH(Gastos!$A$2:$A$2500)=BX$3)*(Gastos!$B$2:$B$2500=$A15)*(Gastos!$D$2:$D$2500))</f>
        <v>0</v>
      </c>
      <c r="BY15" s="75">
        <f t="array" ref="BY15">SUM((YEAR(Gastos!$A$2:$A$2500)=BY$1)*(MONTH(Gastos!$A$2:$A$2500)=BY$3)*(Gastos!$B$2:$B$2500=$A15)*(Gastos!$D$2:$D$2500))</f>
        <v>0</v>
      </c>
      <c r="BZ15" s="75">
        <f t="array" ref="BZ15">SUM((YEAR(Gastos!$A$2:$A$2500)=BZ$1)*(MONTH(Gastos!$A$2:$A$2500)=BZ$3)*(Gastos!$B$2:$B$2500=$A15)*(Gastos!$D$2:$D$2500))</f>
        <v>0</v>
      </c>
      <c r="CA15" s="75">
        <f t="array" ref="CA15">SUM((YEAR(Gastos!$A$2:$A$2500)=CA$1)*(MONTH(Gastos!$A$2:$A$2500)=CA$3)*(Gastos!$B$2:$B$2500=$A15)*(Gastos!$D$2:$D$2500))</f>
        <v>0</v>
      </c>
      <c r="CB15" s="75">
        <f t="array" ref="CB15">SUM((YEAR(Gastos!$A$2:$A$2500)=CB$1)*(MONTH(Gastos!$A$2:$A$2500)=CB$3)*(Gastos!$B$2:$B$2500=$A15)*(Gastos!$D$2:$D$2500))</f>
        <v>0</v>
      </c>
      <c r="CC15" s="75">
        <f t="array" ref="CC15">SUM((YEAR(Gastos!$A$2:$A$2500)=CC$1)*(MONTH(Gastos!$A$2:$A$2500)=CC$3)*(Gastos!$B$2:$B$2500=$A15)*(Gastos!$D$2:$D$2500))</f>
        <v>0</v>
      </c>
      <c r="CD15" s="75">
        <f t="array" ref="CD15">SUM((YEAR(Gastos!$A$2:$A$2500)=CD$1)*(MONTH(Gastos!$A$2:$A$2500)=CD$3)*(Gastos!$B$2:$B$2500=$A15)*(Gastos!$D$2:$D$2500))</f>
        <v>0</v>
      </c>
      <c r="CE15" s="75">
        <f t="array" ref="CE15">SUM((YEAR(Gastos!$A$2:$A$2500)=CE$1)*(MONTH(Gastos!$A$2:$A$2500)=CE$3)*(Gastos!$B$2:$B$2500=$A15)*(Gastos!$D$2:$D$2500))</f>
        <v>0</v>
      </c>
      <c r="CF15" s="75">
        <f t="array" ref="CF15">SUM((YEAR(Gastos!$A$2:$A$2500)=CF$1)*(MONTH(Gastos!$A$2:$A$2500)=CF$3)*(Gastos!$B$2:$B$2500=$A15)*(Gastos!$D$2:$D$2500))</f>
        <v>0</v>
      </c>
      <c r="CG15" s="75">
        <f t="array" ref="CG15">SUM((YEAR(Gastos!$A$2:$A$2500)=CG$1)*(MONTH(Gastos!$A$2:$A$2500)=CG$3)*(Gastos!$B$2:$B$2500=$A15)*(Gastos!$D$2:$D$2500))</f>
        <v>0</v>
      </c>
      <c r="CH15" s="75">
        <f t="array" ref="CH15">SUM((YEAR(Gastos!$A$2:$A$2500)=CH$1)*(MONTH(Gastos!$A$2:$A$2500)=CH$3)*(Gastos!$B$2:$B$2500=$A15)*(Gastos!$D$2:$D$2500))</f>
        <v>0</v>
      </c>
      <c r="CI15" s="75">
        <f t="array" ref="CI15">SUM((YEAR(Gastos!$A$2:$A$2500)=CI$1)*(MONTH(Gastos!$A$2:$A$2500)=CI$3)*(Gastos!$B$2:$B$2500=$A15)*(Gastos!$D$2:$D$2500))</f>
        <v>0</v>
      </c>
      <c r="CJ15" s="75">
        <f t="array" ref="CJ15">SUM((YEAR(Gastos!$A$2:$A$2500)=CJ$1)*(MONTH(Gastos!$A$2:$A$2500)=CJ$3)*(Gastos!$B$2:$B$2500=$A15)*(Gastos!$D$2:$D$2500))</f>
        <v>0</v>
      </c>
      <c r="CK15" s="75">
        <f t="array" ref="CK15">SUM((YEAR(Gastos!$A$2:$A$2500)=CK$1)*(MONTH(Gastos!$A$2:$A$2500)=CK$3)*(Gastos!$B$2:$B$2500=$A15)*(Gastos!$D$2:$D$2500))</f>
        <v>0</v>
      </c>
      <c r="CL15" s="75">
        <f t="array" ref="CL15">SUM((YEAR(Gastos!$A$2:$A$2500)=CL$1)*(MONTH(Gastos!$A$2:$A$2500)=CL$3)*(Gastos!$B$2:$B$2500=$A15)*(Gastos!$D$2:$D$2500))</f>
        <v>0</v>
      </c>
      <c r="CM15" s="75">
        <f t="array" ref="CM15">SUM((YEAR(Gastos!$A$2:$A$2500)=CM$1)*(MONTH(Gastos!$A$2:$A$2500)=CM$3)*(Gastos!$B$2:$B$2500=$A15)*(Gastos!$D$2:$D$2500))</f>
        <v>0</v>
      </c>
      <c r="CN15" s="75">
        <f t="array" ref="CN15">SUM((YEAR(Gastos!$A$2:$A$2500)=CN$1)*(MONTH(Gastos!$A$2:$A$2500)=CN$3)*(Gastos!$B$2:$B$2500=$A15)*(Gastos!$D$2:$D$2500))</f>
        <v>0</v>
      </c>
      <c r="CO15" s="75">
        <f t="array" ref="CO15">SUM((YEAR(Gastos!$A$2:$A$2500)=CO$1)*(MONTH(Gastos!$A$2:$A$2500)=CO$3)*(Gastos!$B$2:$B$2500=$A15)*(Gastos!$D$2:$D$2500))</f>
        <v>0</v>
      </c>
      <c r="CP15" s="75">
        <f t="array" ref="CP15">SUM((YEAR(Gastos!$A$2:$A$2500)=CP$1)*(MONTH(Gastos!$A$2:$A$2500)=CP$3)*(Gastos!$B$2:$B$2500=$A15)*(Gastos!$D$2:$D$2500))</f>
        <v>0</v>
      </c>
      <c r="CQ15" s="75">
        <f t="array" ref="CQ15">SUM((YEAR(Gastos!$A$2:$A$2500)=CQ$1)*(MONTH(Gastos!$A$2:$A$2500)=CQ$3)*(Gastos!$B$2:$B$2500=$A15)*(Gastos!$D$2:$D$2500))</f>
        <v>0</v>
      </c>
      <c r="CR15" s="75">
        <f t="array" ref="CR15">SUM((YEAR(Gastos!$A$2:$A$2500)=CR$1)*(MONTH(Gastos!$A$2:$A$2500)=CR$3)*(Gastos!$B$2:$B$2500=$A15)*(Gastos!$D$2:$D$2500))</f>
        <v>0</v>
      </c>
      <c r="CS15" s="75">
        <f t="array" ref="CS15">SUM((YEAR(Gastos!$A$2:$A$2500)=CS$1)*(MONTH(Gastos!$A$2:$A$2500)=CS$3)*(Gastos!$B$2:$B$2500=$A15)*(Gastos!$D$2:$D$2500))</f>
        <v>0</v>
      </c>
      <c r="CT15" s="75">
        <f t="array" ref="CT15">SUM((YEAR(Gastos!$A$2:$A$2500)=CT$1)*(MONTH(Gastos!$A$2:$A$2500)=CT$3)*(Gastos!$B$2:$B$2500=$A15)*(Gastos!$D$2:$D$2500))</f>
        <v>0</v>
      </c>
      <c r="CU15" s="75">
        <f t="array" ref="CU15">SUM((YEAR(Gastos!$A$2:$A$2500)=CU$1)*(MONTH(Gastos!$A$2:$A$2500)=CU$3)*(Gastos!$B$2:$B$2500=$A15)*(Gastos!$D$2:$D$2500))</f>
        <v>0</v>
      </c>
      <c r="CV15" s="75">
        <f t="array" ref="CV15">SUM((YEAR(Gastos!$A$2:$A$2500)=CV$1)*(MONTH(Gastos!$A$2:$A$2500)=CV$3)*(Gastos!$B$2:$B$2500=$A15)*(Gastos!$D$2:$D$2500))</f>
        <v>0</v>
      </c>
      <c r="CW15" s="75">
        <f t="array" ref="CW15">SUM((YEAR(Gastos!$A$2:$A$2500)=CW$1)*(MONTH(Gastos!$A$2:$A$2500)=CW$3)*(Gastos!$B$2:$B$2500=$A15)*(Gastos!$D$2:$D$2500))</f>
        <v>0</v>
      </c>
      <c r="CX15" s="75">
        <f t="array" ref="CX15">SUM((YEAR(Gastos!$A$2:$A$2500)=CX$1)*(MONTH(Gastos!$A$2:$A$2500)=CX$3)*(Gastos!$B$2:$B$2500=$A15)*(Gastos!$D$2:$D$2500))</f>
        <v>0</v>
      </c>
      <c r="CY15" s="75">
        <f t="array" ref="CY15">SUM((YEAR(Gastos!$A$2:$A$2500)=CY$1)*(MONTH(Gastos!$A$2:$A$2500)=CY$3)*(Gastos!$B$2:$B$2500=$A15)*(Gastos!$D$2:$D$2500))</f>
        <v>0</v>
      </c>
      <c r="CZ15" s="75">
        <f t="array" ref="CZ15">SUM((YEAR(Gastos!$A$2:$A$2500)=CZ$1)*(MONTH(Gastos!$A$2:$A$2500)=CZ$3)*(Gastos!$B$2:$B$2500=$A15)*(Gastos!$D$2:$D$2500))</f>
        <v>0</v>
      </c>
      <c r="DA15" s="75">
        <f t="array" ref="DA15">SUM((YEAR(Gastos!$A$2:$A$2500)=DA$1)*(MONTH(Gastos!$A$2:$A$2500)=DA$3)*(Gastos!$B$2:$B$2500=$A15)*(Gastos!$D$2:$D$2500))</f>
        <v>0</v>
      </c>
      <c r="DB15" s="75">
        <f t="array" ref="DB15">SUM((YEAR(Gastos!$A$2:$A$2500)=DB$1)*(MONTH(Gastos!$A$2:$A$2500)=DB$3)*(Gastos!$B$2:$B$2500=$A15)*(Gastos!$D$2:$D$2500))</f>
        <v>0</v>
      </c>
      <c r="DC15" s="75">
        <f t="array" ref="DC15">SUM((YEAR(Gastos!$A$2:$A$2500)=DC$1)*(MONTH(Gastos!$A$2:$A$2500)=DC$3)*(Gastos!$B$2:$B$2500=$A15)*(Gastos!$D$2:$D$2500))</f>
        <v>0</v>
      </c>
      <c r="DD15" s="75">
        <f t="array" ref="DD15">SUM((YEAR(Gastos!$A$2:$A$2500)=DD$1)*(MONTH(Gastos!$A$2:$A$2500)=DD$3)*(Gastos!$B$2:$B$2500=$A15)*(Gastos!$D$2:$D$2500))</f>
        <v>0</v>
      </c>
      <c r="DE15" s="75">
        <f t="array" ref="DE15">SUM((YEAR(Gastos!$A$2:$A$2500)=DE$1)*(MONTH(Gastos!$A$2:$A$2500)=DE$3)*(Gastos!$B$2:$B$2500=$A15)*(Gastos!$D$2:$D$2500))</f>
        <v>0</v>
      </c>
      <c r="DF15" s="75">
        <f t="array" ref="DF15">SUM((YEAR(Gastos!$A$2:$A$2500)=DF$1)*(MONTH(Gastos!$A$2:$A$2500)=DF$3)*(Gastos!$B$2:$B$2500=$A15)*(Gastos!$D$2:$D$2500))</f>
        <v>0</v>
      </c>
      <c r="DG15" s="75">
        <f t="array" ref="DG15">SUM((YEAR(Gastos!$A$2:$A$2500)=DG$1)*(MONTH(Gastos!$A$2:$A$2500)=DG$3)*(Gastos!$B$2:$B$2500=$A15)*(Gastos!$D$2:$D$2500))</f>
        <v>0</v>
      </c>
      <c r="DH15" s="75">
        <f t="array" ref="DH15">SUM((YEAR(Gastos!$A$2:$A$2500)=DH$1)*(MONTH(Gastos!$A$2:$A$2500)=DH$3)*(Gastos!$B$2:$B$2500=$A15)*(Gastos!$D$2:$D$2500))</f>
        <v>0</v>
      </c>
      <c r="DI15" s="75">
        <f t="array" ref="DI15">SUM((YEAR(Gastos!$A$2:$A$2500)=DI$1)*(MONTH(Gastos!$A$2:$A$2500)=DI$3)*(Gastos!$B$2:$B$2500=$A15)*(Gastos!$D$2:$D$2500))</f>
        <v>0</v>
      </c>
      <c r="DJ15" s="75">
        <f t="array" ref="DJ15">SUM((YEAR(Gastos!$A$2:$A$2500)=DJ$1)*(MONTH(Gastos!$A$2:$A$2500)=DJ$3)*(Gastos!$B$2:$B$2500=$A15)*(Gastos!$D$2:$D$2500))</f>
        <v>0</v>
      </c>
      <c r="DK15" s="75">
        <f t="array" ref="DK15">SUM((YEAR(Gastos!$A$2:$A$2500)=DK$1)*(MONTH(Gastos!$A$2:$A$2500)=DK$3)*(Gastos!$B$2:$B$2500=$A15)*(Gastos!$D$2:$D$2500))</f>
        <v>0</v>
      </c>
      <c r="DL15" s="75">
        <f t="array" ref="DL15">SUM((YEAR(Gastos!$A$2:$A$2500)=DL$1)*(MONTH(Gastos!$A$2:$A$2500)=DL$3)*(Gastos!$B$2:$B$2500=$A15)*(Gastos!$D$2:$D$2500))</f>
        <v>0</v>
      </c>
      <c r="DM15" s="75">
        <f t="array" ref="DM15">SUM((YEAR(Gastos!$A$2:$A$2500)=DM$1)*(MONTH(Gastos!$A$2:$A$2500)=DM$3)*(Gastos!$B$2:$B$2500=$A15)*(Gastos!$D$2:$D$2500))</f>
        <v>0</v>
      </c>
      <c r="DN15" s="75">
        <f t="array" ref="DN15">SUM((YEAR(Gastos!$A$2:$A$2500)=DN$1)*(MONTH(Gastos!$A$2:$A$2500)=DN$3)*(Gastos!$B$2:$B$2500=$A15)*(Gastos!$D$2:$D$2500))</f>
        <v>0</v>
      </c>
      <c r="DO15" s="75">
        <f t="array" ref="DO15">SUM((YEAR(Gastos!$A$2:$A$2500)=DO$1)*(MONTH(Gastos!$A$2:$A$2500)=DO$3)*(Gastos!$B$2:$B$2500=$A15)*(Gastos!$D$2:$D$2500))</f>
        <v>0</v>
      </c>
      <c r="DP15" s="75">
        <f t="array" ref="DP15">SUM((YEAR(Gastos!$A$2:$A$2500)=DP$1)*(MONTH(Gastos!$A$2:$A$2500)=DP$3)*(Gastos!$B$2:$B$2500=$A15)*(Gastos!$D$2:$D$2500))</f>
        <v>0</v>
      </c>
      <c r="DQ15" s="75">
        <f t="array" ref="DQ15">SUM((YEAR(Gastos!$A$2:$A$2500)=DQ$1)*(MONTH(Gastos!$A$2:$A$2500)=DQ$3)*(Gastos!$B$2:$B$2500=$A15)*(Gastos!$D$2:$D$2500))</f>
        <v>0</v>
      </c>
      <c r="DR15" s="75">
        <f t="array" ref="DR15">SUM((YEAR(Gastos!$A$2:$A$2500)=DR$1)*(MONTH(Gastos!$A$2:$A$2500)=DR$3)*(Gastos!$B$2:$B$2500=$A15)*(Gastos!$D$2:$D$2500))</f>
        <v>0</v>
      </c>
      <c r="DS15" s="75">
        <f t="array" ref="DS15">SUM((YEAR(Gastos!$A$2:$A$2500)=DS$1)*(MONTH(Gastos!$A$2:$A$2500)=DS$3)*(Gastos!$B$2:$B$2500=$A15)*(Gastos!$D$2:$D$2500))</f>
        <v>0</v>
      </c>
      <c r="DT15" s="75">
        <f t="array" ref="DT15">SUM((YEAR(Gastos!$A$2:$A$2500)=DT$1)*(MONTH(Gastos!$A$2:$A$2500)=DT$3)*(Gastos!$B$2:$B$2500=$A15)*(Gastos!$D$2:$D$2500))</f>
        <v>0</v>
      </c>
      <c r="DU15" s="75">
        <f t="array" ref="DU15">SUM((YEAR(Gastos!$A$2:$A$2500)=DU$1)*(MONTH(Gastos!$A$2:$A$2500)=DU$3)*(Gastos!$B$2:$B$2500=$A15)*(Gastos!$D$2:$D$2500))</f>
        <v>0</v>
      </c>
      <c r="DV15" s="75">
        <f t="array" ref="DV15">SUM((YEAR(Gastos!$A$2:$A$2500)=DV$1)*(MONTH(Gastos!$A$2:$A$2500)=DV$3)*(Gastos!$B$2:$B$2500=$A15)*(Gastos!$D$2:$D$2500))</f>
        <v>0</v>
      </c>
      <c r="DW15" s="75">
        <f t="array" ref="DW15">SUM((YEAR(Gastos!$A$2:$A$2500)=DW$1)*(MONTH(Gastos!$A$2:$A$2500)=DW$3)*(Gastos!$B$2:$B$2500=$A15)*(Gastos!$D$2:$D$2500))</f>
        <v>0</v>
      </c>
      <c r="DX15" s="75">
        <f t="array" ref="DX15">SUM((YEAR(Gastos!$A$2:$A$2500)=DX$1)*(MONTH(Gastos!$A$2:$A$2500)=DX$3)*(Gastos!$B$2:$B$2500=$A15)*(Gastos!$D$2:$D$2500))</f>
        <v>0</v>
      </c>
      <c r="DY15" s="75">
        <f t="array" ref="DY15">SUM((YEAR(Gastos!$A$2:$A$2500)=DY$1)*(MONTH(Gastos!$A$2:$A$2500)=DY$3)*(Gastos!$B$2:$B$2500=$A15)*(Gastos!$D$2:$D$2500))</f>
        <v>0</v>
      </c>
      <c r="DZ15" s="75">
        <f t="array" ref="DZ15">SUM((YEAR(Gastos!$A$2:$A$2500)=DZ$1)*(MONTH(Gastos!$A$2:$A$2500)=DZ$3)*(Gastos!$B$2:$B$2500=$A15)*(Gastos!$D$2:$D$2500))</f>
        <v>0</v>
      </c>
      <c r="EA15" s="75">
        <f t="array" ref="EA15">SUM((YEAR(Gastos!$A$2:$A$2500)=EA$1)*(MONTH(Gastos!$A$2:$A$2500)=EA$3)*(Gastos!$B$2:$B$2500=$A15)*(Gastos!$D$2:$D$2500))</f>
        <v>0</v>
      </c>
      <c r="EB15" s="75">
        <f t="array" ref="EB15">SUM((YEAR(Gastos!$A$2:$A$2500)=EB$1)*(MONTH(Gastos!$A$2:$A$2500)=EB$3)*(Gastos!$B$2:$B$2500=$A15)*(Gastos!$D$2:$D$2500))</f>
        <v>0</v>
      </c>
      <c r="EC15" s="75">
        <f t="array" ref="EC15">SUM((YEAR(Gastos!$A$2:$A$2500)=EC$1)*(MONTH(Gastos!$A$2:$A$2500)=EC$3)*(Gastos!$B$2:$B$2500=$A15)*(Gastos!$D$2:$D$2500))</f>
        <v>0</v>
      </c>
      <c r="ED15" s="75">
        <f t="array" ref="ED15">SUM((YEAR(Gastos!$A$2:$A$2500)=ED$1)*(MONTH(Gastos!$A$2:$A$2500)=ED$3)*(Gastos!$B$2:$B$2500=$A15)*(Gastos!$D$2:$D$2500))</f>
        <v>0</v>
      </c>
      <c r="EE15" s="75">
        <f t="array" ref="EE15">SUM((YEAR(Gastos!$A$2:$A$2500)=EE$1)*(MONTH(Gastos!$A$2:$A$2500)=EE$3)*(Gastos!$B$2:$B$2500=$A15)*(Gastos!$D$2:$D$2500))</f>
        <v>0</v>
      </c>
      <c r="EF15" s="75">
        <f t="array" ref="EF15">SUM((YEAR(Gastos!$A$2:$A$2500)=EF$1)*(MONTH(Gastos!$A$2:$A$2500)=EF$3)*(Gastos!$B$2:$B$2500=$A15)*(Gastos!$D$2:$D$2500))</f>
        <v>0</v>
      </c>
      <c r="EG15" s="75">
        <f t="array" ref="EG15">SUM((YEAR(Gastos!$A$2:$A$2500)=EG$1)*(MONTH(Gastos!$A$2:$A$2500)=EG$3)*(Gastos!$B$2:$B$2500=$A15)*(Gastos!$D$2:$D$2500))</f>
        <v>0</v>
      </c>
      <c r="EH15" s="75">
        <f t="array" ref="EH15">SUM((YEAR(Gastos!$A$2:$A$2500)=EH$1)*(MONTH(Gastos!$A$2:$A$2500)=EH$3)*(Gastos!$B$2:$B$2500=$A15)*(Gastos!$D$2:$D$2500))</f>
        <v>0</v>
      </c>
      <c r="EI15" s="75">
        <f t="array" ref="EI15">SUM((YEAR(Gastos!$A$2:$A$2500)=EI$1)*(MONTH(Gastos!$A$2:$A$2500)=EI$3)*(Gastos!$B$2:$B$2500=$A15)*(Gastos!$D$2:$D$2500))</f>
        <v>0</v>
      </c>
      <c r="EJ15" s="75">
        <f t="array" ref="EJ15">SUM((YEAR(Gastos!$A$2:$A$2500)=EJ$1)*(MONTH(Gastos!$A$2:$A$2500)=EJ$3)*(Gastos!$B$2:$B$2500=$A15)*(Gastos!$D$2:$D$2500))</f>
        <v>0</v>
      </c>
      <c r="EK15" s="75">
        <f t="array" ref="EK15">SUM((YEAR(Gastos!$A$2:$A$2500)=EK$1)*(MONTH(Gastos!$A$2:$A$2500)=EK$3)*(Gastos!$B$2:$B$2500=$A15)*(Gastos!$D$2:$D$2500))</f>
        <v>0</v>
      </c>
      <c r="EL15" s="75">
        <f t="array" ref="EL15">SUM((YEAR(Gastos!$A$2:$A$2500)=EL$1)*(MONTH(Gastos!$A$2:$A$2500)=EL$3)*(Gastos!$B$2:$B$2500=$A15)*(Gastos!$D$2:$D$2500))</f>
        <v>0</v>
      </c>
      <c r="EM15" s="75">
        <f t="array" ref="EM15">SUM((YEAR(Gastos!$A$2:$A$2500)=EM$1)*(MONTH(Gastos!$A$2:$A$2500)=EM$3)*(Gastos!$B$2:$B$2500=$A15)*(Gastos!$D$2:$D$2500))</f>
        <v>0</v>
      </c>
      <c r="EN15" s="75">
        <f t="array" ref="EN15">SUM((YEAR(Gastos!$A$2:$A$2500)=EN$1)*(MONTH(Gastos!$A$2:$A$2500)=EN$3)*(Gastos!$B$2:$B$2500=$A15)*(Gastos!$D$2:$D$2500))</f>
        <v>0</v>
      </c>
      <c r="EO15" s="75">
        <f t="array" ref="EO15">SUM((YEAR(Gastos!$A$2:$A$2500)=EO$1)*(MONTH(Gastos!$A$2:$A$2500)=EO$3)*(Gastos!$B$2:$B$2500=$A15)*(Gastos!$D$2:$D$2500))</f>
        <v>0</v>
      </c>
      <c r="EP15" s="75">
        <f t="array" ref="EP15">SUM((YEAR(Gastos!$A$2:$A$2500)=EP$1)*(MONTH(Gastos!$A$2:$A$2500)=EP$3)*(Gastos!$B$2:$B$2500=$A15)*(Gastos!$D$2:$D$2500))</f>
        <v>0</v>
      </c>
      <c r="EQ15" s="75">
        <f t="array" ref="EQ15">SUM((YEAR(Gastos!$A$2:$A$2500)=EQ$1)*(MONTH(Gastos!$A$2:$A$2500)=EQ$3)*(Gastos!$B$2:$B$2500=$A15)*(Gastos!$D$2:$D$2500))</f>
        <v>0</v>
      </c>
      <c r="ER15" s="75">
        <f t="array" ref="ER15">SUM((YEAR(Gastos!$A$2:$A$2500)=ER$1)*(MONTH(Gastos!$A$2:$A$2500)=ER$3)*(Gastos!$B$2:$B$2500=$A15)*(Gastos!$D$2:$D$2500))</f>
        <v>0</v>
      </c>
      <c r="ES15" s="75">
        <f t="array" ref="ES15">SUM((YEAR(Gastos!$A$2:$A$2500)=ES$1)*(MONTH(Gastos!$A$2:$A$2500)=ES$3)*(Gastos!$B$2:$B$2500=$A15)*(Gastos!$D$2:$D$2500))</f>
        <v>0</v>
      </c>
      <c r="ET15" s="75">
        <f t="array" ref="ET15">SUM((YEAR(Gastos!$A$2:$A$2500)=ET$1)*(MONTH(Gastos!$A$2:$A$2500)=ET$3)*(Gastos!$B$2:$B$2500=$A15)*(Gastos!$D$2:$D$2500))</f>
        <v>0</v>
      </c>
      <c r="EU15" s="75">
        <f t="array" ref="EU15">SUM((YEAR(Gastos!$A$2:$A$2500)=EU$1)*(MONTH(Gastos!$A$2:$A$2500)=EU$3)*(Gastos!$B$2:$B$2500=$A15)*(Gastos!$D$2:$D$2500))</f>
        <v>0</v>
      </c>
      <c r="EV15" s="75">
        <f t="array" ref="EV15">SUM((YEAR(Gastos!$A$2:$A$2500)=EV$1)*(MONTH(Gastos!$A$2:$A$2500)=EV$3)*(Gastos!$B$2:$B$2500=$A15)*(Gastos!$D$2:$D$2500))</f>
        <v>0</v>
      </c>
      <c r="EW15" s="75">
        <f t="array" ref="EW15">SUM((YEAR(Gastos!$A$2:$A$2500)=EW$1)*(MONTH(Gastos!$A$2:$A$2500)=EW$3)*(Gastos!$B$2:$B$2500=$A15)*(Gastos!$D$2:$D$2500))</f>
        <v>0</v>
      </c>
      <c r="EX15" s="75">
        <f t="array" ref="EX15">SUM((YEAR(Gastos!$A$2:$A$2500)=EX$1)*(MONTH(Gastos!$A$2:$A$2500)=EX$3)*(Gastos!$B$2:$B$2500=$A15)*(Gastos!$D$2:$D$2500))</f>
        <v>0</v>
      </c>
      <c r="EY15" s="75">
        <f t="array" ref="EY15">SUM((YEAR(Gastos!$A$2:$A$2500)=EY$1)*(MONTH(Gastos!$A$2:$A$2500)=EY$3)*(Gastos!$B$2:$B$2500=$A15)*(Gastos!$D$2:$D$2500))</f>
        <v>0</v>
      </c>
      <c r="EZ15" s="75">
        <f t="array" ref="EZ15">SUM((YEAR(Gastos!$A$2:$A$2500)=EZ$1)*(MONTH(Gastos!$A$2:$A$2500)=EZ$3)*(Gastos!$B$2:$B$2500=$A15)*(Gastos!$D$2:$D$2500))</f>
        <v>0</v>
      </c>
      <c r="FA15" s="75">
        <f t="array" ref="FA15">SUM((YEAR(Gastos!$A$2:$A$2500)=FA$1)*(MONTH(Gastos!$A$2:$A$2500)=FA$3)*(Gastos!$B$2:$B$2500=$A15)*(Gastos!$D$2:$D$2500))</f>
        <v>0</v>
      </c>
      <c r="FB15" s="75">
        <f t="array" ref="FB15">SUM((YEAR(Gastos!$A$2:$A$2500)=FB$1)*(MONTH(Gastos!$A$2:$A$2500)=FB$3)*(Gastos!$B$2:$B$2500=$A15)*(Gastos!$D$2:$D$2500))</f>
        <v>0</v>
      </c>
      <c r="FC15" s="75">
        <f t="array" ref="FC15">SUM((YEAR(Gastos!$A$2:$A$2500)=FC$1)*(MONTH(Gastos!$A$2:$A$2500)=FC$3)*(Gastos!$B$2:$B$2500=$A15)*(Gastos!$D$2:$D$2500))</f>
        <v>0</v>
      </c>
      <c r="FD15" s="75">
        <f t="array" ref="FD15">SUM((YEAR(Gastos!$A$2:$A$2500)=FD$1)*(MONTH(Gastos!$A$2:$A$2500)=FD$3)*(Gastos!$B$2:$B$2500=$A15)*(Gastos!$D$2:$D$2500))</f>
        <v>0</v>
      </c>
      <c r="FE15" s="75">
        <f t="array" ref="FE15">SUM((YEAR(Gastos!$A$2:$A$2500)=FE$1)*(MONTH(Gastos!$A$2:$A$2500)=FE$3)*(Gastos!$B$2:$B$2500=$A15)*(Gastos!$D$2:$D$2500))</f>
        <v>0</v>
      </c>
      <c r="FF15" s="75">
        <f t="array" ref="FF15">SUM((YEAR(Gastos!$A$2:$A$2500)=FF$1)*(MONTH(Gastos!$A$2:$A$2500)=FF$3)*(Gastos!$B$2:$B$2500=$A15)*(Gastos!$D$2:$D$2500))</f>
        <v>0</v>
      </c>
      <c r="FG15" s="75">
        <f t="array" ref="FG15">SUM((YEAR(Gastos!$A$2:$A$2500)=FG$1)*(MONTH(Gastos!$A$2:$A$2500)=FG$3)*(Gastos!$B$2:$B$2500=$A15)*(Gastos!$D$2:$D$2500))</f>
        <v>0</v>
      </c>
      <c r="FH15" s="75">
        <f t="array" ref="FH15">SUM((YEAR(Gastos!$A$2:$A$2500)=FH$1)*(MONTH(Gastos!$A$2:$A$2500)=FH$3)*(Gastos!$B$2:$B$2500=$A15)*(Gastos!$D$2:$D$2500))</f>
        <v>0</v>
      </c>
      <c r="FI15" s="75">
        <f t="array" ref="FI15">SUM((YEAR(Gastos!$A$2:$A$2500)=FI$1)*(MONTH(Gastos!$A$2:$A$2500)=FI$3)*(Gastos!$B$2:$B$2500=$A15)*(Gastos!$D$2:$D$2500))</f>
        <v>0</v>
      </c>
      <c r="FJ15" s="75">
        <f t="array" ref="FJ15">SUM((YEAR(Gastos!$A$2:$A$2500)=FJ$1)*(MONTH(Gastos!$A$2:$A$2500)=FJ$3)*(Gastos!$B$2:$B$2500=$A15)*(Gastos!$D$2:$D$2500))</f>
        <v>0</v>
      </c>
      <c r="FK15" s="75">
        <f t="array" ref="FK15">SUM((YEAR(Gastos!$A$2:$A$2500)=FK$1)*(MONTH(Gastos!$A$2:$A$2500)=FK$3)*(Gastos!$B$2:$B$2500=$A15)*(Gastos!$D$2:$D$2500))</f>
        <v>0</v>
      </c>
      <c r="FL15" s="75">
        <f t="array" ref="FL15">SUM((YEAR(Gastos!$A$2:$A$2500)=FL$1)*(MONTH(Gastos!$A$2:$A$2500)=FL$3)*(Gastos!$B$2:$B$2500=$A15)*(Gastos!$D$2:$D$2500))</f>
        <v>0</v>
      </c>
      <c r="FM15" s="75">
        <f t="array" ref="FM15">SUM((YEAR(Gastos!$A$2:$A$2500)=FM$1)*(MONTH(Gastos!$A$2:$A$2500)=FM$3)*(Gastos!$B$2:$B$2500=$A15)*(Gastos!$D$2:$D$2500))</f>
        <v>0</v>
      </c>
      <c r="FN15" s="75">
        <f t="array" ref="FN15">SUM((YEAR(Gastos!$A$2:$A$2500)=FN$1)*(MONTH(Gastos!$A$2:$A$2500)=FN$3)*(Gastos!$B$2:$B$2500=$A15)*(Gastos!$D$2:$D$2500))</f>
        <v>0</v>
      </c>
      <c r="FO15" s="75">
        <f t="array" ref="FO15">SUM((YEAR(Gastos!$A$2:$A$2500)=FO$1)*(MONTH(Gastos!$A$2:$A$2500)=FO$3)*(Gastos!$B$2:$B$2500=$A15)*(Gastos!$D$2:$D$2500))</f>
        <v>0</v>
      </c>
      <c r="FP15" s="75">
        <f t="array" ref="FP15">SUM((YEAR(Gastos!$A$2:$A$2500)=FP$1)*(MONTH(Gastos!$A$2:$A$2500)=FP$3)*(Gastos!$B$2:$B$2500=$A15)*(Gastos!$D$2:$D$2500))</f>
        <v>0</v>
      </c>
      <c r="FQ15" s="75">
        <f t="array" ref="FQ15">SUM((YEAR(Gastos!$A$2:$A$2500)=FQ$1)*(MONTH(Gastos!$A$2:$A$2500)=FQ$3)*(Gastos!$B$2:$B$2500=$A15)*(Gastos!$D$2:$D$2500))</f>
        <v>0</v>
      </c>
      <c r="FR15" s="75">
        <f t="array" ref="FR15">SUM((YEAR(Gastos!$A$2:$A$2500)=FR$1)*(MONTH(Gastos!$A$2:$A$2500)=FR$3)*(Gastos!$B$2:$B$2500=$A15)*(Gastos!$D$2:$D$2500))</f>
        <v>0</v>
      </c>
      <c r="FS15" s="75">
        <f t="array" ref="FS15">SUM((YEAR(Gastos!$A$2:$A$2500)=FS$1)*(MONTH(Gastos!$A$2:$A$2500)=FS$3)*(Gastos!$B$2:$B$2500=$A15)*(Gastos!$D$2:$D$2500))</f>
        <v>0</v>
      </c>
      <c r="FT15" s="75">
        <f t="array" ref="FT15">SUM((YEAR(Gastos!$A$2:$A$2500)=FT$1)*(MONTH(Gastos!$A$2:$A$2500)=FT$3)*(Gastos!$B$2:$B$2500=$A15)*(Gastos!$D$2:$D$2500))</f>
        <v>0</v>
      </c>
      <c r="FU15" s="75">
        <f t="array" ref="FU15">SUM((YEAR(Gastos!$A$2:$A$2500)=FU$1)*(MONTH(Gastos!$A$2:$A$2500)=FU$3)*(Gastos!$B$2:$B$2500=$A15)*(Gastos!$D$2:$D$2500))</f>
        <v>0</v>
      </c>
      <c r="FV15" s="75">
        <f t="array" ref="FV15">SUM((YEAR(Gastos!$A$2:$A$2500)=FV$1)*(MONTH(Gastos!$A$2:$A$2500)=FV$3)*(Gastos!$B$2:$B$2500=$A15)*(Gastos!$D$2:$D$2500))</f>
        <v>0</v>
      </c>
      <c r="FW15" s="75">
        <f t="array" ref="FW15">SUM((YEAR(Gastos!$A$2:$A$2500)=FW$1)*(MONTH(Gastos!$A$2:$A$2500)=FW$3)*(Gastos!$B$2:$B$2500=$A15)*(Gastos!$D$2:$D$2500))</f>
        <v>0</v>
      </c>
      <c r="FX15" s="75">
        <f t="array" ref="FX15">SUM((YEAR(Gastos!$A$2:$A$2500)=FX$1)*(MONTH(Gastos!$A$2:$A$2500)=FX$3)*(Gastos!$B$2:$B$2500=$A15)*(Gastos!$D$2:$D$2500))</f>
        <v>0</v>
      </c>
      <c r="FY15" s="75">
        <f t="array" ref="FY15">SUM((YEAR(Gastos!$A$2:$A$2500)=FY$1)*(MONTH(Gastos!$A$2:$A$2500)=FY$3)*(Gastos!$B$2:$B$2500=$A15)*(Gastos!$D$2:$D$2500))</f>
        <v>0</v>
      </c>
      <c r="FZ15" s="76">
        <f t="shared" si="65"/>
        <v>32940.28</v>
      </c>
      <c r="GA15" s="80"/>
      <c r="GB15" s="78">
        <f t="shared" si="66"/>
        <v>32940.28</v>
      </c>
      <c r="GF15" s="79">
        <f t="array" ref="GF15">SUM(((Gastos!$A$2:$A$1647)&gt;=GD$3)*((Gastos!$A$2:$A$1647)&lt;=GF$3)*(Gastos!$B$2:$B$1647=$A15)*(Gastos!$D$2:$D$1647))</f>
        <v>32940.28</v>
      </c>
      <c r="GI15" s="79">
        <f t="array" ref="GI15">SUM(((Gastos!$A$2:$A$1647)&gt;=GG$3)*((Gastos!$A$2:$A$1647)&lt;=GI$3)*(Gastos!$B$2:$B$1647=$A15)*(Gastos!$D$2:$D$1647))</f>
        <v>0</v>
      </c>
      <c r="GL15" s="100">
        <f>EL120</f>
        <v>2025</v>
      </c>
      <c r="GM15" s="102">
        <f>EM120</f>
        <v>471752</v>
      </c>
      <c r="GN15" s="102">
        <f>EN120</f>
        <v>244507.87999999998</v>
      </c>
      <c r="GO15" s="102">
        <f>EO120</f>
        <v>38424.79</v>
      </c>
      <c r="GP15" s="106">
        <v>747606.09</v>
      </c>
      <c r="GQ15" s="105">
        <f t="shared" si="64"/>
        <v>754684.67</v>
      </c>
      <c r="GR15" s="109">
        <f t="shared" si="67"/>
        <v>807536.17</v>
      </c>
      <c r="GS15" s="107">
        <v>52851.5</v>
      </c>
    </row>
    <row r="16" spans="1:201" ht="15" thickBot="1" x14ac:dyDescent="0.4">
      <c r="A16" s="74" t="str">
        <f>Gastos!AA14</f>
        <v>F. TELMEX</v>
      </c>
      <c r="B16" s="75">
        <f t="array" ref="B16">SUM((YEAR(Gastos!$A$2:$A$2500)=B$1)*(MONTH(Gastos!$A$2:$A$2500)=B$3)*(Gastos!$B$2:$B$2500=$A16)*(Gastos!$D$2:$D$2500))</f>
        <v>0</v>
      </c>
      <c r="C16" s="75">
        <f t="array" ref="C16">SUM((YEAR(Gastos!$A$2:$A$2500)=C$1)*(MONTH(Gastos!$A$2:$A$2500)=C$3)*(Gastos!$B$2:$B$2500=$A16)*(Gastos!$D$2:$D$2500))</f>
        <v>0</v>
      </c>
      <c r="D16" s="75">
        <f t="array" ref="D16">SUM((YEAR(Gastos!$A$2:$A$2500)=D$1)*(MONTH(Gastos!$A$2:$A$2500)=D$3)*(Gastos!$B$2:$B$2500=$A16)*(Gastos!$D$2:$D$2500))</f>
        <v>0</v>
      </c>
      <c r="E16" s="75">
        <f t="array" ref="E16">SUM((YEAR(Gastos!$A$2:$A$2500)=E$1)*(MONTH(Gastos!$A$2:$A$2500)=E$3)*(Gastos!$B$2:$B$2500=$A16)*(Gastos!$D$2:$D$2500))</f>
        <v>0</v>
      </c>
      <c r="F16" s="75">
        <f t="array" ref="F16">SUM((YEAR(Gastos!$A$2:$A$2500)=F$1)*(MONTH(Gastos!$A$2:$A$2500)=F$3)*(Gastos!$B$2:$B$2500=$A16)*(Gastos!$D$2:$D$2500))</f>
        <v>0</v>
      </c>
      <c r="G16" s="75">
        <f t="array" ref="G16">SUM((YEAR(Gastos!$A$2:$A$2500)=G$1)*(MONTH(Gastos!$A$2:$A$2500)=G$3)*(Gastos!$B$2:$B$2500=$A16)*(Gastos!$D$2:$D$2500))</f>
        <v>0</v>
      </c>
      <c r="H16" s="75">
        <f t="array" ref="H16">SUM((YEAR(Gastos!$A$2:$A$2500)=H$1)*(MONTH(Gastos!$A$2:$A$2500)=H$3)*(Gastos!$B$2:$B$2500=$A16)*(Gastos!$D$2:$D$2500))</f>
        <v>0</v>
      </c>
      <c r="I16" s="75">
        <f t="array" ref="I16">SUM((YEAR(Gastos!$A$2:$A$2500)=I$1)*(MONTH(Gastos!$A$2:$A$2500)=I$3)*(Gastos!$B$2:$B$2500=$A16)*(Gastos!$D$2:$D$2500))</f>
        <v>0</v>
      </c>
      <c r="J16" s="75">
        <f t="array" ref="J16">SUM((YEAR(Gastos!$A$2:$A$2500)=J$1)*(MONTH(Gastos!$A$2:$A$2500)=J$3)*(Gastos!$B$2:$B$2500=$A16)*(Gastos!$D$2:$D$2500))</f>
        <v>0</v>
      </c>
      <c r="K16" s="75">
        <f t="array" ref="K16">SUM((YEAR(Gastos!$A$2:$A$2500)=K$1)*(MONTH(Gastos!$A$2:$A$2500)=K$3)*(Gastos!$B$2:$B$2500=$A16)*(Gastos!$D$2:$D$2500))</f>
        <v>0</v>
      </c>
      <c r="L16" s="75">
        <f t="array" ref="L16">SUM((YEAR(Gastos!$A$2:$A$2500)=L$1)*(MONTH(Gastos!$A$2:$A$2500)=L$3)*(Gastos!$B$2:$B$2500=$A16)*(Gastos!$D$2:$D$2500))</f>
        <v>0</v>
      </c>
      <c r="M16" s="75">
        <f t="array" ref="M16">SUM((YEAR(Gastos!$A$2:$A$2500)=M$1)*(MONTH(Gastos!$A$2:$A$2500)=M$3)*(Gastos!$B$2:$B$2500=$A16)*(Gastos!$D$2:$D$2500))</f>
        <v>0</v>
      </c>
      <c r="N16" s="75">
        <f t="array" ref="N16">SUM((YEAR(Gastos!$A$2:$A$2500)=N$1)*(MONTH(Gastos!$A$2:$A$2500)=N$3)*(Gastos!$B$2:$B$2500=$A16)*(Gastos!$D$2:$D$2500))</f>
        <v>0</v>
      </c>
      <c r="O16" s="75">
        <f t="array" ref="O16">SUM((YEAR(Gastos!$A$2:$A$2500)=O$1)*(MONTH(Gastos!$A$2:$A$2500)=O$3)*(Gastos!$B$2:$B$2500=$A16)*(Gastos!$D$2:$D$2500))</f>
        <v>0</v>
      </c>
      <c r="P16" s="75">
        <f t="array" ref="P16">SUM((YEAR(Gastos!$A$2:$A$2500)=P$1)*(MONTH(Gastos!$A$2:$A$2500)=P$3)*(Gastos!$B$2:$B$2500=$A16)*(Gastos!$D$2:$D$2500))</f>
        <v>0</v>
      </c>
      <c r="Q16" s="75">
        <f t="array" ref="Q16">SUM((YEAR(Gastos!$A$2:$A$2500)=Q$1)*(MONTH(Gastos!$A$2:$A$2500)=Q$3)*(Gastos!$B$2:$B$2500=$A16)*(Gastos!$D$2:$D$2500))</f>
        <v>0</v>
      </c>
      <c r="R16" s="75">
        <f t="array" ref="R16">SUM((YEAR(Gastos!$A$2:$A$2500)=R$1)*(MONTH(Gastos!$A$2:$A$2500)=R$3)*(Gastos!$B$2:$B$2500=$A16)*(Gastos!$D$2:$D$2500))</f>
        <v>0</v>
      </c>
      <c r="S16" s="75">
        <f t="array" ref="S16">SUM((YEAR(Gastos!$A$2:$A$2500)=S$1)*(MONTH(Gastos!$A$2:$A$2500)=S$3)*(Gastos!$B$2:$B$2500=$A16)*(Gastos!$D$2:$D$2500))</f>
        <v>0</v>
      </c>
      <c r="T16" s="75">
        <f t="array" ref="T16">SUM((YEAR(Gastos!$A$2:$A$2500)=T$1)*(MONTH(Gastos!$A$2:$A$2500)=T$3)*(Gastos!$B$2:$B$2500=$A16)*(Gastos!$D$2:$D$2500))</f>
        <v>0</v>
      </c>
      <c r="U16" s="75">
        <f t="array" ref="U16">SUM((YEAR(Gastos!$A$2:$A$2500)=U$1)*(MONTH(Gastos!$A$2:$A$2500)=U$3)*(Gastos!$B$2:$B$2500=$A16)*(Gastos!$D$2:$D$2500))</f>
        <v>0</v>
      </c>
      <c r="V16" s="75">
        <f t="array" ref="V16">SUM((YEAR(Gastos!$A$2:$A$2500)=V$1)*(MONTH(Gastos!$A$2:$A$2500)=V$3)*(Gastos!$B$2:$B$2500=$A16)*(Gastos!$D$2:$D$2500))</f>
        <v>0</v>
      </c>
      <c r="W16" s="75">
        <f t="array" ref="W16">SUM((YEAR(Gastos!$A$2:$A$2500)=W$1)*(MONTH(Gastos!$A$2:$A$2500)=W$3)*(Gastos!$B$2:$B$2500=$A16)*(Gastos!$D$2:$D$2500))</f>
        <v>0</v>
      </c>
      <c r="X16" s="75">
        <f t="array" ref="X16">SUM((YEAR(Gastos!$A$2:$A$2500)=X$1)*(MONTH(Gastos!$A$2:$A$2500)=X$3)*(Gastos!$B$2:$B$2500=$A16)*(Gastos!$D$2:$D$2500))</f>
        <v>0</v>
      </c>
      <c r="Y16" s="75">
        <f t="array" ref="Y16">SUM((YEAR(Gastos!$A$2:$A$2500)=Y$1)*(MONTH(Gastos!$A$2:$A$2500)=Y$3)*(Gastos!$B$2:$B$2500=$A16)*(Gastos!$D$2:$D$2500))</f>
        <v>0</v>
      </c>
      <c r="Z16" s="75">
        <f t="array" ref="Z16">SUM((YEAR(Gastos!$A$2:$A$2500)=Z$1)*(MONTH(Gastos!$A$2:$A$2500)=Z$3)*(Gastos!$B$2:$B$2500=$A16)*(Gastos!$D$2:$D$2500))</f>
        <v>0</v>
      </c>
      <c r="AA16" s="75">
        <f t="array" ref="AA16">SUM((YEAR(Gastos!$A$2:$A$2500)=AA$1)*(MONTH(Gastos!$A$2:$A$2500)=AA$3)*(Gastos!$B$2:$B$2500=$A16)*(Gastos!$D$2:$D$2500))</f>
        <v>0</v>
      </c>
      <c r="AB16" s="75">
        <f t="array" ref="AB16">SUM((YEAR(Gastos!$A$2:$A$2500)=AB$1)*(MONTH(Gastos!$A$2:$A$2500)=AB$3)*(Gastos!$B$2:$B$2500=$A16)*(Gastos!$D$2:$D$2500))</f>
        <v>0</v>
      </c>
      <c r="AC16" s="75">
        <f t="array" ref="AC16">SUM((YEAR(Gastos!$A$2:$A$2500)=AC$1)*(MONTH(Gastos!$A$2:$A$2500)=AC$3)*(Gastos!$B$2:$B$2500=$A16)*(Gastos!$D$2:$D$2500))</f>
        <v>0</v>
      </c>
      <c r="AD16" s="75">
        <f t="array" ref="AD16">SUM((YEAR(Gastos!$A$2:$A$2500)=AD$1)*(MONTH(Gastos!$A$2:$A$2500)=AD$3)*(Gastos!$B$2:$B$2500=$A16)*(Gastos!$D$2:$D$2500))</f>
        <v>0</v>
      </c>
      <c r="AE16" s="75">
        <f t="array" ref="AE16">SUM((YEAR(Gastos!$A$2:$A$2500)=AE$1)*(MONTH(Gastos!$A$2:$A$2500)=AE$3)*(Gastos!$B$2:$B$2500=$A16)*(Gastos!$D$2:$D$2500))</f>
        <v>0</v>
      </c>
      <c r="AF16" s="75">
        <f t="array" ref="AF16">SUM((YEAR(Gastos!$A$2:$A$2500)=AF$1)*(MONTH(Gastos!$A$2:$A$2500)=AF$3)*(Gastos!$B$2:$B$2500=$A16)*(Gastos!$D$2:$D$2500))</f>
        <v>0</v>
      </c>
      <c r="AG16" s="75">
        <f t="array" ref="AG16">SUM((YEAR(Gastos!$A$2:$A$2500)=AG$1)*(MONTH(Gastos!$A$2:$A$2500)=AG$3)*(Gastos!$B$2:$B$2500=$A16)*(Gastos!$D$2:$D$2500))</f>
        <v>0</v>
      </c>
      <c r="AH16" s="75">
        <f t="array" ref="AH16">SUM((YEAR(Gastos!$A$2:$A$2500)=AH$1)*(MONTH(Gastos!$A$2:$A$2500)=AH$3)*(Gastos!$B$2:$B$2500=$A16)*(Gastos!$D$2:$D$2500))</f>
        <v>0</v>
      </c>
      <c r="AI16" s="75">
        <f t="array" ref="AI16">SUM((YEAR(Gastos!$A$2:$A$2500)=AI$1)*(MONTH(Gastos!$A$2:$A$2500)=AI$3)*(Gastos!$B$2:$B$2500=$A16)*(Gastos!$D$2:$D$2500))</f>
        <v>0</v>
      </c>
      <c r="AJ16" s="75">
        <f t="array" ref="AJ16">SUM((YEAR(Gastos!$A$2:$A$2500)=AJ$1)*(MONTH(Gastos!$A$2:$A$2500)=AJ$3)*(Gastos!$B$2:$B$2500=$A16)*(Gastos!$D$2:$D$2500))</f>
        <v>0</v>
      </c>
      <c r="AK16" s="75">
        <f t="array" ref="AK16">SUM((YEAR(Gastos!$A$2:$A$2500)=AK$1)*(MONTH(Gastos!$A$2:$A$2500)=AK$3)*(Gastos!$B$2:$B$2500=$A16)*(Gastos!$D$2:$D$2500))</f>
        <v>0</v>
      </c>
      <c r="AL16" s="75">
        <f t="array" ref="AL16">SUM((YEAR(Gastos!$A$2:$A$2500)=AL$1)*(MONTH(Gastos!$A$2:$A$2500)=AL$3)*(Gastos!$B$2:$B$2500=$A16)*(Gastos!$D$2:$D$2500))</f>
        <v>0</v>
      </c>
      <c r="AM16" s="75">
        <f t="array" ref="AM16">SUM((YEAR(Gastos!$A$2:$A$2500)=AM$1)*(MONTH(Gastos!$A$2:$A$2500)=AM$3)*(Gastos!$B$2:$B$2500=$A16)*(Gastos!$D$2:$D$2500))</f>
        <v>0</v>
      </c>
      <c r="AN16" s="75">
        <f t="array" ref="AN16">SUM((YEAR(Gastos!$A$2:$A$2500)=AN$1)*(MONTH(Gastos!$A$2:$A$2500)=AN$3)*(Gastos!$B$2:$B$2500=$A16)*(Gastos!$D$2:$D$2500))</f>
        <v>0</v>
      </c>
      <c r="AO16" s="75">
        <f t="array" ref="AO16">SUM((YEAR(Gastos!$A$2:$A$2500)=AO$1)*(MONTH(Gastos!$A$2:$A$2500)=AO$3)*(Gastos!$B$2:$B$2500=$A16)*(Gastos!$D$2:$D$2500))</f>
        <v>0</v>
      </c>
      <c r="AP16" s="75">
        <f t="array" ref="AP16">SUM((YEAR(Gastos!$A$2:$A$2500)=AP$1)*(MONTH(Gastos!$A$2:$A$2500)=AP$3)*(Gastos!$B$2:$B$2500=$A16)*(Gastos!$D$2:$D$2500))</f>
        <v>0</v>
      </c>
      <c r="AQ16" s="75">
        <f t="array" ref="AQ16">SUM((YEAR(Gastos!$A$2:$A$2500)=AQ$1)*(MONTH(Gastos!$A$2:$A$2500)=AQ$3)*(Gastos!$B$2:$B$2500=$A16)*(Gastos!$D$2:$D$2500))</f>
        <v>0</v>
      </c>
      <c r="AR16" s="75">
        <f t="array" ref="AR16">SUM((YEAR(Gastos!$A$2:$A$2500)=AR$1)*(MONTH(Gastos!$A$2:$A$2500)=AR$3)*(Gastos!$B$2:$B$2500=$A16)*(Gastos!$D$2:$D$2500))</f>
        <v>0</v>
      </c>
      <c r="AS16" s="75">
        <f t="array" ref="AS16">SUM((YEAR(Gastos!$A$2:$A$2500)=AS$1)*(MONTH(Gastos!$A$2:$A$2500)=AS$3)*(Gastos!$B$2:$B$2500=$A16)*(Gastos!$D$2:$D$2500))</f>
        <v>0</v>
      </c>
      <c r="AT16" s="75">
        <f t="array" ref="AT16">SUM((YEAR(Gastos!$A$2:$A$2500)=AT$1)*(MONTH(Gastos!$A$2:$A$2500)=AT$3)*(Gastos!$B$2:$B$2500=$A16)*(Gastos!$D$2:$D$2500))</f>
        <v>0</v>
      </c>
      <c r="AU16" s="75">
        <f t="array" ref="AU16">SUM((YEAR(Gastos!$A$2:$A$2500)=AU$1)*(MONTH(Gastos!$A$2:$A$2500)=AU$3)*(Gastos!$B$2:$B$2500=$A16)*(Gastos!$D$2:$D$2500))</f>
        <v>0</v>
      </c>
      <c r="AV16" s="75">
        <f t="array" ref="AV16">SUM((YEAR(Gastos!$A$2:$A$2500)=AV$1)*(MONTH(Gastos!$A$2:$A$2500)=AV$3)*(Gastos!$B$2:$B$2500=$A16)*(Gastos!$D$2:$D$2500))</f>
        <v>0</v>
      </c>
      <c r="AW16" s="75">
        <f t="array" ref="AW16">SUM((YEAR(Gastos!$A$2:$A$2500)=AW$1)*(MONTH(Gastos!$A$2:$A$2500)=AW$3)*(Gastos!$B$2:$B$2500=$A16)*(Gastos!$D$2:$D$2500))</f>
        <v>0</v>
      </c>
      <c r="AX16" s="75">
        <f t="array" ref="AX16">SUM((YEAR(Gastos!$A$2:$A$2500)=AX$1)*(MONTH(Gastos!$A$2:$A$2500)=AX$3)*(Gastos!$B$2:$B$2500=$A16)*(Gastos!$D$2:$D$2500))</f>
        <v>0</v>
      </c>
      <c r="AY16" s="75">
        <f t="array" ref="AY16">SUM((YEAR(Gastos!$A$2:$A$2500)=AY$1)*(MONTH(Gastos!$A$2:$A$2500)=AY$3)*(Gastos!$B$2:$B$2500=$A16)*(Gastos!$D$2:$D$2500))</f>
        <v>0</v>
      </c>
      <c r="AZ16" s="75">
        <f t="array" ref="AZ16">SUM((YEAR(Gastos!$A$2:$A$2500)=AZ$1)*(MONTH(Gastos!$A$2:$A$2500)=AZ$3)*(Gastos!$B$2:$B$2500=$A16)*(Gastos!$D$2:$D$2500))</f>
        <v>0</v>
      </c>
      <c r="BA16" s="75">
        <f t="array" ref="BA16">SUM((YEAR(Gastos!$A$2:$A$2500)=BA$1)*(MONTH(Gastos!$A$2:$A$2500)=BA$3)*(Gastos!$B$2:$B$2500=$A16)*(Gastos!$D$2:$D$2500))</f>
        <v>0</v>
      </c>
      <c r="BB16" s="75">
        <f t="array" ref="BB16">SUM((YEAR(Gastos!$A$2:$A$2500)=BB$1)*(MONTH(Gastos!$A$2:$A$2500)=BB$3)*(Gastos!$B$2:$B$2500=$A16)*(Gastos!$D$2:$D$2500))</f>
        <v>0</v>
      </c>
      <c r="BC16" s="75">
        <f t="array" ref="BC16">SUM((YEAR(Gastos!$A$2:$A$2500)=BC$1)*(MONTH(Gastos!$A$2:$A$2500)=BC$3)*(Gastos!$B$2:$B$2500=$A16)*(Gastos!$D$2:$D$2500))</f>
        <v>0</v>
      </c>
      <c r="BD16" s="75">
        <f t="array" ref="BD16">SUM((YEAR(Gastos!$A$2:$A$2500)=BD$1)*(MONTH(Gastos!$A$2:$A$2500)=BD$3)*(Gastos!$B$2:$B$2500=$A16)*(Gastos!$D$2:$D$2500))</f>
        <v>0</v>
      </c>
      <c r="BE16" s="75">
        <f t="array" ref="BE16">SUM((YEAR(Gastos!$A$2:$A$2500)=BE$1)*(MONTH(Gastos!$A$2:$A$2500)=BE$3)*(Gastos!$B$2:$B$2500=$A16)*(Gastos!$D$2:$D$2500))</f>
        <v>0</v>
      </c>
      <c r="BF16" s="75">
        <f t="array" ref="BF16">SUM((YEAR(Gastos!$A$2:$A$2500)=BF$1)*(MONTH(Gastos!$A$2:$A$2500)=BF$3)*(Gastos!$B$2:$B$2500=$A16)*(Gastos!$D$2:$D$2500))</f>
        <v>0</v>
      </c>
      <c r="BG16" s="75">
        <f t="array" ref="BG16">SUM((YEAR(Gastos!$A$2:$A$2500)=BG$1)*(MONTH(Gastos!$A$2:$A$2500)=BG$3)*(Gastos!$B$2:$B$2500=$A16)*(Gastos!$D$2:$D$2500))</f>
        <v>0</v>
      </c>
      <c r="BH16" s="75">
        <f t="array" ref="BH16">SUM((YEAR(Gastos!$A$2:$A$2500)=BH$1)*(MONTH(Gastos!$A$2:$A$2500)=BH$3)*(Gastos!$B$2:$B$2500=$A16)*(Gastos!$D$2:$D$2500))</f>
        <v>0</v>
      </c>
      <c r="BI16" s="75">
        <f t="array" ref="BI16">SUM((YEAR(Gastos!$A$2:$A$2500)=BI$1)*(MONTH(Gastos!$A$2:$A$2500)=BI$3)*(Gastos!$B$2:$B$2500=$A16)*(Gastos!$D$2:$D$2500))</f>
        <v>0</v>
      </c>
      <c r="BJ16" s="75">
        <f t="array" ref="BJ16">SUM((YEAR(Gastos!$A$2:$A$2500)=BJ$1)*(MONTH(Gastos!$A$2:$A$2500)=BJ$3)*(Gastos!$B$2:$B$2500=$A16)*(Gastos!$D$2:$D$2500))</f>
        <v>0</v>
      </c>
      <c r="BK16" s="75">
        <f t="array" ref="BK16">SUM((YEAR(Gastos!$A$2:$A$2500)=BK$1)*(MONTH(Gastos!$A$2:$A$2500)=BK$3)*(Gastos!$B$2:$B$2500=$A16)*(Gastos!$D$2:$D$2500))</f>
        <v>0</v>
      </c>
      <c r="BL16" s="75">
        <f t="array" ref="BL16">SUM((YEAR(Gastos!$A$2:$A$2500)=BL$1)*(MONTH(Gastos!$A$2:$A$2500)=BL$3)*(Gastos!$B$2:$B$2500=$A16)*(Gastos!$D$2:$D$2500))</f>
        <v>0</v>
      </c>
      <c r="BM16" s="75">
        <f t="array" ref="BM16">SUM((YEAR(Gastos!$A$2:$A$2500)=BM$1)*(MONTH(Gastos!$A$2:$A$2500)=BM$3)*(Gastos!$B$2:$B$2500=$A16)*(Gastos!$D$2:$D$2500))</f>
        <v>0</v>
      </c>
      <c r="BN16" s="75">
        <f t="array" ref="BN16">SUM((YEAR(Gastos!$A$2:$A$2500)=BN$1)*(MONTH(Gastos!$A$2:$A$2500)=BN$3)*(Gastos!$B$2:$B$2500=$A16)*(Gastos!$D$2:$D$2500))</f>
        <v>0</v>
      </c>
      <c r="BO16" s="75">
        <f t="array" ref="BO16">SUM((YEAR(Gastos!$A$2:$A$2500)=BO$1)*(MONTH(Gastos!$A$2:$A$2500)=BO$3)*(Gastos!$B$2:$B$2500=$A16)*(Gastos!$D$2:$D$2500))</f>
        <v>0</v>
      </c>
      <c r="BP16" s="75">
        <f t="array" ref="BP16">SUM((YEAR(Gastos!$A$2:$A$2500)=BP$1)*(MONTH(Gastos!$A$2:$A$2500)=BP$3)*(Gastos!$B$2:$B$2500=$A16)*(Gastos!$D$2:$D$2500))</f>
        <v>798</v>
      </c>
      <c r="BQ16" s="75">
        <f t="array" ref="BQ16">SUM((YEAR(Gastos!$A$2:$A$2500)=BQ$1)*(MONTH(Gastos!$A$2:$A$2500)=BQ$3)*(Gastos!$B$2:$B$2500=$A16)*(Gastos!$D$2:$D$2500))</f>
        <v>0</v>
      </c>
      <c r="BR16" s="75">
        <f t="array" ref="BR16">SUM((YEAR(Gastos!$A$2:$A$2500)=BR$1)*(MONTH(Gastos!$A$2:$A$2500)=BR$3)*(Gastos!$B$2:$B$2500=$A16)*(Gastos!$D$2:$D$2500))</f>
        <v>399</v>
      </c>
      <c r="BS16" s="75">
        <f t="array" ref="BS16">SUM((YEAR(Gastos!$A$2:$A$2500)=BS$1)*(MONTH(Gastos!$A$2:$A$2500)=BS$3)*(Gastos!$B$2:$B$2500=$A16)*(Gastos!$D$2:$D$2500))</f>
        <v>399</v>
      </c>
      <c r="BT16" s="75">
        <f t="array" ref="BT16">SUM((YEAR(Gastos!$A$2:$A$2500)=BT$1)*(MONTH(Gastos!$A$2:$A$2500)=BT$3)*(Gastos!$B$2:$B$2500=$A16)*(Gastos!$D$2:$D$2500))</f>
        <v>398</v>
      </c>
      <c r="BU16" s="75">
        <f t="array" ref="BU16">SUM((YEAR(Gastos!$A$2:$A$2500)=BU$1)*(MONTH(Gastos!$A$2:$A$2500)=BU$3)*(Gastos!$B$2:$B$2500=$A16)*(Gastos!$D$2:$D$2500))</f>
        <v>0</v>
      </c>
      <c r="BV16" s="75">
        <f t="array" ref="BV16">SUM((YEAR(Gastos!$A$2:$A$2500)=BV$1)*(MONTH(Gastos!$A$2:$A$2500)=BV$3)*(Gastos!$B$2:$B$2500=$A16)*(Gastos!$D$2:$D$2500))</f>
        <v>1197</v>
      </c>
      <c r="BW16" s="75">
        <f t="array" ref="BW16">SUM((YEAR(Gastos!$A$2:$A$2500)=BW$1)*(MONTH(Gastos!$A$2:$A$2500)=BW$3)*(Gastos!$B$2:$B$2500=$A16)*(Gastos!$D$2:$D$2500))</f>
        <v>399</v>
      </c>
      <c r="BX16" s="75">
        <f t="array" ref="BX16">SUM((YEAR(Gastos!$A$2:$A$2500)=BX$1)*(MONTH(Gastos!$A$2:$A$2500)=BX$3)*(Gastos!$B$2:$B$2500=$A16)*(Gastos!$D$2:$D$2500))</f>
        <v>0</v>
      </c>
      <c r="BY16" s="75">
        <f t="array" ref="BY16">SUM((YEAR(Gastos!$A$2:$A$2500)=BY$1)*(MONTH(Gastos!$A$2:$A$2500)=BY$3)*(Gastos!$B$2:$B$2500=$A16)*(Gastos!$D$2:$D$2500))</f>
        <v>798</v>
      </c>
      <c r="BZ16" s="75">
        <f t="array" ref="BZ16">SUM((YEAR(Gastos!$A$2:$A$2500)=BZ$1)*(MONTH(Gastos!$A$2:$A$2500)=BZ$3)*(Gastos!$B$2:$B$2500=$A16)*(Gastos!$D$2:$D$2500))</f>
        <v>0</v>
      </c>
      <c r="CA16" s="75">
        <f t="array" ref="CA16">SUM((YEAR(Gastos!$A$2:$A$2500)=CA$1)*(MONTH(Gastos!$A$2:$A$2500)=CA$3)*(Gastos!$B$2:$B$2500=$A16)*(Gastos!$D$2:$D$2500))</f>
        <v>0</v>
      </c>
      <c r="CB16" s="75">
        <f t="array" ref="CB16">SUM((YEAR(Gastos!$A$2:$A$2500)=CB$1)*(MONTH(Gastos!$A$2:$A$2500)=CB$3)*(Gastos!$B$2:$B$2500=$A16)*(Gastos!$D$2:$D$2500))</f>
        <v>798</v>
      </c>
      <c r="CC16" s="75">
        <f t="array" ref="CC16">SUM((YEAR(Gastos!$A$2:$A$2500)=CC$1)*(MONTH(Gastos!$A$2:$A$2500)=CC$3)*(Gastos!$B$2:$B$2500=$A16)*(Gastos!$D$2:$D$2500))</f>
        <v>0</v>
      </c>
      <c r="CD16" s="75">
        <f t="array" ref="CD16">SUM((YEAR(Gastos!$A$2:$A$2500)=CD$1)*(MONTH(Gastos!$A$2:$A$2500)=CD$3)*(Gastos!$B$2:$B$2500=$A16)*(Gastos!$D$2:$D$2500))</f>
        <v>0</v>
      </c>
      <c r="CE16" s="75">
        <f t="array" ref="CE16">SUM((YEAR(Gastos!$A$2:$A$2500)=CE$1)*(MONTH(Gastos!$A$2:$A$2500)=CE$3)*(Gastos!$B$2:$B$2500=$A16)*(Gastos!$D$2:$D$2500))</f>
        <v>0</v>
      </c>
      <c r="CF16" s="75">
        <f t="array" ref="CF16">SUM((YEAR(Gastos!$A$2:$A$2500)=CF$1)*(MONTH(Gastos!$A$2:$A$2500)=CF$3)*(Gastos!$B$2:$B$2500=$A16)*(Gastos!$D$2:$D$2500))</f>
        <v>0</v>
      </c>
      <c r="CG16" s="75">
        <f t="array" ref="CG16">SUM((YEAR(Gastos!$A$2:$A$2500)=CG$1)*(MONTH(Gastos!$A$2:$A$2500)=CG$3)*(Gastos!$B$2:$B$2500=$A16)*(Gastos!$D$2:$D$2500))</f>
        <v>1596</v>
      </c>
      <c r="CH16" s="75">
        <f t="array" ref="CH16">SUM((YEAR(Gastos!$A$2:$A$2500)=CH$1)*(MONTH(Gastos!$A$2:$A$2500)=CH$3)*(Gastos!$B$2:$B$2500=$A16)*(Gastos!$D$2:$D$2500))</f>
        <v>0</v>
      </c>
      <c r="CI16" s="75">
        <f t="array" ref="CI16">SUM((YEAR(Gastos!$A$2:$A$2500)=CI$1)*(MONTH(Gastos!$A$2:$A$2500)=CI$3)*(Gastos!$B$2:$B$2500=$A16)*(Gastos!$D$2:$D$2500))</f>
        <v>0</v>
      </c>
      <c r="CJ16" s="75">
        <f t="array" ref="CJ16">SUM((YEAR(Gastos!$A$2:$A$2500)=CJ$1)*(MONTH(Gastos!$A$2:$A$2500)=CJ$3)*(Gastos!$B$2:$B$2500=$A16)*(Gastos!$D$2:$D$2500))</f>
        <v>0</v>
      </c>
      <c r="CK16" s="75">
        <f t="array" ref="CK16">SUM((YEAR(Gastos!$A$2:$A$2500)=CK$1)*(MONTH(Gastos!$A$2:$A$2500)=CK$3)*(Gastos!$B$2:$B$2500=$A16)*(Gastos!$D$2:$D$2500))</f>
        <v>1429</v>
      </c>
      <c r="CL16" s="75">
        <f t="array" ref="CL16">SUM((YEAR(Gastos!$A$2:$A$2500)=CL$1)*(MONTH(Gastos!$A$2:$A$2500)=CL$3)*(Gastos!$B$2:$B$2500=$A16)*(Gastos!$D$2:$D$2500))</f>
        <v>0</v>
      </c>
      <c r="CM16" s="75">
        <f t="array" ref="CM16">SUM((YEAR(Gastos!$A$2:$A$2500)=CM$1)*(MONTH(Gastos!$A$2:$A$2500)=CM$3)*(Gastos!$B$2:$B$2500=$A16)*(Gastos!$D$2:$D$2500))</f>
        <v>0</v>
      </c>
      <c r="CN16" s="75">
        <f t="array" ref="CN16">SUM((YEAR(Gastos!$A$2:$A$2500)=CN$1)*(MONTH(Gastos!$A$2:$A$2500)=CN$3)*(Gastos!$B$2:$B$2500=$A16)*(Gastos!$D$2:$D$2500))</f>
        <v>1828</v>
      </c>
      <c r="CO16" s="75">
        <f t="array" ref="CO16">SUM((YEAR(Gastos!$A$2:$A$2500)=CO$1)*(MONTH(Gastos!$A$2:$A$2500)=CO$3)*(Gastos!$B$2:$B$2500=$A16)*(Gastos!$D$2:$D$2500))</f>
        <v>0</v>
      </c>
      <c r="CP16" s="75">
        <f t="array" ref="CP16">SUM((YEAR(Gastos!$A$2:$A$2500)=CP$1)*(MONTH(Gastos!$A$2:$A$2500)=CP$3)*(Gastos!$B$2:$B$2500=$A16)*(Gastos!$D$2:$D$2500))</f>
        <v>399</v>
      </c>
      <c r="CQ16" s="75">
        <f t="array" ref="CQ16">SUM((YEAR(Gastos!$A$2:$A$2500)=CQ$1)*(MONTH(Gastos!$A$2:$A$2500)=CQ$3)*(Gastos!$B$2:$B$2500=$A16)*(Gastos!$D$2:$D$2500))</f>
        <v>399</v>
      </c>
      <c r="CR16" s="75">
        <f t="array" ref="CR16">SUM((YEAR(Gastos!$A$2:$A$2500)=CR$1)*(MONTH(Gastos!$A$2:$A$2500)=CR$3)*(Gastos!$B$2:$B$2500=$A16)*(Gastos!$D$2:$D$2500))</f>
        <v>399</v>
      </c>
      <c r="CS16" s="75">
        <f t="array" ref="CS16">SUM((YEAR(Gastos!$A$2:$A$2500)=CS$1)*(MONTH(Gastos!$A$2:$A$2500)=CS$3)*(Gastos!$B$2:$B$2500=$A16)*(Gastos!$D$2:$D$2500))</f>
        <v>399</v>
      </c>
      <c r="CT16" s="75">
        <f t="array" ref="CT16">SUM((YEAR(Gastos!$A$2:$A$2500)=CT$1)*(MONTH(Gastos!$A$2:$A$2500)=CT$3)*(Gastos!$B$2:$B$2500=$A16)*(Gastos!$D$2:$D$2500))</f>
        <v>399</v>
      </c>
      <c r="CU16" s="75">
        <f t="array" ref="CU16">SUM((YEAR(Gastos!$A$2:$A$2500)=CU$1)*(MONTH(Gastos!$A$2:$A$2500)=CU$3)*(Gastos!$B$2:$B$2500=$A16)*(Gastos!$D$2:$D$2500))</f>
        <v>399</v>
      </c>
      <c r="CV16" s="75">
        <f t="array" ref="CV16">SUM((YEAR(Gastos!$A$2:$A$2500)=CV$1)*(MONTH(Gastos!$A$2:$A$2500)=CV$3)*(Gastos!$B$2:$B$2500=$A16)*(Gastos!$D$2:$D$2500))</f>
        <v>399</v>
      </c>
      <c r="CW16" s="75">
        <f t="array" ref="CW16">SUM((YEAR(Gastos!$A$2:$A$2500)=CW$1)*(MONTH(Gastos!$A$2:$A$2500)=CW$3)*(Gastos!$B$2:$B$2500=$A16)*(Gastos!$D$2:$D$2500))</f>
        <v>399</v>
      </c>
      <c r="CX16" s="75">
        <f t="array" ref="CX16">SUM((YEAR(Gastos!$A$2:$A$2500)=CX$1)*(MONTH(Gastos!$A$2:$A$2500)=CX$3)*(Gastos!$B$2:$B$2500=$A16)*(Gastos!$D$2:$D$2500))</f>
        <v>399</v>
      </c>
      <c r="CY16" s="75">
        <f t="array" ref="CY16">SUM((YEAR(Gastos!$A$2:$A$2500)=CY$1)*(MONTH(Gastos!$A$2:$A$2500)=CY$3)*(Gastos!$B$2:$B$2500=$A16)*(Gastos!$D$2:$D$2500))</f>
        <v>399</v>
      </c>
      <c r="CZ16" s="75">
        <f t="array" ref="CZ16">SUM((YEAR(Gastos!$A$2:$A$2500)=CZ$1)*(MONTH(Gastos!$A$2:$A$2500)=CZ$3)*(Gastos!$B$2:$B$2500=$A16)*(Gastos!$D$2:$D$2500))</f>
        <v>0</v>
      </c>
      <c r="DA16" s="75">
        <f t="array" ref="DA16">SUM((YEAR(Gastos!$A$2:$A$2500)=DA$1)*(MONTH(Gastos!$A$2:$A$2500)=DA$3)*(Gastos!$B$2:$B$2500=$A16)*(Gastos!$D$2:$D$2500))</f>
        <v>798</v>
      </c>
      <c r="DB16" s="75">
        <f t="array" ref="DB16">SUM((YEAR(Gastos!$A$2:$A$2500)=DB$1)*(MONTH(Gastos!$A$2:$A$2500)=DB$3)*(Gastos!$B$2:$B$2500=$A16)*(Gastos!$D$2:$D$2500))</f>
        <v>399</v>
      </c>
      <c r="DC16" s="75">
        <f t="array" ref="DC16">SUM((YEAR(Gastos!$A$2:$A$2500)=DC$1)*(MONTH(Gastos!$A$2:$A$2500)=DC$3)*(Gastos!$B$2:$B$2500=$A16)*(Gastos!$D$2:$D$2500))</f>
        <v>0</v>
      </c>
      <c r="DD16" s="75">
        <f t="array" ref="DD16">SUM((YEAR(Gastos!$A$2:$A$2500)=DD$1)*(MONTH(Gastos!$A$2:$A$2500)=DD$3)*(Gastos!$B$2:$B$2500=$A16)*(Gastos!$D$2:$D$2500))</f>
        <v>798</v>
      </c>
      <c r="DE16" s="75">
        <f t="array" ref="DE16">SUM((YEAR(Gastos!$A$2:$A$2500)=DE$1)*(MONTH(Gastos!$A$2:$A$2500)=DE$3)*(Gastos!$B$2:$B$2500=$A16)*(Gastos!$D$2:$D$2500))</f>
        <v>0</v>
      </c>
      <c r="DF16" s="75">
        <f t="array" ref="DF16">SUM((YEAR(Gastos!$A$2:$A$2500)=DF$1)*(MONTH(Gastos!$A$2:$A$2500)=DF$3)*(Gastos!$B$2:$B$2500=$A16)*(Gastos!$D$2:$D$2500))</f>
        <v>798</v>
      </c>
      <c r="DG16" s="75">
        <f t="array" ref="DG16">SUM((YEAR(Gastos!$A$2:$A$2500)=DG$1)*(MONTH(Gastos!$A$2:$A$2500)=DG$3)*(Gastos!$B$2:$B$2500=$A16)*(Gastos!$D$2:$D$2500))</f>
        <v>0</v>
      </c>
      <c r="DH16" s="75">
        <f t="array" ref="DH16">SUM((YEAR(Gastos!$A$2:$A$2500)=DH$1)*(MONTH(Gastos!$A$2:$A$2500)=DH$3)*(Gastos!$B$2:$B$2500=$A16)*(Gastos!$D$2:$D$2500))</f>
        <v>0</v>
      </c>
      <c r="DI16" s="75">
        <f t="array" ref="DI16">SUM((YEAR(Gastos!$A$2:$A$2500)=DI$1)*(MONTH(Gastos!$A$2:$A$2500)=DI$3)*(Gastos!$B$2:$B$2500=$A16)*(Gastos!$D$2:$D$2500))</f>
        <v>1197</v>
      </c>
      <c r="DJ16" s="75">
        <f t="array" ref="DJ16">SUM((YEAR(Gastos!$A$2:$A$2500)=DJ$1)*(MONTH(Gastos!$A$2:$A$2500)=DJ$3)*(Gastos!$B$2:$B$2500=$A16)*(Gastos!$D$2:$D$2500))</f>
        <v>798</v>
      </c>
      <c r="DK16" s="75">
        <f t="array" ref="DK16">SUM((YEAR(Gastos!$A$2:$A$2500)=DK$1)*(MONTH(Gastos!$A$2:$A$2500)=DK$3)*(Gastos!$B$2:$B$2500=$A16)*(Gastos!$D$2:$D$2500))</f>
        <v>0</v>
      </c>
      <c r="DL16" s="75">
        <f t="array" ref="DL16">SUM((YEAR(Gastos!$A$2:$A$2500)=DL$1)*(MONTH(Gastos!$A$2:$A$2500)=DL$3)*(Gastos!$B$2:$B$2500=$A16)*(Gastos!$D$2:$D$2500))</f>
        <v>0</v>
      </c>
      <c r="DM16" s="75">
        <f t="array" ref="DM16">SUM((YEAR(Gastos!$A$2:$A$2500)=DM$1)*(MONTH(Gastos!$A$2:$A$2500)=DM$3)*(Gastos!$B$2:$B$2500=$A16)*(Gastos!$D$2:$D$2500))</f>
        <v>744</v>
      </c>
      <c r="DN16" s="75">
        <f t="array" ref="DN16">SUM((YEAR(Gastos!$A$2:$A$2500)=DN$1)*(MONTH(Gastos!$A$2:$A$2500)=DN$3)*(Gastos!$B$2:$B$2500=$A16)*(Gastos!$D$2:$D$2500))</f>
        <v>0</v>
      </c>
      <c r="DO16" s="75">
        <f t="array" ref="DO16">SUM((YEAR(Gastos!$A$2:$A$2500)=DO$1)*(MONTH(Gastos!$A$2:$A$2500)=DO$3)*(Gastos!$B$2:$B$2500=$A16)*(Gastos!$D$2:$D$2500))</f>
        <v>0</v>
      </c>
      <c r="DP16" s="75">
        <f t="array" ref="DP16">SUM((YEAR(Gastos!$A$2:$A$2500)=DP$1)*(MONTH(Gastos!$A$2:$A$2500)=DP$3)*(Gastos!$B$2:$B$2500=$A16)*(Gastos!$D$2:$D$2500))</f>
        <v>1197</v>
      </c>
      <c r="DQ16" s="75">
        <f t="array" ref="DQ16">SUM((YEAR(Gastos!$A$2:$A$2500)=DQ$1)*(MONTH(Gastos!$A$2:$A$2500)=DQ$3)*(Gastos!$B$2:$B$2500=$A16)*(Gastos!$D$2:$D$2500))</f>
        <v>0</v>
      </c>
      <c r="DR16" s="75">
        <f t="array" ref="DR16">SUM((YEAR(Gastos!$A$2:$A$2500)=DR$1)*(MONTH(Gastos!$A$2:$A$2500)=DR$3)*(Gastos!$B$2:$B$2500=$A16)*(Gastos!$D$2:$D$2500))</f>
        <v>0</v>
      </c>
      <c r="DS16" s="75">
        <f t="array" ref="DS16">SUM((YEAR(Gastos!$A$2:$A$2500)=DS$1)*(MONTH(Gastos!$A$2:$A$2500)=DS$3)*(Gastos!$B$2:$B$2500=$A16)*(Gastos!$D$2:$D$2500))</f>
        <v>0</v>
      </c>
      <c r="DT16" s="75">
        <f t="array" ref="DT16">SUM((YEAR(Gastos!$A$2:$A$2500)=DT$1)*(MONTH(Gastos!$A$2:$A$2500)=DT$3)*(Gastos!$B$2:$B$2500=$A16)*(Gastos!$D$2:$D$2500))</f>
        <v>1596</v>
      </c>
      <c r="DU16" s="75">
        <f t="array" ref="DU16">SUM((YEAR(Gastos!$A$2:$A$2500)=DU$1)*(MONTH(Gastos!$A$2:$A$2500)=DU$3)*(Gastos!$B$2:$B$2500=$A16)*(Gastos!$D$2:$D$2500))</f>
        <v>399</v>
      </c>
      <c r="DV16" s="75">
        <f t="array" ref="DV16">SUM((YEAR(Gastos!$A$2:$A$2500)=DV$1)*(MONTH(Gastos!$A$2:$A$2500)=DV$3)*(Gastos!$B$2:$B$2500=$A16)*(Gastos!$D$2:$D$2500))</f>
        <v>0</v>
      </c>
      <c r="DW16" s="75">
        <f t="array" ref="DW16">SUM((YEAR(Gastos!$A$2:$A$2500)=DW$1)*(MONTH(Gastos!$A$2:$A$2500)=DW$3)*(Gastos!$B$2:$B$2500=$A16)*(Gastos!$D$2:$D$2500))</f>
        <v>399</v>
      </c>
      <c r="DX16" s="75">
        <f t="array" ref="DX16">SUM((YEAR(Gastos!$A$2:$A$2500)=DX$1)*(MONTH(Gastos!$A$2:$A$2500)=DX$3)*(Gastos!$B$2:$B$2500=$A16)*(Gastos!$D$2:$D$2500))</f>
        <v>332</v>
      </c>
      <c r="DY16" s="75">
        <f t="array" ref="DY16">SUM((YEAR(Gastos!$A$2:$A$2500)=DY$1)*(MONTH(Gastos!$A$2:$A$2500)=DY$3)*(Gastos!$B$2:$B$2500=$A16)*(Gastos!$D$2:$D$2500))</f>
        <v>399</v>
      </c>
      <c r="DZ16" s="75">
        <f t="array" ref="DZ16">SUM((YEAR(Gastos!$A$2:$A$2500)=DZ$1)*(MONTH(Gastos!$A$2:$A$2500)=DZ$3)*(Gastos!$B$2:$B$2500=$A16)*(Gastos!$D$2:$D$2500))</f>
        <v>265</v>
      </c>
      <c r="EA16" s="75">
        <f t="array" ref="EA16">SUM((YEAR(Gastos!$A$2:$A$2500)=EA$1)*(MONTH(Gastos!$A$2:$A$2500)=EA$3)*(Gastos!$B$2:$B$2500=$A16)*(Gastos!$D$2:$D$2500))</f>
        <v>386</v>
      </c>
      <c r="EB16" s="75">
        <f t="array" ref="EB16">SUM((YEAR(Gastos!$A$2:$A$2500)=EB$1)*(MONTH(Gastos!$A$2:$A$2500)=EB$3)*(Gastos!$B$2:$B$2500=$A16)*(Gastos!$D$2:$D$2500))</f>
        <v>399</v>
      </c>
      <c r="EC16" s="75">
        <f t="array" ref="EC16">SUM((YEAR(Gastos!$A$2:$A$2500)=EC$1)*(MONTH(Gastos!$A$2:$A$2500)=EC$3)*(Gastos!$B$2:$B$2500=$A16)*(Gastos!$D$2:$D$2500))</f>
        <v>399</v>
      </c>
      <c r="ED16" s="75">
        <f t="array" ref="ED16">SUM((YEAR(Gastos!$A$2:$A$2500)=ED$1)*(MONTH(Gastos!$A$2:$A$2500)=ED$3)*(Gastos!$B$2:$B$2500=$A16)*(Gastos!$D$2:$D$2500))</f>
        <v>399</v>
      </c>
      <c r="EE16" s="75">
        <f t="array" ref="EE16">SUM((YEAR(Gastos!$A$2:$A$2500)=EE$1)*(MONTH(Gastos!$A$2:$A$2500)=EE$3)*(Gastos!$B$2:$B$2500=$A16)*(Gastos!$D$2:$D$2500))</f>
        <v>399</v>
      </c>
      <c r="EF16" s="75">
        <f t="array" ref="EF16">SUM((YEAR(Gastos!$A$2:$A$2500)=EF$1)*(MONTH(Gastos!$A$2:$A$2500)=EF$3)*(Gastos!$B$2:$B$2500=$A16)*(Gastos!$D$2:$D$2500))</f>
        <v>399</v>
      </c>
      <c r="EG16" s="75">
        <f t="array" ref="EG16">SUM((YEAR(Gastos!$A$2:$A$2500)=EG$1)*(MONTH(Gastos!$A$2:$A$2500)=EG$3)*(Gastos!$B$2:$B$2500=$A16)*(Gastos!$D$2:$D$2500))</f>
        <v>399</v>
      </c>
      <c r="EH16" s="75">
        <f t="array" ref="EH16">SUM((YEAR(Gastos!$A$2:$A$2500)=EH$1)*(MONTH(Gastos!$A$2:$A$2500)=EH$3)*(Gastos!$B$2:$B$2500=$A16)*(Gastos!$D$2:$D$2500))</f>
        <v>399</v>
      </c>
      <c r="EI16" s="75">
        <f t="array" ref="EI16">SUM((YEAR(Gastos!$A$2:$A$2500)=EI$1)*(MONTH(Gastos!$A$2:$A$2500)=EI$3)*(Gastos!$B$2:$B$2500=$A16)*(Gastos!$D$2:$D$2500))</f>
        <v>399</v>
      </c>
      <c r="EJ16" s="75">
        <f t="array" ref="EJ16">SUM((YEAR(Gastos!$A$2:$A$2500)=EJ$1)*(MONTH(Gastos!$A$2:$A$2500)=EJ$3)*(Gastos!$B$2:$B$2500=$A16)*(Gastos!$D$2:$D$2500))</f>
        <v>649</v>
      </c>
      <c r="EK16" s="75">
        <f t="array" ref="EK16">SUM((YEAR(Gastos!$A$2:$A$2500)=EK$1)*(MONTH(Gastos!$A$2:$A$2500)=EK$3)*(Gastos!$B$2:$B$2500=$A16)*(Gastos!$D$2:$D$2500))</f>
        <v>399</v>
      </c>
      <c r="EL16" s="75">
        <f t="array" ref="EL16">SUM((YEAR(Gastos!$A$2:$A$2500)=EL$1)*(MONTH(Gastos!$A$2:$A$2500)=EL$3)*(Gastos!$B$2:$B$2500=$A16)*(Gastos!$D$2:$D$2500))</f>
        <v>399</v>
      </c>
      <c r="EM16" s="75">
        <f t="array" ref="EM16">SUM((YEAR(Gastos!$A$2:$A$2500)=EM$1)*(MONTH(Gastos!$A$2:$A$2500)=EM$3)*(Gastos!$B$2:$B$2500=$A16)*(Gastos!$D$2:$D$2500))</f>
        <v>398</v>
      </c>
      <c r="EN16" s="75">
        <f t="array" ref="EN16">SUM((YEAR(Gastos!$A$2:$A$2500)=EN$1)*(MONTH(Gastos!$A$2:$A$2500)=EN$3)*(Gastos!$B$2:$B$2500=$A16)*(Gastos!$D$2:$D$2500))</f>
        <v>798</v>
      </c>
      <c r="EO16" s="75">
        <f t="array" ref="EO16">SUM((YEAR(Gastos!$A$2:$A$2500)=EO$1)*(MONTH(Gastos!$A$2:$A$2500)=EO$3)*(Gastos!$B$2:$B$2500=$A16)*(Gastos!$D$2:$D$2500))</f>
        <v>0</v>
      </c>
      <c r="EP16" s="75">
        <f t="array" ref="EP16">SUM((YEAR(Gastos!$A$2:$A$2500)=EP$1)*(MONTH(Gastos!$A$2:$A$2500)=EP$3)*(Gastos!$B$2:$B$2500=$A16)*(Gastos!$D$2:$D$2500))</f>
        <v>0</v>
      </c>
      <c r="EQ16" s="75">
        <f t="array" ref="EQ16">SUM((YEAR(Gastos!$A$2:$A$2500)=EQ$1)*(MONTH(Gastos!$A$2:$A$2500)=EQ$3)*(Gastos!$B$2:$B$2500=$A16)*(Gastos!$D$2:$D$2500))</f>
        <v>0</v>
      </c>
      <c r="ER16" s="75">
        <f t="array" ref="ER16">SUM((YEAR(Gastos!$A$2:$A$2500)=ER$1)*(MONTH(Gastos!$A$2:$A$2500)=ER$3)*(Gastos!$B$2:$B$2500=$A16)*(Gastos!$D$2:$D$2500))</f>
        <v>0</v>
      </c>
      <c r="ES16" s="75">
        <f t="array" ref="ES16">SUM((YEAR(Gastos!$A$2:$A$2500)=ES$1)*(MONTH(Gastos!$A$2:$A$2500)=ES$3)*(Gastos!$B$2:$B$2500=$A16)*(Gastos!$D$2:$D$2500))</f>
        <v>0</v>
      </c>
      <c r="ET16" s="75">
        <f t="array" ref="ET16">SUM((YEAR(Gastos!$A$2:$A$2500)=ET$1)*(MONTH(Gastos!$A$2:$A$2500)=ET$3)*(Gastos!$B$2:$B$2500=$A16)*(Gastos!$D$2:$D$2500))</f>
        <v>0</v>
      </c>
      <c r="EU16" s="75">
        <f t="array" ref="EU16">SUM((YEAR(Gastos!$A$2:$A$2500)=EU$1)*(MONTH(Gastos!$A$2:$A$2500)=EU$3)*(Gastos!$B$2:$B$2500=$A16)*(Gastos!$D$2:$D$2500))</f>
        <v>0</v>
      </c>
      <c r="EV16" s="75">
        <f t="array" ref="EV16">SUM((YEAR(Gastos!$A$2:$A$2500)=EV$1)*(MONTH(Gastos!$A$2:$A$2500)=EV$3)*(Gastos!$B$2:$B$2500=$A16)*(Gastos!$D$2:$D$2500))</f>
        <v>0</v>
      </c>
      <c r="EW16" s="75">
        <f t="array" ref="EW16">SUM((YEAR(Gastos!$A$2:$A$2500)=EW$1)*(MONTH(Gastos!$A$2:$A$2500)=EW$3)*(Gastos!$B$2:$B$2500=$A16)*(Gastos!$D$2:$D$2500))</f>
        <v>0</v>
      </c>
      <c r="EX16" s="75">
        <f t="array" ref="EX16">SUM((YEAR(Gastos!$A$2:$A$2500)=EX$1)*(MONTH(Gastos!$A$2:$A$2500)=EX$3)*(Gastos!$B$2:$B$2500=$A16)*(Gastos!$D$2:$D$2500))</f>
        <v>0</v>
      </c>
      <c r="EY16" s="75">
        <f t="array" ref="EY16">SUM((YEAR(Gastos!$A$2:$A$2500)=EY$1)*(MONTH(Gastos!$A$2:$A$2500)=EY$3)*(Gastos!$B$2:$B$2500=$A16)*(Gastos!$D$2:$D$2500))</f>
        <v>0</v>
      </c>
      <c r="EZ16" s="75">
        <f t="array" ref="EZ16">SUM((YEAR(Gastos!$A$2:$A$2500)=EZ$1)*(MONTH(Gastos!$A$2:$A$2500)=EZ$3)*(Gastos!$B$2:$B$2500=$A16)*(Gastos!$D$2:$D$2500))</f>
        <v>0</v>
      </c>
      <c r="FA16" s="75">
        <f t="array" ref="FA16">SUM((YEAR(Gastos!$A$2:$A$2500)=FA$1)*(MONTH(Gastos!$A$2:$A$2500)=FA$3)*(Gastos!$B$2:$B$2500=$A16)*(Gastos!$D$2:$D$2500))</f>
        <v>0</v>
      </c>
      <c r="FB16" s="75">
        <f t="array" ref="FB16">SUM((YEAR(Gastos!$A$2:$A$2500)=FB$1)*(MONTH(Gastos!$A$2:$A$2500)=FB$3)*(Gastos!$B$2:$B$2500=$A16)*(Gastos!$D$2:$D$2500))</f>
        <v>0</v>
      </c>
      <c r="FC16" s="75">
        <f t="array" ref="FC16">SUM((YEAR(Gastos!$A$2:$A$2500)=FC$1)*(MONTH(Gastos!$A$2:$A$2500)=FC$3)*(Gastos!$B$2:$B$2500=$A16)*(Gastos!$D$2:$D$2500))</f>
        <v>0</v>
      </c>
      <c r="FD16" s="75">
        <f t="array" ref="FD16">SUM((YEAR(Gastos!$A$2:$A$2500)=FD$1)*(MONTH(Gastos!$A$2:$A$2500)=FD$3)*(Gastos!$B$2:$B$2500=$A16)*(Gastos!$D$2:$D$2500))</f>
        <v>0</v>
      </c>
      <c r="FE16" s="75">
        <f t="array" ref="FE16">SUM((YEAR(Gastos!$A$2:$A$2500)=FE$1)*(MONTH(Gastos!$A$2:$A$2500)=FE$3)*(Gastos!$B$2:$B$2500=$A16)*(Gastos!$D$2:$D$2500))</f>
        <v>0</v>
      </c>
      <c r="FF16" s="75">
        <f t="array" ref="FF16">SUM((YEAR(Gastos!$A$2:$A$2500)=FF$1)*(MONTH(Gastos!$A$2:$A$2500)=FF$3)*(Gastos!$B$2:$B$2500=$A16)*(Gastos!$D$2:$D$2500))</f>
        <v>0</v>
      </c>
      <c r="FG16" s="75">
        <f t="array" ref="FG16">SUM((YEAR(Gastos!$A$2:$A$2500)=FG$1)*(MONTH(Gastos!$A$2:$A$2500)=FG$3)*(Gastos!$B$2:$B$2500=$A16)*(Gastos!$D$2:$D$2500))</f>
        <v>0</v>
      </c>
      <c r="FH16" s="75">
        <f t="array" ref="FH16">SUM((YEAR(Gastos!$A$2:$A$2500)=FH$1)*(MONTH(Gastos!$A$2:$A$2500)=FH$3)*(Gastos!$B$2:$B$2500=$A16)*(Gastos!$D$2:$D$2500))</f>
        <v>0</v>
      </c>
      <c r="FI16" s="75">
        <f t="array" ref="FI16">SUM((YEAR(Gastos!$A$2:$A$2500)=FI$1)*(MONTH(Gastos!$A$2:$A$2500)=FI$3)*(Gastos!$B$2:$B$2500=$A16)*(Gastos!$D$2:$D$2500))</f>
        <v>0</v>
      </c>
      <c r="FJ16" s="75">
        <f t="array" ref="FJ16">SUM((YEAR(Gastos!$A$2:$A$2500)=FJ$1)*(MONTH(Gastos!$A$2:$A$2500)=FJ$3)*(Gastos!$B$2:$B$2500=$A16)*(Gastos!$D$2:$D$2500))</f>
        <v>0</v>
      </c>
      <c r="FK16" s="75">
        <f t="array" ref="FK16">SUM((YEAR(Gastos!$A$2:$A$2500)=FK$1)*(MONTH(Gastos!$A$2:$A$2500)=FK$3)*(Gastos!$B$2:$B$2500=$A16)*(Gastos!$D$2:$D$2500))</f>
        <v>0</v>
      </c>
      <c r="FL16" s="75">
        <f t="array" ref="FL16">SUM((YEAR(Gastos!$A$2:$A$2500)=FL$1)*(MONTH(Gastos!$A$2:$A$2500)=FL$3)*(Gastos!$B$2:$B$2500=$A16)*(Gastos!$D$2:$D$2500))</f>
        <v>0</v>
      </c>
      <c r="FM16" s="75">
        <f t="array" ref="FM16">SUM((YEAR(Gastos!$A$2:$A$2500)=FM$1)*(MONTH(Gastos!$A$2:$A$2500)=FM$3)*(Gastos!$B$2:$B$2500=$A16)*(Gastos!$D$2:$D$2500))</f>
        <v>0</v>
      </c>
      <c r="FN16" s="75">
        <f t="array" ref="FN16">SUM((YEAR(Gastos!$A$2:$A$2500)=FN$1)*(MONTH(Gastos!$A$2:$A$2500)=FN$3)*(Gastos!$B$2:$B$2500=$A16)*(Gastos!$D$2:$D$2500))</f>
        <v>0</v>
      </c>
      <c r="FO16" s="75">
        <f t="array" ref="FO16">SUM((YEAR(Gastos!$A$2:$A$2500)=FO$1)*(MONTH(Gastos!$A$2:$A$2500)=FO$3)*(Gastos!$B$2:$B$2500=$A16)*(Gastos!$D$2:$D$2500))</f>
        <v>0</v>
      </c>
      <c r="FP16" s="75">
        <f t="array" ref="FP16">SUM((YEAR(Gastos!$A$2:$A$2500)=FP$1)*(MONTH(Gastos!$A$2:$A$2500)=FP$3)*(Gastos!$B$2:$B$2500=$A16)*(Gastos!$D$2:$D$2500))</f>
        <v>0</v>
      </c>
      <c r="FQ16" s="75">
        <f t="array" ref="FQ16">SUM((YEAR(Gastos!$A$2:$A$2500)=FQ$1)*(MONTH(Gastos!$A$2:$A$2500)=FQ$3)*(Gastos!$B$2:$B$2500=$A16)*(Gastos!$D$2:$D$2500))</f>
        <v>0</v>
      </c>
      <c r="FR16" s="75">
        <f t="array" ref="FR16">SUM((YEAR(Gastos!$A$2:$A$2500)=FR$1)*(MONTH(Gastos!$A$2:$A$2500)=FR$3)*(Gastos!$B$2:$B$2500=$A16)*(Gastos!$D$2:$D$2500))</f>
        <v>0</v>
      </c>
      <c r="FS16" s="75">
        <f t="array" ref="FS16">SUM((YEAR(Gastos!$A$2:$A$2500)=FS$1)*(MONTH(Gastos!$A$2:$A$2500)=FS$3)*(Gastos!$B$2:$B$2500=$A16)*(Gastos!$D$2:$D$2500))</f>
        <v>0</v>
      </c>
      <c r="FT16" s="75">
        <f t="array" ref="FT16">SUM((YEAR(Gastos!$A$2:$A$2500)=FT$1)*(MONTH(Gastos!$A$2:$A$2500)=FT$3)*(Gastos!$B$2:$B$2500=$A16)*(Gastos!$D$2:$D$2500))</f>
        <v>0</v>
      </c>
      <c r="FU16" s="75">
        <f t="array" ref="FU16">SUM((YEAR(Gastos!$A$2:$A$2500)=FU$1)*(MONTH(Gastos!$A$2:$A$2500)=FU$3)*(Gastos!$B$2:$B$2500=$A16)*(Gastos!$D$2:$D$2500))</f>
        <v>0</v>
      </c>
      <c r="FV16" s="75">
        <f t="array" ref="FV16">SUM((YEAR(Gastos!$A$2:$A$2500)=FV$1)*(MONTH(Gastos!$A$2:$A$2500)=FV$3)*(Gastos!$B$2:$B$2500=$A16)*(Gastos!$D$2:$D$2500))</f>
        <v>0</v>
      </c>
      <c r="FW16" s="75">
        <f t="array" ref="FW16">SUM((YEAR(Gastos!$A$2:$A$2500)=FW$1)*(MONTH(Gastos!$A$2:$A$2500)=FW$3)*(Gastos!$B$2:$B$2500=$A16)*(Gastos!$D$2:$D$2500))</f>
        <v>0</v>
      </c>
      <c r="FX16" s="75">
        <f t="array" ref="FX16">SUM((YEAR(Gastos!$A$2:$A$2500)=FX$1)*(MONTH(Gastos!$A$2:$A$2500)=FX$3)*(Gastos!$B$2:$B$2500=$A16)*(Gastos!$D$2:$D$2500))</f>
        <v>0</v>
      </c>
      <c r="FY16" s="75">
        <f t="array" ref="FY16">SUM((YEAR(Gastos!$A$2:$A$2500)=FY$1)*(MONTH(Gastos!$A$2:$A$2500)=FY$3)*(Gastos!$B$2:$B$2500=$A16)*(Gastos!$D$2:$D$2500))</f>
        <v>0</v>
      </c>
      <c r="FZ16" s="76">
        <f t="shared" si="65"/>
        <v>30369</v>
      </c>
      <c r="GA16" s="80"/>
      <c r="GB16" s="78">
        <f t="shared" si="66"/>
        <v>-2794</v>
      </c>
      <c r="GF16" s="79">
        <f t="array" ref="GF16">SUM(((Gastos!$A$2:$A$1647)&gt;=GD$3)*((Gastos!$A$2:$A$1647)&lt;=GF$3)*(Gastos!$B$2:$B$1647=$A16)*(Gastos!$D$2:$D$1647))</f>
        <v>1994</v>
      </c>
      <c r="GI16" s="79">
        <f t="array" ref="GI16">SUM(((Gastos!$A$2:$A$1647)&gt;=GG$3)*((Gastos!$A$2:$A$1647)&lt;=GI$3)*(Gastos!$B$2:$B$1647=$A16)*(Gastos!$D$2:$D$1647))</f>
        <v>4788</v>
      </c>
    </row>
    <row r="17" spans="1:191" ht="15" thickBot="1" x14ac:dyDescent="0.4">
      <c r="A17" s="74" t="str">
        <f>Gastos!AA15</f>
        <v>IVA PENALIZACIÓN ESTADO PRO. 16 %</v>
      </c>
      <c r="B17" s="75">
        <f t="array" ref="B17">SUM((YEAR(Gastos!$A$2:$A$2500)=B$1)*(MONTH(Gastos!$A$2:$A$2500)=B$3)*(Gastos!$B$2:$B$2500=$A17)*(Gastos!$D$2:$D$2500))</f>
        <v>0</v>
      </c>
      <c r="C17" s="75">
        <f t="array" ref="C17">SUM((YEAR(Gastos!$A$2:$A$2500)=C$1)*(MONTH(Gastos!$A$2:$A$2500)=C$3)*(Gastos!$B$2:$B$2500=$A17)*(Gastos!$D$2:$D$2500))</f>
        <v>0</v>
      </c>
      <c r="D17" s="75">
        <f t="array" ref="D17">SUM((YEAR(Gastos!$A$2:$A$2500)=D$1)*(MONTH(Gastos!$A$2:$A$2500)=D$3)*(Gastos!$B$2:$B$2500=$A17)*(Gastos!$D$2:$D$2500))</f>
        <v>0</v>
      </c>
      <c r="E17" s="75">
        <f t="array" ref="E17">SUM((YEAR(Gastos!$A$2:$A$2500)=E$1)*(MONTH(Gastos!$A$2:$A$2500)=E$3)*(Gastos!$B$2:$B$2500=$A17)*(Gastos!$D$2:$D$2500))</f>
        <v>0</v>
      </c>
      <c r="F17" s="75">
        <f t="array" ref="F17">SUM((YEAR(Gastos!$A$2:$A$2500)=F$1)*(MONTH(Gastos!$A$2:$A$2500)=F$3)*(Gastos!$B$2:$B$2500=$A17)*(Gastos!$D$2:$D$2500))</f>
        <v>0</v>
      </c>
      <c r="G17" s="75">
        <f t="array" ref="G17">SUM((YEAR(Gastos!$A$2:$A$2500)=G$1)*(MONTH(Gastos!$A$2:$A$2500)=G$3)*(Gastos!$B$2:$B$2500=$A17)*(Gastos!$D$2:$D$2500))</f>
        <v>0</v>
      </c>
      <c r="H17" s="75">
        <f t="array" ref="H17">SUM((YEAR(Gastos!$A$2:$A$2500)=H$1)*(MONTH(Gastos!$A$2:$A$2500)=H$3)*(Gastos!$B$2:$B$2500=$A17)*(Gastos!$D$2:$D$2500))</f>
        <v>0</v>
      </c>
      <c r="I17" s="75">
        <f t="array" ref="I17">SUM((YEAR(Gastos!$A$2:$A$2500)=I$1)*(MONTH(Gastos!$A$2:$A$2500)=I$3)*(Gastos!$B$2:$B$2500=$A17)*(Gastos!$D$2:$D$2500))</f>
        <v>0</v>
      </c>
      <c r="J17" s="75">
        <f t="array" ref="J17">SUM((YEAR(Gastos!$A$2:$A$2500)=J$1)*(MONTH(Gastos!$A$2:$A$2500)=J$3)*(Gastos!$B$2:$B$2500=$A17)*(Gastos!$D$2:$D$2500))</f>
        <v>0</v>
      </c>
      <c r="K17" s="75">
        <f t="array" ref="K17">SUM((YEAR(Gastos!$A$2:$A$2500)=K$1)*(MONTH(Gastos!$A$2:$A$2500)=K$3)*(Gastos!$B$2:$B$2500=$A17)*(Gastos!$D$2:$D$2500))</f>
        <v>0</v>
      </c>
      <c r="L17" s="75">
        <f t="array" ref="L17">SUM((YEAR(Gastos!$A$2:$A$2500)=L$1)*(MONTH(Gastos!$A$2:$A$2500)=L$3)*(Gastos!$B$2:$B$2500=$A17)*(Gastos!$D$2:$D$2500))</f>
        <v>0</v>
      </c>
      <c r="M17" s="75">
        <f t="array" ref="M17">SUM((YEAR(Gastos!$A$2:$A$2500)=M$1)*(MONTH(Gastos!$A$2:$A$2500)=M$3)*(Gastos!$B$2:$B$2500=$A17)*(Gastos!$D$2:$D$2500))</f>
        <v>0</v>
      </c>
      <c r="N17" s="75">
        <f t="array" ref="N17">SUM((YEAR(Gastos!$A$2:$A$2500)=N$1)*(MONTH(Gastos!$A$2:$A$2500)=N$3)*(Gastos!$B$2:$B$2500=$A17)*(Gastos!$D$2:$D$2500))</f>
        <v>0</v>
      </c>
      <c r="O17" s="75">
        <f t="array" ref="O17">SUM((YEAR(Gastos!$A$2:$A$2500)=O$1)*(MONTH(Gastos!$A$2:$A$2500)=O$3)*(Gastos!$B$2:$B$2500=$A17)*(Gastos!$D$2:$D$2500))</f>
        <v>0</v>
      </c>
      <c r="P17" s="75">
        <f t="array" ref="P17">SUM((YEAR(Gastos!$A$2:$A$2500)=P$1)*(MONTH(Gastos!$A$2:$A$2500)=P$3)*(Gastos!$B$2:$B$2500=$A17)*(Gastos!$D$2:$D$2500))</f>
        <v>0</v>
      </c>
      <c r="Q17" s="75">
        <f t="array" ref="Q17">SUM((YEAR(Gastos!$A$2:$A$2500)=Q$1)*(MONTH(Gastos!$A$2:$A$2500)=Q$3)*(Gastos!$B$2:$B$2500=$A17)*(Gastos!$D$2:$D$2500))</f>
        <v>0</v>
      </c>
      <c r="R17" s="75">
        <f t="array" ref="R17">SUM((YEAR(Gastos!$A$2:$A$2500)=R$1)*(MONTH(Gastos!$A$2:$A$2500)=R$3)*(Gastos!$B$2:$B$2500=$A17)*(Gastos!$D$2:$D$2500))</f>
        <v>0</v>
      </c>
      <c r="S17" s="75">
        <f t="array" ref="S17">SUM((YEAR(Gastos!$A$2:$A$2500)=S$1)*(MONTH(Gastos!$A$2:$A$2500)=S$3)*(Gastos!$B$2:$B$2500=$A17)*(Gastos!$D$2:$D$2500))</f>
        <v>0</v>
      </c>
      <c r="T17" s="75">
        <f t="array" ref="T17">SUM((YEAR(Gastos!$A$2:$A$2500)=T$1)*(MONTH(Gastos!$A$2:$A$2500)=T$3)*(Gastos!$B$2:$B$2500=$A17)*(Gastos!$D$2:$D$2500))</f>
        <v>0</v>
      </c>
      <c r="U17" s="75">
        <f t="array" ref="U17">SUM((YEAR(Gastos!$A$2:$A$2500)=U$1)*(MONTH(Gastos!$A$2:$A$2500)=U$3)*(Gastos!$B$2:$B$2500=$A17)*(Gastos!$D$2:$D$2500))</f>
        <v>0</v>
      </c>
      <c r="V17" s="75">
        <f t="array" ref="V17">SUM((YEAR(Gastos!$A$2:$A$2500)=V$1)*(MONTH(Gastos!$A$2:$A$2500)=V$3)*(Gastos!$B$2:$B$2500=$A17)*(Gastos!$D$2:$D$2500))</f>
        <v>0</v>
      </c>
      <c r="W17" s="75">
        <f t="array" ref="W17">SUM((YEAR(Gastos!$A$2:$A$2500)=W$1)*(MONTH(Gastos!$A$2:$A$2500)=W$3)*(Gastos!$B$2:$B$2500=$A17)*(Gastos!$D$2:$D$2500))</f>
        <v>0</v>
      </c>
      <c r="X17" s="75">
        <f t="array" ref="X17">SUM((YEAR(Gastos!$A$2:$A$2500)=X$1)*(MONTH(Gastos!$A$2:$A$2500)=X$3)*(Gastos!$B$2:$B$2500=$A17)*(Gastos!$D$2:$D$2500))</f>
        <v>0</v>
      </c>
      <c r="Y17" s="75">
        <f t="array" ref="Y17">SUM((YEAR(Gastos!$A$2:$A$2500)=Y$1)*(MONTH(Gastos!$A$2:$A$2500)=Y$3)*(Gastos!$B$2:$B$2500=$A17)*(Gastos!$D$2:$D$2500))</f>
        <v>0</v>
      </c>
      <c r="Z17" s="75">
        <f t="array" ref="Z17">SUM((YEAR(Gastos!$A$2:$A$2500)=Z$1)*(MONTH(Gastos!$A$2:$A$2500)=Z$3)*(Gastos!$B$2:$B$2500=$A17)*(Gastos!$D$2:$D$2500))</f>
        <v>0</v>
      </c>
      <c r="AA17" s="75">
        <f t="array" ref="AA17">SUM((YEAR(Gastos!$A$2:$A$2500)=AA$1)*(MONTH(Gastos!$A$2:$A$2500)=AA$3)*(Gastos!$B$2:$B$2500=$A17)*(Gastos!$D$2:$D$2500))</f>
        <v>0</v>
      </c>
      <c r="AB17" s="75">
        <f t="array" ref="AB17">SUM((YEAR(Gastos!$A$2:$A$2500)=AB$1)*(MONTH(Gastos!$A$2:$A$2500)=AB$3)*(Gastos!$B$2:$B$2500=$A17)*(Gastos!$D$2:$D$2500))</f>
        <v>0</v>
      </c>
      <c r="AC17" s="75">
        <f t="array" ref="AC17">SUM((YEAR(Gastos!$A$2:$A$2500)=AC$1)*(MONTH(Gastos!$A$2:$A$2500)=AC$3)*(Gastos!$B$2:$B$2500=$A17)*(Gastos!$D$2:$D$2500))</f>
        <v>0</v>
      </c>
      <c r="AD17" s="75">
        <f t="array" ref="AD17">SUM((YEAR(Gastos!$A$2:$A$2500)=AD$1)*(MONTH(Gastos!$A$2:$A$2500)=AD$3)*(Gastos!$B$2:$B$2500=$A17)*(Gastos!$D$2:$D$2500))</f>
        <v>0</v>
      </c>
      <c r="AE17" s="75">
        <f t="array" ref="AE17">SUM((YEAR(Gastos!$A$2:$A$2500)=AE$1)*(MONTH(Gastos!$A$2:$A$2500)=AE$3)*(Gastos!$B$2:$B$2500=$A17)*(Gastos!$D$2:$D$2500))</f>
        <v>0</v>
      </c>
      <c r="AF17" s="75">
        <f t="array" ref="AF17">SUM((YEAR(Gastos!$A$2:$A$2500)=AF$1)*(MONTH(Gastos!$A$2:$A$2500)=AF$3)*(Gastos!$B$2:$B$2500=$A17)*(Gastos!$D$2:$D$2500))</f>
        <v>0</v>
      </c>
      <c r="AG17" s="75">
        <f t="array" ref="AG17">SUM((YEAR(Gastos!$A$2:$A$2500)=AG$1)*(MONTH(Gastos!$A$2:$A$2500)=AG$3)*(Gastos!$B$2:$B$2500=$A17)*(Gastos!$D$2:$D$2500))</f>
        <v>0</v>
      </c>
      <c r="AH17" s="75">
        <f t="array" ref="AH17">SUM((YEAR(Gastos!$A$2:$A$2500)=AH$1)*(MONTH(Gastos!$A$2:$A$2500)=AH$3)*(Gastos!$B$2:$B$2500=$A17)*(Gastos!$D$2:$D$2500))</f>
        <v>0</v>
      </c>
      <c r="AI17" s="75">
        <f t="array" ref="AI17">SUM((YEAR(Gastos!$A$2:$A$2500)=AI$1)*(MONTH(Gastos!$A$2:$A$2500)=AI$3)*(Gastos!$B$2:$B$2500=$A17)*(Gastos!$D$2:$D$2500))</f>
        <v>0</v>
      </c>
      <c r="AJ17" s="75">
        <f t="array" ref="AJ17">SUM((YEAR(Gastos!$A$2:$A$2500)=AJ$1)*(MONTH(Gastos!$A$2:$A$2500)=AJ$3)*(Gastos!$B$2:$B$2500=$A17)*(Gastos!$D$2:$D$2500))</f>
        <v>0</v>
      </c>
      <c r="AK17" s="75">
        <f t="array" ref="AK17">SUM((YEAR(Gastos!$A$2:$A$2500)=AK$1)*(MONTH(Gastos!$A$2:$A$2500)=AK$3)*(Gastos!$B$2:$B$2500=$A17)*(Gastos!$D$2:$D$2500))</f>
        <v>0</v>
      </c>
      <c r="AL17" s="75">
        <f t="array" ref="AL17">SUM((YEAR(Gastos!$A$2:$A$2500)=AL$1)*(MONTH(Gastos!$A$2:$A$2500)=AL$3)*(Gastos!$B$2:$B$2500=$A17)*(Gastos!$D$2:$D$2500))</f>
        <v>0</v>
      </c>
      <c r="AM17" s="75">
        <f t="array" ref="AM17">SUM((YEAR(Gastos!$A$2:$A$2500)=AM$1)*(MONTH(Gastos!$A$2:$A$2500)=AM$3)*(Gastos!$B$2:$B$2500=$A17)*(Gastos!$D$2:$D$2500))</f>
        <v>0</v>
      </c>
      <c r="AN17" s="75">
        <f t="array" ref="AN17">SUM((YEAR(Gastos!$A$2:$A$2500)=AN$1)*(MONTH(Gastos!$A$2:$A$2500)=AN$3)*(Gastos!$B$2:$B$2500=$A17)*(Gastos!$D$2:$D$2500))</f>
        <v>0</v>
      </c>
      <c r="AO17" s="75">
        <f t="array" ref="AO17">SUM((YEAR(Gastos!$A$2:$A$2500)=AO$1)*(MONTH(Gastos!$A$2:$A$2500)=AO$3)*(Gastos!$B$2:$B$2500=$A17)*(Gastos!$D$2:$D$2500))</f>
        <v>0</v>
      </c>
      <c r="AP17" s="75">
        <f t="array" ref="AP17">SUM((YEAR(Gastos!$A$2:$A$2500)=AP$1)*(MONTH(Gastos!$A$2:$A$2500)=AP$3)*(Gastos!$B$2:$B$2500=$A17)*(Gastos!$D$2:$D$2500))</f>
        <v>0</v>
      </c>
      <c r="AQ17" s="75">
        <f t="array" ref="AQ17">SUM((YEAR(Gastos!$A$2:$A$2500)=AQ$1)*(MONTH(Gastos!$A$2:$A$2500)=AQ$3)*(Gastos!$B$2:$B$2500=$A17)*(Gastos!$D$2:$D$2500))</f>
        <v>0</v>
      </c>
      <c r="AR17" s="75">
        <f t="array" ref="AR17">SUM((YEAR(Gastos!$A$2:$A$2500)=AR$1)*(MONTH(Gastos!$A$2:$A$2500)=AR$3)*(Gastos!$B$2:$B$2500=$A17)*(Gastos!$D$2:$D$2500))</f>
        <v>0</v>
      </c>
      <c r="AS17" s="75">
        <f t="array" ref="AS17">SUM((YEAR(Gastos!$A$2:$A$2500)=AS$1)*(MONTH(Gastos!$A$2:$A$2500)=AS$3)*(Gastos!$B$2:$B$2500=$A17)*(Gastos!$D$2:$D$2500))</f>
        <v>0</v>
      </c>
      <c r="AT17" s="75">
        <f t="array" ref="AT17">SUM((YEAR(Gastos!$A$2:$A$2500)=AT$1)*(MONTH(Gastos!$A$2:$A$2500)=AT$3)*(Gastos!$B$2:$B$2500=$A17)*(Gastos!$D$2:$D$2500))</f>
        <v>0</v>
      </c>
      <c r="AU17" s="75">
        <f t="array" ref="AU17">SUM((YEAR(Gastos!$A$2:$A$2500)=AU$1)*(MONTH(Gastos!$A$2:$A$2500)=AU$3)*(Gastos!$B$2:$B$2500=$A17)*(Gastos!$D$2:$D$2500))</f>
        <v>0</v>
      </c>
      <c r="AV17" s="75">
        <f t="array" ref="AV17">SUM((YEAR(Gastos!$A$2:$A$2500)=AV$1)*(MONTH(Gastos!$A$2:$A$2500)=AV$3)*(Gastos!$B$2:$B$2500=$A17)*(Gastos!$D$2:$D$2500))</f>
        <v>0</v>
      </c>
      <c r="AW17" s="75">
        <f t="array" ref="AW17">SUM((YEAR(Gastos!$A$2:$A$2500)=AW$1)*(MONTH(Gastos!$A$2:$A$2500)=AW$3)*(Gastos!$B$2:$B$2500=$A17)*(Gastos!$D$2:$D$2500))</f>
        <v>0</v>
      </c>
      <c r="AX17" s="75">
        <f t="array" ref="AX17">SUM((YEAR(Gastos!$A$2:$A$2500)=AX$1)*(MONTH(Gastos!$A$2:$A$2500)=AX$3)*(Gastos!$B$2:$B$2500=$A17)*(Gastos!$D$2:$D$2500))</f>
        <v>0</v>
      </c>
      <c r="AY17" s="75">
        <f t="array" ref="AY17">SUM((YEAR(Gastos!$A$2:$A$2500)=AY$1)*(MONTH(Gastos!$A$2:$A$2500)=AY$3)*(Gastos!$B$2:$B$2500=$A17)*(Gastos!$D$2:$D$2500))</f>
        <v>0</v>
      </c>
      <c r="AZ17" s="75">
        <f t="array" ref="AZ17">SUM((YEAR(Gastos!$A$2:$A$2500)=AZ$1)*(MONTH(Gastos!$A$2:$A$2500)=AZ$3)*(Gastos!$B$2:$B$2500=$A17)*(Gastos!$D$2:$D$2500))</f>
        <v>0</v>
      </c>
      <c r="BA17" s="75">
        <f t="array" ref="BA17">SUM((YEAR(Gastos!$A$2:$A$2500)=BA$1)*(MONTH(Gastos!$A$2:$A$2500)=BA$3)*(Gastos!$B$2:$B$2500=$A17)*(Gastos!$D$2:$D$2500))</f>
        <v>0</v>
      </c>
      <c r="BB17" s="75">
        <f t="array" ref="BB17">SUM((YEAR(Gastos!$A$2:$A$2500)=BB$1)*(MONTH(Gastos!$A$2:$A$2500)=BB$3)*(Gastos!$B$2:$B$2500=$A17)*(Gastos!$D$2:$D$2500))</f>
        <v>0</v>
      </c>
      <c r="BC17" s="75">
        <f t="array" ref="BC17">SUM((YEAR(Gastos!$A$2:$A$2500)=BC$1)*(MONTH(Gastos!$A$2:$A$2500)=BC$3)*(Gastos!$B$2:$B$2500=$A17)*(Gastos!$D$2:$D$2500))</f>
        <v>0</v>
      </c>
      <c r="BD17" s="75">
        <f t="array" ref="BD17">SUM((YEAR(Gastos!$A$2:$A$2500)=BD$1)*(MONTH(Gastos!$A$2:$A$2500)=BD$3)*(Gastos!$B$2:$B$2500=$A17)*(Gastos!$D$2:$D$2500))</f>
        <v>0</v>
      </c>
      <c r="BE17" s="75">
        <f t="array" ref="BE17">SUM((YEAR(Gastos!$A$2:$A$2500)=BE$1)*(MONTH(Gastos!$A$2:$A$2500)=BE$3)*(Gastos!$B$2:$B$2500=$A17)*(Gastos!$D$2:$D$2500))</f>
        <v>0</v>
      </c>
      <c r="BF17" s="75">
        <f t="array" ref="BF17">SUM((YEAR(Gastos!$A$2:$A$2500)=BF$1)*(MONTH(Gastos!$A$2:$A$2500)=BF$3)*(Gastos!$B$2:$B$2500=$A17)*(Gastos!$D$2:$D$2500))</f>
        <v>0</v>
      </c>
      <c r="BG17" s="75">
        <f t="array" ref="BG17">SUM((YEAR(Gastos!$A$2:$A$2500)=BG$1)*(MONTH(Gastos!$A$2:$A$2500)=BG$3)*(Gastos!$B$2:$B$2500=$A17)*(Gastos!$D$2:$D$2500))</f>
        <v>0</v>
      </c>
      <c r="BH17" s="75">
        <f t="array" ref="BH17">SUM((YEAR(Gastos!$A$2:$A$2500)=BH$1)*(MONTH(Gastos!$A$2:$A$2500)=BH$3)*(Gastos!$B$2:$B$2500=$A17)*(Gastos!$D$2:$D$2500))</f>
        <v>0</v>
      </c>
      <c r="BI17" s="75">
        <f t="array" ref="BI17">SUM((YEAR(Gastos!$A$2:$A$2500)=BI$1)*(MONTH(Gastos!$A$2:$A$2500)=BI$3)*(Gastos!$B$2:$B$2500=$A17)*(Gastos!$D$2:$D$2500))</f>
        <v>0</v>
      </c>
      <c r="BJ17" s="75">
        <f t="array" ref="BJ17">SUM((YEAR(Gastos!$A$2:$A$2500)=BJ$1)*(MONTH(Gastos!$A$2:$A$2500)=BJ$3)*(Gastos!$B$2:$B$2500=$A17)*(Gastos!$D$2:$D$2500))</f>
        <v>0</v>
      </c>
      <c r="BK17" s="75">
        <f t="array" ref="BK17">SUM((YEAR(Gastos!$A$2:$A$2500)=BK$1)*(MONTH(Gastos!$A$2:$A$2500)=BK$3)*(Gastos!$B$2:$B$2500=$A17)*(Gastos!$D$2:$D$2500))</f>
        <v>0</v>
      </c>
      <c r="BL17" s="75">
        <f t="array" ref="BL17">SUM((YEAR(Gastos!$A$2:$A$2500)=BL$1)*(MONTH(Gastos!$A$2:$A$2500)=BL$3)*(Gastos!$B$2:$B$2500=$A17)*(Gastos!$D$2:$D$2500))</f>
        <v>0</v>
      </c>
      <c r="BM17" s="75">
        <f t="array" ref="BM17">SUM((YEAR(Gastos!$A$2:$A$2500)=BM$1)*(MONTH(Gastos!$A$2:$A$2500)=BM$3)*(Gastos!$B$2:$B$2500=$A17)*(Gastos!$D$2:$D$2500))</f>
        <v>0</v>
      </c>
      <c r="BN17" s="75">
        <f t="array" ref="BN17">SUM((YEAR(Gastos!$A$2:$A$2500)=BN$1)*(MONTH(Gastos!$A$2:$A$2500)=BN$3)*(Gastos!$B$2:$B$2500=$A17)*(Gastos!$D$2:$D$2500))</f>
        <v>0</v>
      </c>
      <c r="BO17" s="75">
        <f t="array" ref="BO17">SUM((YEAR(Gastos!$A$2:$A$2500)=BO$1)*(MONTH(Gastos!$A$2:$A$2500)=BO$3)*(Gastos!$B$2:$B$2500=$A17)*(Gastos!$D$2:$D$2500))</f>
        <v>0</v>
      </c>
      <c r="BP17" s="75">
        <f t="array" ref="BP17">SUM((YEAR(Gastos!$A$2:$A$2500)=BP$1)*(MONTH(Gastos!$A$2:$A$2500)=BP$3)*(Gastos!$B$2:$B$2500=$A17)*(Gastos!$D$2:$D$2500))</f>
        <v>0</v>
      </c>
      <c r="BQ17" s="75">
        <f t="array" ref="BQ17">SUM((YEAR(Gastos!$A$2:$A$2500)=BQ$1)*(MONTH(Gastos!$A$2:$A$2500)=BQ$3)*(Gastos!$B$2:$B$2500=$A17)*(Gastos!$D$2:$D$2500))</f>
        <v>0</v>
      </c>
      <c r="BR17" s="75">
        <f t="array" ref="BR17">SUM((YEAR(Gastos!$A$2:$A$2500)=BR$1)*(MONTH(Gastos!$A$2:$A$2500)=BR$3)*(Gastos!$B$2:$B$2500=$A17)*(Gastos!$D$2:$D$2500))</f>
        <v>0</v>
      </c>
      <c r="BS17" s="75">
        <f t="array" ref="BS17">SUM((YEAR(Gastos!$A$2:$A$2500)=BS$1)*(MONTH(Gastos!$A$2:$A$2500)=BS$3)*(Gastos!$B$2:$B$2500=$A17)*(Gastos!$D$2:$D$2500))</f>
        <v>0</v>
      </c>
      <c r="BT17" s="75">
        <f t="array" ref="BT17">SUM((YEAR(Gastos!$A$2:$A$2500)=BT$1)*(MONTH(Gastos!$A$2:$A$2500)=BT$3)*(Gastos!$B$2:$B$2500=$A17)*(Gastos!$D$2:$D$2500))</f>
        <v>0</v>
      </c>
      <c r="BU17" s="75">
        <f t="array" ref="BU17">SUM((YEAR(Gastos!$A$2:$A$2500)=BU$1)*(MONTH(Gastos!$A$2:$A$2500)=BU$3)*(Gastos!$B$2:$B$2500=$A17)*(Gastos!$D$2:$D$2500))</f>
        <v>0</v>
      </c>
      <c r="BV17" s="75">
        <f t="array" ref="BV17">SUM((YEAR(Gastos!$A$2:$A$2500)=BV$1)*(MONTH(Gastos!$A$2:$A$2500)=BV$3)*(Gastos!$B$2:$B$2500=$A17)*(Gastos!$D$2:$D$2500))</f>
        <v>0</v>
      </c>
      <c r="BW17" s="75">
        <f t="array" ref="BW17">SUM((YEAR(Gastos!$A$2:$A$2500)=BW$1)*(MONTH(Gastos!$A$2:$A$2500)=BW$3)*(Gastos!$B$2:$B$2500=$A17)*(Gastos!$D$2:$D$2500))</f>
        <v>0</v>
      </c>
      <c r="BX17" s="75">
        <f t="array" ref="BX17">SUM((YEAR(Gastos!$A$2:$A$2500)=BX$1)*(MONTH(Gastos!$A$2:$A$2500)=BX$3)*(Gastos!$B$2:$B$2500=$A17)*(Gastos!$D$2:$D$2500))</f>
        <v>0</v>
      </c>
      <c r="BY17" s="75">
        <f t="array" ref="BY17">SUM((YEAR(Gastos!$A$2:$A$2500)=BY$1)*(MONTH(Gastos!$A$2:$A$2500)=BY$3)*(Gastos!$B$2:$B$2500=$A17)*(Gastos!$D$2:$D$2500))</f>
        <v>0</v>
      </c>
      <c r="BZ17" s="75">
        <f t="array" ref="BZ17">SUM((YEAR(Gastos!$A$2:$A$2500)=BZ$1)*(MONTH(Gastos!$A$2:$A$2500)=BZ$3)*(Gastos!$B$2:$B$2500=$A17)*(Gastos!$D$2:$D$2500))</f>
        <v>0</v>
      </c>
      <c r="CA17" s="75">
        <f t="array" ref="CA17">SUM((YEAR(Gastos!$A$2:$A$2500)=CA$1)*(MONTH(Gastos!$A$2:$A$2500)=CA$3)*(Gastos!$B$2:$B$2500=$A17)*(Gastos!$D$2:$D$2500))</f>
        <v>0</v>
      </c>
      <c r="CB17" s="75">
        <f t="array" ref="CB17">SUM((YEAR(Gastos!$A$2:$A$2500)=CB$1)*(MONTH(Gastos!$A$2:$A$2500)=CB$3)*(Gastos!$B$2:$B$2500=$A17)*(Gastos!$D$2:$D$2500))</f>
        <v>0</v>
      </c>
      <c r="CC17" s="75">
        <f t="array" ref="CC17">SUM((YEAR(Gastos!$A$2:$A$2500)=CC$1)*(MONTH(Gastos!$A$2:$A$2500)=CC$3)*(Gastos!$B$2:$B$2500=$A17)*(Gastos!$D$2:$D$2500))</f>
        <v>0</v>
      </c>
      <c r="CD17" s="75">
        <f t="array" ref="CD17">SUM((YEAR(Gastos!$A$2:$A$2500)=CD$1)*(MONTH(Gastos!$A$2:$A$2500)=CD$3)*(Gastos!$B$2:$B$2500=$A17)*(Gastos!$D$2:$D$2500))</f>
        <v>0</v>
      </c>
      <c r="CE17" s="75">
        <f t="array" ref="CE17">SUM((YEAR(Gastos!$A$2:$A$2500)=CE$1)*(MONTH(Gastos!$A$2:$A$2500)=CE$3)*(Gastos!$B$2:$B$2500=$A17)*(Gastos!$D$2:$D$2500))</f>
        <v>0</v>
      </c>
      <c r="CF17" s="75">
        <f t="array" ref="CF17">SUM((YEAR(Gastos!$A$2:$A$2500)=CF$1)*(MONTH(Gastos!$A$2:$A$2500)=CF$3)*(Gastos!$B$2:$B$2500=$A17)*(Gastos!$D$2:$D$2500))</f>
        <v>0</v>
      </c>
      <c r="CG17" s="75">
        <f t="array" ref="CG17">SUM((YEAR(Gastos!$A$2:$A$2500)=CG$1)*(MONTH(Gastos!$A$2:$A$2500)=CG$3)*(Gastos!$B$2:$B$2500=$A17)*(Gastos!$D$2:$D$2500))</f>
        <v>0</v>
      </c>
      <c r="CH17" s="75">
        <f t="array" ref="CH17">SUM((YEAR(Gastos!$A$2:$A$2500)=CH$1)*(MONTH(Gastos!$A$2:$A$2500)=CH$3)*(Gastos!$B$2:$B$2500=$A17)*(Gastos!$D$2:$D$2500))</f>
        <v>0</v>
      </c>
      <c r="CI17" s="75">
        <f t="array" ref="CI17">SUM((YEAR(Gastos!$A$2:$A$2500)=CI$1)*(MONTH(Gastos!$A$2:$A$2500)=CI$3)*(Gastos!$B$2:$B$2500=$A17)*(Gastos!$D$2:$D$2500))</f>
        <v>0</v>
      </c>
      <c r="CJ17" s="75">
        <f t="array" ref="CJ17">SUM((YEAR(Gastos!$A$2:$A$2500)=CJ$1)*(MONTH(Gastos!$A$2:$A$2500)=CJ$3)*(Gastos!$B$2:$B$2500=$A17)*(Gastos!$D$2:$D$2500))</f>
        <v>0</v>
      </c>
      <c r="CK17" s="75">
        <f t="array" ref="CK17">SUM((YEAR(Gastos!$A$2:$A$2500)=CK$1)*(MONTH(Gastos!$A$2:$A$2500)=CK$3)*(Gastos!$B$2:$B$2500=$A17)*(Gastos!$D$2:$D$2500))</f>
        <v>0</v>
      </c>
      <c r="CL17" s="75">
        <f t="array" ref="CL17">SUM((YEAR(Gastos!$A$2:$A$2500)=CL$1)*(MONTH(Gastos!$A$2:$A$2500)=CL$3)*(Gastos!$B$2:$B$2500=$A17)*(Gastos!$D$2:$D$2500))</f>
        <v>0</v>
      </c>
      <c r="CM17" s="75">
        <f t="array" ref="CM17">SUM((YEAR(Gastos!$A$2:$A$2500)=CM$1)*(MONTH(Gastos!$A$2:$A$2500)=CM$3)*(Gastos!$B$2:$B$2500=$A17)*(Gastos!$D$2:$D$2500))</f>
        <v>0</v>
      </c>
      <c r="CN17" s="75">
        <f t="array" ref="CN17">SUM((YEAR(Gastos!$A$2:$A$2500)=CN$1)*(MONTH(Gastos!$A$2:$A$2500)=CN$3)*(Gastos!$B$2:$B$2500=$A17)*(Gastos!$D$2:$D$2500))</f>
        <v>0</v>
      </c>
      <c r="CO17" s="75">
        <f t="array" ref="CO17">SUM((YEAR(Gastos!$A$2:$A$2500)=CO$1)*(MONTH(Gastos!$A$2:$A$2500)=CO$3)*(Gastos!$B$2:$B$2500=$A17)*(Gastos!$D$2:$D$2500))</f>
        <v>0</v>
      </c>
      <c r="CP17" s="75">
        <f t="array" ref="CP17">SUM((YEAR(Gastos!$A$2:$A$2500)=CP$1)*(MONTH(Gastos!$A$2:$A$2500)=CP$3)*(Gastos!$B$2:$B$2500=$A17)*(Gastos!$D$2:$D$2500))</f>
        <v>0</v>
      </c>
      <c r="CQ17" s="75">
        <f t="array" ref="CQ17">SUM((YEAR(Gastos!$A$2:$A$2500)=CQ$1)*(MONTH(Gastos!$A$2:$A$2500)=CQ$3)*(Gastos!$B$2:$B$2500=$A17)*(Gastos!$D$2:$D$2500))</f>
        <v>0</v>
      </c>
      <c r="CR17" s="75">
        <f t="array" ref="CR17">SUM((YEAR(Gastos!$A$2:$A$2500)=CR$1)*(MONTH(Gastos!$A$2:$A$2500)=CR$3)*(Gastos!$B$2:$B$2500=$A17)*(Gastos!$D$2:$D$2500))</f>
        <v>0</v>
      </c>
      <c r="CS17" s="75">
        <f t="array" ref="CS17">SUM((YEAR(Gastos!$A$2:$A$2500)=CS$1)*(MONTH(Gastos!$A$2:$A$2500)=CS$3)*(Gastos!$B$2:$B$2500=$A17)*(Gastos!$D$2:$D$2500))</f>
        <v>0</v>
      </c>
      <c r="CT17" s="75">
        <f t="array" ref="CT17">SUM((YEAR(Gastos!$A$2:$A$2500)=CT$1)*(MONTH(Gastos!$A$2:$A$2500)=CT$3)*(Gastos!$B$2:$B$2500=$A17)*(Gastos!$D$2:$D$2500))</f>
        <v>0</v>
      </c>
      <c r="CU17" s="75">
        <f t="array" ref="CU17">SUM((YEAR(Gastos!$A$2:$A$2500)=CU$1)*(MONTH(Gastos!$A$2:$A$2500)=CU$3)*(Gastos!$B$2:$B$2500=$A17)*(Gastos!$D$2:$D$2500))</f>
        <v>0</v>
      </c>
      <c r="CV17" s="75">
        <f t="array" ref="CV17">SUM((YEAR(Gastos!$A$2:$A$2500)=CV$1)*(MONTH(Gastos!$A$2:$A$2500)=CV$3)*(Gastos!$B$2:$B$2500=$A17)*(Gastos!$D$2:$D$2500))</f>
        <v>0</v>
      </c>
      <c r="CW17" s="75">
        <f t="array" ref="CW17">SUM((YEAR(Gastos!$A$2:$A$2500)=CW$1)*(MONTH(Gastos!$A$2:$A$2500)=CW$3)*(Gastos!$B$2:$B$2500=$A17)*(Gastos!$D$2:$D$2500))</f>
        <v>0</v>
      </c>
      <c r="CX17" s="75">
        <f t="array" ref="CX17">SUM((YEAR(Gastos!$A$2:$A$2500)=CX$1)*(MONTH(Gastos!$A$2:$A$2500)=CX$3)*(Gastos!$B$2:$B$2500=$A17)*(Gastos!$D$2:$D$2500))</f>
        <v>0</v>
      </c>
      <c r="CY17" s="75">
        <f t="array" ref="CY17">SUM((YEAR(Gastos!$A$2:$A$2500)=CY$1)*(MONTH(Gastos!$A$2:$A$2500)=CY$3)*(Gastos!$B$2:$B$2500=$A17)*(Gastos!$D$2:$D$2500))</f>
        <v>0</v>
      </c>
      <c r="CZ17" s="75">
        <f t="array" ref="CZ17">SUM((YEAR(Gastos!$A$2:$A$2500)=CZ$1)*(MONTH(Gastos!$A$2:$A$2500)=CZ$3)*(Gastos!$B$2:$B$2500=$A17)*(Gastos!$D$2:$D$2500))</f>
        <v>0</v>
      </c>
      <c r="DA17" s="75">
        <f t="array" ref="DA17">SUM((YEAR(Gastos!$A$2:$A$2500)=DA$1)*(MONTH(Gastos!$A$2:$A$2500)=DA$3)*(Gastos!$B$2:$B$2500=$A17)*(Gastos!$D$2:$D$2500))</f>
        <v>0</v>
      </c>
      <c r="DB17" s="75">
        <f t="array" ref="DB17">SUM((YEAR(Gastos!$A$2:$A$2500)=DB$1)*(MONTH(Gastos!$A$2:$A$2500)=DB$3)*(Gastos!$B$2:$B$2500=$A17)*(Gastos!$D$2:$D$2500))</f>
        <v>0</v>
      </c>
      <c r="DC17" s="75">
        <f t="array" ref="DC17">SUM((YEAR(Gastos!$A$2:$A$2500)=DC$1)*(MONTH(Gastos!$A$2:$A$2500)=DC$3)*(Gastos!$B$2:$B$2500=$A17)*(Gastos!$D$2:$D$2500))</f>
        <v>0</v>
      </c>
      <c r="DD17" s="75">
        <f t="array" ref="DD17">SUM((YEAR(Gastos!$A$2:$A$2500)=DD$1)*(MONTH(Gastos!$A$2:$A$2500)=DD$3)*(Gastos!$B$2:$B$2500=$A17)*(Gastos!$D$2:$D$2500))</f>
        <v>0</v>
      </c>
      <c r="DE17" s="75">
        <f t="array" ref="DE17">SUM((YEAR(Gastos!$A$2:$A$2500)=DE$1)*(MONTH(Gastos!$A$2:$A$2500)=DE$3)*(Gastos!$B$2:$B$2500=$A17)*(Gastos!$D$2:$D$2500))</f>
        <v>0</v>
      </c>
      <c r="DF17" s="75">
        <f t="array" ref="DF17">SUM((YEAR(Gastos!$A$2:$A$2500)=DF$1)*(MONTH(Gastos!$A$2:$A$2500)=DF$3)*(Gastos!$B$2:$B$2500=$A17)*(Gastos!$D$2:$D$2500))</f>
        <v>0</v>
      </c>
      <c r="DG17" s="75">
        <f t="array" ref="DG17">SUM((YEAR(Gastos!$A$2:$A$2500)=DG$1)*(MONTH(Gastos!$A$2:$A$2500)=DG$3)*(Gastos!$B$2:$B$2500=$A17)*(Gastos!$D$2:$D$2500))</f>
        <v>0</v>
      </c>
      <c r="DH17" s="75">
        <f t="array" ref="DH17">SUM((YEAR(Gastos!$A$2:$A$2500)=DH$1)*(MONTH(Gastos!$A$2:$A$2500)=DH$3)*(Gastos!$B$2:$B$2500=$A17)*(Gastos!$D$2:$D$2500))</f>
        <v>0</v>
      </c>
      <c r="DI17" s="75">
        <f t="array" ref="DI17">SUM((YEAR(Gastos!$A$2:$A$2500)=DI$1)*(MONTH(Gastos!$A$2:$A$2500)=DI$3)*(Gastos!$B$2:$B$2500=$A17)*(Gastos!$D$2:$D$2500))</f>
        <v>0</v>
      </c>
      <c r="DJ17" s="75">
        <f t="array" ref="DJ17">SUM((YEAR(Gastos!$A$2:$A$2500)=DJ$1)*(MONTH(Gastos!$A$2:$A$2500)=DJ$3)*(Gastos!$B$2:$B$2500=$A17)*(Gastos!$D$2:$D$2500))</f>
        <v>0</v>
      </c>
      <c r="DK17" s="75">
        <f t="array" ref="DK17">SUM((YEAR(Gastos!$A$2:$A$2500)=DK$1)*(MONTH(Gastos!$A$2:$A$2500)=DK$3)*(Gastos!$B$2:$B$2500=$A17)*(Gastos!$D$2:$D$2500))</f>
        <v>0</v>
      </c>
      <c r="DL17" s="75">
        <f t="array" ref="DL17">SUM((YEAR(Gastos!$A$2:$A$2500)=DL$1)*(MONTH(Gastos!$A$2:$A$2500)=DL$3)*(Gastos!$B$2:$B$2500=$A17)*(Gastos!$D$2:$D$2500))</f>
        <v>0</v>
      </c>
      <c r="DM17" s="75">
        <f t="array" ref="DM17">SUM((YEAR(Gastos!$A$2:$A$2500)=DM$1)*(MONTH(Gastos!$A$2:$A$2500)=DM$3)*(Gastos!$B$2:$B$2500=$A17)*(Gastos!$D$2:$D$2500))</f>
        <v>0</v>
      </c>
      <c r="DN17" s="75">
        <f t="array" ref="DN17">SUM((YEAR(Gastos!$A$2:$A$2500)=DN$1)*(MONTH(Gastos!$A$2:$A$2500)=DN$3)*(Gastos!$B$2:$B$2500=$A17)*(Gastos!$D$2:$D$2500))</f>
        <v>0</v>
      </c>
      <c r="DO17" s="75">
        <f t="array" ref="DO17">SUM((YEAR(Gastos!$A$2:$A$2500)=DO$1)*(MONTH(Gastos!$A$2:$A$2500)=DO$3)*(Gastos!$B$2:$B$2500=$A17)*(Gastos!$D$2:$D$2500))</f>
        <v>0</v>
      </c>
      <c r="DP17" s="75">
        <f t="array" ref="DP17">SUM((YEAR(Gastos!$A$2:$A$2500)=DP$1)*(MONTH(Gastos!$A$2:$A$2500)=DP$3)*(Gastos!$B$2:$B$2500=$A17)*(Gastos!$D$2:$D$2500))</f>
        <v>0</v>
      </c>
      <c r="DQ17" s="75">
        <f t="array" ref="DQ17">SUM((YEAR(Gastos!$A$2:$A$2500)=DQ$1)*(MONTH(Gastos!$A$2:$A$2500)=DQ$3)*(Gastos!$B$2:$B$2500=$A17)*(Gastos!$D$2:$D$2500))</f>
        <v>0</v>
      </c>
      <c r="DR17" s="75">
        <f t="array" ref="DR17">SUM((YEAR(Gastos!$A$2:$A$2500)=DR$1)*(MONTH(Gastos!$A$2:$A$2500)=DR$3)*(Gastos!$B$2:$B$2500=$A17)*(Gastos!$D$2:$D$2500))</f>
        <v>0</v>
      </c>
      <c r="DS17" s="75">
        <f t="array" ref="DS17">SUM((YEAR(Gastos!$A$2:$A$2500)=DS$1)*(MONTH(Gastos!$A$2:$A$2500)=DS$3)*(Gastos!$B$2:$B$2500=$A17)*(Gastos!$D$2:$D$2500))</f>
        <v>0</v>
      </c>
      <c r="DT17" s="75">
        <f t="array" ref="DT17">SUM((YEAR(Gastos!$A$2:$A$2500)=DT$1)*(MONTH(Gastos!$A$2:$A$2500)=DT$3)*(Gastos!$B$2:$B$2500=$A17)*(Gastos!$D$2:$D$2500))</f>
        <v>0</v>
      </c>
      <c r="DU17" s="75">
        <f t="array" ref="DU17">SUM((YEAR(Gastos!$A$2:$A$2500)=DU$1)*(MONTH(Gastos!$A$2:$A$2500)=DU$3)*(Gastos!$B$2:$B$2500=$A17)*(Gastos!$D$2:$D$2500))</f>
        <v>0</v>
      </c>
      <c r="DV17" s="75">
        <f t="array" ref="DV17">SUM((YEAR(Gastos!$A$2:$A$2500)=DV$1)*(MONTH(Gastos!$A$2:$A$2500)=DV$3)*(Gastos!$B$2:$B$2500=$A17)*(Gastos!$D$2:$D$2500))</f>
        <v>0</v>
      </c>
      <c r="DW17" s="75">
        <f t="array" ref="DW17">SUM((YEAR(Gastos!$A$2:$A$2500)=DW$1)*(MONTH(Gastos!$A$2:$A$2500)=DW$3)*(Gastos!$B$2:$B$2500=$A17)*(Gastos!$D$2:$D$2500))</f>
        <v>0</v>
      </c>
      <c r="DX17" s="75">
        <f t="array" ref="DX17">SUM((YEAR(Gastos!$A$2:$A$2500)=DX$1)*(MONTH(Gastos!$A$2:$A$2500)=DX$3)*(Gastos!$B$2:$B$2500=$A17)*(Gastos!$D$2:$D$2500))</f>
        <v>0</v>
      </c>
      <c r="DY17" s="75">
        <f t="array" ref="DY17">SUM((YEAR(Gastos!$A$2:$A$2500)=DY$1)*(MONTH(Gastos!$A$2:$A$2500)=DY$3)*(Gastos!$B$2:$B$2500=$A17)*(Gastos!$D$2:$D$2500))</f>
        <v>0</v>
      </c>
      <c r="DZ17" s="75">
        <f t="array" ref="DZ17">SUM((YEAR(Gastos!$A$2:$A$2500)=DZ$1)*(MONTH(Gastos!$A$2:$A$2500)=DZ$3)*(Gastos!$B$2:$B$2500=$A17)*(Gastos!$D$2:$D$2500))</f>
        <v>0</v>
      </c>
      <c r="EA17" s="75">
        <f t="array" ref="EA17">SUM((YEAR(Gastos!$A$2:$A$2500)=EA$1)*(MONTH(Gastos!$A$2:$A$2500)=EA$3)*(Gastos!$B$2:$B$2500=$A17)*(Gastos!$D$2:$D$2500))</f>
        <v>0</v>
      </c>
      <c r="EB17" s="75">
        <f t="array" ref="EB17">SUM((YEAR(Gastos!$A$2:$A$2500)=EB$1)*(MONTH(Gastos!$A$2:$A$2500)=EB$3)*(Gastos!$B$2:$B$2500=$A17)*(Gastos!$D$2:$D$2500))</f>
        <v>0</v>
      </c>
      <c r="EC17" s="75">
        <f t="array" ref="EC17">SUM((YEAR(Gastos!$A$2:$A$2500)=EC$1)*(MONTH(Gastos!$A$2:$A$2500)=EC$3)*(Gastos!$B$2:$B$2500=$A17)*(Gastos!$D$2:$D$2500))</f>
        <v>0</v>
      </c>
      <c r="ED17" s="75">
        <f t="array" ref="ED17">SUM((YEAR(Gastos!$A$2:$A$2500)=ED$1)*(MONTH(Gastos!$A$2:$A$2500)=ED$3)*(Gastos!$B$2:$B$2500=$A17)*(Gastos!$D$2:$D$2500))</f>
        <v>0</v>
      </c>
      <c r="EE17" s="75">
        <f t="array" ref="EE17">SUM((YEAR(Gastos!$A$2:$A$2500)=EE$1)*(MONTH(Gastos!$A$2:$A$2500)=EE$3)*(Gastos!$B$2:$B$2500=$A17)*(Gastos!$D$2:$D$2500))</f>
        <v>0</v>
      </c>
      <c r="EF17" s="75">
        <f t="array" ref="EF17">SUM((YEAR(Gastos!$A$2:$A$2500)=EF$1)*(MONTH(Gastos!$A$2:$A$2500)=EF$3)*(Gastos!$B$2:$B$2500=$A17)*(Gastos!$D$2:$D$2500))</f>
        <v>0</v>
      </c>
      <c r="EG17" s="75">
        <f t="array" ref="EG17">SUM((YEAR(Gastos!$A$2:$A$2500)=EG$1)*(MONTH(Gastos!$A$2:$A$2500)=EG$3)*(Gastos!$B$2:$B$2500=$A17)*(Gastos!$D$2:$D$2500))</f>
        <v>0</v>
      </c>
      <c r="EH17" s="75">
        <f t="array" ref="EH17">SUM((YEAR(Gastos!$A$2:$A$2500)=EH$1)*(MONTH(Gastos!$A$2:$A$2500)=EH$3)*(Gastos!$B$2:$B$2500=$A17)*(Gastos!$D$2:$D$2500))</f>
        <v>0</v>
      </c>
      <c r="EI17" s="75">
        <f t="array" ref="EI17">SUM((YEAR(Gastos!$A$2:$A$2500)=EI$1)*(MONTH(Gastos!$A$2:$A$2500)=EI$3)*(Gastos!$B$2:$B$2500=$A17)*(Gastos!$D$2:$D$2500))</f>
        <v>0</v>
      </c>
      <c r="EJ17" s="75">
        <f t="array" ref="EJ17">SUM((YEAR(Gastos!$A$2:$A$2500)=EJ$1)*(MONTH(Gastos!$A$2:$A$2500)=EJ$3)*(Gastos!$B$2:$B$2500=$A17)*(Gastos!$D$2:$D$2500))</f>
        <v>0</v>
      </c>
      <c r="EK17" s="75">
        <f t="array" ref="EK17">SUM((YEAR(Gastos!$A$2:$A$2500)=EK$1)*(MONTH(Gastos!$A$2:$A$2500)=EK$3)*(Gastos!$B$2:$B$2500=$A17)*(Gastos!$D$2:$D$2500))</f>
        <v>0</v>
      </c>
      <c r="EL17" s="75">
        <f t="array" ref="EL17">SUM((YEAR(Gastos!$A$2:$A$2500)=EL$1)*(MONTH(Gastos!$A$2:$A$2500)=EL$3)*(Gastos!$B$2:$B$2500=$A17)*(Gastos!$D$2:$D$2500))</f>
        <v>62.4</v>
      </c>
      <c r="EM17" s="75">
        <f t="array" ref="EM17">SUM((YEAR(Gastos!$A$2:$A$2500)=EM$1)*(MONTH(Gastos!$A$2:$A$2500)=EM$3)*(Gastos!$B$2:$B$2500=$A17)*(Gastos!$D$2:$D$2500))</f>
        <v>0</v>
      </c>
      <c r="EN17" s="75">
        <f t="array" ref="EN17">SUM((YEAR(Gastos!$A$2:$A$2500)=EN$1)*(MONTH(Gastos!$A$2:$A$2500)=EN$3)*(Gastos!$B$2:$B$2500=$A17)*(Gastos!$D$2:$D$2500))</f>
        <v>0</v>
      </c>
      <c r="EO17" s="75">
        <f t="array" ref="EO17">SUM((YEAR(Gastos!$A$2:$A$2500)=EO$1)*(MONTH(Gastos!$A$2:$A$2500)=EO$3)*(Gastos!$B$2:$B$2500=$A17)*(Gastos!$D$2:$D$2500))</f>
        <v>0</v>
      </c>
      <c r="EP17" s="75">
        <f t="array" ref="EP17">SUM((YEAR(Gastos!$A$2:$A$2500)=EP$1)*(MONTH(Gastos!$A$2:$A$2500)=EP$3)*(Gastos!$B$2:$B$2500=$A17)*(Gastos!$D$2:$D$2500))</f>
        <v>0</v>
      </c>
      <c r="EQ17" s="75">
        <f t="array" ref="EQ17">SUM((YEAR(Gastos!$A$2:$A$2500)=EQ$1)*(MONTH(Gastos!$A$2:$A$2500)=EQ$3)*(Gastos!$B$2:$B$2500=$A17)*(Gastos!$D$2:$D$2500))</f>
        <v>0</v>
      </c>
      <c r="ER17" s="75">
        <f t="array" ref="ER17">SUM((YEAR(Gastos!$A$2:$A$2500)=ER$1)*(MONTH(Gastos!$A$2:$A$2500)=ER$3)*(Gastos!$B$2:$B$2500=$A17)*(Gastos!$D$2:$D$2500))</f>
        <v>0</v>
      </c>
      <c r="ES17" s="75">
        <f t="array" ref="ES17">SUM((YEAR(Gastos!$A$2:$A$2500)=ES$1)*(MONTH(Gastos!$A$2:$A$2500)=ES$3)*(Gastos!$B$2:$B$2500=$A17)*(Gastos!$D$2:$D$2500))</f>
        <v>0</v>
      </c>
      <c r="ET17" s="75">
        <f t="array" ref="ET17">SUM((YEAR(Gastos!$A$2:$A$2500)=ET$1)*(MONTH(Gastos!$A$2:$A$2500)=ET$3)*(Gastos!$B$2:$B$2500=$A17)*(Gastos!$D$2:$D$2500))</f>
        <v>0</v>
      </c>
      <c r="EU17" s="75">
        <f t="array" ref="EU17">SUM((YEAR(Gastos!$A$2:$A$2500)=EU$1)*(MONTH(Gastos!$A$2:$A$2500)=EU$3)*(Gastos!$B$2:$B$2500=$A17)*(Gastos!$D$2:$D$2500))</f>
        <v>0</v>
      </c>
      <c r="EV17" s="75">
        <f t="array" ref="EV17">SUM((YEAR(Gastos!$A$2:$A$2500)=EV$1)*(MONTH(Gastos!$A$2:$A$2500)=EV$3)*(Gastos!$B$2:$B$2500=$A17)*(Gastos!$D$2:$D$2500))</f>
        <v>0</v>
      </c>
      <c r="EW17" s="75">
        <f t="array" ref="EW17">SUM((YEAR(Gastos!$A$2:$A$2500)=EW$1)*(MONTH(Gastos!$A$2:$A$2500)=EW$3)*(Gastos!$B$2:$B$2500=$A17)*(Gastos!$D$2:$D$2500))</f>
        <v>0</v>
      </c>
      <c r="EX17" s="75">
        <f t="array" ref="EX17">SUM((YEAR(Gastos!$A$2:$A$2500)=EX$1)*(MONTH(Gastos!$A$2:$A$2500)=EX$3)*(Gastos!$B$2:$B$2500=$A17)*(Gastos!$D$2:$D$2500))</f>
        <v>0</v>
      </c>
      <c r="EY17" s="75">
        <f t="array" ref="EY17">SUM((YEAR(Gastos!$A$2:$A$2500)=EY$1)*(MONTH(Gastos!$A$2:$A$2500)=EY$3)*(Gastos!$B$2:$B$2500=$A17)*(Gastos!$D$2:$D$2500))</f>
        <v>0</v>
      </c>
      <c r="EZ17" s="75">
        <f t="array" ref="EZ17">SUM((YEAR(Gastos!$A$2:$A$2500)=EZ$1)*(MONTH(Gastos!$A$2:$A$2500)=EZ$3)*(Gastos!$B$2:$B$2500=$A17)*(Gastos!$D$2:$D$2500))</f>
        <v>0</v>
      </c>
      <c r="FA17" s="75">
        <f t="array" ref="FA17">SUM((YEAR(Gastos!$A$2:$A$2500)=FA$1)*(MONTH(Gastos!$A$2:$A$2500)=FA$3)*(Gastos!$B$2:$B$2500=$A17)*(Gastos!$D$2:$D$2500))</f>
        <v>0</v>
      </c>
      <c r="FB17" s="75">
        <f t="array" ref="FB17">SUM((YEAR(Gastos!$A$2:$A$2500)=FB$1)*(MONTH(Gastos!$A$2:$A$2500)=FB$3)*(Gastos!$B$2:$B$2500=$A17)*(Gastos!$D$2:$D$2500))</f>
        <v>0</v>
      </c>
      <c r="FC17" s="75">
        <f t="array" ref="FC17">SUM((YEAR(Gastos!$A$2:$A$2500)=FC$1)*(MONTH(Gastos!$A$2:$A$2500)=FC$3)*(Gastos!$B$2:$B$2500=$A17)*(Gastos!$D$2:$D$2500))</f>
        <v>0</v>
      </c>
      <c r="FD17" s="75">
        <f t="array" ref="FD17">SUM((YEAR(Gastos!$A$2:$A$2500)=FD$1)*(MONTH(Gastos!$A$2:$A$2500)=FD$3)*(Gastos!$B$2:$B$2500=$A17)*(Gastos!$D$2:$D$2500))</f>
        <v>0</v>
      </c>
      <c r="FE17" s="75">
        <f t="array" ref="FE17">SUM((YEAR(Gastos!$A$2:$A$2500)=FE$1)*(MONTH(Gastos!$A$2:$A$2500)=FE$3)*(Gastos!$B$2:$B$2500=$A17)*(Gastos!$D$2:$D$2500))</f>
        <v>0</v>
      </c>
      <c r="FF17" s="75">
        <f t="array" ref="FF17">SUM((YEAR(Gastos!$A$2:$A$2500)=FF$1)*(MONTH(Gastos!$A$2:$A$2500)=FF$3)*(Gastos!$B$2:$B$2500=$A17)*(Gastos!$D$2:$D$2500))</f>
        <v>0</v>
      </c>
      <c r="FG17" s="75">
        <f t="array" ref="FG17">SUM((YEAR(Gastos!$A$2:$A$2500)=FG$1)*(MONTH(Gastos!$A$2:$A$2500)=FG$3)*(Gastos!$B$2:$B$2500=$A17)*(Gastos!$D$2:$D$2500))</f>
        <v>0</v>
      </c>
      <c r="FH17" s="75">
        <f t="array" ref="FH17">SUM((YEAR(Gastos!$A$2:$A$2500)=FH$1)*(MONTH(Gastos!$A$2:$A$2500)=FH$3)*(Gastos!$B$2:$B$2500=$A17)*(Gastos!$D$2:$D$2500))</f>
        <v>0</v>
      </c>
      <c r="FI17" s="75">
        <f t="array" ref="FI17">SUM((YEAR(Gastos!$A$2:$A$2500)=FI$1)*(MONTH(Gastos!$A$2:$A$2500)=FI$3)*(Gastos!$B$2:$B$2500=$A17)*(Gastos!$D$2:$D$2500))</f>
        <v>0</v>
      </c>
      <c r="FJ17" s="75">
        <f t="array" ref="FJ17">SUM((YEAR(Gastos!$A$2:$A$2500)=FJ$1)*(MONTH(Gastos!$A$2:$A$2500)=FJ$3)*(Gastos!$B$2:$B$2500=$A17)*(Gastos!$D$2:$D$2500))</f>
        <v>0</v>
      </c>
      <c r="FK17" s="75">
        <f t="array" ref="FK17">SUM((YEAR(Gastos!$A$2:$A$2500)=FK$1)*(MONTH(Gastos!$A$2:$A$2500)=FK$3)*(Gastos!$B$2:$B$2500=$A17)*(Gastos!$D$2:$D$2500))</f>
        <v>0</v>
      </c>
      <c r="FL17" s="75">
        <f t="array" ref="FL17">SUM((YEAR(Gastos!$A$2:$A$2500)=FL$1)*(MONTH(Gastos!$A$2:$A$2500)=FL$3)*(Gastos!$B$2:$B$2500=$A17)*(Gastos!$D$2:$D$2500))</f>
        <v>0</v>
      </c>
      <c r="FM17" s="75">
        <f t="array" ref="FM17">SUM((YEAR(Gastos!$A$2:$A$2500)=FM$1)*(MONTH(Gastos!$A$2:$A$2500)=FM$3)*(Gastos!$B$2:$B$2500=$A17)*(Gastos!$D$2:$D$2500))</f>
        <v>0</v>
      </c>
      <c r="FN17" s="75">
        <f t="array" ref="FN17">SUM((YEAR(Gastos!$A$2:$A$2500)=FN$1)*(MONTH(Gastos!$A$2:$A$2500)=FN$3)*(Gastos!$B$2:$B$2500=$A17)*(Gastos!$D$2:$D$2500))</f>
        <v>0</v>
      </c>
      <c r="FO17" s="75">
        <f t="array" ref="FO17">SUM((YEAR(Gastos!$A$2:$A$2500)=FO$1)*(MONTH(Gastos!$A$2:$A$2500)=FO$3)*(Gastos!$B$2:$B$2500=$A17)*(Gastos!$D$2:$D$2500))</f>
        <v>0</v>
      </c>
      <c r="FP17" s="75">
        <f t="array" ref="FP17">SUM((YEAR(Gastos!$A$2:$A$2500)=FP$1)*(MONTH(Gastos!$A$2:$A$2500)=FP$3)*(Gastos!$B$2:$B$2500=$A17)*(Gastos!$D$2:$D$2500))</f>
        <v>0</v>
      </c>
      <c r="FQ17" s="75">
        <f t="array" ref="FQ17">SUM((YEAR(Gastos!$A$2:$A$2500)=FQ$1)*(MONTH(Gastos!$A$2:$A$2500)=FQ$3)*(Gastos!$B$2:$B$2500=$A17)*(Gastos!$D$2:$D$2500))</f>
        <v>0</v>
      </c>
      <c r="FR17" s="75">
        <f t="array" ref="FR17">SUM((YEAR(Gastos!$A$2:$A$2500)=FR$1)*(MONTH(Gastos!$A$2:$A$2500)=FR$3)*(Gastos!$B$2:$B$2500=$A17)*(Gastos!$D$2:$D$2500))</f>
        <v>0</v>
      </c>
      <c r="FS17" s="75">
        <f t="array" ref="FS17">SUM((YEAR(Gastos!$A$2:$A$2500)=FS$1)*(MONTH(Gastos!$A$2:$A$2500)=FS$3)*(Gastos!$B$2:$B$2500=$A17)*(Gastos!$D$2:$D$2500))</f>
        <v>0</v>
      </c>
      <c r="FT17" s="75">
        <f t="array" ref="FT17">SUM((YEAR(Gastos!$A$2:$A$2500)=FT$1)*(MONTH(Gastos!$A$2:$A$2500)=FT$3)*(Gastos!$B$2:$B$2500=$A17)*(Gastos!$D$2:$D$2500))</f>
        <v>0</v>
      </c>
      <c r="FU17" s="75">
        <f t="array" ref="FU17">SUM((YEAR(Gastos!$A$2:$A$2500)=FU$1)*(MONTH(Gastos!$A$2:$A$2500)=FU$3)*(Gastos!$B$2:$B$2500=$A17)*(Gastos!$D$2:$D$2500))</f>
        <v>0</v>
      </c>
      <c r="FV17" s="75">
        <f t="array" ref="FV17">SUM((YEAR(Gastos!$A$2:$A$2500)=FV$1)*(MONTH(Gastos!$A$2:$A$2500)=FV$3)*(Gastos!$B$2:$B$2500=$A17)*(Gastos!$D$2:$D$2500))</f>
        <v>0</v>
      </c>
      <c r="FW17" s="75">
        <f t="array" ref="FW17">SUM((YEAR(Gastos!$A$2:$A$2500)=FW$1)*(MONTH(Gastos!$A$2:$A$2500)=FW$3)*(Gastos!$B$2:$B$2500=$A17)*(Gastos!$D$2:$D$2500))</f>
        <v>0</v>
      </c>
      <c r="FX17" s="75">
        <f t="array" ref="FX17">SUM((YEAR(Gastos!$A$2:$A$2500)=FX$1)*(MONTH(Gastos!$A$2:$A$2500)=FX$3)*(Gastos!$B$2:$B$2500=$A17)*(Gastos!$D$2:$D$2500))</f>
        <v>0</v>
      </c>
      <c r="FY17" s="75">
        <f t="array" ref="FY17">SUM((YEAR(Gastos!$A$2:$A$2500)=FY$1)*(MONTH(Gastos!$A$2:$A$2500)=FY$3)*(Gastos!$B$2:$B$2500=$A17)*(Gastos!$D$2:$D$2500))</f>
        <v>0</v>
      </c>
      <c r="FZ17" s="76">
        <f t="shared" si="65"/>
        <v>62.4</v>
      </c>
      <c r="GA17" s="80"/>
      <c r="GB17" s="78">
        <f t="shared" si="66"/>
        <v>0</v>
      </c>
      <c r="GF17" s="79">
        <f t="array" ref="GF17">SUM(((Gastos!$A$2:$A$1647)&gt;=GD$3)*((Gastos!$A$2:$A$1647)&lt;=GF$3)*(Gastos!$B$2:$B$1647=$A17)*(Gastos!$D$2:$D$1647))</f>
        <v>0</v>
      </c>
      <c r="GI17" s="79">
        <f t="array" ref="GI17">SUM(((Gastos!$A$2:$A$1647)&gt;=GG$3)*((Gastos!$A$2:$A$1647)&lt;=GI$3)*(Gastos!$B$2:$B$1647=$A17)*(Gastos!$D$2:$D$1647))</f>
        <v>0</v>
      </c>
    </row>
    <row r="18" spans="1:191" ht="15" thickBot="1" x14ac:dyDescent="0.4">
      <c r="A18" s="74" t="str">
        <f>Gastos!AA16</f>
        <v>V. ABOGADO</v>
      </c>
      <c r="B18" s="75">
        <f t="array" ref="B18">SUM((YEAR(Gastos!$A$2:$A$2500)=B$1)*(MONTH(Gastos!$A$2:$A$2500)=B$3)*(Gastos!$B$2:$B$2500=$A18)*(Gastos!$D$2:$D$2500))</f>
        <v>0</v>
      </c>
      <c r="C18" s="75">
        <f t="array" ref="C18">SUM((YEAR(Gastos!$A$2:$A$2500)=C$1)*(MONTH(Gastos!$A$2:$A$2500)=C$3)*(Gastos!$B$2:$B$2500=$A18)*(Gastos!$D$2:$D$2500))</f>
        <v>0</v>
      </c>
      <c r="D18" s="75">
        <f t="array" ref="D18">SUM((YEAR(Gastos!$A$2:$A$2500)=D$1)*(MONTH(Gastos!$A$2:$A$2500)=D$3)*(Gastos!$B$2:$B$2500=$A18)*(Gastos!$D$2:$D$2500))</f>
        <v>0</v>
      </c>
      <c r="E18" s="75">
        <f t="array" ref="E18">SUM((YEAR(Gastos!$A$2:$A$2500)=E$1)*(MONTH(Gastos!$A$2:$A$2500)=E$3)*(Gastos!$B$2:$B$2500=$A18)*(Gastos!$D$2:$D$2500))</f>
        <v>0</v>
      </c>
      <c r="F18" s="75">
        <f t="array" ref="F18">SUM((YEAR(Gastos!$A$2:$A$2500)=F$1)*(MONTH(Gastos!$A$2:$A$2500)=F$3)*(Gastos!$B$2:$B$2500=$A18)*(Gastos!$D$2:$D$2500))</f>
        <v>0</v>
      </c>
      <c r="G18" s="75">
        <f t="array" ref="G18">SUM((YEAR(Gastos!$A$2:$A$2500)=G$1)*(MONTH(Gastos!$A$2:$A$2500)=G$3)*(Gastos!$B$2:$B$2500=$A18)*(Gastos!$D$2:$D$2500))</f>
        <v>0</v>
      </c>
      <c r="H18" s="75">
        <f t="array" ref="H18">SUM((YEAR(Gastos!$A$2:$A$2500)=H$1)*(MONTH(Gastos!$A$2:$A$2500)=H$3)*(Gastos!$B$2:$B$2500=$A18)*(Gastos!$D$2:$D$2500))</f>
        <v>0</v>
      </c>
      <c r="I18" s="75">
        <f t="array" ref="I18">SUM((YEAR(Gastos!$A$2:$A$2500)=I$1)*(MONTH(Gastos!$A$2:$A$2500)=I$3)*(Gastos!$B$2:$B$2500=$A18)*(Gastos!$D$2:$D$2500))</f>
        <v>0</v>
      </c>
      <c r="J18" s="75">
        <f t="array" ref="J18">SUM((YEAR(Gastos!$A$2:$A$2500)=J$1)*(MONTH(Gastos!$A$2:$A$2500)=J$3)*(Gastos!$B$2:$B$2500=$A18)*(Gastos!$D$2:$D$2500))</f>
        <v>0</v>
      </c>
      <c r="K18" s="75">
        <f t="array" ref="K18">SUM((YEAR(Gastos!$A$2:$A$2500)=K$1)*(MONTH(Gastos!$A$2:$A$2500)=K$3)*(Gastos!$B$2:$B$2500=$A18)*(Gastos!$D$2:$D$2500))</f>
        <v>0</v>
      </c>
      <c r="L18" s="75">
        <f t="array" ref="L18">SUM((YEAR(Gastos!$A$2:$A$2500)=L$1)*(MONTH(Gastos!$A$2:$A$2500)=L$3)*(Gastos!$B$2:$B$2500=$A18)*(Gastos!$D$2:$D$2500))</f>
        <v>0</v>
      </c>
      <c r="M18" s="75">
        <f t="array" ref="M18">SUM((YEAR(Gastos!$A$2:$A$2500)=M$1)*(MONTH(Gastos!$A$2:$A$2500)=M$3)*(Gastos!$B$2:$B$2500=$A18)*(Gastos!$D$2:$D$2500))</f>
        <v>0</v>
      </c>
      <c r="N18" s="75">
        <f t="array" ref="N18">SUM((YEAR(Gastos!$A$2:$A$2500)=N$1)*(MONTH(Gastos!$A$2:$A$2500)=N$3)*(Gastos!$B$2:$B$2500=$A18)*(Gastos!$D$2:$D$2500))</f>
        <v>0</v>
      </c>
      <c r="O18" s="75">
        <f t="array" ref="O18">SUM((YEAR(Gastos!$A$2:$A$2500)=O$1)*(MONTH(Gastos!$A$2:$A$2500)=O$3)*(Gastos!$B$2:$B$2500=$A18)*(Gastos!$D$2:$D$2500))</f>
        <v>0</v>
      </c>
      <c r="P18" s="75">
        <f t="array" ref="P18">SUM((YEAR(Gastos!$A$2:$A$2500)=P$1)*(MONTH(Gastos!$A$2:$A$2500)=P$3)*(Gastos!$B$2:$B$2500=$A18)*(Gastos!$D$2:$D$2500))</f>
        <v>0</v>
      </c>
      <c r="Q18" s="75">
        <f t="array" ref="Q18">SUM((YEAR(Gastos!$A$2:$A$2500)=Q$1)*(MONTH(Gastos!$A$2:$A$2500)=Q$3)*(Gastos!$B$2:$B$2500=$A18)*(Gastos!$D$2:$D$2500))</f>
        <v>0</v>
      </c>
      <c r="R18" s="75">
        <f t="array" ref="R18">SUM((YEAR(Gastos!$A$2:$A$2500)=R$1)*(MONTH(Gastos!$A$2:$A$2500)=R$3)*(Gastos!$B$2:$B$2500=$A18)*(Gastos!$D$2:$D$2500))</f>
        <v>0</v>
      </c>
      <c r="S18" s="75">
        <f t="array" ref="S18">SUM((YEAR(Gastos!$A$2:$A$2500)=S$1)*(MONTH(Gastos!$A$2:$A$2500)=S$3)*(Gastos!$B$2:$B$2500=$A18)*(Gastos!$D$2:$D$2500))</f>
        <v>0</v>
      </c>
      <c r="T18" s="75">
        <f t="array" ref="T18">SUM((YEAR(Gastos!$A$2:$A$2500)=T$1)*(MONTH(Gastos!$A$2:$A$2500)=T$3)*(Gastos!$B$2:$B$2500=$A18)*(Gastos!$D$2:$D$2500))</f>
        <v>0</v>
      </c>
      <c r="U18" s="75">
        <f t="array" ref="U18">SUM((YEAR(Gastos!$A$2:$A$2500)=U$1)*(MONTH(Gastos!$A$2:$A$2500)=U$3)*(Gastos!$B$2:$B$2500=$A18)*(Gastos!$D$2:$D$2500))</f>
        <v>0</v>
      </c>
      <c r="V18" s="75">
        <f t="array" ref="V18">SUM((YEAR(Gastos!$A$2:$A$2500)=V$1)*(MONTH(Gastos!$A$2:$A$2500)=V$3)*(Gastos!$B$2:$B$2500=$A18)*(Gastos!$D$2:$D$2500))</f>
        <v>0</v>
      </c>
      <c r="W18" s="75">
        <f t="array" ref="W18">SUM((YEAR(Gastos!$A$2:$A$2500)=W$1)*(MONTH(Gastos!$A$2:$A$2500)=W$3)*(Gastos!$B$2:$B$2500=$A18)*(Gastos!$D$2:$D$2500))</f>
        <v>0</v>
      </c>
      <c r="X18" s="75">
        <f t="array" ref="X18">SUM((YEAR(Gastos!$A$2:$A$2500)=X$1)*(MONTH(Gastos!$A$2:$A$2500)=X$3)*(Gastos!$B$2:$B$2500=$A18)*(Gastos!$D$2:$D$2500))</f>
        <v>0</v>
      </c>
      <c r="Y18" s="75">
        <f t="array" ref="Y18">SUM((YEAR(Gastos!$A$2:$A$2500)=Y$1)*(MONTH(Gastos!$A$2:$A$2500)=Y$3)*(Gastos!$B$2:$B$2500=$A18)*(Gastos!$D$2:$D$2500))</f>
        <v>0</v>
      </c>
      <c r="Z18" s="75">
        <f t="array" ref="Z18">SUM((YEAR(Gastos!$A$2:$A$2500)=Z$1)*(MONTH(Gastos!$A$2:$A$2500)=Z$3)*(Gastos!$B$2:$B$2500=$A18)*(Gastos!$D$2:$D$2500))</f>
        <v>0</v>
      </c>
      <c r="AA18" s="75">
        <f t="array" ref="AA18">SUM((YEAR(Gastos!$A$2:$A$2500)=AA$1)*(MONTH(Gastos!$A$2:$A$2500)=AA$3)*(Gastos!$B$2:$B$2500=$A18)*(Gastos!$D$2:$D$2500))</f>
        <v>0</v>
      </c>
      <c r="AB18" s="75">
        <f t="array" ref="AB18">SUM((YEAR(Gastos!$A$2:$A$2500)=AB$1)*(MONTH(Gastos!$A$2:$A$2500)=AB$3)*(Gastos!$B$2:$B$2500=$A18)*(Gastos!$D$2:$D$2500))</f>
        <v>0</v>
      </c>
      <c r="AC18" s="75">
        <f t="array" ref="AC18">SUM((YEAR(Gastos!$A$2:$A$2500)=AC$1)*(MONTH(Gastos!$A$2:$A$2500)=AC$3)*(Gastos!$B$2:$B$2500=$A18)*(Gastos!$D$2:$D$2500))</f>
        <v>0</v>
      </c>
      <c r="AD18" s="75">
        <f t="array" ref="AD18">SUM((YEAR(Gastos!$A$2:$A$2500)=AD$1)*(MONTH(Gastos!$A$2:$A$2500)=AD$3)*(Gastos!$B$2:$B$2500=$A18)*(Gastos!$D$2:$D$2500))</f>
        <v>0</v>
      </c>
      <c r="AE18" s="75">
        <f t="array" ref="AE18">SUM((YEAR(Gastos!$A$2:$A$2500)=AE$1)*(MONTH(Gastos!$A$2:$A$2500)=AE$3)*(Gastos!$B$2:$B$2500=$A18)*(Gastos!$D$2:$D$2500))</f>
        <v>0</v>
      </c>
      <c r="AF18" s="75">
        <f t="array" ref="AF18">SUM((YEAR(Gastos!$A$2:$A$2500)=AF$1)*(MONTH(Gastos!$A$2:$A$2500)=AF$3)*(Gastos!$B$2:$B$2500=$A18)*(Gastos!$D$2:$D$2500))</f>
        <v>0</v>
      </c>
      <c r="AG18" s="75">
        <f t="array" ref="AG18">SUM((YEAR(Gastos!$A$2:$A$2500)=AG$1)*(MONTH(Gastos!$A$2:$A$2500)=AG$3)*(Gastos!$B$2:$B$2500=$A18)*(Gastos!$D$2:$D$2500))</f>
        <v>0</v>
      </c>
      <c r="AH18" s="75">
        <f t="array" ref="AH18">SUM((YEAR(Gastos!$A$2:$A$2500)=AH$1)*(MONTH(Gastos!$A$2:$A$2500)=AH$3)*(Gastos!$B$2:$B$2500=$A18)*(Gastos!$D$2:$D$2500))</f>
        <v>0</v>
      </c>
      <c r="AI18" s="75">
        <f t="array" ref="AI18">SUM((YEAR(Gastos!$A$2:$A$2500)=AI$1)*(MONTH(Gastos!$A$2:$A$2500)=AI$3)*(Gastos!$B$2:$B$2500=$A18)*(Gastos!$D$2:$D$2500))</f>
        <v>0</v>
      </c>
      <c r="AJ18" s="75">
        <f t="array" ref="AJ18">SUM((YEAR(Gastos!$A$2:$A$2500)=AJ$1)*(MONTH(Gastos!$A$2:$A$2500)=AJ$3)*(Gastos!$B$2:$B$2500=$A18)*(Gastos!$D$2:$D$2500))</f>
        <v>0</v>
      </c>
      <c r="AK18" s="75">
        <f t="array" ref="AK18">SUM((YEAR(Gastos!$A$2:$A$2500)=AK$1)*(MONTH(Gastos!$A$2:$A$2500)=AK$3)*(Gastos!$B$2:$B$2500=$A18)*(Gastos!$D$2:$D$2500))</f>
        <v>0</v>
      </c>
      <c r="AL18" s="75">
        <f t="array" ref="AL18">SUM((YEAR(Gastos!$A$2:$A$2500)=AL$1)*(MONTH(Gastos!$A$2:$A$2500)=AL$3)*(Gastos!$B$2:$B$2500=$A18)*(Gastos!$D$2:$D$2500))</f>
        <v>0</v>
      </c>
      <c r="AM18" s="75">
        <f t="array" ref="AM18">SUM((YEAR(Gastos!$A$2:$A$2500)=AM$1)*(MONTH(Gastos!$A$2:$A$2500)=AM$3)*(Gastos!$B$2:$B$2500=$A18)*(Gastos!$D$2:$D$2500))</f>
        <v>0</v>
      </c>
      <c r="AN18" s="75">
        <f t="array" ref="AN18">SUM((YEAR(Gastos!$A$2:$A$2500)=AN$1)*(MONTH(Gastos!$A$2:$A$2500)=AN$3)*(Gastos!$B$2:$B$2500=$A18)*(Gastos!$D$2:$D$2500))</f>
        <v>0</v>
      </c>
      <c r="AO18" s="75">
        <f t="array" ref="AO18">SUM((YEAR(Gastos!$A$2:$A$2500)=AO$1)*(MONTH(Gastos!$A$2:$A$2500)=AO$3)*(Gastos!$B$2:$B$2500=$A18)*(Gastos!$D$2:$D$2500))</f>
        <v>0</v>
      </c>
      <c r="AP18" s="75">
        <f t="array" ref="AP18">SUM((YEAR(Gastos!$A$2:$A$2500)=AP$1)*(MONTH(Gastos!$A$2:$A$2500)=AP$3)*(Gastos!$B$2:$B$2500=$A18)*(Gastos!$D$2:$D$2500))</f>
        <v>0</v>
      </c>
      <c r="AQ18" s="75">
        <f t="array" ref="AQ18">SUM((YEAR(Gastos!$A$2:$A$2500)=AQ$1)*(MONTH(Gastos!$A$2:$A$2500)=AQ$3)*(Gastos!$B$2:$B$2500=$A18)*(Gastos!$D$2:$D$2500))</f>
        <v>0</v>
      </c>
      <c r="AR18" s="75">
        <f t="array" ref="AR18">SUM((YEAR(Gastos!$A$2:$A$2500)=AR$1)*(MONTH(Gastos!$A$2:$A$2500)=AR$3)*(Gastos!$B$2:$B$2500=$A18)*(Gastos!$D$2:$D$2500))</f>
        <v>0</v>
      </c>
      <c r="AS18" s="75">
        <f t="array" ref="AS18">SUM((YEAR(Gastos!$A$2:$A$2500)=AS$1)*(MONTH(Gastos!$A$2:$A$2500)=AS$3)*(Gastos!$B$2:$B$2500=$A18)*(Gastos!$D$2:$D$2500))</f>
        <v>0</v>
      </c>
      <c r="AT18" s="75">
        <f t="array" ref="AT18">SUM((YEAR(Gastos!$A$2:$A$2500)=AT$1)*(MONTH(Gastos!$A$2:$A$2500)=AT$3)*(Gastos!$B$2:$B$2500=$A18)*(Gastos!$D$2:$D$2500))</f>
        <v>0</v>
      </c>
      <c r="AU18" s="75">
        <f t="array" ref="AU18">SUM((YEAR(Gastos!$A$2:$A$2500)=AU$1)*(MONTH(Gastos!$A$2:$A$2500)=AU$3)*(Gastos!$B$2:$B$2500=$A18)*(Gastos!$D$2:$D$2500))</f>
        <v>0</v>
      </c>
      <c r="AV18" s="75">
        <f t="array" ref="AV18">SUM((YEAR(Gastos!$A$2:$A$2500)=AV$1)*(MONTH(Gastos!$A$2:$A$2500)=AV$3)*(Gastos!$B$2:$B$2500=$A18)*(Gastos!$D$2:$D$2500))</f>
        <v>0</v>
      </c>
      <c r="AW18" s="75">
        <f t="array" ref="AW18">SUM((YEAR(Gastos!$A$2:$A$2500)=AW$1)*(MONTH(Gastos!$A$2:$A$2500)=AW$3)*(Gastos!$B$2:$B$2500=$A18)*(Gastos!$D$2:$D$2500))</f>
        <v>0</v>
      </c>
      <c r="AX18" s="75">
        <f t="array" ref="AX18">SUM((YEAR(Gastos!$A$2:$A$2500)=AX$1)*(MONTH(Gastos!$A$2:$A$2500)=AX$3)*(Gastos!$B$2:$B$2500=$A18)*(Gastos!$D$2:$D$2500))</f>
        <v>0</v>
      </c>
      <c r="AY18" s="75">
        <f t="array" ref="AY18">SUM((YEAR(Gastos!$A$2:$A$2500)=AY$1)*(MONTH(Gastos!$A$2:$A$2500)=AY$3)*(Gastos!$B$2:$B$2500=$A18)*(Gastos!$D$2:$D$2500))</f>
        <v>0</v>
      </c>
      <c r="AZ18" s="75">
        <f t="array" ref="AZ18">SUM((YEAR(Gastos!$A$2:$A$2500)=AZ$1)*(MONTH(Gastos!$A$2:$A$2500)=AZ$3)*(Gastos!$B$2:$B$2500=$A18)*(Gastos!$D$2:$D$2500))</f>
        <v>0</v>
      </c>
      <c r="BA18" s="75">
        <f t="array" ref="BA18">SUM((YEAR(Gastos!$A$2:$A$2500)=BA$1)*(MONTH(Gastos!$A$2:$A$2500)=BA$3)*(Gastos!$B$2:$B$2500=$A18)*(Gastos!$D$2:$D$2500))</f>
        <v>0</v>
      </c>
      <c r="BB18" s="75">
        <f t="array" ref="BB18">SUM((YEAR(Gastos!$A$2:$A$2500)=BB$1)*(MONTH(Gastos!$A$2:$A$2500)=BB$3)*(Gastos!$B$2:$B$2500=$A18)*(Gastos!$D$2:$D$2500))</f>
        <v>0</v>
      </c>
      <c r="BC18" s="75">
        <f t="array" ref="BC18">SUM((YEAR(Gastos!$A$2:$A$2500)=BC$1)*(MONTH(Gastos!$A$2:$A$2500)=BC$3)*(Gastos!$B$2:$B$2500=$A18)*(Gastos!$D$2:$D$2500))</f>
        <v>0</v>
      </c>
      <c r="BD18" s="75">
        <f t="array" ref="BD18">SUM((YEAR(Gastos!$A$2:$A$2500)=BD$1)*(MONTH(Gastos!$A$2:$A$2500)=BD$3)*(Gastos!$B$2:$B$2500=$A18)*(Gastos!$D$2:$D$2500))</f>
        <v>0</v>
      </c>
      <c r="BE18" s="75">
        <f t="array" ref="BE18">SUM((YEAR(Gastos!$A$2:$A$2500)=BE$1)*(MONTH(Gastos!$A$2:$A$2500)=BE$3)*(Gastos!$B$2:$B$2500=$A18)*(Gastos!$D$2:$D$2500))</f>
        <v>0</v>
      </c>
      <c r="BF18" s="75">
        <f t="array" ref="BF18">SUM((YEAR(Gastos!$A$2:$A$2500)=BF$1)*(MONTH(Gastos!$A$2:$A$2500)=BF$3)*(Gastos!$B$2:$B$2500=$A18)*(Gastos!$D$2:$D$2500))</f>
        <v>0</v>
      </c>
      <c r="BG18" s="75">
        <f t="array" ref="BG18">SUM((YEAR(Gastos!$A$2:$A$2500)=BG$1)*(MONTH(Gastos!$A$2:$A$2500)=BG$3)*(Gastos!$B$2:$B$2500=$A18)*(Gastos!$D$2:$D$2500))</f>
        <v>0</v>
      </c>
      <c r="BH18" s="75">
        <f t="array" ref="BH18">SUM((YEAR(Gastos!$A$2:$A$2500)=BH$1)*(MONTH(Gastos!$A$2:$A$2500)=BH$3)*(Gastos!$B$2:$B$2500=$A18)*(Gastos!$D$2:$D$2500))</f>
        <v>0</v>
      </c>
      <c r="BI18" s="75">
        <f t="array" ref="BI18">SUM((YEAR(Gastos!$A$2:$A$2500)=BI$1)*(MONTH(Gastos!$A$2:$A$2500)=BI$3)*(Gastos!$B$2:$B$2500=$A18)*(Gastos!$D$2:$D$2500))</f>
        <v>0</v>
      </c>
      <c r="BJ18" s="75">
        <f t="array" ref="BJ18">SUM((YEAR(Gastos!$A$2:$A$2500)=BJ$1)*(MONTH(Gastos!$A$2:$A$2500)=BJ$3)*(Gastos!$B$2:$B$2500=$A18)*(Gastos!$D$2:$D$2500))</f>
        <v>0</v>
      </c>
      <c r="BK18" s="75">
        <f t="array" ref="BK18">SUM((YEAR(Gastos!$A$2:$A$2500)=BK$1)*(MONTH(Gastos!$A$2:$A$2500)=BK$3)*(Gastos!$B$2:$B$2500=$A18)*(Gastos!$D$2:$D$2500))</f>
        <v>4742</v>
      </c>
      <c r="BL18" s="75">
        <f t="array" ref="BL18">SUM((YEAR(Gastos!$A$2:$A$2500)=BL$1)*(MONTH(Gastos!$A$2:$A$2500)=BL$3)*(Gastos!$B$2:$B$2500=$A18)*(Gastos!$D$2:$D$2500))</f>
        <v>4060</v>
      </c>
      <c r="BM18" s="75">
        <f t="array" ref="BM18">SUM((YEAR(Gastos!$A$2:$A$2500)=BM$1)*(MONTH(Gastos!$A$2:$A$2500)=BM$3)*(Gastos!$B$2:$B$2500=$A18)*(Gastos!$D$2:$D$2500))</f>
        <v>4060</v>
      </c>
      <c r="BN18" s="75">
        <f t="array" ref="BN18">SUM((YEAR(Gastos!$A$2:$A$2500)=BN$1)*(MONTH(Gastos!$A$2:$A$2500)=BN$3)*(Gastos!$B$2:$B$2500=$A18)*(Gastos!$D$2:$D$2500))</f>
        <v>4060</v>
      </c>
      <c r="BO18" s="75">
        <f t="array" ref="BO18">SUM((YEAR(Gastos!$A$2:$A$2500)=BO$1)*(MONTH(Gastos!$A$2:$A$2500)=BO$3)*(Gastos!$B$2:$B$2500=$A18)*(Gastos!$D$2:$D$2500))</f>
        <v>0</v>
      </c>
      <c r="BP18" s="75">
        <f t="array" ref="BP18">SUM((YEAR(Gastos!$A$2:$A$2500)=BP$1)*(MONTH(Gastos!$A$2:$A$2500)=BP$3)*(Gastos!$B$2:$B$2500=$A18)*(Gastos!$D$2:$D$2500))</f>
        <v>3658.67</v>
      </c>
      <c r="BQ18" s="75">
        <f t="array" ref="BQ18">SUM((YEAR(Gastos!$A$2:$A$2500)=BQ$1)*(MONTH(Gastos!$A$2:$A$2500)=BQ$3)*(Gastos!$B$2:$B$2500=$A18)*(Gastos!$D$2:$D$2500))</f>
        <v>3336.66</v>
      </c>
      <c r="BR18" s="75">
        <f t="array" ref="BR18">SUM((YEAR(Gastos!$A$2:$A$2500)=BR$1)*(MONTH(Gastos!$A$2:$A$2500)=BR$3)*(Gastos!$B$2:$B$2500=$A18)*(Gastos!$D$2:$D$2500))</f>
        <v>3336.66</v>
      </c>
      <c r="BS18" s="75">
        <f t="array" ref="BS18">SUM((YEAR(Gastos!$A$2:$A$2500)=BS$1)*(MONTH(Gastos!$A$2:$A$2500)=BS$3)*(Gastos!$B$2:$B$2500=$A18)*(Gastos!$D$2:$D$2500))</f>
        <v>3336.67</v>
      </c>
      <c r="BT18" s="75">
        <f t="array" ref="BT18">SUM((YEAR(Gastos!$A$2:$A$2500)=BT$1)*(MONTH(Gastos!$A$2:$A$2500)=BT$3)*(Gastos!$B$2:$B$2500=$A18)*(Gastos!$D$2:$D$2500))</f>
        <v>0</v>
      </c>
      <c r="BU18" s="75">
        <f t="array" ref="BU18">SUM((YEAR(Gastos!$A$2:$A$2500)=BU$1)*(MONTH(Gastos!$A$2:$A$2500)=BU$3)*(Gastos!$B$2:$B$2500=$A18)*(Gastos!$D$2:$D$2500))</f>
        <v>0</v>
      </c>
      <c r="BV18" s="75">
        <f t="array" ref="BV18">SUM((YEAR(Gastos!$A$2:$A$2500)=BV$1)*(MONTH(Gastos!$A$2:$A$2500)=BV$3)*(Gastos!$B$2:$B$2500=$A18)*(Gastos!$D$2:$D$2500))</f>
        <v>0</v>
      </c>
      <c r="BW18" s="75">
        <f t="array" ref="BW18">SUM((YEAR(Gastos!$A$2:$A$2500)=BW$1)*(MONTH(Gastos!$A$2:$A$2500)=BW$3)*(Gastos!$B$2:$B$2500=$A18)*(Gastos!$D$2:$D$2500))</f>
        <v>0</v>
      </c>
      <c r="BX18" s="75">
        <f t="array" ref="BX18">SUM((YEAR(Gastos!$A$2:$A$2500)=BX$1)*(MONTH(Gastos!$A$2:$A$2500)=BX$3)*(Gastos!$B$2:$B$2500=$A18)*(Gastos!$D$2:$D$2500))</f>
        <v>0</v>
      </c>
      <c r="BY18" s="75">
        <f t="array" ref="BY18">SUM((YEAR(Gastos!$A$2:$A$2500)=BY$1)*(MONTH(Gastos!$A$2:$A$2500)=BY$3)*(Gastos!$B$2:$B$2500=$A18)*(Gastos!$D$2:$D$2500))</f>
        <v>0</v>
      </c>
      <c r="BZ18" s="75">
        <f t="array" ref="BZ18">SUM((YEAR(Gastos!$A$2:$A$2500)=BZ$1)*(MONTH(Gastos!$A$2:$A$2500)=BZ$3)*(Gastos!$B$2:$B$2500=$A18)*(Gastos!$D$2:$D$2500))</f>
        <v>0</v>
      </c>
      <c r="CA18" s="75">
        <f t="array" ref="CA18">SUM((YEAR(Gastos!$A$2:$A$2500)=CA$1)*(MONTH(Gastos!$A$2:$A$2500)=CA$3)*(Gastos!$B$2:$B$2500=$A18)*(Gastos!$D$2:$D$2500))</f>
        <v>0</v>
      </c>
      <c r="CB18" s="75">
        <f t="array" ref="CB18">SUM((YEAR(Gastos!$A$2:$A$2500)=CB$1)*(MONTH(Gastos!$A$2:$A$2500)=CB$3)*(Gastos!$B$2:$B$2500=$A18)*(Gastos!$D$2:$D$2500))</f>
        <v>0</v>
      </c>
      <c r="CC18" s="75">
        <f t="array" ref="CC18">SUM((YEAR(Gastos!$A$2:$A$2500)=CC$1)*(MONTH(Gastos!$A$2:$A$2500)=CC$3)*(Gastos!$B$2:$B$2500=$A18)*(Gastos!$D$2:$D$2500))</f>
        <v>0</v>
      </c>
      <c r="CD18" s="75">
        <f t="array" ref="CD18">SUM((YEAR(Gastos!$A$2:$A$2500)=CD$1)*(MONTH(Gastos!$A$2:$A$2500)=CD$3)*(Gastos!$B$2:$B$2500=$A18)*(Gastos!$D$2:$D$2500))</f>
        <v>0</v>
      </c>
      <c r="CE18" s="75">
        <f t="array" ref="CE18">SUM((YEAR(Gastos!$A$2:$A$2500)=CE$1)*(MONTH(Gastos!$A$2:$A$2500)=CE$3)*(Gastos!$B$2:$B$2500=$A18)*(Gastos!$D$2:$D$2500))</f>
        <v>0</v>
      </c>
      <c r="CF18" s="75">
        <f t="array" ref="CF18">SUM((YEAR(Gastos!$A$2:$A$2500)=CF$1)*(MONTH(Gastos!$A$2:$A$2500)=CF$3)*(Gastos!$B$2:$B$2500=$A18)*(Gastos!$D$2:$D$2500))</f>
        <v>0</v>
      </c>
      <c r="CG18" s="75">
        <f t="array" ref="CG18">SUM((YEAR(Gastos!$A$2:$A$2500)=CG$1)*(MONTH(Gastos!$A$2:$A$2500)=CG$3)*(Gastos!$B$2:$B$2500=$A18)*(Gastos!$D$2:$D$2500))</f>
        <v>0</v>
      </c>
      <c r="CH18" s="75">
        <f t="array" ref="CH18">SUM((YEAR(Gastos!$A$2:$A$2500)=CH$1)*(MONTH(Gastos!$A$2:$A$2500)=CH$3)*(Gastos!$B$2:$B$2500=$A18)*(Gastos!$D$2:$D$2500))</f>
        <v>0</v>
      </c>
      <c r="CI18" s="75">
        <f t="array" ref="CI18">SUM((YEAR(Gastos!$A$2:$A$2500)=CI$1)*(MONTH(Gastos!$A$2:$A$2500)=CI$3)*(Gastos!$B$2:$B$2500=$A18)*(Gastos!$D$2:$D$2500))</f>
        <v>0</v>
      </c>
      <c r="CJ18" s="75">
        <f t="array" ref="CJ18">SUM((YEAR(Gastos!$A$2:$A$2500)=CJ$1)*(MONTH(Gastos!$A$2:$A$2500)=CJ$3)*(Gastos!$B$2:$B$2500=$A18)*(Gastos!$D$2:$D$2500))</f>
        <v>0</v>
      </c>
      <c r="CK18" s="75">
        <f t="array" ref="CK18">SUM((YEAR(Gastos!$A$2:$A$2500)=CK$1)*(MONTH(Gastos!$A$2:$A$2500)=CK$3)*(Gastos!$B$2:$B$2500=$A18)*(Gastos!$D$2:$D$2500))</f>
        <v>0</v>
      </c>
      <c r="CL18" s="75">
        <f t="array" ref="CL18">SUM((YEAR(Gastos!$A$2:$A$2500)=CL$1)*(MONTH(Gastos!$A$2:$A$2500)=CL$3)*(Gastos!$B$2:$B$2500=$A18)*(Gastos!$D$2:$D$2500))</f>
        <v>0</v>
      </c>
      <c r="CM18" s="75">
        <f t="array" ref="CM18">SUM((YEAR(Gastos!$A$2:$A$2500)=CM$1)*(MONTH(Gastos!$A$2:$A$2500)=CM$3)*(Gastos!$B$2:$B$2500=$A18)*(Gastos!$D$2:$D$2500))</f>
        <v>0</v>
      </c>
      <c r="CN18" s="75">
        <f t="array" ref="CN18">SUM((YEAR(Gastos!$A$2:$A$2500)=CN$1)*(MONTH(Gastos!$A$2:$A$2500)=CN$3)*(Gastos!$B$2:$B$2500=$A18)*(Gastos!$D$2:$D$2500))</f>
        <v>0</v>
      </c>
      <c r="CO18" s="75">
        <f t="array" ref="CO18">SUM((YEAR(Gastos!$A$2:$A$2500)=CO$1)*(MONTH(Gastos!$A$2:$A$2500)=CO$3)*(Gastos!$B$2:$B$2500=$A18)*(Gastos!$D$2:$D$2500))</f>
        <v>0</v>
      </c>
      <c r="CP18" s="75">
        <f t="array" ref="CP18">SUM((YEAR(Gastos!$A$2:$A$2500)=CP$1)*(MONTH(Gastos!$A$2:$A$2500)=CP$3)*(Gastos!$B$2:$B$2500=$A18)*(Gastos!$D$2:$D$2500))</f>
        <v>0</v>
      </c>
      <c r="CQ18" s="75">
        <f t="array" ref="CQ18">SUM((YEAR(Gastos!$A$2:$A$2500)=CQ$1)*(MONTH(Gastos!$A$2:$A$2500)=CQ$3)*(Gastos!$B$2:$B$2500=$A18)*(Gastos!$D$2:$D$2500))</f>
        <v>0</v>
      </c>
      <c r="CR18" s="75">
        <f t="array" ref="CR18">SUM((YEAR(Gastos!$A$2:$A$2500)=CR$1)*(MONTH(Gastos!$A$2:$A$2500)=CR$3)*(Gastos!$B$2:$B$2500=$A18)*(Gastos!$D$2:$D$2500))</f>
        <v>0</v>
      </c>
      <c r="CS18" s="75">
        <f t="array" ref="CS18">SUM((YEAR(Gastos!$A$2:$A$2500)=CS$1)*(MONTH(Gastos!$A$2:$A$2500)=CS$3)*(Gastos!$B$2:$B$2500=$A18)*(Gastos!$D$2:$D$2500))</f>
        <v>0</v>
      </c>
      <c r="CT18" s="75">
        <f t="array" ref="CT18">SUM((YEAR(Gastos!$A$2:$A$2500)=CT$1)*(MONTH(Gastos!$A$2:$A$2500)=CT$3)*(Gastos!$B$2:$B$2500=$A18)*(Gastos!$D$2:$D$2500))</f>
        <v>0</v>
      </c>
      <c r="CU18" s="75">
        <f t="array" ref="CU18">SUM((YEAR(Gastos!$A$2:$A$2500)=CU$1)*(MONTH(Gastos!$A$2:$A$2500)=CU$3)*(Gastos!$B$2:$B$2500=$A18)*(Gastos!$D$2:$D$2500))</f>
        <v>0</v>
      </c>
      <c r="CV18" s="75">
        <f t="array" ref="CV18">SUM((YEAR(Gastos!$A$2:$A$2500)=CV$1)*(MONTH(Gastos!$A$2:$A$2500)=CV$3)*(Gastos!$B$2:$B$2500=$A18)*(Gastos!$D$2:$D$2500))</f>
        <v>0</v>
      </c>
      <c r="CW18" s="75">
        <f t="array" ref="CW18">SUM((YEAR(Gastos!$A$2:$A$2500)=CW$1)*(MONTH(Gastos!$A$2:$A$2500)=CW$3)*(Gastos!$B$2:$B$2500=$A18)*(Gastos!$D$2:$D$2500))</f>
        <v>0</v>
      </c>
      <c r="CX18" s="75">
        <f t="array" ref="CX18">SUM((YEAR(Gastos!$A$2:$A$2500)=CX$1)*(MONTH(Gastos!$A$2:$A$2500)=CX$3)*(Gastos!$B$2:$B$2500=$A18)*(Gastos!$D$2:$D$2500))</f>
        <v>0</v>
      </c>
      <c r="CY18" s="75">
        <f t="array" ref="CY18">SUM((YEAR(Gastos!$A$2:$A$2500)=CY$1)*(MONTH(Gastos!$A$2:$A$2500)=CY$3)*(Gastos!$B$2:$B$2500=$A18)*(Gastos!$D$2:$D$2500))</f>
        <v>0</v>
      </c>
      <c r="CZ18" s="75">
        <f t="array" ref="CZ18">SUM((YEAR(Gastos!$A$2:$A$2500)=CZ$1)*(MONTH(Gastos!$A$2:$A$2500)=CZ$3)*(Gastos!$B$2:$B$2500=$A18)*(Gastos!$D$2:$D$2500))</f>
        <v>0</v>
      </c>
      <c r="DA18" s="75">
        <f t="array" ref="DA18">SUM((YEAR(Gastos!$A$2:$A$2500)=DA$1)*(MONTH(Gastos!$A$2:$A$2500)=DA$3)*(Gastos!$B$2:$B$2500=$A18)*(Gastos!$D$2:$D$2500))</f>
        <v>0</v>
      </c>
      <c r="DB18" s="75">
        <f t="array" ref="DB18">SUM((YEAR(Gastos!$A$2:$A$2500)=DB$1)*(MONTH(Gastos!$A$2:$A$2500)=DB$3)*(Gastos!$B$2:$B$2500=$A18)*(Gastos!$D$2:$D$2500))</f>
        <v>0</v>
      </c>
      <c r="DC18" s="75">
        <f t="array" ref="DC18">SUM((YEAR(Gastos!$A$2:$A$2500)=DC$1)*(MONTH(Gastos!$A$2:$A$2500)=DC$3)*(Gastos!$B$2:$B$2500=$A18)*(Gastos!$D$2:$D$2500))</f>
        <v>0</v>
      </c>
      <c r="DD18" s="75">
        <f t="array" ref="DD18">SUM((YEAR(Gastos!$A$2:$A$2500)=DD$1)*(MONTH(Gastos!$A$2:$A$2500)=DD$3)*(Gastos!$B$2:$B$2500=$A18)*(Gastos!$D$2:$D$2500))</f>
        <v>0</v>
      </c>
      <c r="DE18" s="75">
        <f t="array" ref="DE18">SUM((YEAR(Gastos!$A$2:$A$2500)=DE$1)*(MONTH(Gastos!$A$2:$A$2500)=DE$3)*(Gastos!$B$2:$B$2500=$A18)*(Gastos!$D$2:$D$2500))</f>
        <v>0</v>
      </c>
      <c r="DF18" s="75">
        <f t="array" ref="DF18">SUM((YEAR(Gastos!$A$2:$A$2500)=DF$1)*(MONTH(Gastos!$A$2:$A$2500)=DF$3)*(Gastos!$B$2:$B$2500=$A18)*(Gastos!$D$2:$D$2500))</f>
        <v>0</v>
      </c>
      <c r="DG18" s="75">
        <f t="array" ref="DG18">SUM((YEAR(Gastos!$A$2:$A$2500)=DG$1)*(MONTH(Gastos!$A$2:$A$2500)=DG$3)*(Gastos!$B$2:$B$2500=$A18)*(Gastos!$D$2:$D$2500))</f>
        <v>0</v>
      </c>
      <c r="DH18" s="75">
        <f t="array" ref="DH18">SUM((YEAR(Gastos!$A$2:$A$2500)=DH$1)*(MONTH(Gastos!$A$2:$A$2500)=DH$3)*(Gastos!$B$2:$B$2500=$A18)*(Gastos!$D$2:$D$2500))</f>
        <v>0</v>
      </c>
      <c r="DI18" s="75">
        <f t="array" ref="DI18">SUM((YEAR(Gastos!$A$2:$A$2500)=DI$1)*(MONTH(Gastos!$A$2:$A$2500)=DI$3)*(Gastos!$B$2:$B$2500=$A18)*(Gastos!$D$2:$D$2500))</f>
        <v>0</v>
      </c>
      <c r="DJ18" s="75">
        <f t="array" ref="DJ18">SUM((YEAR(Gastos!$A$2:$A$2500)=DJ$1)*(MONTH(Gastos!$A$2:$A$2500)=DJ$3)*(Gastos!$B$2:$B$2500=$A18)*(Gastos!$D$2:$D$2500))</f>
        <v>0</v>
      </c>
      <c r="DK18" s="75">
        <f t="array" ref="DK18">SUM((YEAR(Gastos!$A$2:$A$2500)=DK$1)*(MONTH(Gastos!$A$2:$A$2500)=DK$3)*(Gastos!$B$2:$B$2500=$A18)*(Gastos!$D$2:$D$2500))</f>
        <v>0</v>
      </c>
      <c r="DL18" s="75">
        <f t="array" ref="DL18">SUM((YEAR(Gastos!$A$2:$A$2500)=DL$1)*(MONTH(Gastos!$A$2:$A$2500)=DL$3)*(Gastos!$B$2:$B$2500=$A18)*(Gastos!$D$2:$D$2500))</f>
        <v>0</v>
      </c>
      <c r="DM18" s="75">
        <f t="array" ref="DM18">SUM((YEAR(Gastos!$A$2:$A$2500)=DM$1)*(MONTH(Gastos!$A$2:$A$2500)=DM$3)*(Gastos!$B$2:$B$2500=$A18)*(Gastos!$D$2:$D$2500))</f>
        <v>0</v>
      </c>
      <c r="DN18" s="75">
        <f t="array" ref="DN18">SUM((YEAR(Gastos!$A$2:$A$2500)=DN$1)*(MONTH(Gastos!$A$2:$A$2500)=DN$3)*(Gastos!$B$2:$B$2500=$A18)*(Gastos!$D$2:$D$2500))</f>
        <v>0</v>
      </c>
      <c r="DO18" s="75">
        <f t="array" ref="DO18">SUM((YEAR(Gastos!$A$2:$A$2500)=DO$1)*(MONTH(Gastos!$A$2:$A$2500)=DO$3)*(Gastos!$B$2:$B$2500=$A18)*(Gastos!$D$2:$D$2500))</f>
        <v>0</v>
      </c>
      <c r="DP18" s="75">
        <f t="array" ref="DP18">SUM((YEAR(Gastos!$A$2:$A$2500)=DP$1)*(MONTH(Gastos!$A$2:$A$2500)=DP$3)*(Gastos!$B$2:$B$2500=$A18)*(Gastos!$D$2:$D$2500))</f>
        <v>0</v>
      </c>
      <c r="DQ18" s="75">
        <f t="array" ref="DQ18">SUM((YEAR(Gastos!$A$2:$A$2500)=DQ$1)*(MONTH(Gastos!$A$2:$A$2500)=DQ$3)*(Gastos!$B$2:$B$2500=$A18)*(Gastos!$D$2:$D$2500))</f>
        <v>0</v>
      </c>
      <c r="DR18" s="75">
        <f t="array" ref="DR18">SUM((YEAR(Gastos!$A$2:$A$2500)=DR$1)*(MONTH(Gastos!$A$2:$A$2500)=DR$3)*(Gastos!$B$2:$B$2500=$A18)*(Gastos!$D$2:$D$2500))</f>
        <v>0</v>
      </c>
      <c r="DS18" s="75">
        <f t="array" ref="DS18">SUM((YEAR(Gastos!$A$2:$A$2500)=DS$1)*(MONTH(Gastos!$A$2:$A$2500)=DS$3)*(Gastos!$B$2:$B$2500=$A18)*(Gastos!$D$2:$D$2500))</f>
        <v>0</v>
      </c>
      <c r="DT18" s="75">
        <f t="array" ref="DT18">SUM((YEAR(Gastos!$A$2:$A$2500)=DT$1)*(MONTH(Gastos!$A$2:$A$2500)=DT$3)*(Gastos!$B$2:$B$2500=$A18)*(Gastos!$D$2:$D$2500))</f>
        <v>0</v>
      </c>
      <c r="DU18" s="75">
        <f t="array" ref="DU18">SUM((YEAR(Gastos!$A$2:$A$2500)=DU$1)*(MONTH(Gastos!$A$2:$A$2500)=DU$3)*(Gastos!$B$2:$B$2500=$A18)*(Gastos!$D$2:$D$2500))</f>
        <v>0</v>
      </c>
      <c r="DV18" s="75">
        <f t="array" ref="DV18">SUM((YEAR(Gastos!$A$2:$A$2500)=DV$1)*(MONTH(Gastos!$A$2:$A$2500)=DV$3)*(Gastos!$B$2:$B$2500=$A18)*(Gastos!$D$2:$D$2500))</f>
        <v>0</v>
      </c>
      <c r="DW18" s="75">
        <f t="array" ref="DW18">SUM((YEAR(Gastos!$A$2:$A$2500)=DW$1)*(MONTH(Gastos!$A$2:$A$2500)=DW$3)*(Gastos!$B$2:$B$2500=$A18)*(Gastos!$D$2:$D$2500))</f>
        <v>0</v>
      </c>
      <c r="DX18" s="75">
        <f t="array" ref="DX18">SUM((YEAR(Gastos!$A$2:$A$2500)=DX$1)*(MONTH(Gastos!$A$2:$A$2500)=DX$3)*(Gastos!$B$2:$B$2500=$A18)*(Gastos!$D$2:$D$2500))</f>
        <v>0</v>
      </c>
      <c r="DY18" s="75">
        <f t="array" ref="DY18">SUM((YEAR(Gastos!$A$2:$A$2500)=DY$1)*(MONTH(Gastos!$A$2:$A$2500)=DY$3)*(Gastos!$B$2:$B$2500=$A18)*(Gastos!$D$2:$D$2500))</f>
        <v>0</v>
      </c>
      <c r="DZ18" s="75">
        <f t="array" ref="DZ18">SUM((YEAR(Gastos!$A$2:$A$2500)=DZ$1)*(MONTH(Gastos!$A$2:$A$2500)=DZ$3)*(Gastos!$B$2:$B$2500=$A18)*(Gastos!$D$2:$D$2500))</f>
        <v>0</v>
      </c>
      <c r="EA18" s="75">
        <f t="array" ref="EA18">SUM((YEAR(Gastos!$A$2:$A$2500)=EA$1)*(MONTH(Gastos!$A$2:$A$2500)=EA$3)*(Gastos!$B$2:$B$2500=$A18)*(Gastos!$D$2:$D$2500))</f>
        <v>0</v>
      </c>
      <c r="EB18" s="75">
        <f t="array" ref="EB18">SUM((YEAR(Gastos!$A$2:$A$2500)=EB$1)*(MONTH(Gastos!$A$2:$A$2500)=EB$3)*(Gastos!$B$2:$B$2500=$A18)*(Gastos!$D$2:$D$2500))</f>
        <v>0</v>
      </c>
      <c r="EC18" s="75">
        <f t="array" ref="EC18">SUM((YEAR(Gastos!$A$2:$A$2500)=EC$1)*(MONTH(Gastos!$A$2:$A$2500)=EC$3)*(Gastos!$B$2:$B$2500=$A18)*(Gastos!$D$2:$D$2500))</f>
        <v>0</v>
      </c>
      <c r="ED18" s="75">
        <f t="array" ref="ED18">SUM((YEAR(Gastos!$A$2:$A$2500)=ED$1)*(MONTH(Gastos!$A$2:$A$2500)=ED$3)*(Gastos!$B$2:$B$2500=$A18)*(Gastos!$D$2:$D$2500))</f>
        <v>0</v>
      </c>
      <c r="EE18" s="75">
        <f t="array" ref="EE18">SUM((YEAR(Gastos!$A$2:$A$2500)=EE$1)*(MONTH(Gastos!$A$2:$A$2500)=EE$3)*(Gastos!$B$2:$B$2500=$A18)*(Gastos!$D$2:$D$2500))</f>
        <v>0</v>
      </c>
      <c r="EF18" s="75">
        <f t="array" ref="EF18">SUM((YEAR(Gastos!$A$2:$A$2500)=EF$1)*(MONTH(Gastos!$A$2:$A$2500)=EF$3)*(Gastos!$B$2:$B$2500=$A18)*(Gastos!$D$2:$D$2500))</f>
        <v>0</v>
      </c>
      <c r="EG18" s="75">
        <f t="array" ref="EG18">SUM((YEAR(Gastos!$A$2:$A$2500)=EG$1)*(MONTH(Gastos!$A$2:$A$2500)=EG$3)*(Gastos!$B$2:$B$2500=$A18)*(Gastos!$D$2:$D$2500))</f>
        <v>0</v>
      </c>
      <c r="EH18" s="75">
        <f t="array" ref="EH18">SUM((YEAR(Gastos!$A$2:$A$2500)=EH$1)*(MONTH(Gastos!$A$2:$A$2500)=EH$3)*(Gastos!$B$2:$B$2500=$A18)*(Gastos!$D$2:$D$2500))</f>
        <v>0</v>
      </c>
      <c r="EI18" s="75">
        <f t="array" ref="EI18">SUM((YEAR(Gastos!$A$2:$A$2500)=EI$1)*(MONTH(Gastos!$A$2:$A$2500)=EI$3)*(Gastos!$B$2:$B$2500=$A18)*(Gastos!$D$2:$D$2500))</f>
        <v>0</v>
      </c>
      <c r="EJ18" s="75">
        <f t="array" ref="EJ18">SUM((YEAR(Gastos!$A$2:$A$2500)=EJ$1)*(MONTH(Gastos!$A$2:$A$2500)=EJ$3)*(Gastos!$B$2:$B$2500=$A18)*(Gastos!$D$2:$D$2500))</f>
        <v>0</v>
      </c>
      <c r="EK18" s="75">
        <f t="array" ref="EK18">SUM((YEAR(Gastos!$A$2:$A$2500)=EK$1)*(MONTH(Gastos!$A$2:$A$2500)=EK$3)*(Gastos!$B$2:$B$2500=$A18)*(Gastos!$D$2:$D$2500))</f>
        <v>0</v>
      </c>
      <c r="EL18" s="75">
        <f t="array" ref="EL18">SUM((YEAR(Gastos!$A$2:$A$2500)=EL$1)*(MONTH(Gastos!$A$2:$A$2500)=EL$3)*(Gastos!$B$2:$B$2500=$A18)*(Gastos!$D$2:$D$2500))</f>
        <v>0</v>
      </c>
      <c r="EM18" s="75">
        <f t="array" ref="EM18">SUM((YEAR(Gastos!$A$2:$A$2500)=EM$1)*(MONTH(Gastos!$A$2:$A$2500)=EM$3)*(Gastos!$B$2:$B$2500=$A18)*(Gastos!$D$2:$D$2500))</f>
        <v>0</v>
      </c>
      <c r="EN18" s="75">
        <f t="array" ref="EN18">SUM((YEAR(Gastos!$A$2:$A$2500)=EN$1)*(MONTH(Gastos!$A$2:$A$2500)=EN$3)*(Gastos!$B$2:$B$2500=$A18)*(Gastos!$D$2:$D$2500))</f>
        <v>0</v>
      </c>
      <c r="EO18" s="75">
        <f t="array" ref="EO18">SUM((YEAR(Gastos!$A$2:$A$2500)=EO$1)*(MONTH(Gastos!$A$2:$A$2500)=EO$3)*(Gastos!$B$2:$B$2500=$A18)*(Gastos!$D$2:$D$2500))</f>
        <v>0</v>
      </c>
      <c r="EP18" s="75">
        <f t="array" ref="EP18">SUM((YEAR(Gastos!$A$2:$A$2500)=EP$1)*(MONTH(Gastos!$A$2:$A$2500)=EP$3)*(Gastos!$B$2:$B$2500=$A18)*(Gastos!$D$2:$D$2500))</f>
        <v>0</v>
      </c>
      <c r="EQ18" s="75">
        <f t="array" ref="EQ18">SUM((YEAR(Gastos!$A$2:$A$2500)=EQ$1)*(MONTH(Gastos!$A$2:$A$2500)=EQ$3)*(Gastos!$B$2:$B$2500=$A18)*(Gastos!$D$2:$D$2500))</f>
        <v>0</v>
      </c>
      <c r="ER18" s="75">
        <f t="array" ref="ER18">SUM((YEAR(Gastos!$A$2:$A$2500)=ER$1)*(MONTH(Gastos!$A$2:$A$2500)=ER$3)*(Gastos!$B$2:$B$2500=$A18)*(Gastos!$D$2:$D$2500))</f>
        <v>0</v>
      </c>
      <c r="ES18" s="75">
        <f t="array" ref="ES18">SUM((YEAR(Gastos!$A$2:$A$2500)=ES$1)*(MONTH(Gastos!$A$2:$A$2500)=ES$3)*(Gastos!$B$2:$B$2500=$A18)*(Gastos!$D$2:$D$2500))</f>
        <v>0</v>
      </c>
      <c r="ET18" s="75">
        <f t="array" ref="ET18">SUM((YEAR(Gastos!$A$2:$A$2500)=ET$1)*(MONTH(Gastos!$A$2:$A$2500)=ET$3)*(Gastos!$B$2:$B$2500=$A18)*(Gastos!$D$2:$D$2500))</f>
        <v>0</v>
      </c>
      <c r="EU18" s="75">
        <f t="array" ref="EU18">SUM((YEAR(Gastos!$A$2:$A$2500)=EU$1)*(MONTH(Gastos!$A$2:$A$2500)=EU$3)*(Gastos!$B$2:$B$2500=$A18)*(Gastos!$D$2:$D$2500))</f>
        <v>0</v>
      </c>
      <c r="EV18" s="75">
        <f t="array" ref="EV18">SUM((YEAR(Gastos!$A$2:$A$2500)=EV$1)*(MONTH(Gastos!$A$2:$A$2500)=EV$3)*(Gastos!$B$2:$B$2500=$A18)*(Gastos!$D$2:$D$2500))</f>
        <v>0</v>
      </c>
      <c r="EW18" s="75">
        <f t="array" ref="EW18">SUM((YEAR(Gastos!$A$2:$A$2500)=EW$1)*(MONTH(Gastos!$A$2:$A$2500)=EW$3)*(Gastos!$B$2:$B$2500=$A18)*(Gastos!$D$2:$D$2500))</f>
        <v>0</v>
      </c>
      <c r="EX18" s="75">
        <f t="array" ref="EX18">SUM((YEAR(Gastos!$A$2:$A$2500)=EX$1)*(MONTH(Gastos!$A$2:$A$2500)=EX$3)*(Gastos!$B$2:$B$2500=$A18)*(Gastos!$D$2:$D$2500))</f>
        <v>0</v>
      </c>
      <c r="EY18" s="75">
        <f t="array" ref="EY18">SUM((YEAR(Gastos!$A$2:$A$2500)=EY$1)*(MONTH(Gastos!$A$2:$A$2500)=EY$3)*(Gastos!$B$2:$B$2500=$A18)*(Gastos!$D$2:$D$2500))</f>
        <v>0</v>
      </c>
      <c r="EZ18" s="75">
        <f t="array" ref="EZ18">SUM((YEAR(Gastos!$A$2:$A$2500)=EZ$1)*(MONTH(Gastos!$A$2:$A$2500)=EZ$3)*(Gastos!$B$2:$B$2500=$A18)*(Gastos!$D$2:$D$2500))</f>
        <v>0</v>
      </c>
      <c r="FA18" s="75">
        <f t="array" ref="FA18">SUM((YEAR(Gastos!$A$2:$A$2500)=FA$1)*(MONTH(Gastos!$A$2:$A$2500)=FA$3)*(Gastos!$B$2:$B$2500=$A18)*(Gastos!$D$2:$D$2500))</f>
        <v>0</v>
      </c>
      <c r="FB18" s="75">
        <f t="array" ref="FB18">SUM((YEAR(Gastos!$A$2:$A$2500)=FB$1)*(MONTH(Gastos!$A$2:$A$2500)=FB$3)*(Gastos!$B$2:$B$2500=$A18)*(Gastos!$D$2:$D$2500))</f>
        <v>0</v>
      </c>
      <c r="FC18" s="75">
        <f t="array" ref="FC18">SUM((YEAR(Gastos!$A$2:$A$2500)=FC$1)*(MONTH(Gastos!$A$2:$A$2500)=FC$3)*(Gastos!$B$2:$B$2500=$A18)*(Gastos!$D$2:$D$2500))</f>
        <v>0</v>
      </c>
      <c r="FD18" s="75">
        <f t="array" ref="FD18">SUM((YEAR(Gastos!$A$2:$A$2500)=FD$1)*(MONTH(Gastos!$A$2:$A$2500)=FD$3)*(Gastos!$B$2:$B$2500=$A18)*(Gastos!$D$2:$D$2500))</f>
        <v>0</v>
      </c>
      <c r="FE18" s="75">
        <f t="array" ref="FE18">SUM((YEAR(Gastos!$A$2:$A$2500)=FE$1)*(MONTH(Gastos!$A$2:$A$2500)=FE$3)*(Gastos!$B$2:$B$2500=$A18)*(Gastos!$D$2:$D$2500))</f>
        <v>0</v>
      </c>
      <c r="FF18" s="75">
        <f t="array" ref="FF18">SUM((YEAR(Gastos!$A$2:$A$2500)=FF$1)*(MONTH(Gastos!$A$2:$A$2500)=FF$3)*(Gastos!$B$2:$B$2500=$A18)*(Gastos!$D$2:$D$2500))</f>
        <v>0</v>
      </c>
      <c r="FG18" s="75">
        <f t="array" ref="FG18">SUM((YEAR(Gastos!$A$2:$A$2500)=FG$1)*(MONTH(Gastos!$A$2:$A$2500)=FG$3)*(Gastos!$B$2:$B$2500=$A18)*(Gastos!$D$2:$D$2500))</f>
        <v>0</v>
      </c>
      <c r="FH18" s="75">
        <f t="array" ref="FH18">SUM((YEAR(Gastos!$A$2:$A$2500)=FH$1)*(MONTH(Gastos!$A$2:$A$2500)=FH$3)*(Gastos!$B$2:$B$2500=$A18)*(Gastos!$D$2:$D$2500))</f>
        <v>0</v>
      </c>
      <c r="FI18" s="75">
        <f t="array" ref="FI18">SUM((YEAR(Gastos!$A$2:$A$2500)=FI$1)*(MONTH(Gastos!$A$2:$A$2500)=FI$3)*(Gastos!$B$2:$B$2500=$A18)*(Gastos!$D$2:$D$2500))</f>
        <v>0</v>
      </c>
      <c r="FJ18" s="75">
        <f t="array" ref="FJ18">SUM((YEAR(Gastos!$A$2:$A$2500)=FJ$1)*(MONTH(Gastos!$A$2:$A$2500)=FJ$3)*(Gastos!$B$2:$B$2500=$A18)*(Gastos!$D$2:$D$2500))</f>
        <v>0</v>
      </c>
      <c r="FK18" s="75">
        <f t="array" ref="FK18">SUM((YEAR(Gastos!$A$2:$A$2500)=FK$1)*(MONTH(Gastos!$A$2:$A$2500)=FK$3)*(Gastos!$B$2:$B$2500=$A18)*(Gastos!$D$2:$D$2500))</f>
        <v>0</v>
      </c>
      <c r="FL18" s="75">
        <f t="array" ref="FL18">SUM((YEAR(Gastos!$A$2:$A$2500)=FL$1)*(MONTH(Gastos!$A$2:$A$2500)=FL$3)*(Gastos!$B$2:$B$2500=$A18)*(Gastos!$D$2:$D$2500))</f>
        <v>0</v>
      </c>
      <c r="FM18" s="75">
        <f t="array" ref="FM18">SUM((YEAR(Gastos!$A$2:$A$2500)=FM$1)*(MONTH(Gastos!$A$2:$A$2500)=FM$3)*(Gastos!$B$2:$B$2500=$A18)*(Gastos!$D$2:$D$2500))</f>
        <v>0</v>
      </c>
      <c r="FN18" s="75">
        <f t="array" ref="FN18">SUM((YEAR(Gastos!$A$2:$A$2500)=FN$1)*(MONTH(Gastos!$A$2:$A$2500)=FN$3)*(Gastos!$B$2:$B$2500=$A18)*(Gastos!$D$2:$D$2500))</f>
        <v>0</v>
      </c>
      <c r="FO18" s="75">
        <f t="array" ref="FO18">SUM((YEAR(Gastos!$A$2:$A$2500)=FO$1)*(MONTH(Gastos!$A$2:$A$2500)=FO$3)*(Gastos!$B$2:$B$2500=$A18)*(Gastos!$D$2:$D$2500))</f>
        <v>0</v>
      </c>
      <c r="FP18" s="75">
        <f t="array" ref="FP18">SUM((YEAR(Gastos!$A$2:$A$2500)=FP$1)*(MONTH(Gastos!$A$2:$A$2500)=FP$3)*(Gastos!$B$2:$B$2500=$A18)*(Gastos!$D$2:$D$2500))</f>
        <v>0</v>
      </c>
      <c r="FQ18" s="75">
        <f t="array" ref="FQ18">SUM((YEAR(Gastos!$A$2:$A$2500)=FQ$1)*(MONTH(Gastos!$A$2:$A$2500)=FQ$3)*(Gastos!$B$2:$B$2500=$A18)*(Gastos!$D$2:$D$2500))</f>
        <v>0</v>
      </c>
      <c r="FR18" s="75">
        <f t="array" ref="FR18">SUM((YEAR(Gastos!$A$2:$A$2500)=FR$1)*(MONTH(Gastos!$A$2:$A$2500)=FR$3)*(Gastos!$B$2:$B$2500=$A18)*(Gastos!$D$2:$D$2500))</f>
        <v>0</v>
      </c>
      <c r="FS18" s="75">
        <f t="array" ref="FS18">SUM((YEAR(Gastos!$A$2:$A$2500)=FS$1)*(MONTH(Gastos!$A$2:$A$2500)=FS$3)*(Gastos!$B$2:$B$2500=$A18)*(Gastos!$D$2:$D$2500))</f>
        <v>0</v>
      </c>
      <c r="FT18" s="75">
        <f t="array" ref="FT18">SUM((YEAR(Gastos!$A$2:$A$2500)=FT$1)*(MONTH(Gastos!$A$2:$A$2500)=FT$3)*(Gastos!$B$2:$B$2500=$A18)*(Gastos!$D$2:$D$2500))</f>
        <v>0</v>
      </c>
      <c r="FU18" s="75">
        <f t="array" ref="FU18">SUM((YEAR(Gastos!$A$2:$A$2500)=FU$1)*(MONTH(Gastos!$A$2:$A$2500)=FU$3)*(Gastos!$B$2:$B$2500=$A18)*(Gastos!$D$2:$D$2500))</f>
        <v>0</v>
      </c>
      <c r="FV18" s="75">
        <f t="array" ref="FV18">SUM((YEAR(Gastos!$A$2:$A$2500)=FV$1)*(MONTH(Gastos!$A$2:$A$2500)=FV$3)*(Gastos!$B$2:$B$2500=$A18)*(Gastos!$D$2:$D$2500))</f>
        <v>0</v>
      </c>
      <c r="FW18" s="75">
        <f t="array" ref="FW18">SUM((YEAR(Gastos!$A$2:$A$2500)=FW$1)*(MONTH(Gastos!$A$2:$A$2500)=FW$3)*(Gastos!$B$2:$B$2500=$A18)*(Gastos!$D$2:$D$2500))</f>
        <v>0</v>
      </c>
      <c r="FX18" s="75">
        <f t="array" ref="FX18">SUM((YEAR(Gastos!$A$2:$A$2500)=FX$1)*(MONTH(Gastos!$A$2:$A$2500)=FX$3)*(Gastos!$B$2:$B$2500=$A18)*(Gastos!$D$2:$D$2500))</f>
        <v>0</v>
      </c>
      <c r="FY18" s="75">
        <f t="array" ref="FY18">SUM((YEAR(Gastos!$A$2:$A$2500)=FY$1)*(MONTH(Gastos!$A$2:$A$2500)=FY$3)*(Gastos!$B$2:$B$2500=$A18)*(Gastos!$D$2:$D$2500))</f>
        <v>0</v>
      </c>
      <c r="FZ18" s="76">
        <f t="shared" si="65"/>
        <v>30590.659999999996</v>
      </c>
      <c r="GA18" s="80"/>
      <c r="GB18" s="78">
        <f t="shared" si="66"/>
        <v>30590.659999999996</v>
      </c>
      <c r="GF18" s="79">
        <f t="array" ref="GF18">SUM(((Gastos!$A$2:$A$1647)&gt;=GD$3)*((Gastos!$A$2:$A$1647)&lt;=GF$3)*(Gastos!$B$2:$B$1647=$A18)*(Gastos!$D$2:$D$1647))</f>
        <v>30590.659999999996</v>
      </c>
      <c r="GI18" s="79">
        <f t="array" ref="GI18">SUM(((Gastos!$A$2:$A$1647)&gt;=GG$3)*((Gastos!$A$2:$A$1647)&lt;=GI$3)*(Gastos!$B$2:$B$1647=$A18)*(Gastos!$D$2:$D$1647))</f>
        <v>0</v>
      </c>
    </row>
    <row r="19" spans="1:191" ht="15" thickBot="1" x14ac:dyDescent="0.4">
      <c r="A19" s="74" t="str">
        <f>Gastos!AA17</f>
        <v>V. ADMINISTRACION</v>
      </c>
      <c r="B19" s="75">
        <f t="array" ref="B19">SUM((YEAR(Gastos!$A$2:$A$2500)=B$1)*(MONTH(Gastos!$A$2:$A$2500)=B$3)*(Gastos!$B$2:$B$2500=$A19)*(Gastos!$D$2:$D$2500))</f>
        <v>0</v>
      </c>
      <c r="C19" s="75">
        <f t="array" ref="C19">SUM((YEAR(Gastos!$A$2:$A$2500)=C$1)*(MONTH(Gastos!$A$2:$A$2500)=C$3)*(Gastos!$B$2:$B$2500=$A19)*(Gastos!$D$2:$D$2500))</f>
        <v>8120</v>
      </c>
      <c r="D19" s="75">
        <f t="array" ref="D19">SUM((YEAR(Gastos!$A$2:$A$2500)=D$1)*(MONTH(Gastos!$A$2:$A$2500)=D$3)*(Gastos!$B$2:$B$2500=$A19)*(Gastos!$D$2:$D$2500))</f>
        <v>8120</v>
      </c>
      <c r="E19" s="75">
        <f t="array" ref="E19">SUM((YEAR(Gastos!$A$2:$A$2500)=E$1)*(MONTH(Gastos!$A$2:$A$2500)=E$3)*(Gastos!$B$2:$B$2500=$A19)*(Gastos!$D$2:$D$2500))</f>
        <v>0</v>
      </c>
      <c r="F19" s="75">
        <f t="array" ref="F19">SUM((YEAR(Gastos!$A$2:$A$2500)=F$1)*(MONTH(Gastos!$A$2:$A$2500)=F$3)*(Gastos!$B$2:$B$2500=$A19)*(Gastos!$D$2:$D$2500))</f>
        <v>16240</v>
      </c>
      <c r="G19" s="75">
        <f t="array" ref="G19">SUM((YEAR(Gastos!$A$2:$A$2500)=G$1)*(MONTH(Gastos!$A$2:$A$2500)=G$3)*(Gastos!$B$2:$B$2500=$A19)*(Gastos!$D$2:$D$2500))</f>
        <v>10440</v>
      </c>
      <c r="H19" s="75">
        <f t="array" ref="H19">SUM((YEAR(Gastos!$A$2:$A$2500)=H$1)*(MONTH(Gastos!$A$2:$A$2500)=H$3)*(Gastos!$B$2:$B$2500=$A19)*(Gastos!$D$2:$D$2500))</f>
        <v>0</v>
      </c>
      <c r="I19" s="75">
        <f t="array" ref="I19">SUM((YEAR(Gastos!$A$2:$A$2500)=I$1)*(MONTH(Gastos!$A$2:$A$2500)=I$3)*(Gastos!$B$2:$B$2500=$A19)*(Gastos!$D$2:$D$2500))</f>
        <v>8120</v>
      </c>
      <c r="J19" s="75">
        <f t="array" ref="J19">SUM((YEAR(Gastos!$A$2:$A$2500)=J$1)*(MONTH(Gastos!$A$2:$A$2500)=J$3)*(Gastos!$B$2:$B$2500=$A19)*(Gastos!$D$2:$D$2500))</f>
        <v>8120</v>
      </c>
      <c r="K19" s="75">
        <f t="array" ref="K19">SUM((YEAR(Gastos!$A$2:$A$2500)=K$1)*(MONTH(Gastos!$A$2:$A$2500)=K$3)*(Gastos!$B$2:$B$2500=$A19)*(Gastos!$D$2:$D$2500))</f>
        <v>0</v>
      </c>
      <c r="L19" s="75">
        <f t="array" ref="L19">SUM((YEAR(Gastos!$A$2:$A$2500)=L$1)*(MONTH(Gastos!$A$2:$A$2500)=L$3)*(Gastos!$B$2:$B$2500=$A19)*(Gastos!$D$2:$D$2500))</f>
        <v>4000</v>
      </c>
      <c r="M19" s="75">
        <f t="array" ref="M19">SUM((YEAR(Gastos!$A$2:$A$2500)=M$1)*(MONTH(Gastos!$A$2:$A$2500)=M$3)*(Gastos!$B$2:$B$2500=$A19)*(Gastos!$D$2:$D$2500))</f>
        <v>32606</v>
      </c>
      <c r="N19" s="75">
        <f t="array" ref="N19">SUM((YEAR(Gastos!$A$2:$A$2500)=N$1)*(MONTH(Gastos!$A$2:$A$2500)=N$3)*(Gastos!$B$2:$B$2500=$A19)*(Gastos!$D$2:$D$2500))</f>
        <v>8120</v>
      </c>
      <c r="O19" s="75">
        <f t="array" ref="O19">SUM((YEAR(Gastos!$A$2:$A$2500)=O$1)*(MONTH(Gastos!$A$2:$A$2500)=O$3)*(Gastos!$B$2:$B$2500=$A19)*(Gastos!$D$2:$D$2500))</f>
        <v>8120</v>
      </c>
      <c r="P19" s="75">
        <f t="array" ref="P19">SUM((YEAR(Gastos!$A$2:$A$2500)=P$1)*(MONTH(Gastos!$A$2:$A$2500)=P$3)*(Gastos!$B$2:$B$2500=$A19)*(Gastos!$D$2:$D$2500))</f>
        <v>8120</v>
      </c>
      <c r="Q19" s="75">
        <f t="array" ref="Q19">SUM((YEAR(Gastos!$A$2:$A$2500)=Q$1)*(MONTH(Gastos!$A$2:$A$2500)=Q$3)*(Gastos!$B$2:$B$2500=$A19)*(Gastos!$D$2:$D$2500))</f>
        <v>8120</v>
      </c>
      <c r="R19" s="75">
        <f t="array" ref="R19">SUM((YEAR(Gastos!$A$2:$A$2500)=R$1)*(MONTH(Gastos!$A$2:$A$2500)=R$3)*(Gastos!$B$2:$B$2500=$A19)*(Gastos!$D$2:$D$2500))</f>
        <v>8120</v>
      </c>
      <c r="S19" s="75">
        <f t="array" ref="S19">SUM((YEAR(Gastos!$A$2:$A$2500)=S$1)*(MONTH(Gastos!$A$2:$A$2500)=S$3)*(Gastos!$B$2:$B$2500=$A19)*(Gastos!$D$2:$D$2500))</f>
        <v>8120</v>
      </c>
      <c r="T19" s="75">
        <f t="array" ref="T19">SUM((YEAR(Gastos!$A$2:$A$2500)=T$1)*(MONTH(Gastos!$A$2:$A$2500)=T$3)*(Gastos!$B$2:$B$2500=$A19)*(Gastos!$D$2:$D$2500))</f>
        <v>8120</v>
      </c>
      <c r="U19" s="75">
        <f t="array" ref="U19">SUM((YEAR(Gastos!$A$2:$A$2500)=U$1)*(MONTH(Gastos!$A$2:$A$2500)=U$3)*(Gastos!$B$2:$B$2500=$A19)*(Gastos!$D$2:$D$2500))</f>
        <v>8120</v>
      </c>
      <c r="V19" s="75">
        <f t="array" ref="V19">SUM((YEAR(Gastos!$A$2:$A$2500)=V$1)*(MONTH(Gastos!$A$2:$A$2500)=V$3)*(Gastos!$B$2:$B$2500=$A19)*(Gastos!$D$2:$D$2500))</f>
        <v>8120</v>
      </c>
      <c r="W19" s="75">
        <f t="array" ref="W19">SUM((YEAR(Gastos!$A$2:$A$2500)=W$1)*(MONTH(Gastos!$A$2:$A$2500)=W$3)*(Gastos!$B$2:$B$2500=$A19)*(Gastos!$D$2:$D$2500))</f>
        <v>8120</v>
      </c>
      <c r="X19" s="75">
        <f t="array" ref="X19">SUM((YEAR(Gastos!$A$2:$A$2500)=X$1)*(MONTH(Gastos!$A$2:$A$2500)=X$3)*(Gastos!$B$2:$B$2500=$A19)*(Gastos!$D$2:$D$2500))</f>
        <v>16240</v>
      </c>
      <c r="Y19" s="75">
        <f t="array" ref="Y19">SUM((YEAR(Gastos!$A$2:$A$2500)=Y$1)*(MONTH(Gastos!$A$2:$A$2500)=Y$3)*(Gastos!$B$2:$B$2500=$A19)*(Gastos!$D$2:$D$2500))</f>
        <v>8120</v>
      </c>
      <c r="Z19" s="75">
        <f t="array" ref="Z19">SUM((YEAR(Gastos!$A$2:$A$2500)=Z$1)*(MONTH(Gastos!$A$2:$A$2500)=Z$3)*(Gastos!$B$2:$B$2500=$A19)*(Gastos!$D$2:$D$2500))</f>
        <v>0</v>
      </c>
      <c r="AA19" s="75">
        <f t="array" ref="AA19">SUM((YEAR(Gastos!$A$2:$A$2500)=AA$1)*(MONTH(Gastos!$A$2:$A$2500)=AA$3)*(Gastos!$B$2:$B$2500=$A19)*(Gastos!$D$2:$D$2500))</f>
        <v>8120</v>
      </c>
      <c r="AB19" s="75">
        <f t="array" ref="AB19">SUM((YEAR(Gastos!$A$2:$A$2500)=AB$1)*(MONTH(Gastos!$A$2:$A$2500)=AB$3)*(Gastos!$B$2:$B$2500=$A19)*(Gastos!$D$2:$D$2500))</f>
        <v>16240</v>
      </c>
      <c r="AC19" s="75">
        <f t="array" ref="AC19">SUM((YEAR(Gastos!$A$2:$A$2500)=AC$1)*(MONTH(Gastos!$A$2:$A$2500)=AC$3)*(Gastos!$B$2:$B$2500=$A19)*(Gastos!$D$2:$D$2500))</f>
        <v>0</v>
      </c>
      <c r="AD19" s="75">
        <f t="array" ref="AD19">SUM((YEAR(Gastos!$A$2:$A$2500)=AD$1)*(MONTH(Gastos!$A$2:$A$2500)=AD$3)*(Gastos!$B$2:$B$2500=$A19)*(Gastos!$D$2:$D$2500))</f>
        <v>16240</v>
      </c>
      <c r="AE19" s="75">
        <f t="array" ref="AE19">SUM((YEAR(Gastos!$A$2:$A$2500)=AE$1)*(MONTH(Gastos!$A$2:$A$2500)=AE$3)*(Gastos!$B$2:$B$2500=$A19)*(Gastos!$D$2:$D$2500))</f>
        <v>0</v>
      </c>
      <c r="AF19" s="75">
        <f t="array" ref="AF19">SUM((YEAR(Gastos!$A$2:$A$2500)=AF$1)*(MONTH(Gastos!$A$2:$A$2500)=AF$3)*(Gastos!$B$2:$B$2500=$A19)*(Gastos!$D$2:$D$2500))</f>
        <v>16240</v>
      </c>
      <c r="AG19" s="75">
        <f t="array" ref="AG19">SUM((YEAR(Gastos!$A$2:$A$2500)=AG$1)*(MONTH(Gastos!$A$2:$A$2500)=AG$3)*(Gastos!$B$2:$B$2500=$A19)*(Gastos!$D$2:$D$2500))</f>
        <v>0</v>
      </c>
      <c r="AH19" s="75">
        <f t="array" ref="AH19">SUM((YEAR(Gastos!$A$2:$A$2500)=AH$1)*(MONTH(Gastos!$A$2:$A$2500)=AH$3)*(Gastos!$B$2:$B$2500=$A19)*(Gastos!$D$2:$D$2500))</f>
        <v>8120</v>
      </c>
      <c r="AI19" s="75">
        <f t="array" ref="AI19">SUM((YEAR(Gastos!$A$2:$A$2500)=AI$1)*(MONTH(Gastos!$A$2:$A$2500)=AI$3)*(Gastos!$B$2:$B$2500=$A19)*(Gastos!$D$2:$D$2500))</f>
        <v>8120</v>
      </c>
      <c r="AJ19" s="75">
        <f t="array" ref="AJ19">SUM((YEAR(Gastos!$A$2:$A$2500)=AJ$1)*(MONTH(Gastos!$A$2:$A$2500)=AJ$3)*(Gastos!$B$2:$B$2500=$A19)*(Gastos!$D$2:$D$2500))</f>
        <v>8120</v>
      </c>
      <c r="AK19" s="75">
        <f t="array" ref="AK19">SUM((YEAR(Gastos!$A$2:$A$2500)=AK$1)*(MONTH(Gastos!$A$2:$A$2500)=AK$3)*(Gastos!$B$2:$B$2500=$A19)*(Gastos!$D$2:$D$2500))</f>
        <v>8120</v>
      </c>
      <c r="AL19" s="75">
        <f t="array" ref="AL19">SUM((YEAR(Gastos!$A$2:$A$2500)=AL$1)*(MONTH(Gastos!$A$2:$A$2500)=AL$3)*(Gastos!$B$2:$B$2500=$A19)*(Gastos!$D$2:$D$2500))</f>
        <v>8120</v>
      </c>
      <c r="AM19" s="75">
        <f t="array" ref="AM19">SUM((YEAR(Gastos!$A$2:$A$2500)=AM$1)*(MONTH(Gastos!$A$2:$A$2500)=AM$3)*(Gastos!$B$2:$B$2500=$A19)*(Gastos!$D$2:$D$2500))</f>
        <v>8120</v>
      </c>
      <c r="AN19" s="75">
        <f t="array" ref="AN19">SUM((YEAR(Gastos!$A$2:$A$2500)=AN$1)*(MONTH(Gastos!$A$2:$A$2500)=AN$3)*(Gastos!$B$2:$B$2500=$A19)*(Gastos!$D$2:$D$2500))</f>
        <v>0</v>
      </c>
      <c r="AO19" s="75">
        <f t="array" ref="AO19">SUM((YEAR(Gastos!$A$2:$A$2500)=AO$1)*(MONTH(Gastos!$A$2:$A$2500)=AO$3)*(Gastos!$B$2:$B$2500=$A19)*(Gastos!$D$2:$D$2500))</f>
        <v>8120</v>
      </c>
      <c r="AP19" s="75">
        <f t="array" ref="AP19">SUM((YEAR(Gastos!$A$2:$A$2500)=AP$1)*(MONTH(Gastos!$A$2:$A$2500)=AP$3)*(Gastos!$B$2:$B$2500=$A19)*(Gastos!$D$2:$D$2500))</f>
        <v>5000.01</v>
      </c>
      <c r="AQ19" s="75">
        <f t="array" ref="AQ19">SUM((YEAR(Gastos!$A$2:$A$2500)=AQ$1)*(MONTH(Gastos!$A$2:$A$2500)=AQ$3)*(Gastos!$B$2:$B$2500=$A19)*(Gastos!$D$2:$D$2500))</f>
        <v>0</v>
      </c>
      <c r="AR19" s="75">
        <f t="array" ref="AR19">SUM((YEAR(Gastos!$A$2:$A$2500)=AR$1)*(MONTH(Gastos!$A$2:$A$2500)=AR$3)*(Gastos!$B$2:$B$2500=$A19)*(Gastos!$D$2:$D$2500))</f>
        <v>5000</v>
      </c>
      <c r="AS19" s="75">
        <f t="array" ref="AS19">SUM((YEAR(Gastos!$A$2:$A$2500)=AS$1)*(MONTH(Gastos!$A$2:$A$2500)=AS$3)*(Gastos!$B$2:$B$2500=$A19)*(Gastos!$D$2:$D$2500))</f>
        <v>0</v>
      </c>
      <c r="AT19" s="75">
        <f t="array" ref="AT19">SUM((YEAR(Gastos!$A$2:$A$2500)=AT$1)*(MONTH(Gastos!$A$2:$A$2500)=AT$3)*(Gastos!$B$2:$B$2500=$A19)*(Gastos!$D$2:$D$2500))</f>
        <v>0</v>
      </c>
      <c r="AU19" s="75">
        <f t="array" ref="AU19">SUM((YEAR(Gastos!$A$2:$A$2500)=AU$1)*(MONTH(Gastos!$A$2:$A$2500)=AU$3)*(Gastos!$B$2:$B$2500=$A19)*(Gastos!$D$2:$D$2500))</f>
        <v>0</v>
      </c>
      <c r="AV19" s="75">
        <f t="array" ref="AV19">SUM((YEAR(Gastos!$A$2:$A$2500)=AV$1)*(MONTH(Gastos!$A$2:$A$2500)=AV$3)*(Gastos!$B$2:$B$2500=$A19)*(Gastos!$D$2:$D$2500))</f>
        <v>0</v>
      </c>
      <c r="AW19" s="75">
        <f t="array" ref="AW19">SUM((YEAR(Gastos!$A$2:$A$2500)=AW$1)*(MONTH(Gastos!$A$2:$A$2500)=AW$3)*(Gastos!$B$2:$B$2500=$A19)*(Gastos!$D$2:$D$2500))</f>
        <v>0</v>
      </c>
      <c r="AX19" s="75">
        <f t="array" ref="AX19">SUM((YEAR(Gastos!$A$2:$A$2500)=AX$1)*(MONTH(Gastos!$A$2:$A$2500)=AX$3)*(Gastos!$B$2:$B$2500=$A19)*(Gastos!$D$2:$D$2500))</f>
        <v>0</v>
      </c>
      <c r="AY19" s="75">
        <f t="array" ref="AY19">SUM((YEAR(Gastos!$A$2:$A$2500)=AY$1)*(MONTH(Gastos!$A$2:$A$2500)=AY$3)*(Gastos!$B$2:$B$2500=$A19)*(Gastos!$D$2:$D$2500))</f>
        <v>0</v>
      </c>
      <c r="AZ19" s="75">
        <f t="array" ref="AZ19">SUM((YEAR(Gastos!$A$2:$A$2500)=AZ$1)*(MONTH(Gastos!$A$2:$A$2500)=AZ$3)*(Gastos!$B$2:$B$2500=$A19)*(Gastos!$D$2:$D$2500))</f>
        <v>0</v>
      </c>
      <c r="BA19" s="75">
        <f t="array" ref="BA19">SUM((YEAR(Gastos!$A$2:$A$2500)=BA$1)*(MONTH(Gastos!$A$2:$A$2500)=BA$3)*(Gastos!$B$2:$B$2500=$A19)*(Gastos!$D$2:$D$2500))</f>
        <v>0</v>
      </c>
      <c r="BB19" s="75">
        <f t="array" ref="BB19">SUM((YEAR(Gastos!$A$2:$A$2500)=BB$1)*(MONTH(Gastos!$A$2:$A$2500)=BB$3)*(Gastos!$B$2:$B$2500=$A19)*(Gastos!$D$2:$D$2500))</f>
        <v>0</v>
      </c>
      <c r="BC19" s="75">
        <f t="array" ref="BC19">SUM((YEAR(Gastos!$A$2:$A$2500)=BC$1)*(MONTH(Gastos!$A$2:$A$2500)=BC$3)*(Gastos!$B$2:$B$2500=$A19)*(Gastos!$D$2:$D$2500))</f>
        <v>0</v>
      </c>
      <c r="BD19" s="75">
        <f t="array" ref="BD19">SUM((YEAR(Gastos!$A$2:$A$2500)=BD$1)*(MONTH(Gastos!$A$2:$A$2500)=BD$3)*(Gastos!$B$2:$B$2500=$A19)*(Gastos!$D$2:$D$2500))</f>
        <v>0</v>
      </c>
      <c r="BE19" s="75">
        <f t="array" ref="BE19">SUM((YEAR(Gastos!$A$2:$A$2500)=BE$1)*(MONTH(Gastos!$A$2:$A$2500)=BE$3)*(Gastos!$B$2:$B$2500=$A19)*(Gastos!$D$2:$D$2500))</f>
        <v>0</v>
      </c>
      <c r="BF19" s="75">
        <f t="array" ref="BF19">SUM((YEAR(Gastos!$A$2:$A$2500)=BF$1)*(MONTH(Gastos!$A$2:$A$2500)=BF$3)*(Gastos!$B$2:$B$2500=$A19)*(Gastos!$D$2:$D$2500))</f>
        <v>0</v>
      </c>
      <c r="BG19" s="75">
        <f t="array" ref="BG19">SUM((YEAR(Gastos!$A$2:$A$2500)=BG$1)*(MONTH(Gastos!$A$2:$A$2500)=BG$3)*(Gastos!$B$2:$B$2500=$A19)*(Gastos!$D$2:$D$2500))</f>
        <v>0</v>
      </c>
      <c r="BH19" s="75">
        <f t="array" ref="BH19">SUM((YEAR(Gastos!$A$2:$A$2500)=BH$1)*(MONTH(Gastos!$A$2:$A$2500)=BH$3)*(Gastos!$B$2:$B$2500=$A19)*(Gastos!$D$2:$D$2500))</f>
        <v>0</v>
      </c>
      <c r="BI19" s="75">
        <f t="array" ref="BI19">SUM((YEAR(Gastos!$A$2:$A$2500)=BI$1)*(MONTH(Gastos!$A$2:$A$2500)=BI$3)*(Gastos!$B$2:$B$2500=$A19)*(Gastos!$D$2:$D$2500))</f>
        <v>0</v>
      </c>
      <c r="BJ19" s="75">
        <f t="array" ref="BJ19">SUM((YEAR(Gastos!$A$2:$A$2500)=BJ$1)*(MONTH(Gastos!$A$2:$A$2500)=BJ$3)*(Gastos!$B$2:$B$2500=$A19)*(Gastos!$D$2:$D$2500))</f>
        <v>0</v>
      </c>
      <c r="BK19" s="75">
        <f t="array" ref="BK19">SUM((YEAR(Gastos!$A$2:$A$2500)=BK$1)*(MONTH(Gastos!$A$2:$A$2500)=BK$3)*(Gastos!$B$2:$B$2500=$A19)*(Gastos!$D$2:$D$2500))</f>
        <v>0</v>
      </c>
      <c r="BL19" s="75">
        <f t="array" ref="BL19">SUM((YEAR(Gastos!$A$2:$A$2500)=BL$1)*(MONTH(Gastos!$A$2:$A$2500)=BL$3)*(Gastos!$B$2:$B$2500=$A19)*(Gastos!$D$2:$D$2500))</f>
        <v>0</v>
      </c>
      <c r="BM19" s="75">
        <f t="array" ref="BM19">SUM((YEAR(Gastos!$A$2:$A$2500)=BM$1)*(MONTH(Gastos!$A$2:$A$2500)=BM$3)*(Gastos!$B$2:$B$2500=$A19)*(Gastos!$D$2:$D$2500))</f>
        <v>0</v>
      </c>
      <c r="BN19" s="75">
        <f t="array" ref="BN19">SUM((YEAR(Gastos!$A$2:$A$2500)=BN$1)*(MONTH(Gastos!$A$2:$A$2500)=BN$3)*(Gastos!$B$2:$B$2500=$A19)*(Gastos!$D$2:$D$2500))</f>
        <v>0</v>
      </c>
      <c r="BO19" s="75">
        <f t="array" ref="BO19">SUM((YEAR(Gastos!$A$2:$A$2500)=BO$1)*(MONTH(Gastos!$A$2:$A$2500)=BO$3)*(Gastos!$B$2:$B$2500=$A19)*(Gastos!$D$2:$D$2500))</f>
        <v>0</v>
      </c>
      <c r="BP19" s="75">
        <f t="array" ref="BP19">SUM((YEAR(Gastos!$A$2:$A$2500)=BP$1)*(MONTH(Gastos!$A$2:$A$2500)=BP$3)*(Gastos!$B$2:$B$2500=$A19)*(Gastos!$D$2:$D$2500))</f>
        <v>0</v>
      </c>
      <c r="BQ19" s="75">
        <f t="array" ref="BQ19">SUM((YEAR(Gastos!$A$2:$A$2500)=BQ$1)*(MONTH(Gastos!$A$2:$A$2500)=BQ$3)*(Gastos!$B$2:$B$2500=$A19)*(Gastos!$D$2:$D$2500))</f>
        <v>0</v>
      </c>
      <c r="BR19" s="75">
        <f t="array" ref="BR19">SUM((YEAR(Gastos!$A$2:$A$2500)=BR$1)*(MONTH(Gastos!$A$2:$A$2500)=BR$3)*(Gastos!$B$2:$B$2500=$A19)*(Gastos!$D$2:$D$2500))</f>
        <v>0</v>
      </c>
      <c r="BS19" s="75">
        <f t="array" ref="BS19">SUM((YEAR(Gastos!$A$2:$A$2500)=BS$1)*(MONTH(Gastos!$A$2:$A$2500)=BS$3)*(Gastos!$B$2:$B$2500=$A19)*(Gastos!$D$2:$D$2500))</f>
        <v>0</v>
      </c>
      <c r="BT19" s="75">
        <f t="array" ref="BT19">SUM((YEAR(Gastos!$A$2:$A$2500)=BT$1)*(MONTH(Gastos!$A$2:$A$2500)=BT$3)*(Gastos!$B$2:$B$2500=$A19)*(Gastos!$D$2:$D$2500))</f>
        <v>0</v>
      </c>
      <c r="BU19" s="75">
        <f t="array" ref="BU19">SUM((YEAR(Gastos!$A$2:$A$2500)=BU$1)*(MONTH(Gastos!$A$2:$A$2500)=BU$3)*(Gastos!$B$2:$B$2500=$A19)*(Gastos!$D$2:$D$2500))</f>
        <v>0</v>
      </c>
      <c r="BV19" s="75">
        <f t="array" ref="BV19">SUM((YEAR(Gastos!$A$2:$A$2500)=BV$1)*(MONTH(Gastos!$A$2:$A$2500)=BV$3)*(Gastos!$B$2:$B$2500=$A19)*(Gastos!$D$2:$D$2500))</f>
        <v>0</v>
      </c>
      <c r="BW19" s="75">
        <f t="array" ref="BW19">SUM((YEAR(Gastos!$A$2:$A$2500)=BW$1)*(MONTH(Gastos!$A$2:$A$2500)=BW$3)*(Gastos!$B$2:$B$2500=$A19)*(Gastos!$D$2:$D$2500))</f>
        <v>0</v>
      </c>
      <c r="BX19" s="75">
        <f t="array" ref="BX19">SUM((YEAR(Gastos!$A$2:$A$2500)=BX$1)*(MONTH(Gastos!$A$2:$A$2500)=BX$3)*(Gastos!$B$2:$B$2500=$A19)*(Gastos!$D$2:$D$2500))</f>
        <v>0</v>
      </c>
      <c r="BY19" s="75">
        <f t="array" ref="BY19">SUM((YEAR(Gastos!$A$2:$A$2500)=BY$1)*(MONTH(Gastos!$A$2:$A$2500)=BY$3)*(Gastos!$B$2:$B$2500=$A19)*(Gastos!$D$2:$D$2500))</f>
        <v>0</v>
      </c>
      <c r="BZ19" s="75">
        <f t="array" ref="BZ19">SUM((YEAR(Gastos!$A$2:$A$2500)=BZ$1)*(MONTH(Gastos!$A$2:$A$2500)=BZ$3)*(Gastos!$B$2:$B$2500=$A19)*(Gastos!$D$2:$D$2500))</f>
        <v>0</v>
      </c>
      <c r="CA19" s="75">
        <f t="array" ref="CA19">SUM((YEAR(Gastos!$A$2:$A$2500)=CA$1)*(MONTH(Gastos!$A$2:$A$2500)=CA$3)*(Gastos!$B$2:$B$2500=$A19)*(Gastos!$D$2:$D$2500))</f>
        <v>0</v>
      </c>
      <c r="CB19" s="75">
        <f t="array" ref="CB19">SUM((YEAR(Gastos!$A$2:$A$2500)=CB$1)*(MONTH(Gastos!$A$2:$A$2500)=CB$3)*(Gastos!$B$2:$B$2500=$A19)*(Gastos!$D$2:$D$2500))</f>
        <v>0</v>
      </c>
      <c r="CC19" s="75">
        <f t="array" ref="CC19">SUM((YEAR(Gastos!$A$2:$A$2500)=CC$1)*(MONTH(Gastos!$A$2:$A$2500)=CC$3)*(Gastos!$B$2:$B$2500=$A19)*(Gastos!$D$2:$D$2500))</f>
        <v>0</v>
      </c>
      <c r="CD19" s="75">
        <f t="array" ref="CD19">SUM((YEAR(Gastos!$A$2:$A$2500)=CD$1)*(MONTH(Gastos!$A$2:$A$2500)=CD$3)*(Gastos!$B$2:$B$2500=$A19)*(Gastos!$D$2:$D$2500))</f>
        <v>0</v>
      </c>
      <c r="CE19" s="75">
        <f t="array" ref="CE19">SUM((YEAR(Gastos!$A$2:$A$2500)=CE$1)*(MONTH(Gastos!$A$2:$A$2500)=CE$3)*(Gastos!$B$2:$B$2500=$A19)*(Gastos!$D$2:$D$2500))</f>
        <v>0</v>
      </c>
      <c r="CF19" s="75">
        <f t="array" ref="CF19">SUM((YEAR(Gastos!$A$2:$A$2500)=CF$1)*(MONTH(Gastos!$A$2:$A$2500)=CF$3)*(Gastos!$B$2:$B$2500=$A19)*(Gastos!$D$2:$D$2500))</f>
        <v>0</v>
      </c>
      <c r="CG19" s="75">
        <f t="array" ref="CG19">SUM((YEAR(Gastos!$A$2:$A$2500)=CG$1)*(MONTH(Gastos!$A$2:$A$2500)=CG$3)*(Gastos!$B$2:$B$2500=$A19)*(Gastos!$D$2:$D$2500))</f>
        <v>0</v>
      </c>
      <c r="CH19" s="75">
        <f t="array" ref="CH19">SUM((YEAR(Gastos!$A$2:$A$2500)=CH$1)*(MONTH(Gastos!$A$2:$A$2500)=CH$3)*(Gastos!$B$2:$B$2500=$A19)*(Gastos!$D$2:$D$2500))</f>
        <v>0</v>
      </c>
      <c r="CI19" s="75">
        <f t="array" ref="CI19">SUM((YEAR(Gastos!$A$2:$A$2500)=CI$1)*(MONTH(Gastos!$A$2:$A$2500)=CI$3)*(Gastos!$B$2:$B$2500=$A19)*(Gastos!$D$2:$D$2500))</f>
        <v>0</v>
      </c>
      <c r="CJ19" s="75">
        <f t="array" ref="CJ19">SUM((YEAR(Gastos!$A$2:$A$2500)=CJ$1)*(MONTH(Gastos!$A$2:$A$2500)=CJ$3)*(Gastos!$B$2:$B$2500=$A19)*(Gastos!$D$2:$D$2500))</f>
        <v>0</v>
      </c>
      <c r="CK19" s="75">
        <f t="array" ref="CK19">SUM((YEAR(Gastos!$A$2:$A$2500)=CK$1)*(MONTH(Gastos!$A$2:$A$2500)=CK$3)*(Gastos!$B$2:$B$2500=$A19)*(Gastos!$D$2:$D$2500))</f>
        <v>0</v>
      </c>
      <c r="CL19" s="75">
        <f t="array" ref="CL19">SUM((YEAR(Gastos!$A$2:$A$2500)=CL$1)*(MONTH(Gastos!$A$2:$A$2500)=CL$3)*(Gastos!$B$2:$B$2500=$A19)*(Gastos!$D$2:$D$2500))</f>
        <v>0</v>
      </c>
      <c r="CM19" s="75">
        <f t="array" ref="CM19">SUM((YEAR(Gastos!$A$2:$A$2500)=CM$1)*(MONTH(Gastos!$A$2:$A$2500)=CM$3)*(Gastos!$B$2:$B$2500=$A19)*(Gastos!$D$2:$D$2500))</f>
        <v>0</v>
      </c>
      <c r="CN19" s="75">
        <f t="array" ref="CN19">SUM((YEAR(Gastos!$A$2:$A$2500)=CN$1)*(MONTH(Gastos!$A$2:$A$2500)=CN$3)*(Gastos!$B$2:$B$2500=$A19)*(Gastos!$D$2:$D$2500))</f>
        <v>0</v>
      </c>
      <c r="CO19" s="75">
        <f t="array" ref="CO19">SUM((YEAR(Gastos!$A$2:$A$2500)=CO$1)*(MONTH(Gastos!$A$2:$A$2500)=CO$3)*(Gastos!$B$2:$B$2500=$A19)*(Gastos!$D$2:$D$2500))</f>
        <v>0</v>
      </c>
      <c r="CP19" s="75">
        <f t="array" ref="CP19">SUM((YEAR(Gastos!$A$2:$A$2500)=CP$1)*(MONTH(Gastos!$A$2:$A$2500)=CP$3)*(Gastos!$B$2:$B$2500=$A19)*(Gastos!$D$2:$D$2500))</f>
        <v>0</v>
      </c>
      <c r="CQ19" s="75">
        <f t="array" ref="CQ19">SUM((YEAR(Gastos!$A$2:$A$2500)=CQ$1)*(MONTH(Gastos!$A$2:$A$2500)=CQ$3)*(Gastos!$B$2:$B$2500=$A19)*(Gastos!$D$2:$D$2500))</f>
        <v>0</v>
      </c>
      <c r="CR19" s="75">
        <f t="array" ref="CR19">SUM((YEAR(Gastos!$A$2:$A$2500)=CR$1)*(MONTH(Gastos!$A$2:$A$2500)=CR$3)*(Gastos!$B$2:$B$2500=$A19)*(Gastos!$D$2:$D$2500))</f>
        <v>0</v>
      </c>
      <c r="CS19" s="75">
        <f t="array" ref="CS19">SUM((YEAR(Gastos!$A$2:$A$2500)=CS$1)*(MONTH(Gastos!$A$2:$A$2500)=CS$3)*(Gastos!$B$2:$B$2500=$A19)*(Gastos!$D$2:$D$2500))</f>
        <v>0</v>
      </c>
      <c r="CT19" s="75">
        <f t="array" ref="CT19">SUM((YEAR(Gastos!$A$2:$A$2500)=CT$1)*(MONTH(Gastos!$A$2:$A$2500)=CT$3)*(Gastos!$B$2:$B$2500=$A19)*(Gastos!$D$2:$D$2500))</f>
        <v>0</v>
      </c>
      <c r="CU19" s="75">
        <f t="array" ref="CU19">SUM((YEAR(Gastos!$A$2:$A$2500)=CU$1)*(MONTH(Gastos!$A$2:$A$2500)=CU$3)*(Gastos!$B$2:$B$2500=$A19)*(Gastos!$D$2:$D$2500))</f>
        <v>0</v>
      </c>
      <c r="CV19" s="75">
        <f t="array" ref="CV19">SUM((YEAR(Gastos!$A$2:$A$2500)=CV$1)*(MONTH(Gastos!$A$2:$A$2500)=CV$3)*(Gastos!$B$2:$B$2500=$A19)*(Gastos!$D$2:$D$2500))</f>
        <v>0</v>
      </c>
      <c r="CW19" s="75">
        <f t="array" ref="CW19">SUM((YEAR(Gastos!$A$2:$A$2500)=CW$1)*(MONTH(Gastos!$A$2:$A$2500)=CW$3)*(Gastos!$B$2:$B$2500=$A19)*(Gastos!$D$2:$D$2500))</f>
        <v>0</v>
      </c>
      <c r="CX19" s="75">
        <f t="array" ref="CX19">SUM((YEAR(Gastos!$A$2:$A$2500)=CX$1)*(MONTH(Gastos!$A$2:$A$2500)=CX$3)*(Gastos!$B$2:$B$2500=$A19)*(Gastos!$D$2:$D$2500))</f>
        <v>0</v>
      </c>
      <c r="CY19" s="75">
        <f t="array" ref="CY19">SUM((YEAR(Gastos!$A$2:$A$2500)=CY$1)*(MONTH(Gastos!$A$2:$A$2500)=CY$3)*(Gastos!$B$2:$B$2500=$A19)*(Gastos!$D$2:$D$2500))</f>
        <v>0</v>
      </c>
      <c r="CZ19" s="75">
        <f t="array" ref="CZ19">SUM((YEAR(Gastos!$A$2:$A$2500)=CZ$1)*(MONTH(Gastos!$A$2:$A$2500)=CZ$3)*(Gastos!$B$2:$B$2500=$A19)*(Gastos!$D$2:$D$2500))</f>
        <v>0</v>
      </c>
      <c r="DA19" s="75">
        <f t="array" ref="DA19">SUM((YEAR(Gastos!$A$2:$A$2500)=DA$1)*(MONTH(Gastos!$A$2:$A$2500)=DA$3)*(Gastos!$B$2:$B$2500=$A19)*(Gastos!$D$2:$D$2500))</f>
        <v>0</v>
      </c>
      <c r="DB19" s="75">
        <f t="array" ref="DB19">SUM((YEAR(Gastos!$A$2:$A$2500)=DB$1)*(MONTH(Gastos!$A$2:$A$2500)=DB$3)*(Gastos!$B$2:$B$2500=$A19)*(Gastos!$D$2:$D$2500))</f>
        <v>0</v>
      </c>
      <c r="DC19" s="75">
        <f t="array" ref="DC19">SUM((YEAR(Gastos!$A$2:$A$2500)=DC$1)*(MONTH(Gastos!$A$2:$A$2500)=DC$3)*(Gastos!$B$2:$B$2500=$A19)*(Gastos!$D$2:$D$2500))</f>
        <v>0</v>
      </c>
      <c r="DD19" s="75">
        <f t="array" ref="DD19">SUM((YEAR(Gastos!$A$2:$A$2500)=DD$1)*(MONTH(Gastos!$A$2:$A$2500)=DD$3)*(Gastos!$B$2:$B$2500=$A19)*(Gastos!$D$2:$D$2500))</f>
        <v>0</v>
      </c>
      <c r="DE19" s="75">
        <f t="array" ref="DE19">SUM((YEAR(Gastos!$A$2:$A$2500)=DE$1)*(MONTH(Gastos!$A$2:$A$2500)=DE$3)*(Gastos!$B$2:$B$2500=$A19)*(Gastos!$D$2:$D$2500))</f>
        <v>0</v>
      </c>
      <c r="DF19" s="75">
        <f t="array" ref="DF19">SUM((YEAR(Gastos!$A$2:$A$2500)=DF$1)*(MONTH(Gastos!$A$2:$A$2500)=DF$3)*(Gastos!$B$2:$B$2500=$A19)*(Gastos!$D$2:$D$2500))</f>
        <v>0</v>
      </c>
      <c r="DG19" s="75">
        <f t="array" ref="DG19">SUM((YEAR(Gastos!$A$2:$A$2500)=DG$1)*(MONTH(Gastos!$A$2:$A$2500)=DG$3)*(Gastos!$B$2:$B$2500=$A19)*(Gastos!$D$2:$D$2500))</f>
        <v>0</v>
      </c>
      <c r="DH19" s="75">
        <f t="array" ref="DH19">SUM((YEAR(Gastos!$A$2:$A$2500)=DH$1)*(MONTH(Gastos!$A$2:$A$2500)=DH$3)*(Gastos!$B$2:$B$2500=$A19)*(Gastos!$D$2:$D$2500))</f>
        <v>0</v>
      </c>
      <c r="DI19" s="75">
        <f t="array" ref="DI19">SUM((YEAR(Gastos!$A$2:$A$2500)=DI$1)*(MONTH(Gastos!$A$2:$A$2500)=DI$3)*(Gastos!$B$2:$B$2500=$A19)*(Gastos!$D$2:$D$2500))</f>
        <v>0</v>
      </c>
      <c r="DJ19" s="75">
        <f t="array" ref="DJ19">SUM((YEAR(Gastos!$A$2:$A$2500)=DJ$1)*(MONTH(Gastos!$A$2:$A$2500)=DJ$3)*(Gastos!$B$2:$B$2500=$A19)*(Gastos!$D$2:$D$2500))</f>
        <v>0</v>
      </c>
      <c r="DK19" s="75">
        <f t="array" ref="DK19">SUM((YEAR(Gastos!$A$2:$A$2500)=DK$1)*(MONTH(Gastos!$A$2:$A$2500)=DK$3)*(Gastos!$B$2:$B$2500=$A19)*(Gastos!$D$2:$D$2500))</f>
        <v>0</v>
      </c>
      <c r="DL19" s="75">
        <f t="array" ref="DL19">SUM((YEAR(Gastos!$A$2:$A$2500)=DL$1)*(MONTH(Gastos!$A$2:$A$2500)=DL$3)*(Gastos!$B$2:$B$2500=$A19)*(Gastos!$D$2:$D$2500))</f>
        <v>0</v>
      </c>
      <c r="DM19" s="75">
        <f t="array" ref="DM19">SUM((YEAR(Gastos!$A$2:$A$2500)=DM$1)*(MONTH(Gastos!$A$2:$A$2500)=DM$3)*(Gastos!$B$2:$B$2500=$A19)*(Gastos!$D$2:$D$2500))</f>
        <v>0</v>
      </c>
      <c r="DN19" s="75">
        <f t="array" ref="DN19">SUM((YEAR(Gastos!$A$2:$A$2500)=DN$1)*(MONTH(Gastos!$A$2:$A$2500)=DN$3)*(Gastos!$B$2:$B$2500=$A19)*(Gastos!$D$2:$D$2500))</f>
        <v>0</v>
      </c>
      <c r="DO19" s="75">
        <f t="array" ref="DO19">SUM((YEAR(Gastos!$A$2:$A$2500)=DO$1)*(MONTH(Gastos!$A$2:$A$2500)=DO$3)*(Gastos!$B$2:$B$2500=$A19)*(Gastos!$D$2:$D$2500))</f>
        <v>0</v>
      </c>
      <c r="DP19" s="75">
        <f t="array" ref="DP19">SUM((YEAR(Gastos!$A$2:$A$2500)=DP$1)*(MONTH(Gastos!$A$2:$A$2500)=DP$3)*(Gastos!$B$2:$B$2500=$A19)*(Gastos!$D$2:$D$2500))</f>
        <v>0</v>
      </c>
      <c r="DQ19" s="75">
        <f t="array" ref="DQ19">SUM((YEAR(Gastos!$A$2:$A$2500)=DQ$1)*(MONTH(Gastos!$A$2:$A$2500)=DQ$3)*(Gastos!$B$2:$B$2500=$A19)*(Gastos!$D$2:$D$2500))</f>
        <v>0</v>
      </c>
      <c r="DR19" s="75">
        <f t="array" ref="DR19">SUM((YEAR(Gastos!$A$2:$A$2500)=DR$1)*(MONTH(Gastos!$A$2:$A$2500)=DR$3)*(Gastos!$B$2:$B$2500=$A19)*(Gastos!$D$2:$D$2500))</f>
        <v>0</v>
      </c>
      <c r="DS19" s="75">
        <f t="array" ref="DS19">SUM((YEAR(Gastos!$A$2:$A$2500)=DS$1)*(MONTH(Gastos!$A$2:$A$2500)=DS$3)*(Gastos!$B$2:$B$2500=$A19)*(Gastos!$D$2:$D$2500))</f>
        <v>0</v>
      </c>
      <c r="DT19" s="75">
        <f t="array" ref="DT19">SUM((YEAR(Gastos!$A$2:$A$2500)=DT$1)*(MONTH(Gastos!$A$2:$A$2500)=DT$3)*(Gastos!$B$2:$B$2500=$A19)*(Gastos!$D$2:$D$2500))</f>
        <v>0</v>
      </c>
      <c r="DU19" s="75">
        <f t="array" ref="DU19">SUM((YEAR(Gastos!$A$2:$A$2500)=DU$1)*(MONTH(Gastos!$A$2:$A$2500)=DU$3)*(Gastos!$B$2:$B$2500=$A19)*(Gastos!$D$2:$D$2500))</f>
        <v>0</v>
      </c>
      <c r="DV19" s="75">
        <f t="array" ref="DV19">SUM((YEAR(Gastos!$A$2:$A$2500)=DV$1)*(MONTH(Gastos!$A$2:$A$2500)=DV$3)*(Gastos!$B$2:$B$2500=$A19)*(Gastos!$D$2:$D$2500))</f>
        <v>0</v>
      </c>
      <c r="DW19" s="75">
        <f t="array" ref="DW19">SUM((YEAR(Gastos!$A$2:$A$2500)=DW$1)*(MONTH(Gastos!$A$2:$A$2500)=DW$3)*(Gastos!$B$2:$B$2500=$A19)*(Gastos!$D$2:$D$2500))</f>
        <v>0</v>
      </c>
      <c r="DX19" s="75">
        <f t="array" ref="DX19">SUM((YEAR(Gastos!$A$2:$A$2500)=DX$1)*(MONTH(Gastos!$A$2:$A$2500)=DX$3)*(Gastos!$B$2:$B$2500=$A19)*(Gastos!$D$2:$D$2500))</f>
        <v>0</v>
      </c>
      <c r="DY19" s="75">
        <f t="array" ref="DY19">SUM((YEAR(Gastos!$A$2:$A$2500)=DY$1)*(MONTH(Gastos!$A$2:$A$2500)=DY$3)*(Gastos!$B$2:$B$2500=$A19)*(Gastos!$D$2:$D$2500))</f>
        <v>0</v>
      </c>
      <c r="DZ19" s="75">
        <f t="array" ref="DZ19">SUM((YEAR(Gastos!$A$2:$A$2500)=DZ$1)*(MONTH(Gastos!$A$2:$A$2500)=DZ$3)*(Gastos!$B$2:$B$2500=$A19)*(Gastos!$D$2:$D$2500))</f>
        <v>0</v>
      </c>
      <c r="EA19" s="75">
        <f t="array" ref="EA19">SUM((YEAR(Gastos!$A$2:$A$2500)=EA$1)*(MONTH(Gastos!$A$2:$A$2500)=EA$3)*(Gastos!$B$2:$B$2500=$A19)*(Gastos!$D$2:$D$2500))</f>
        <v>0</v>
      </c>
      <c r="EB19" s="75">
        <f t="array" ref="EB19">SUM((YEAR(Gastos!$A$2:$A$2500)=EB$1)*(MONTH(Gastos!$A$2:$A$2500)=EB$3)*(Gastos!$B$2:$B$2500=$A19)*(Gastos!$D$2:$D$2500))</f>
        <v>0</v>
      </c>
      <c r="EC19" s="75">
        <f t="array" ref="EC19">SUM((YEAR(Gastos!$A$2:$A$2500)=EC$1)*(MONTH(Gastos!$A$2:$A$2500)=EC$3)*(Gastos!$B$2:$B$2500=$A19)*(Gastos!$D$2:$D$2500))</f>
        <v>0</v>
      </c>
      <c r="ED19" s="75">
        <f t="array" ref="ED19">SUM((YEAR(Gastos!$A$2:$A$2500)=ED$1)*(MONTH(Gastos!$A$2:$A$2500)=ED$3)*(Gastos!$B$2:$B$2500=$A19)*(Gastos!$D$2:$D$2500))</f>
        <v>0</v>
      </c>
      <c r="EE19" s="75">
        <f t="array" ref="EE19">SUM((YEAR(Gastos!$A$2:$A$2500)=EE$1)*(MONTH(Gastos!$A$2:$A$2500)=EE$3)*(Gastos!$B$2:$B$2500=$A19)*(Gastos!$D$2:$D$2500))</f>
        <v>0</v>
      </c>
      <c r="EF19" s="75">
        <f t="array" ref="EF19">SUM((YEAR(Gastos!$A$2:$A$2500)=EF$1)*(MONTH(Gastos!$A$2:$A$2500)=EF$3)*(Gastos!$B$2:$B$2500=$A19)*(Gastos!$D$2:$D$2500))</f>
        <v>0</v>
      </c>
      <c r="EG19" s="75">
        <f t="array" ref="EG19">SUM((YEAR(Gastos!$A$2:$A$2500)=EG$1)*(MONTH(Gastos!$A$2:$A$2500)=EG$3)*(Gastos!$B$2:$B$2500=$A19)*(Gastos!$D$2:$D$2500))</f>
        <v>0</v>
      </c>
      <c r="EH19" s="75">
        <f t="array" ref="EH19">SUM((YEAR(Gastos!$A$2:$A$2500)=EH$1)*(MONTH(Gastos!$A$2:$A$2500)=EH$3)*(Gastos!$B$2:$B$2500=$A19)*(Gastos!$D$2:$D$2500))</f>
        <v>0</v>
      </c>
      <c r="EI19" s="75">
        <f t="array" ref="EI19">SUM((YEAR(Gastos!$A$2:$A$2500)=EI$1)*(MONTH(Gastos!$A$2:$A$2500)=EI$3)*(Gastos!$B$2:$B$2500=$A19)*(Gastos!$D$2:$D$2500))</f>
        <v>0</v>
      </c>
      <c r="EJ19" s="75">
        <f t="array" ref="EJ19">SUM((YEAR(Gastos!$A$2:$A$2500)=EJ$1)*(MONTH(Gastos!$A$2:$A$2500)=EJ$3)*(Gastos!$B$2:$B$2500=$A19)*(Gastos!$D$2:$D$2500))</f>
        <v>0</v>
      </c>
      <c r="EK19" s="75">
        <f t="array" ref="EK19">SUM((YEAR(Gastos!$A$2:$A$2500)=EK$1)*(MONTH(Gastos!$A$2:$A$2500)=EK$3)*(Gastos!$B$2:$B$2500=$A19)*(Gastos!$D$2:$D$2500))</f>
        <v>0</v>
      </c>
      <c r="EL19" s="75">
        <f t="array" ref="EL19">SUM((YEAR(Gastos!$A$2:$A$2500)=EL$1)*(MONTH(Gastos!$A$2:$A$2500)=EL$3)*(Gastos!$B$2:$B$2500=$A19)*(Gastos!$D$2:$D$2500))</f>
        <v>0</v>
      </c>
      <c r="EM19" s="75">
        <f t="array" ref="EM19">SUM((YEAR(Gastos!$A$2:$A$2500)=EM$1)*(MONTH(Gastos!$A$2:$A$2500)=EM$3)*(Gastos!$B$2:$B$2500=$A19)*(Gastos!$D$2:$D$2500))</f>
        <v>0</v>
      </c>
      <c r="EN19" s="75">
        <f t="array" ref="EN19">SUM((YEAR(Gastos!$A$2:$A$2500)=EN$1)*(MONTH(Gastos!$A$2:$A$2500)=EN$3)*(Gastos!$B$2:$B$2500=$A19)*(Gastos!$D$2:$D$2500))</f>
        <v>0</v>
      </c>
      <c r="EO19" s="75">
        <f t="array" ref="EO19">SUM((YEAR(Gastos!$A$2:$A$2500)=EO$1)*(MONTH(Gastos!$A$2:$A$2500)=EO$3)*(Gastos!$B$2:$B$2500=$A19)*(Gastos!$D$2:$D$2500))</f>
        <v>0</v>
      </c>
      <c r="EP19" s="75">
        <f t="array" ref="EP19">SUM((YEAR(Gastos!$A$2:$A$2500)=EP$1)*(MONTH(Gastos!$A$2:$A$2500)=EP$3)*(Gastos!$B$2:$B$2500=$A19)*(Gastos!$D$2:$D$2500))</f>
        <v>0</v>
      </c>
      <c r="EQ19" s="75">
        <f t="array" ref="EQ19">SUM((YEAR(Gastos!$A$2:$A$2500)=EQ$1)*(MONTH(Gastos!$A$2:$A$2500)=EQ$3)*(Gastos!$B$2:$B$2500=$A19)*(Gastos!$D$2:$D$2500))</f>
        <v>0</v>
      </c>
      <c r="ER19" s="75">
        <f t="array" ref="ER19">SUM((YEAR(Gastos!$A$2:$A$2500)=ER$1)*(MONTH(Gastos!$A$2:$A$2500)=ER$3)*(Gastos!$B$2:$B$2500=$A19)*(Gastos!$D$2:$D$2500))</f>
        <v>0</v>
      </c>
      <c r="ES19" s="75">
        <f t="array" ref="ES19">SUM((YEAR(Gastos!$A$2:$A$2500)=ES$1)*(MONTH(Gastos!$A$2:$A$2500)=ES$3)*(Gastos!$B$2:$B$2500=$A19)*(Gastos!$D$2:$D$2500))</f>
        <v>0</v>
      </c>
      <c r="ET19" s="75">
        <f t="array" ref="ET19">SUM((YEAR(Gastos!$A$2:$A$2500)=ET$1)*(MONTH(Gastos!$A$2:$A$2500)=ET$3)*(Gastos!$B$2:$B$2500=$A19)*(Gastos!$D$2:$D$2500))</f>
        <v>0</v>
      </c>
      <c r="EU19" s="75">
        <f t="array" ref="EU19">SUM((YEAR(Gastos!$A$2:$A$2500)=EU$1)*(MONTH(Gastos!$A$2:$A$2500)=EU$3)*(Gastos!$B$2:$B$2500=$A19)*(Gastos!$D$2:$D$2500))</f>
        <v>0</v>
      </c>
      <c r="EV19" s="75">
        <f t="array" ref="EV19">SUM((YEAR(Gastos!$A$2:$A$2500)=EV$1)*(MONTH(Gastos!$A$2:$A$2500)=EV$3)*(Gastos!$B$2:$B$2500=$A19)*(Gastos!$D$2:$D$2500))</f>
        <v>0</v>
      </c>
      <c r="EW19" s="75">
        <f t="array" ref="EW19">SUM((YEAR(Gastos!$A$2:$A$2500)=EW$1)*(MONTH(Gastos!$A$2:$A$2500)=EW$3)*(Gastos!$B$2:$B$2500=$A19)*(Gastos!$D$2:$D$2500))</f>
        <v>0</v>
      </c>
      <c r="EX19" s="75">
        <f t="array" ref="EX19">SUM((YEAR(Gastos!$A$2:$A$2500)=EX$1)*(MONTH(Gastos!$A$2:$A$2500)=EX$3)*(Gastos!$B$2:$B$2500=$A19)*(Gastos!$D$2:$D$2500))</f>
        <v>0</v>
      </c>
      <c r="EY19" s="75">
        <f t="array" ref="EY19">SUM((YEAR(Gastos!$A$2:$A$2500)=EY$1)*(MONTH(Gastos!$A$2:$A$2500)=EY$3)*(Gastos!$B$2:$B$2500=$A19)*(Gastos!$D$2:$D$2500))</f>
        <v>0</v>
      </c>
      <c r="EZ19" s="75">
        <f t="array" ref="EZ19">SUM((YEAR(Gastos!$A$2:$A$2500)=EZ$1)*(MONTH(Gastos!$A$2:$A$2500)=EZ$3)*(Gastos!$B$2:$B$2500=$A19)*(Gastos!$D$2:$D$2500))</f>
        <v>0</v>
      </c>
      <c r="FA19" s="75">
        <f t="array" ref="FA19">SUM((YEAR(Gastos!$A$2:$A$2500)=FA$1)*(MONTH(Gastos!$A$2:$A$2500)=FA$3)*(Gastos!$B$2:$B$2500=$A19)*(Gastos!$D$2:$D$2500))</f>
        <v>0</v>
      </c>
      <c r="FB19" s="75">
        <f t="array" ref="FB19">SUM((YEAR(Gastos!$A$2:$A$2500)=FB$1)*(MONTH(Gastos!$A$2:$A$2500)=FB$3)*(Gastos!$B$2:$B$2500=$A19)*(Gastos!$D$2:$D$2500))</f>
        <v>0</v>
      </c>
      <c r="FC19" s="75">
        <f t="array" ref="FC19">SUM((YEAR(Gastos!$A$2:$A$2500)=FC$1)*(MONTH(Gastos!$A$2:$A$2500)=FC$3)*(Gastos!$B$2:$B$2500=$A19)*(Gastos!$D$2:$D$2500))</f>
        <v>0</v>
      </c>
      <c r="FD19" s="75">
        <f t="array" ref="FD19">SUM((YEAR(Gastos!$A$2:$A$2500)=FD$1)*(MONTH(Gastos!$A$2:$A$2500)=FD$3)*(Gastos!$B$2:$B$2500=$A19)*(Gastos!$D$2:$D$2500))</f>
        <v>0</v>
      </c>
      <c r="FE19" s="75">
        <f t="array" ref="FE19">SUM((YEAR(Gastos!$A$2:$A$2500)=FE$1)*(MONTH(Gastos!$A$2:$A$2500)=FE$3)*(Gastos!$B$2:$B$2500=$A19)*(Gastos!$D$2:$D$2500))</f>
        <v>0</v>
      </c>
      <c r="FF19" s="75">
        <f t="array" ref="FF19">SUM((YEAR(Gastos!$A$2:$A$2500)=FF$1)*(MONTH(Gastos!$A$2:$A$2500)=FF$3)*(Gastos!$B$2:$B$2500=$A19)*(Gastos!$D$2:$D$2500))</f>
        <v>0</v>
      </c>
      <c r="FG19" s="75">
        <f t="array" ref="FG19">SUM((YEAR(Gastos!$A$2:$A$2500)=FG$1)*(MONTH(Gastos!$A$2:$A$2500)=FG$3)*(Gastos!$B$2:$B$2500=$A19)*(Gastos!$D$2:$D$2500))</f>
        <v>0</v>
      </c>
      <c r="FH19" s="75">
        <f t="array" ref="FH19">SUM((YEAR(Gastos!$A$2:$A$2500)=FH$1)*(MONTH(Gastos!$A$2:$A$2500)=FH$3)*(Gastos!$B$2:$B$2500=$A19)*(Gastos!$D$2:$D$2500))</f>
        <v>0</v>
      </c>
      <c r="FI19" s="75">
        <f t="array" ref="FI19">SUM((YEAR(Gastos!$A$2:$A$2500)=FI$1)*(MONTH(Gastos!$A$2:$A$2500)=FI$3)*(Gastos!$B$2:$B$2500=$A19)*(Gastos!$D$2:$D$2500))</f>
        <v>0</v>
      </c>
      <c r="FJ19" s="75">
        <f t="array" ref="FJ19">SUM((YEAR(Gastos!$A$2:$A$2500)=FJ$1)*(MONTH(Gastos!$A$2:$A$2500)=FJ$3)*(Gastos!$B$2:$B$2500=$A19)*(Gastos!$D$2:$D$2500))</f>
        <v>0</v>
      </c>
      <c r="FK19" s="75">
        <f t="array" ref="FK19">SUM((YEAR(Gastos!$A$2:$A$2500)=FK$1)*(MONTH(Gastos!$A$2:$A$2500)=FK$3)*(Gastos!$B$2:$B$2500=$A19)*(Gastos!$D$2:$D$2500))</f>
        <v>0</v>
      </c>
      <c r="FL19" s="75">
        <f t="array" ref="FL19">SUM((YEAR(Gastos!$A$2:$A$2500)=FL$1)*(MONTH(Gastos!$A$2:$A$2500)=FL$3)*(Gastos!$B$2:$B$2500=$A19)*(Gastos!$D$2:$D$2500))</f>
        <v>0</v>
      </c>
      <c r="FM19" s="75">
        <f t="array" ref="FM19">SUM((YEAR(Gastos!$A$2:$A$2500)=FM$1)*(MONTH(Gastos!$A$2:$A$2500)=FM$3)*(Gastos!$B$2:$B$2500=$A19)*(Gastos!$D$2:$D$2500))</f>
        <v>0</v>
      </c>
      <c r="FN19" s="75">
        <f t="array" ref="FN19">SUM((YEAR(Gastos!$A$2:$A$2500)=FN$1)*(MONTH(Gastos!$A$2:$A$2500)=FN$3)*(Gastos!$B$2:$B$2500=$A19)*(Gastos!$D$2:$D$2500))</f>
        <v>0</v>
      </c>
      <c r="FO19" s="75">
        <f t="array" ref="FO19">SUM((YEAR(Gastos!$A$2:$A$2500)=FO$1)*(MONTH(Gastos!$A$2:$A$2500)=FO$3)*(Gastos!$B$2:$B$2500=$A19)*(Gastos!$D$2:$D$2500))</f>
        <v>0</v>
      </c>
      <c r="FP19" s="75">
        <f t="array" ref="FP19">SUM((YEAR(Gastos!$A$2:$A$2500)=FP$1)*(MONTH(Gastos!$A$2:$A$2500)=FP$3)*(Gastos!$B$2:$B$2500=$A19)*(Gastos!$D$2:$D$2500))</f>
        <v>0</v>
      </c>
      <c r="FQ19" s="75">
        <f t="array" ref="FQ19">SUM((YEAR(Gastos!$A$2:$A$2500)=FQ$1)*(MONTH(Gastos!$A$2:$A$2500)=FQ$3)*(Gastos!$B$2:$B$2500=$A19)*(Gastos!$D$2:$D$2500))</f>
        <v>0</v>
      </c>
      <c r="FR19" s="75">
        <f t="array" ref="FR19">SUM((YEAR(Gastos!$A$2:$A$2500)=FR$1)*(MONTH(Gastos!$A$2:$A$2500)=FR$3)*(Gastos!$B$2:$B$2500=$A19)*(Gastos!$D$2:$D$2500))</f>
        <v>0</v>
      </c>
      <c r="FS19" s="75">
        <f t="array" ref="FS19">SUM((YEAR(Gastos!$A$2:$A$2500)=FS$1)*(MONTH(Gastos!$A$2:$A$2500)=FS$3)*(Gastos!$B$2:$B$2500=$A19)*(Gastos!$D$2:$D$2500))</f>
        <v>0</v>
      </c>
      <c r="FT19" s="75">
        <f t="array" ref="FT19">SUM((YEAR(Gastos!$A$2:$A$2500)=FT$1)*(MONTH(Gastos!$A$2:$A$2500)=FT$3)*(Gastos!$B$2:$B$2500=$A19)*(Gastos!$D$2:$D$2500))</f>
        <v>0</v>
      </c>
      <c r="FU19" s="75">
        <f t="array" ref="FU19">SUM((YEAR(Gastos!$A$2:$A$2500)=FU$1)*(MONTH(Gastos!$A$2:$A$2500)=FU$3)*(Gastos!$B$2:$B$2500=$A19)*(Gastos!$D$2:$D$2500))</f>
        <v>0</v>
      </c>
      <c r="FV19" s="75">
        <f t="array" ref="FV19">SUM((YEAR(Gastos!$A$2:$A$2500)=FV$1)*(MONTH(Gastos!$A$2:$A$2500)=FV$3)*(Gastos!$B$2:$B$2500=$A19)*(Gastos!$D$2:$D$2500))</f>
        <v>0</v>
      </c>
      <c r="FW19" s="75">
        <f t="array" ref="FW19">SUM((YEAR(Gastos!$A$2:$A$2500)=FW$1)*(MONTH(Gastos!$A$2:$A$2500)=FW$3)*(Gastos!$B$2:$B$2500=$A19)*(Gastos!$D$2:$D$2500))</f>
        <v>0</v>
      </c>
      <c r="FX19" s="75">
        <f t="array" ref="FX19">SUM((YEAR(Gastos!$A$2:$A$2500)=FX$1)*(MONTH(Gastos!$A$2:$A$2500)=FX$3)*(Gastos!$B$2:$B$2500=$A19)*(Gastos!$D$2:$D$2500))</f>
        <v>0</v>
      </c>
      <c r="FY19" s="75">
        <f t="array" ref="FY19">SUM((YEAR(Gastos!$A$2:$A$2500)=FY$1)*(MONTH(Gastos!$A$2:$A$2500)=FY$3)*(Gastos!$B$2:$B$2500=$A19)*(Gastos!$D$2:$D$2500))</f>
        <v>0</v>
      </c>
      <c r="FZ19" s="76">
        <f t="shared" si="65"/>
        <v>325006.01</v>
      </c>
      <c r="GA19" s="80"/>
      <c r="GB19" s="78">
        <f t="shared" si="66"/>
        <v>0</v>
      </c>
      <c r="GF19" s="79">
        <f t="array" ref="GF19">SUM(((Gastos!$A$2:$A$1647)&gt;=GD$3)*((Gastos!$A$2:$A$1647)&lt;=GF$3)*(Gastos!$B$2:$B$1647=$A19)*(Gastos!$D$2:$D$1647))</f>
        <v>0</v>
      </c>
      <c r="GI19" s="79">
        <f t="array" ref="GI19">SUM(((Gastos!$A$2:$A$1647)&gt;=GG$3)*((Gastos!$A$2:$A$1647)&lt;=GI$3)*(Gastos!$B$2:$B$1647=$A19)*(Gastos!$D$2:$D$1647))</f>
        <v>0</v>
      </c>
    </row>
    <row r="20" spans="1:191" ht="15" thickBot="1" x14ac:dyDescent="0.4">
      <c r="A20" s="74" t="str">
        <f>Gastos!AA18</f>
        <v>V. BALANCE CONTABLE</v>
      </c>
      <c r="B20" s="75">
        <f t="array" ref="B20">SUM((YEAR(Gastos!$A$2:$A$2500)=B$1)*(MONTH(Gastos!$A$2:$A$2500)=B$3)*(Gastos!$B$2:$B$2500=$A20)*(Gastos!$D$2:$D$2500))</f>
        <v>0</v>
      </c>
      <c r="C20" s="75">
        <f t="array" ref="C20">SUM((YEAR(Gastos!$A$2:$A$2500)=C$1)*(MONTH(Gastos!$A$2:$A$2500)=C$3)*(Gastos!$B$2:$B$2500=$A20)*(Gastos!$D$2:$D$2500))</f>
        <v>0</v>
      </c>
      <c r="D20" s="75">
        <f t="array" ref="D20">SUM((YEAR(Gastos!$A$2:$A$2500)=D$1)*(MONTH(Gastos!$A$2:$A$2500)=D$3)*(Gastos!$B$2:$B$2500=$A20)*(Gastos!$D$2:$D$2500))</f>
        <v>0</v>
      </c>
      <c r="E20" s="75">
        <f t="array" ref="E20">SUM((YEAR(Gastos!$A$2:$A$2500)=E$1)*(MONTH(Gastos!$A$2:$A$2500)=E$3)*(Gastos!$B$2:$B$2500=$A20)*(Gastos!$D$2:$D$2500))</f>
        <v>0</v>
      </c>
      <c r="F20" s="75">
        <f t="array" ref="F20">SUM((YEAR(Gastos!$A$2:$A$2500)=F$1)*(MONTH(Gastos!$A$2:$A$2500)=F$3)*(Gastos!$B$2:$B$2500=$A20)*(Gastos!$D$2:$D$2500))</f>
        <v>0</v>
      </c>
      <c r="G20" s="75">
        <f t="array" ref="G20">SUM((YEAR(Gastos!$A$2:$A$2500)=G$1)*(MONTH(Gastos!$A$2:$A$2500)=G$3)*(Gastos!$B$2:$B$2500=$A20)*(Gastos!$D$2:$D$2500))</f>
        <v>0</v>
      </c>
      <c r="H20" s="75">
        <f t="array" ref="H20">SUM((YEAR(Gastos!$A$2:$A$2500)=H$1)*(MONTH(Gastos!$A$2:$A$2500)=H$3)*(Gastos!$B$2:$B$2500=$A20)*(Gastos!$D$2:$D$2500))</f>
        <v>0</v>
      </c>
      <c r="I20" s="75">
        <f t="array" ref="I20">SUM((YEAR(Gastos!$A$2:$A$2500)=I$1)*(MONTH(Gastos!$A$2:$A$2500)=I$3)*(Gastos!$B$2:$B$2500=$A20)*(Gastos!$D$2:$D$2500))</f>
        <v>0</v>
      </c>
      <c r="J20" s="75">
        <f t="array" ref="J20">SUM((YEAR(Gastos!$A$2:$A$2500)=J$1)*(MONTH(Gastos!$A$2:$A$2500)=J$3)*(Gastos!$B$2:$B$2500=$A20)*(Gastos!$D$2:$D$2500))</f>
        <v>0</v>
      </c>
      <c r="K20" s="75">
        <f t="array" ref="K20">SUM((YEAR(Gastos!$A$2:$A$2500)=K$1)*(MONTH(Gastos!$A$2:$A$2500)=K$3)*(Gastos!$B$2:$B$2500=$A20)*(Gastos!$D$2:$D$2500))</f>
        <v>0</v>
      </c>
      <c r="L20" s="75">
        <f t="array" ref="L20">SUM((YEAR(Gastos!$A$2:$A$2500)=L$1)*(MONTH(Gastos!$A$2:$A$2500)=L$3)*(Gastos!$B$2:$B$2500=$A20)*(Gastos!$D$2:$D$2500))</f>
        <v>0</v>
      </c>
      <c r="M20" s="75">
        <f t="array" ref="M20">SUM((YEAR(Gastos!$A$2:$A$2500)=M$1)*(MONTH(Gastos!$A$2:$A$2500)=M$3)*(Gastos!$B$2:$B$2500=$A20)*(Gastos!$D$2:$D$2500))</f>
        <v>0</v>
      </c>
      <c r="N20" s="75">
        <f t="array" ref="N20">SUM((YEAR(Gastos!$A$2:$A$2500)=N$1)*(MONTH(Gastos!$A$2:$A$2500)=N$3)*(Gastos!$B$2:$B$2500=$A20)*(Gastos!$D$2:$D$2500))</f>
        <v>0</v>
      </c>
      <c r="O20" s="75">
        <f t="array" ref="O20">SUM((YEAR(Gastos!$A$2:$A$2500)=O$1)*(MONTH(Gastos!$A$2:$A$2500)=O$3)*(Gastos!$B$2:$B$2500=$A20)*(Gastos!$D$2:$D$2500))</f>
        <v>0</v>
      </c>
      <c r="P20" s="75">
        <f t="array" ref="P20">SUM((YEAR(Gastos!$A$2:$A$2500)=P$1)*(MONTH(Gastos!$A$2:$A$2500)=P$3)*(Gastos!$B$2:$B$2500=$A20)*(Gastos!$D$2:$D$2500))</f>
        <v>0</v>
      </c>
      <c r="Q20" s="75">
        <f t="array" ref="Q20">SUM((YEAR(Gastos!$A$2:$A$2500)=Q$1)*(MONTH(Gastos!$A$2:$A$2500)=Q$3)*(Gastos!$B$2:$B$2500=$A20)*(Gastos!$D$2:$D$2500))</f>
        <v>0</v>
      </c>
      <c r="R20" s="75">
        <f t="array" ref="R20">SUM((YEAR(Gastos!$A$2:$A$2500)=R$1)*(MONTH(Gastos!$A$2:$A$2500)=R$3)*(Gastos!$B$2:$B$2500=$A20)*(Gastos!$D$2:$D$2500))</f>
        <v>0</v>
      </c>
      <c r="S20" s="75">
        <f t="array" ref="S20">SUM((YEAR(Gastos!$A$2:$A$2500)=S$1)*(MONTH(Gastos!$A$2:$A$2500)=S$3)*(Gastos!$B$2:$B$2500=$A20)*(Gastos!$D$2:$D$2500))</f>
        <v>0</v>
      </c>
      <c r="T20" s="75">
        <f t="array" ref="T20">SUM((YEAR(Gastos!$A$2:$A$2500)=T$1)*(MONTH(Gastos!$A$2:$A$2500)=T$3)*(Gastos!$B$2:$B$2500=$A20)*(Gastos!$D$2:$D$2500))</f>
        <v>0</v>
      </c>
      <c r="U20" s="75">
        <f t="array" ref="U20">SUM((YEAR(Gastos!$A$2:$A$2500)=U$1)*(MONTH(Gastos!$A$2:$A$2500)=U$3)*(Gastos!$B$2:$B$2500=$A20)*(Gastos!$D$2:$D$2500))</f>
        <v>0</v>
      </c>
      <c r="V20" s="75">
        <f t="array" ref="V20">SUM((YEAR(Gastos!$A$2:$A$2500)=V$1)*(MONTH(Gastos!$A$2:$A$2500)=V$3)*(Gastos!$B$2:$B$2500=$A20)*(Gastos!$D$2:$D$2500))</f>
        <v>0</v>
      </c>
      <c r="W20" s="75">
        <f t="array" ref="W20">SUM((YEAR(Gastos!$A$2:$A$2500)=W$1)*(MONTH(Gastos!$A$2:$A$2500)=W$3)*(Gastos!$B$2:$B$2500=$A20)*(Gastos!$D$2:$D$2500))</f>
        <v>0</v>
      </c>
      <c r="X20" s="75">
        <f t="array" ref="X20">SUM((YEAR(Gastos!$A$2:$A$2500)=X$1)*(MONTH(Gastos!$A$2:$A$2500)=X$3)*(Gastos!$B$2:$B$2500=$A20)*(Gastos!$D$2:$D$2500))</f>
        <v>0</v>
      </c>
      <c r="Y20" s="75">
        <f t="array" ref="Y20">SUM((YEAR(Gastos!$A$2:$A$2500)=Y$1)*(MONTH(Gastos!$A$2:$A$2500)=Y$3)*(Gastos!$B$2:$B$2500=$A20)*(Gastos!$D$2:$D$2500))</f>
        <v>0</v>
      </c>
      <c r="Z20" s="75">
        <f t="array" ref="Z20">SUM((YEAR(Gastos!$A$2:$A$2500)=Z$1)*(MONTH(Gastos!$A$2:$A$2500)=Z$3)*(Gastos!$B$2:$B$2500=$A20)*(Gastos!$D$2:$D$2500))</f>
        <v>0</v>
      </c>
      <c r="AA20" s="75">
        <f t="array" ref="AA20">SUM((YEAR(Gastos!$A$2:$A$2500)=AA$1)*(MONTH(Gastos!$A$2:$A$2500)=AA$3)*(Gastos!$B$2:$B$2500=$A20)*(Gastos!$D$2:$D$2500))</f>
        <v>0</v>
      </c>
      <c r="AB20" s="75">
        <f t="array" ref="AB20">SUM((YEAR(Gastos!$A$2:$A$2500)=AB$1)*(MONTH(Gastos!$A$2:$A$2500)=AB$3)*(Gastos!$B$2:$B$2500=$A20)*(Gastos!$D$2:$D$2500))</f>
        <v>0</v>
      </c>
      <c r="AC20" s="75">
        <f t="array" ref="AC20">SUM((YEAR(Gastos!$A$2:$A$2500)=AC$1)*(MONTH(Gastos!$A$2:$A$2500)=AC$3)*(Gastos!$B$2:$B$2500=$A20)*(Gastos!$D$2:$D$2500))</f>
        <v>0</v>
      </c>
      <c r="AD20" s="75">
        <f t="array" ref="AD20">SUM((YEAR(Gastos!$A$2:$A$2500)=AD$1)*(MONTH(Gastos!$A$2:$A$2500)=AD$3)*(Gastos!$B$2:$B$2500=$A20)*(Gastos!$D$2:$D$2500))</f>
        <v>0</v>
      </c>
      <c r="AE20" s="75">
        <f t="array" ref="AE20">SUM((YEAR(Gastos!$A$2:$A$2500)=AE$1)*(MONTH(Gastos!$A$2:$A$2500)=AE$3)*(Gastos!$B$2:$B$2500=$A20)*(Gastos!$D$2:$D$2500))</f>
        <v>0</v>
      </c>
      <c r="AF20" s="75">
        <f t="array" ref="AF20">SUM((YEAR(Gastos!$A$2:$A$2500)=AF$1)*(MONTH(Gastos!$A$2:$A$2500)=AF$3)*(Gastos!$B$2:$B$2500=$A20)*(Gastos!$D$2:$D$2500))</f>
        <v>0</v>
      </c>
      <c r="AG20" s="75">
        <f t="array" ref="AG20">SUM((YEAR(Gastos!$A$2:$A$2500)=AG$1)*(MONTH(Gastos!$A$2:$A$2500)=AG$3)*(Gastos!$B$2:$B$2500=$A20)*(Gastos!$D$2:$D$2500))</f>
        <v>0</v>
      </c>
      <c r="AH20" s="75">
        <f t="array" ref="AH20">SUM((YEAR(Gastos!$A$2:$A$2500)=AH$1)*(MONTH(Gastos!$A$2:$A$2500)=AH$3)*(Gastos!$B$2:$B$2500=$A20)*(Gastos!$D$2:$D$2500))</f>
        <v>0</v>
      </c>
      <c r="AI20" s="75">
        <f t="array" ref="AI20">SUM((YEAR(Gastos!$A$2:$A$2500)=AI$1)*(MONTH(Gastos!$A$2:$A$2500)=AI$3)*(Gastos!$B$2:$B$2500=$A20)*(Gastos!$D$2:$D$2500))</f>
        <v>0</v>
      </c>
      <c r="AJ20" s="75">
        <f t="array" ref="AJ20">SUM((YEAR(Gastos!$A$2:$A$2500)=AJ$1)*(MONTH(Gastos!$A$2:$A$2500)=AJ$3)*(Gastos!$B$2:$B$2500=$A20)*(Gastos!$D$2:$D$2500))</f>
        <v>0</v>
      </c>
      <c r="AK20" s="75">
        <f t="array" ref="AK20">SUM((YEAR(Gastos!$A$2:$A$2500)=AK$1)*(MONTH(Gastos!$A$2:$A$2500)=AK$3)*(Gastos!$B$2:$B$2500=$A20)*(Gastos!$D$2:$D$2500))</f>
        <v>0</v>
      </c>
      <c r="AL20" s="75">
        <f t="array" ref="AL20">SUM((YEAR(Gastos!$A$2:$A$2500)=AL$1)*(MONTH(Gastos!$A$2:$A$2500)=AL$3)*(Gastos!$B$2:$B$2500=$A20)*(Gastos!$D$2:$D$2500))</f>
        <v>0</v>
      </c>
      <c r="AM20" s="75">
        <f t="array" ref="AM20">SUM((YEAR(Gastos!$A$2:$A$2500)=AM$1)*(MONTH(Gastos!$A$2:$A$2500)=AM$3)*(Gastos!$B$2:$B$2500=$A20)*(Gastos!$D$2:$D$2500))</f>
        <v>0</v>
      </c>
      <c r="AN20" s="75">
        <f t="array" ref="AN20">SUM((YEAR(Gastos!$A$2:$A$2500)=AN$1)*(MONTH(Gastos!$A$2:$A$2500)=AN$3)*(Gastos!$B$2:$B$2500=$A20)*(Gastos!$D$2:$D$2500))</f>
        <v>0</v>
      </c>
      <c r="AO20" s="75">
        <f t="array" ref="AO20">SUM((YEAR(Gastos!$A$2:$A$2500)=AO$1)*(MONTH(Gastos!$A$2:$A$2500)=AO$3)*(Gastos!$B$2:$B$2500=$A20)*(Gastos!$D$2:$D$2500))</f>
        <v>0</v>
      </c>
      <c r="AP20" s="75">
        <f t="array" ref="AP20">SUM((YEAR(Gastos!$A$2:$A$2500)=AP$1)*(MONTH(Gastos!$A$2:$A$2500)=AP$3)*(Gastos!$B$2:$B$2500=$A20)*(Gastos!$D$2:$D$2500))</f>
        <v>0</v>
      </c>
      <c r="AQ20" s="75">
        <f t="array" ref="AQ20">SUM((YEAR(Gastos!$A$2:$A$2500)=AQ$1)*(MONTH(Gastos!$A$2:$A$2500)=AQ$3)*(Gastos!$B$2:$B$2500=$A20)*(Gastos!$D$2:$D$2500))</f>
        <v>0</v>
      </c>
      <c r="AR20" s="75">
        <f t="array" ref="AR20">SUM((YEAR(Gastos!$A$2:$A$2500)=AR$1)*(MONTH(Gastos!$A$2:$A$2500)=AR$3)*(Gastos!$B$2:$B$2500=$A20)*(Gastos!$D$2:$D$2500))</f>
        <v>0</v>
      </c>
      <c r="AS20" s="75">
        <f t="array" ref="AS20">SUM((YEAR(Gastos!$A$2:$A$2500)=AS$1)*(MONTH(Gastos!$A$2:$A$2500)=AS$3)*(Gastos!$B$2:$B$2500=$A20)*(Gastos!$D$2:$D$2500))</f>
        <v>0</v>
      </c>
      <c r="AT20" s="75">
        <f t="array" ref="AT20">SUM((YEAR(Gastos!$A$2:$A$2500)=AT$1)*(MONTH(Gastos!$A$2:$A$2500)=AT$3)*(Gastos!$B$2:$B$2500=$A20)*(Gastos!$D$2:$D$2500))</f>
        <v>0</v>
      </c>
      <c r="AU20" s="75">
        <f t="array" ref="AU20">SUM((YEAR(Gastos!$A$2:$A$2500)=AU$1)*(MONTH(Gastos!$A$2:$A$2500)=AU$3)*(Gastos!$B$2:$B$2500=$A20)*(Gastos!$D$2:$D$2500))</f>
        <v>0</v>
      </c>
      <c r="AV20" s="75">
        <f t="array" ref="AV20">SUM((YEAR(Gastos!$A$2:$A$2500)=AV$1)*(MONTH(Gastos!$A$2:$A$2500)=AV$3)*(Gastos!$B$2:$B$2500=$A20)*(Gastos!$D$2:$D$2500))</f>
        <v>0</v>
      </c>
      <c r="AW20" s="75">
        <f t="array" ref="AW20">SUM((YEAR(Gastos!$A$2:$A$2500)=AW$1)*(MONTH(Gastos!$A$2:$A$2500)=AW$3)*(Gastos!$B$2:$B$2500=$A20)*(Gastos!$D$2:$D$2500))</f>
        <v>0</v>
      </c>
      <c r="AX20" s="75">
        <f t="array" ref="AX20">SUM((YEAR(Gastos!$A$2:$A$2500)=AX$1)*(MONTH(Gastos!$A$2:$A$2500)=AX$3)*(Gastos!$B$2:$B$2500=$A20)*(Gastos!$D$2:$D$2500))</f>
        <v>0</v>
      </c>
      <c r="AY20" s="75">
        <f t="array" ref="AY20">SUM((YEAR(Gastos!$A$2:$A$2500)=AY$1)*(MONTH(Gastos!$A$2:$A$2500)=AY$3)*(Gastos!$B$2:$B$2500=$A20)*(Gastos!$D$2:$D$2500))</f>
        <v>0</v>
      </c>
      <c r="AZ20" s="75">
        <f t="array" ref="AZ20">SUM((YEAR(Gastos!$A$2:$A$2500)=AZ$1)*(MONTH(Gastos!$A$2:$A$2500)=AZ$3)*(Gastos!$B$2:$B$2500=$A20)*(Gastos!$D$2:$D$2500))</f>
        <v>0</v>
      </c>
      <c r="BA20" s="75">
        <f t="array" ref="BA20">SUM((YEAR(Gastos!$A$2:$A$2500)=BA$1)*(MONTH(Gastos!$A$2:$A$2500)=BA$3)*(Gastos!$B$2:$B$2500=$A20)*(Gastos!$D$2:$D$2500))</f>
        <v>0</v>
      </c>
      <c r="BB20" s="75">
        <f t="array" ref="BB20">SUM((YEAR(Gastos!$A$2:$A$2500)=BB$1)*(MONTH(Gastos!$A$2:$A$2500)=BB$3)*(Gastos!$B$2:$B$2500=$A20)*(Gastos!$D$2:$D$2500))</f>
        <v>0</v>
      </c>
      <c r="BC20" s="75">
        <f t="array" ref="BC20">SUM((YEAR(Gastos!$A$2:$A$2500)=BC$1)*(MONTH(Gastos!$A$2:$A$2500)=BC$3)*(Gastos!$B$2:$B$2500=$A20)*(Gastos!$D$2:$D$2500))</f>
        <v>0</v>
      </c>
      <c r="BD20" s="75">
        <f t="array" ref="BD20">SUM((YEAR(Gastos!$A$2:$A$2500)=BD$1)*(MONTH(Gastos!$A$2:$A$2500)=BD$3)*(Gastos!$B$2:$B$2500=$A20)*(Gastos!$D$2:$D$2500))</f>
        <v>0</v>
      </c>
      <c r="BE20" s="75">
        <f t="array" ref="BE20">SUM((YEAR(Gastos!$A$2:$A$2500)=BE$1)*(MONTH(Gastos!$A$2:$A$2500)=BE$3)*(Gastos!$B$2:$B$2500=$A20)*(Gastos!$D$2:$D$2500))</f>
        <v>0</v>
      </c>
      <c r="BF20" s="75">
        <f t="array" ref="BF20">SUM((YEAR(Gastos!$A$2:$A$2500)=BF$1)*(MONTH(Gastos!$A$2:$A$2500)=BF$3)*(Gastos!$B$2:$B$2500=$A20)*(Gastos!$D$2:$D$2500))</f>
        <v>0</v>
      </c>
      <c r="BG20" s="75">
        <f t="array" ref="BG20">SUM((YEAR(Gastos!$A$2:$A$2500)=BG$1)*(MONTH(Gastos!$A$2:$A$2500)=BG$3)*(Gastos!$B$2:$B$2500=$A20)*(Gastos!$D$2:$D$2500))</f>
        <v>0</v>
      </c>
      <c r="BH20" s="75">
        <f t="array" ref="BH20">SUM((YEAR(Gastos!$A$2:$A$2500)=BH$1)*(MONTH(Gastos!$A$2:$A$2500)=BH$3)*(Gastos!$B$2:$B$2500=$A20)*(Gastos!$D$2:$D$2500))</f>
        <v>0</v>
      </c>
      <c r="BI20" s="75">
        <f t="array" ref="BI20">SUM((YEAR(Gastos!$A$2:$A$2500)=BI$1)*(MONTH(Gastos!$A$2:$A$2500)=BI$3)*(Gastos!$B$2:$B$2500=$A20)*(Gastos!$D$2:$D$2500))</f>
        <v>0</v>
      </c>
      <c r="BJ20" s="75">
        <f t="array" ref="BJ20">SUM((YEAR(Gastos!$A$2:$A$2500)=BJ$1)*(MONTH(Gastos!$A$2:$A$2500)=BJ$3)*(Gastos!$B$2:$B$2500=$A20)*(Gastos!$D$2:$D$2500))</f>
        <v>0</v>
      </c>
      <c r="BK20" s="75">
        <f t="array" ref="BK20">SUM((YEAR(Gastos!$A$2:$A$2500)=BK$1)*(MONTH(Gastos!$A$2:$A$2500)=BK$3)*(Gastos!$B$2:$B$2500=$A20)*(Gastos!$D$2:$D$2500))</f>
        <v>0</v>
      </c>
      <c r="BL20" s="75">
        <f t="array" ref="BL20">SUM((YEAR(Gastos!$A$2:$A$2500)=BL$1)*(MONTH(Gastos!$A$2:$A$2500)=BL$3)*(Gastos!$B$2:$B$2500=$A20)*(Gastos!$D$2:$D$2500))</f>
        <v>0</v>
      </c>
      <c r="BM20" s="75">
        <f t="array" ref="BM20">SUM((YEAR(Gastos!$A$2:$A$2500)=BM$1)*(MONTH(Gastos!$A$2:$A$2500)=BM$3)*(Gastos!$B$2:$B$2500=$A20)*(Gastos!$D$2:$D$2500))</f>
        <v>4524</v>
      </c>
      <c r="BN20" s="75">
        <f t="array" ref="BN20">SUM((YEAR(Gastos!$A$2:$A$2500)=BN$1)*(MONTH(Gastos!$A$2:$A$2500)=BN$3)*(Gastos!$B$2:$B$2500=$A20)*(Gastos!$D$2:$D$2500))</f>
        <v>10556</v>
      </c>
      <c r="BO20" s="75">
        <f t="array" ref="BO20">SUM((YEAR(Gastos!$A$2:$A$2500)=BO$1)*(MONTH(Gastos!$A$2:$A$2500)=BO$3)*(Gastos!$B$2:$B$2500=$A20)*(Gastos!$D$2:$D$2500))</f>
        <v>0</v>
      </c>
      <c r="BP20" s="75">
        <f t="array" ref="BP20">SUM((YEAR(Gastos!$A$2:$A$2500)=BP$1)*(MONTH(Gastos!$A$2:$A$2500)=BP$3)*(Gastos!$B$2:$B$2500=$A20)*(Gastos!$D$2:$D$2500))</f>
        <v>0</v>
      </c>
      <c r="BQ20" s="75">
        <f t="array" ref="BQ20">SUM((YEAR(Gastos!$A$2:$A$2500)=BQ$1)*(MONTH(Gastos!$A$2:$A$2500)=BQ$3)*(Gastos!$B$2:$B$2500=$A20)*(Gastos!$D$2:$D$2500))</f>
        <v>0</v>
      </c>
      <c r="BR20" s="75">
        <f t="array" ref="BR20">SUM((YEAR(Gastos!$A$2:$A$2500)=BR$1)*(MONTH(Gastos!$A$2:$A$2500)=BR$3)*(Gastos!$B$2:$B$2500=$A20)*(Gastos!$D$2:$D$2500))</f>
        <v>0</v>
      </c>
      <c r="BS20" s="75">
        <f t="array" ref="BS20">SUM((YEAR(Gastos!$A$2:$A$2500)=BS$1)*(MONTH(Gastos!$A$2:$A$2500)=BS$3)*(Gastos!$B$2:$B$2500=$A20)*(Gastos!$D$2:$D$2500))</f>
        <v>0</v>
      </c>
      <c r="BT20" s="75">
        <f t="array" ref="BT20">SUM((YEAR(Gastos!$A$2:$A$2500)=BT$1)*(MONTH(Gastos!$A$2:$A$2500)=BT$3)*(Gastos!$B$2:$B$2500=$A20)*(Gastos!$D$2:$D$2500))</f>
        <v>0</v>
      </c>
      <c r="BU20" s="75">
        <f t="array" ref="BU20">SUM((YEAR(Gastos!$A$2:$A$2500)=BU$1)*(MONTH(Gastos!$A$2:$A$2500)=BU$3)*(Gastos!$B$2:$B$2500=$A20)*(Gastos!$D$2:$D$2500))</f>
        <v>0</v>
      </c>
      <c r="BV20" s="75">
        <f t="array" ref="BV20">SUM((YEAR(Gastos!$A$2:$A$2500)=BV$1)*(MONTH(Gastos!$A$2:$A$2500)=BV$3)*(Gastos!$B$2:$B$2500=$A20)*(Gastos!$D$2:$D$2500))</f>
        <v>0</v>
      </c>
      <c r="BW20" s="75">
        <f t="array" ref="BW20">SUM((YEAR(Gastos!$A$2:$A$2500)=BW$1)*(MONTH(Gastos!$A$2:$A$2500)=BW$3)*(Gastos!$B$2:$B$2500=$A20)*(Gastos!$D$2:$D$2500))</f>
        <v>0</v>
      </c>
      <c r="BX20" s="75">
        <f t="array" ref="BX20">SUM((YEAR(Gastos!$A$2:$A$2500)=BX$1)*(MONTH(Gastos!$A$2:$A$2500)=BX$3)*(Gastos!$B$2:$B$2500=$A20)*(Gastos!$D$2:$D$2500))</f>
        <v>0</v>
      </c>
      <c r="BY20" s="75">
        <f t="array" ref="BY20">SUM((YEAR(Gastos!$A$2:$A$2500)=BY$1)*(MONTH(Gastos!$A$2:$A$2500)=BY$3)*(Gastos!$B$2:$B$2500=$A20)*(Gastos!$D$2:$D$2500))</f>
        <v>0</v>
      </c>
      <c r="BZ20" s="75">
        <f t="array" ref="BZ20">SUM((YEAR(Gastos!$A$2:$A$2500)=BZ$1)*(MONTH(Gastos!$A$2:$A$2500)=BZ$3)*(Gastos!$B$2:$B$2500=$A20)*(Gastos!$D$2:$D$2500))</f>
        <v>0</v>
      </c>
      <c r="CA20" s="75">
        <f t="array" ref="CA20">SUM((YEAR(Gastos!$A$2:$A$2500)=CA$1)*(MONTH(Gastos!$A$2:$A$2500)=CA$3)*(Gastos!$B$2:$B$2500=$A20)*(Gastos!$D$2:$D$2500))</f>
        <v>0</v>
      </c>
      <c r="CB20" s="75">
        <f t="array" ref="CB20">SUM((YEAR(Gastos!$A$2:$A$2500)=CB$1)*(MONTH(Gastos!$A$2:$A$2500)=CB$3)*(Gastos!$B$2:$B$2500=$A20)*(Gastos!$D$2:$D$2500))</f>
        <v>0</v>
      </c>
      <c r="CC20" s="75">
        <f t="array" ref="CC20">SUM((YEAR(Gastos!$A$2:$A$2500)=CC$1)*(MONTH(Gastos!$A$2:$A$2500)=CC$3)*(Gastos!$B$2:$B$2500=$A20)*(Gastos!$D$2:$D$2500))</f>
        <v>0</v>
      </c>
      <c r="CD20" s="75">
        <f t="array" ref="CD20">SUM((YEAR(Gastos!$A$2:$A$2500)=CD$1)*(MONTH(Gastos!$A$2:$A$2500)=CD$3)*(Gastos!$B$2:$B$2500=$A20)*(Gastos!$D$2:$D$2500))</f>
        <v>0</v>
      </c>
      <c r="CE20" s="75">
        <f t="array" ref="CE20">SUM((YEAR(Gastos!$A$2:$A$2500)=CE$1)*(MONTH(Gastos!$A$2:$A$2500)=CE$3)*(Gastos!$B$2:$B$2500=$A20)*(Gastos!$D$2:$D$2500))</f>
        <v>0</v>
      </c>
      <c r="CF20" s="75">
        <f t="array" ref="CF20">SUM((YEAR(Gastos!$A$2:$A$2500)=CF$1)*(MONTH(Gastos!$A$2:$A$2500)=CF$3)*(Gastos!$B$2:$B$2500=$A20)*(Gastos!$D$2:$D$2500))</f>
        <v>0</v>
      </c>
      <c r="CG20" s="75">
        <f t="array" ref="CG20">SUM((YEAR(Gastos!$A$2:$A$2500)=CG$1)*(MONTH(Gastos!$A$2:$A$2500)=CG$3)*(Gastos!$B$2:$B$2500=$A20)*(Gastos!$D$2:$D$2500))</f>
        <v>0</v>
      </c>
      <c r="CH20" s="75">
        <f t="array" ref="CH20">SUM((YEAR(Gastos!$A$2:$A$2500)=CH$1)*(MONTH(Gastos!$A$2:$A$2500)=CH$3)*(Gastos!$B$2:$B$2500=$A20)*(Gastos!$D$2:$D$2500))</f>
        <v>0</v>
      </c>
      <c r="CI20" s="75">
        <f t="array" ref="CI20">SUM((YEAR(Gastos!$A$2:$A$2500)=CI$1)*(MONTH(Gastos!$A$2:$A$2500)=CI$3)*(Gastos!$B$2:$B$2500=$A20)*(Gastos!$D$2:$D$2500))</f>
        <v>0</v>
      </c>
      <c r="CJ20" s="75">
        <f t="array" ref="CJ20">SUM((YEAR(Gastos!$A$2:$A$2500)=CJ$1)*(MONTH(Gastos!$A$2:$A$2500)=CJ$3)*(Gastos!$B$2:$B$2500=$A20)*(Gastos!$D$2:$D$2500))</f>
        <v>0</v>
      </c>
      <c r="CK20" s="75">
        <f t="array" ref="CK20">SUM((YEAR(Gastos!$A$2:$A$2500)=CK$1)*(MONTH(Gastos!$A$2:$A$2500)=CK$3)*(Gastos!$B$2:$B$2500=$A20)*(Gastos!$D$2:$D$2500))</f>
        <v>0</v>
      </c>
      <c r="CL20" s="75">
        <f t="array" ref="CL20">SUM((YEAR(Gastos!$A$2:$A$2500)=CL$1)*(MONTH(Gastos!$A$2:$A$2500)=CL$3)*(Gastos!$B$2:$B$2500=$A20)*(Gastos!$D$2:$D$2500))</f>
        <v>0</v>
      </c>
      <c r="CM20" s="75">
        <f t="array" ref="CM20">SUM((YEAR(Gastos!$A$2:$A$2500)=CM$1)*(MONTH(Gastos!$A$2:$A$2500)=CM$3)*(Gastos!$B$2:$B$2500=$A20)*(Gastos!$D$2:$D$2500))</f>
        <v>0</v>
      </c>
      <c r="CN20" s="75">
        <f t="array" ref="CN20">SUM((YEAR(Gastos!$A$2:$A$2500)=CN$1)*(MONTH(Gastos!$A$2:$A$2500)=CN$3)*(Gastos!$B$2:$B$2500=$A20)*(Gastos!$D$2:$D$2500))</f>
        <v>0</v>
      </c>
      <c r="CO20" s="75">
        <f t="array" ref="CO20">SUM((YEAR(Gastos!$A$2:$A$2500)=CO$1)*(MONTH(Gastos!$A$2:$A$2500)=CO$3)*(Gastos!$B$2:$B$2500=$A20)*(Gastos!$D$2:$D$2500))</f>
        <v>0</v>
      </c>
      <c r="CP20" s="75">
        <f t="array" ref="CP20">SUM((YEAR(Gastos!$A$2:$A$2500)=CP$1)*(MONTH(Gastos!$A$2:$A$2500)=CP$3)*(Gastos!$B$2:$B$2500=$A20)*(Gastos!$D$2:$D$2500))</f>
        <v>0</v>
      </c>
      <c r="CQ20" s="75">
        <f t="array" ref="CQ20">SUM((YEAR(Gastos!$A$2:$A$2500)=CQ$1)*(MONTH(Gastos!$A$2:$A$2500)=CQ$3)*(Gastos!$B$2:$B$2500=$A20)*(Gastos!$D$2:$D$2500))</f>
        <v>0</v>
      </c>
      <c r="CR20" s="75">
        <f t="array" ref="CR20">SUM((YEAR(Gastos!$A$2:$A$2500)=CR$1)*(MONTH(Gastos!$A$2:$A$2500)=CR$3)*(Gastos!$B$2:$B$2500=$A20)*(Gastos!$D$2:$D$2500))</f>
        <v>0</v>
      </c>
      <c r="CS20" s="75">
        <f t="array" ref="CS20">SUM((YEAR(Gastos!$A$2:$A$2500)=CS$1)*(MONTH(Gastos!$A$2:$A$2500)=CS$3)*(Gastos!$B$2:$B$2500=$A20)*(Gastos!$D$2:$D$2500))</f>
        <v>0</v>
      </c>
      <c r="CT20" s="75">
        <f t="array" ref="CT20">SUM((YEAR(Gastos!$A$2:$A$2500)=CT$1)*(MONTH(Gastos!$A$2:$A$2500)=CT$3)*(Gastos!$B$2:$B$2500=$A20)*(Gastos!$D$2:$D$2500))</f>
        <v>0</v>
      </c>
      <c r="CU20" s="75">
        <f t="array" ref="CU20">SUM((YEAR(Gastos!$A$2:$A$2500)=CU$1)*(MONTH(Gastos!$A$2:$A$2500)=CU$3)*(Gastos!$B$2:$B$2500=$A20)*(Gastos!$D$2:$D$2500))</f>
        <v>0</v>
      </c>
      <c r="CV20" s="75">
        <f t="array" ref="CV20">SUM((YEAR(Gastos!$A$2:$A$2500)=CV$1)*(MONTH(Gastos!$A$2:$A$2500)=CV$3)*(Gastos!$B$2:$B$2500=$A20)*(Gastos!$D$2:$D$2500))</f>
        <v>0</v>
      </c>
      <c r="CW20" s="75">
        <f t="array" ref="CW20">SUM((YEAR(Gastos!$A$2:$A$2500)=CW$1)*(MONTH(Gastos!$A$2:$A$2500)=CW$3)*(Gastos!$B$2:$B$2500=$A20)*(Gastos!$D$2:$D$2500))</f>
        <v>0</v>
      </c>
      <c r="CX20" s="75">
        <f t="array" ref="CX20">SUM((YEAR(Gastos!$A$2:$A$2500)=CX$1)*(MONTH(Gastos!$A$2:$A$2500)=CX$3)*(Gastos!$B$2:$B$2500=$A20)*(Gastos!$D$2:$D$2500))</f>
        <v>0</v>
      </c>
      <c r="CY20" s="75">
        <f t="array" ref="CY20">SUM((YEAR(Gastos!$A$2:$A$2500)=CY$1)*(MONTH(Gastos!$A$2:$A$2500)=CY$3)*(Gastos!$B$2:$B$2500=$A20)*(Gastos!$D$2:$D$2500))</f>
        <v>0</v>
      </c>
      <c r="CZ20" s="75">
        <f t="array" ref="CZ20">SUM((YEAR(Gastos!$A$2:$A$2500)=CZ$1)*(MONTH(Gastos!$A$2:$A$2500)=CZ$3)*(Gastos!$B$2:$B$2500=$A20)*(Gastos!$D$2:$D$2500))</f>
        <v>0</v>
      </c>
      <c r="DA20" s="75">
        <f t="array" ref="DA20">SUM((YEAR(Gastos!$A$2:$A$2500)=DA$1)*(MONTH(Gastos!$A$2:$A$2500)=DA$3)*(Gastos!$B$2:$B$2500=$A20)*(Gastos!$D$2:$D$2500))</f>
        <v>0</v>
      </c>
      <c r="DB20" s="75">
        <f t="array" ref="DB20">SUM((YEAR(Gastos!$A$2:$A$2500)=DB$1)*(MONTH(Gastos!$A$2:$A$2500)=DB$3)*(Gastos!$B$2:$B$2500=$A20)*(Gastos!$D$2:$D$2500))</f>
        <v>0</v>
      </c>
      <c r="DC20" s="75">
        <f t="array" ref="DC20">SUM((YEAR(Gastos!$A$2:$A$2500)=DC$1)*(MONTH(Gastos!$A$2:$A$2500)=DC$3)*(Gastos!$B$2:$B$2500=$A20)*(Gastos!$D$2:$D$2500))</f>
        <v>0</v>
      </c>
      <c r="DD20" s="75">
        <f t="array" ref="DD20">SUM((YEAR(Gastos!$A$2:$A$2500)=DD$1)*(MONTH(Gastos!$A$2:$A$2500)=DD$3)*(Gastos!$B$2:$B$2500=$A20)*(Gastos!$D$2:$D$2500))</f>
        <v>0</v>
      </c>
      <c r="DE20" s="75">
        <f t="array" ref="DE20">SUM((YEAR(Gastos!$A$2:$A$2500)=DE$1)*(MONTH(Gastos!$A$2:$A$2500)=DE$3)*(Gastos!$B$2:$B$2500=$A20)*(Gastos!$D$2:$D$2500))</f>
        <v>0</v>
      </c>
      <c r="DF20" s="75">
        <f t="array" ref="DF20">SUM((YEAR(Gastos!$A$2:$A$2500)=DF$1)*(MONTH(Gastos!$A$2:$A$2500)=DF$3)*(Gastos!$B$2:$B$2500=$A20)*(Gastos!$D$2:$D$2500))</f>
        <v>0</v>
      </c>
      <c r="DG20" s="75">
        <f t="array" ref="DG20">SUM((YEAR(Gastos!$A$2:$A$2500)=DG$1)*(MONTH(Gastos!$A$2:$A$2500)=DG$3)*(Gastos!$B$2:$B$2500=$A20)*(Gastos!$D$2:$D$2500))</f>
        <v>0</v>
      </c>
      <c r="DH20" s="75">
        <f t="array" ref="DH20">SUM((YEAR(Gastos!$A$2:$A$2500)=DH$1)*(MONTH(Gastos!$A$2:$A$2500)=DH$3)*(Gastos!$B$2:$B$2500=$A20)*(Gastos!$D$2:$D$2500))</f>
        <v>0</v>
      </c>
      <c r="DI20" s="75">
        <f t="array" ref="DI20">SUM((YEAR(Gastos!$A$2:$A$2500)=DI$1)*(MONTH(Gastos!$A$2:$A$2500)=DI$3)*(Gastos!$B$2:$B$2500=$A20)*(Gastos!$D$2:$D$2500))</f>
        <v>0</v>
      </c>
      <c r="DJ20" s="75">
        <f t="array" ref="DJ20">SUM((YEAR(Gastos!$A$2:$A$2500)=DJ$1)*(MONTH(Gastos!$A$2:$A$2500)=DJ$3)*(Gastos!$B$2:$B$2500=$A20)*(Gastos!$D$2:$D$2500))</f>
        <v>0</v>
      </c>
      <c r="DK20" s="75">
        <f t="array" ref="DK20">SUM((YEAR(Gastos!$A$2:$A$2500)=DK$1)*(MONTH(Gastos!$A$2:$A$2500)=DK$3)*(Gastos!$B$2:$B$2500=$A20)*(Gastos!$D$2:$D$2500))</f>
        <v>0</v>
      </c>
      <c r="DL20" s="75">
        <f t="array" ref="DL20">SUM((YEAR(Gastos!$A$2:$A$2500)=DL$1)*(MONTH(Gastos!$A$2:$A$2500)=DL$3)*(Gastos!$B$2:$B$2500=$A20)*(Gastos!$D$2:$D$2500))</f>
        <v>0</v>
      </c>
      <c r="DM20" s="75">
        <f t="array" ref="DM20">SUM((YEAR(Gastos!$A$2:$A$2500)=DM$1)*(MONTH(Gastos!$A$2:$A$2500)=DM$3)*(Gastos!$B$2:$B$2500=$A20)*(Gastos!$D$2:$D$2500))</f>
        <v>0</v>
      </c>
      <c r="DN20" s="75">
        <f t="array" ref="DN20">SUM((YEAR(Gastos!$A$2:$A$2500)=DN$1)*(MONTH(Gastos!$A$2:$A$2500)=DN$3)*(Gastos!$B$2:$B$2500=$A20)*(Gastos!$D$2:$D$2500))</f>
        <v>0</v>
      </c>
      <c r="DO20" s="75">
        <f t="array" ref="DO20">SUM((YEAR(Gastos!$A$2:$A$2500)=DO$1)*(MONTH(Gastos!$A$2:$A$2500)=DO$3)*(Gastos!$B$2:$B$2500=$A20)*(Gastos!$D$2:$D$2500))</f>
        <v>0</v>
      </c>
      <c r="DP20" s="75">
        <f t="array" ref="DP20">SUM((YEAR(Gastos!$A$2:$A$2500)=DP$1)*(MONTH(Gastos!$A$2:$A$2500)=DP$3)*(Gastos!$B$2:$B$2500=$A20)*(Gastos!$D$2:$D$2500))</f>
        <v>0</v>
      </c>
      <c r="DQ20" s="75">
        <f t="array" ref="DQ20">SUM((YEAR(Gastos!$A$2:$A$2500)=DQ$1)*(MONTH(Gastos!$A$2:$A$2500)=DQ$3)*(Gastos!$B$2:$B$2500=$A20)*(Gastos!$D$2:$D$2500))</f>
        <v>0</v>
      </c>
      <c r="DR20" s="75">
        <f t="array" ref="DR20">SUM((YEAR(Gastos!$A$2:$A$2500)=DR$1)*(MONTH(Gastos!$A$2:$A$2500)=DR$3)*(Gastos!$B$2:$B$2500=$A20)*(Gastos!$D$2:$D$2500))</f>
        <v>0</v>
      </c>
      <c r="DS20" s="75">
        <f t="array" ref="DS20">SUM((YEAR(Gastos!$A$2:$A$2500)=DS$1)*(MONTH(Gastos!$A$2:$A$2500)=DS$3)*(Gastos!$B$2:$B$2500=$A20)*(Gastos!$D$2:$D$2500))</f>
        <v>0</v>
      </c>
      <c r="DT20" s="75">
        <f t="array" ref="DT20">SUM((YEAR(Gastos!$A$2:$A$2500)=DT$1)*(MONTH(Gastos!$A$2:$A$2500)=DT$3)*(Gastos!$B$2:$B$2500=$A20)*(Gastos!$D$2:$D$2500))</f>
        <v>0</v>
      </c>
      <c r="DU20" s="75">
        <f t="array" ref="DU20">SUM((YEAR(Gastos!$A$2:$A$2500)=DU$1)*(MONTH(Gastos!$A$2:$A$2500)=DU$3)*(Gastos!$B$2:$B$2500=$A20)*(Gastos!$D$2:$D$2500))</f>
        <v>0</v>
      </c>
      <c r="DV20" s="75">
        <f t="array" ref="DV20">SUM((YEAR(Gastos!$A$2:$A$2500)=DV$1)*(MONTH(Gastos!$A$2:$A$2500)=DV$3)*(Gastos!$B$2:$B$2500=$A20)*(Gastos!$D$2:$D$2500))</f>
        <v>0</v>
      </c>
      <c r="DW20" s="75">
        <f t="array" ref="DW20">SUM((YEAR(Gastos!$A$2:$A$2500)=DW$1)*(MONTH(Gastos!$A$2:$A$2500)=DW$3)*(Gastos!$B$2:$B$2500=$A20)*(Gastos!$D$2:$D$2500))</f>
        <v>0</v>
      </c>
      <c r="DX20" s="75">
        <f t="array" ref="DX20">SUM((YEAR(Gastos!$A$2:$A$2500)=DX$1)*(MONTH(Gastos!$A$2:$A$2500)=DX$3)*(Gastos!$B$2:$B$2500=$A20)*(Gastos!$D$2:$D$2500))</f>
        <v>0</v>
      </c>
      <c r="DY20" s="75">
        <f t="array" ref="DY20">SUM((YEAR(Gastos!$A$2:$A$2500)=DY$1)*(MONTH(Gastos!$A$2:$A$2500)=DY$3)*(Gastos!$B$2:$B$2500=$A20)*(Gastos!$D$2:$D$2500))</f>
        <v>0</v>
      </c>
      <c r="DZ20" s="75">
        <f t="array" ref="DZ20">SUM((YEAR(Gastos!$A$2:$A$2500)=DZ$1)*(MONTH(Gastos!$A$2:$A$2500)=DZ$3)*(Gastos!$B$2:$B$2500=$A20)*(Gastos!$D$2:$D$2500))</f>
        <v>0</v>
      </c>
      <c r="EA20" s="75">
        <f t="array" ref="EA20">SUM((YEAR(Gastos!$A$2:$A$2500)=EA$1)*(MONTH(Gastos!$A$2:$A$2500)=EA$3)*(Gastos!$B$2:$B$2500=$A20)*(Gastos!$D$2:$D$2500))</f>
        <v>0</v>
      </c>
      <c r="EB20" s="75">
        <f t="array" ref="EB20">SUM((YEAR(Gastos!$A$2:$A$2500)=EB$1)*(MONTH(Gastos!$A$2:$A$2500)=EB$3)*(Gastos!$B$2:$B$2500=$A20)*(Gastos!$D$2:$D$2500))</f>
        <v>0</v>
      </c>
      <c r="EC20" s="75">
        <f t="array" ref="EC20">SUM((YEAR(Gastos!$A$2:$A$2500)=EC$1)*(MONTH(Gastos!$A$2:$A$2500)=EC$3)*(Gastos!$B$2:$B$2500=$A20)*(Gastos!$D$2:$D$2500))</f>
        <v>0</v>
      </c>
      <c r="ED20" s="75">
        <f t="array" ref="ED20">SUM((YEAR(Gastos!$A$2:$A$2500)=ED$1)*(MONTH(Gastos!$A$2:$A$2500)=ED$3)*(Gastos!$B$2:$B$2500=$A20)*(Gastos!$D$2:$D$2500))</f>
        <v>0</v>
      </c>
      <c r="EE20" s="75">
        <f t="array" ref="EE20">SUM((YEAR(Gastos!$A$2:$A$2500)=EE$1)*(MONTH(Gastos!$A$2:$A$2500)=EE$3)*(Gastos!$B$2:$B$2500=$A20)*(Gastos!$D$2:$D$2500))</f>
        <v>0</v>
      </c>
      <c r="EF20" s="75">
        <f t="array" ref="EF20">SUM((YEAR(Gastos!$A$2:$A$2500)=EF$1)*(MONTH(Gastos!$A$2:$A$2500)=EF$3)*(Gastos!$B$2:$B$2500=$A20)*(Gastos!$D$2:$D$2500))</f>
        <v>0</v>
      </c>
      <c r="EG20" s="75">
        <f t="array" ref="EG20">SUM((YEAR(Gastos!$A$2:$A$2500)=EG$1)*(MONTH(Gastos!$A$2:$A$2500)=EG$3)*(Gastos!$B$2:$B$2500=$A20)*(Gastos!$D$2:$D$2500))</f>
        <v>0</v>
      </c>
      <c r="EH20" s="75">
        <f t="array" ref="EH20">SUM((YEAR(Gastos!$A$2:$A$2500)=EH$1)*(MONTH(Gastos!$A$2:$A$2500)=EH$3)*(Gastos!$B$2:$B$2500=$A20)*(Gastos!$D$2:$D$2500))</f>
        <v>0</v>
      </c>
      <c r="EI20" s="75">
        <f t="array" ref="EI20">SUM((YEAR(Gastos!$A$2:$A$2500)=EI$1)*(MONTH(Gastos!$A$2:$A$2500)=EI$3)*(Gastos!$B$2:$B$2500=$A20)*(Gastos!$D$2:$D$2500))</f>
        <v>0</v>
      </c>
      <c r="EJ20" s="75">
        <f t="array" ref="EJ20">SUM((YEAR(Gastos!$A$2:$A$2500)=EJ$1)*(MONTH(Gastos!$A$2:$A$2500)=EJ$3)*(Gastos!$B$2:$B$2500=$A20)*(Gastos!$D$2:$D$2500))</f>
        <v>0</v>
      </c>
      <c r="EK20" s="75">
        <f t="array" ref="EK20">SUM((YEAR(Gastos!$A$2:$A$2500)=EK$1)*(MONTH(Gastos!$A$2:$A$2500)=EK$3)*(Gastos!$B$2:$B$2500=$A20)*(Gastos!$D$2:$D$2500))</f>
        <v>0</v>
      </c>
      <c r="EL20" s="75">
        <f t="array" ref="EL20">SUM((YEAR(Gastos!$A$2:$A$2500)=EL$1)*(MONTH(Gastos!$A$2:$A$2500)=EL$3)*(Gastos!$B$2:$B$2500=$A20)*(Gastos!$D$2:$D$2500))</f>
        <v>0</v>
      </c>
      <c r="EM20" s="75">
        <f t="array" ref="EM20">SUM((YEAR(Gastos!$A$2:$A$2500)=EM$1)*(MONTH(Gastos!$A$2:$A$2500)=EM$3)*(Gastos!$B$2:$B$2500=$A20)*(Gastos!$D$2:$D$2500))</f>
        <v>0</v>
      </c>
      <c r="EN20" s="75">
        <f t="array" ref="EN20">SUM((YEAR(Gastos!$A$2:$A$2500)=EN$1)*(MONTH(Gastos!$A$2:$A$2500)=EN$3)*(Gastos!$B$2:$B$2500=$A20)*(Gastos!$D$2:$D$2500))</f>
        <v>0</v>
      </c>
      <c r="EO20" s="75">
        <f t="array" ref="EO20">SUM((YEAR(Gastos!$A$2:$A$2500)=EO$1)*(MONTH(Gastos!$A$2:$A$2500)=EO$3)*(Gastos!$B$2:$B$2500=$A20)*(Gastos!$D$2:$D$2500))</f>
        <v>0</v>
      </c>
      <c r="EP20" s="75">
        <f t="array" ref="EP20">SUM((YEAR(Gastos!$A$2:$A$2500)=EP$1)*(MONTH(Gastos!$A$2:$A$2500)=EP$3)*(Gastos!$B$2:$B$2500=$A20)*(Gastos!$D$2:$D$2500))</f>
        <v>0</v>
      </c>
      <c r="EQ20" s="75">
        <f t="array" ref="EQ20">SUM((YEAR(Gastos!$A$2:$A$2500)=EQ$1)*(MONTH(Gastos!$A$2:$A$2500)=EQ$3)*(Gastos!$B$2:$B$2500=$A20)*(Gastos!$D$2:$D$2500))</f>
        <v>0</v>
      </c>
      <c r="ER20" s="75">
        <f t="array" ref="ER20">SUM((YEAR(Gastos!$A$2:$A$2500)=ER$1)*(MONTH(Gastos!$A$2:$A$2500)=ER$3)*(Gastos!$B$2:$B$2500=$A20)*(Gastos!$D$2:$D$2500))</f>
        <v>0</v>
      </c>
      <c r="ES20" s="75">
        <f t="array" ref="ES20">SUM((YEAR(Gastos!$A$2:$A$2500)=ES$1)*(MONTH(Gastos!$A$2:$A$2500)=ES$3)*(Gastos!$B$2:$B$2500=$A20)*(Gastos!$D$2:$D$2500))</f>
        <v>0</v>
      </c>
      <c r="ET20" s="75">
        <f t="array" ref="ET20">SUM((YEAR(Gastos!$A$2:$A$2500)=ET$1)*(MONTH(Gastos!$A$2:$A$2500)=ET$3)*(Gastos!$B$2:$B$2500=$A20)*(Gastos!$D$2:$D$2500))</f>
        <v>0</v>
      </c>
      <c r="EU20" s="75">
        <f t="array" ref="EU20">SUM((YEAR(Gastos!$A$2:$A$2500)=EU$1)*(MONTH(Gastos!$A$2:$A$2500)=EU$3)*(Gastos!$B$2:$B$2500=$A20)*(Gastos!$D$2:$D$2500))</f>
        <v>0</v>
      </c>
      <c r="EV20" s="75">
        <f t="array" ref="EV20">SUM((YEAR(Gastos!$A$2:$A$2500)=EV$1)*(MONTH(Gastos!$A$2:$A$2500)=EV$3)*(Gastos!$B$2:$B$2500=$A20)*(Gastos!$D$2:$D$2500))</f>
        <v>0</v>
      </c>
      <c r="EW20" s="75">
        <f t="array" ref="EW20">SUM((YEAR(Gastos!$A$2:$A$2500)=EW$1)*(MONTH(Gastos!$A$2:$A$2500)=EW$3)*(Gastos!$B$2:$B$2500=$A20)*(Gastos!$D$2:$D$2500))</f>
        <v>0</v>
      </c>
      <c r="EX20" s="75">
        <f t="array" ref="EX20">SUM((YEAR(Gastos!$A$2:$A$2500)=EX$1)*(MONTH(Gastos!$A$2:$A$2500)=EX$3)*(Gastos!$B$2:$B$2500=$A20)*(Gastos!$D$2:$D$2500))</f>
        <v>0</v>
      </c>
      <c r="EY20" s="75">
        <f t="array" ref="EY20">SUM((YEAR(Gastos!$A$2:$A$2500)=EY$1)*(MONTH(Gastos!$A$2:$A$2500)=EY$3)*(Gastos!$B$2:$B$2500=$A20)*(Gastos!$D$2:$D$2500))</f>
        <v>0</v>
      </c>
      <c r="EZ20" s="75">
        <f t="array" ref="EZ20">SUM((YEAR(Gastos!$A$2:$A$2500)=EZ$1)*(MONTH(Gastos!$A$2:$A$2500)=EZ$3)*(Gastos!$B$2:$B$2500=$A20)*(Gastos!$D$2:$D$2500))</f>
        <v>0</v>
      </c>
      <c r="FA20" s="75">
        <f t="array" ref="FA20">SUM((YEAR(Gastos!$A$2:$A$2500)=FA$1)*(MONTH(Gastos!$A$2:$A$2500)=FA$3)*(Gastos!$B$2:$B$2500=$A20)*(Gastos!$D$2:$D$2500))</f>
        <v>0</v>
      </c>
      <c r="FB20" s="75">
        <f t="array" ref="FB20">SUM((YEAR(Gastos!$A$2:$A$2500)=FB$1)*(MONTH(Gastos!$A$2:$A$2500)=FB$3)*(Gastos!$B$2:$B$2500=$A20)*(Gastos!$D$2:$D$2500))</f>
        <v>0</v>
      </c>
      <c r="FC20" s="75">
        <f t="array" ref="FC20">SUM((YEAR(Gastos!$A$2:$A$2500)=FC$1)*(MONTH(Gastos!$A$2:$A$2500)=FC$3)*(Gastos!$B$2:$B$2500=$A20)*(Gastos!$D$2:$D$2500))</f>
        <v>0</v>
      </c>
      <c r="FD20" s="75">
        <f t="array" ref="FD20">SUM((YEAR(Gastos!$A$2:$A$2500)=FD$1)*(MONTH(Gastos!$A$2:$A$2500)=FD$3)*(Gastos!$B$2:$B$2500=$A20)*(Gastos!$D$2:$D$2500))</f>
        <v>0</v>
      </c>
      <c r="FE20" s="75">
        <f t="array" ref="FE20">SUM((YEAR(Gastos!$A$2:$A$2500)=FE$1)*(MONTH(Gastos!$A$2:$A$2500)=FE$3)*(Gastos!$B$2:$B$2500=$A20)*(Gastos!$D$2:$D$2500))</f>
        <v>0</v>
      </c>
      <c r="FF20" s="75">
        <f t="array" ref="FF20">SUM((YEAR(Gastos!$A$2:$A$2500)=FF$1)*(MONTH(Gastos!$A$2:$A$2500)=FF$3)*(Gastos!$B$2:$B$2500=$A20)*(Gastos!$D$2:$D$2500))</f>
        <v>0</v>
      </c>
      <c r="FG20" s="75">
        <f t="array" ref="FG20">SUM((YEAR(Gastos!$A$2:$A$2500)=FG$1)*(MONTH(Gastos!$A$2:$A$2500)=FG$3)*(Gastos!$B$2:$B$2500=$A20)*(Gastos!$D$2:$D$2500))</f>
        <v>0</v>
      </c>
      <c r="FH20" s="75">
        <f t="array" ref="FH20">SUM((YEAR(Gastos!$A$2:$A$2500)=FH$1)*(MONTH(Gastos!$A$2:$A$2500)=FH$3)*(Gastos!$B$2:$B$2500=$A20)*(Gastos!$D$2:$D$2500))</f>
        <v>0</v>
      </c>
      <c r="FI20" s="75">
        <f t="array" ref="FI20">SUM((YEAR(Gastos!$A$2:$A$2500)=FI$1)*(MONTH(Gastos!$A$2:$A$2500)=FI$3)*(Gastos!$B$2:$B$2500=$A20)*(Gastos!$D$2:$D$2500))</f>
        <v>0</v>
      </c>
      <c r="FJ20" s="75">
        <f t="array" ref="FJ20">SUM((YEAR(Gastos!$A$2:$A$2500)=FJ$1)*(MONTH(Gastos!$A$2:$A$2500)=FJ$3)*(Gastos!$B$2:$B$2500=$A20)*(Gastos!$D$2:$D$2500))</f>
        <v>0</v>
      </c>
      <c r="FK20" s="75">
        <f t="array" ref="FK20">SUM((YEAR(Gastos!$A$2:$A$2500)=FK$1)*(MONTH(Gastos!$A$2:$A$2500)=FK$3)*(Gastos!$B$2:$B$2500=$A20)*(Gastos!$D$2:$D$2500))</f>
        <v>0</v>
      </c>
      <c r="FL20" s="75">
        <f t="array" ref="FL20">SUM((YEAR(Gastos!$A$2:$A$2500)=FL$1)*(MONTH(Gastos!$A$2:$A$2500)=FL$3)*(Gastos!$B$2:$B$2500=$A20)*(Gastos!$D$2:$D$2500))</f>
        <v>0</v>
      </c>
      <c r="FM20" s="75">
        <f t="array" ref="FM20">SUM((YEAR(Gastos!$A$2:$A$2500)=FM$1)*(MONTH(Gastos!$A$2:$A$2500)=FM$3)*(Gastos!$B$2:$B$2500=$A20)*(Gastos!$D$2:$D$2500))</f>
        <v>0</v>
      </c>
      <c r="FN20" s="75">
        <f t="array" ref="FN20">SUM((YEAR(Gastos!$A$2:$A$2500)=FN$1)*(MONTH(Gastos!$A$2:$A$2500)=FN$3)*(Gastos!$B$2:$B$2500=$A20)*(Gastos!$D$2:$D$2500))</f>
        <v>0</v>
      </c>
      <c r="FO20" s="75">
        <f t="array" ref="FO20">SUM((YEAR(Gastos!$A$2:$A$2500)=FO$1)*(MONTH(Gastos!$A$2:$A$2500)=FO$3)*(Gastos!$B$2:$B$2500=$A20)*(Gastos!$D$2:$D$2500))</f>
        <v>0</v>
      </c>
      <c r="FP20" s="75">
        <f t="array" ref="FP20">SUM((YEAR(Gastos!$A$2:$A$2500)=FP$1)*(MONTH(Gastos!$A$2:$A$2500)=FP$3)*(Gastos!$B$2:$B$2500=$A20)*(Gastos!$D$2:$D$2500))</f>
        <v>0</v>
      </c>
      <c r="FQ20" s="75">
        <f t="array" ref="FQ20">SUM((YEAR(Gastos!$A$2:$A$2500)=FQ$1)*(MONTH(Gastos!$A$2:$A$2500)=FQ$3)*(Gastos!$B$2:$B$2500=$A20)*(Gastos!$D$2:$D$2500))</f>
        <v>0</v>
      </c>
      <c r="FR20" s="75">
        <f t="array" ref="FR20">SUM((YEAR(Gastos!$A$2:$A$2500)=FR$1)*(MONTH(Gastos!$A$2:$A$2500)=FR$3)*(Gastos!$B$2:$B$2500=$A20)*(Gastos!$D$2:$D$2500))</f>
        <v>0</v>
      </c>
      <c r="FS20" s="75">
        <f t="array" ref="FS20">SUM((YEAR(Gastos!$A$2:$A$2500)=FS$1)*(MONTH(Gastos!$A$2:$A$2500)=FS$3)*(Gastos!$B$2:$B$2500=$A20)*(Gastos!$D$2:$D$2500))</f>
        <v>0</v>
      </c>
      <c r="FT20" s="75">
        <f t="array" ref="FT20">SUM((YEAR(Gastos!$A$2:$A$2500)=FT$1)*(MONTH(Gastos!$A$2:$A$2500)=FT$3)*(Gastos!$B$2:$B$2500=$A20)*(Gastos!$D$2:$D$2500))</f>
        <v>0</v>
      </c>
      <c r="FU20" s="75">
        <f t="array" ref="FU20">SUM((YEAR(Gastos!$A$2:$A$2500)=FU$1)*(MONTH(Gastos!$A$2:$A$2500)=FU$3)*(Gastos!$B$2:$B$2500=$A20)*(Gastos!$D$2:$D$2500))</f>
        <v>0</v>
      </c>
      <c r="FV20" s="75">
        <f t="array" ref="FV20">SUM((YEAR(Gastos!$A$2:$A$2500)=FV$1)*(MONTH(Gastos!$A$2:$A$2500)=FV$3)*(Gastos!$B$2:$B$2500=$A20)*(Gastos!$D$2:$D$2500))</f>
        <v>0</v>
      </c>
      <c r="FW20" s="75">
        <f t="array" ref="FW20">SUM((YEAR(Gastos!$A$2:$A$2500)=FW$1)*(MONTH(Gastos!$A$2:$A$2500)=FW$3)*(Gastos!$B$2:$B$2500=$A20)*(Gastos!$D$2:$D$2500))</f>
        <v>0</v>
      </c>
      <c r="FX20" s="75">
        <f t="array" ref="FX20">SUM((YEAR(Gastos!$A$2:$A$2500)=FX$1)*(MONTH(Gastos!$A$2:$A$2500)=FX$3)*(Gastos!$B$2:$B$2500=$A20)*(Gastos!$D$2:$D$2500))</f>
        <v>0</v>
      </c>
      <c r="FY20" s="75">
        <f t="array" ref="FY20">SUM((YEAR(Gastos!$A$2:$A$2500)=FY$1)*(MONTH(Gastos!$A$2:$A$2500)=FY$3)*(Gastos!$B$2:$B$2500=$A20)*(Gastos!$D$2:$D$2500))</f>
        <v>0</v>
      </c>
      <c r="FZ20" s="76">
        <f t="shared" si="65"/>
        <v>15080</v>
      </c>
      <c r="GA20" s="80"/>
      <c r="GB20" s="78">
        <f t="shared" si="66"/>
        <v>15080</v>
      </c>
      <c r="GF20" s="79">
        <f t="array" ref="GF20">SUM(((Gastos!$A$2:$A$1647)&gt;=GD$3)*((Gastos!$A$2:$A$1647)&lt;=GF$3)*(Gastos!$B$2:$B$1647=$A20)*(Gastos!$D$2:$D$1647))</f>
        <v>15080</v>
      </c>
      <c r="GI20" s="79">
        <f t="array" ref="GI20">SUM(((Gastos!$A$2:$A$1647)&gt;=GG$3)*((Gastos!$A$2:$A$1647)&lt;=GI$3)*(Gastos!$B$2:$B$1647=$A20)*(Gastos!$D$2:$D$1647))</f>
        <v>0</v>
      </c>
    </row>
    <row r="21" spans="1:191" ht="15" thickBot="1" x14ac:dyDescent="0.4">
      <c r="A21" s="74" t="str">
        <f>Gastos!AA19</f>
        <v>V. CAMARAS</v>
      </c>
      <c r="B21" s="75">
        <f t="array" ref="B21">SUM((YEAR(Gastos!$A$2:$A$2500)=B$1)*(MONTH(Gastos!$A$2:$A$2500)=B$3)*(Gastos!$B$2:$B$2500=$A21)*(Gastos!$D$2:$D$2500))</f>
        <v>0</v>
      </c>
      <c r="C21" s="75">
        <f t="array" ref="C21">SUM((YEAR(Gastos!$A$2:$A$2500)=C$1)*(MONTH(Gastos!$A$2:$A$2500)=C$3)*(Gastos!$B$2:$B$2500=$A21)*(Gastos!$D$2:$D$2500))</f>
        <v>0</v>
      </c>
      <c r="D21" s="75">
        <f t="array" ref="D21">SUM((YEAR(Gastos!$A$2:$A$2500)=D$1)*(MONTH(Gastos!$A$2:$A$2500)=D$3)*(Gastos!$B$2:$B$2500=$A21)*(Gastos!$D$2:$D$2500))</f>
        <v>0</v>
      </c>
      <c r="E21" s="75">
        <f t="array" ref="E21">SUM((YEAR(Gastos!$A$2:$A$2500)=E$1)*(MONTH(Gastos!$A$2:$A$2500)=E$3)*(Gastos!$B$2:$B$2500=$A21)*(Gastos!$D$2:$D$2500))</f>
        <v>0</v>
      </c>
      <c r="F21" s="75">
        <f t="array" ref="F21">SUM((YEAR(Gastos!$A$2:$A$2500)=F$1)*(MONTH(Gastos!$A$2:$A$2500)=F$3)*(Gastos!$B$2:$B$2500=$A21)*(Gastos!$D$2:$D$2500))</f>
        <v>0</v>
      </c>
      <c r="G21" s="75">
        <f t="array" ref="G21">SUM((YEAR(Gastos!$A$2:$A$2500)=G$1)*(MONTH(Gastos!$A$2:$A$2500)=G$3)*(Gastos!$B$2:$B$2500=$A21)*(Gastos!$D$2:$D$2500))</f>
        <v>0</v>
      </c>
      <c r="H21" s="75">
        <f t="array" ref="H21">SUM((YEAR(Gastos!$A$2:$A$2500)=H$1)*(MONTH(Gastos!$A$2:$A$2500)=H$3)*(Gastos!$B$2:$B$2500=$A21)*(Gastos!$D$2:$D$2500))</f>
        <v>0</v>
      </c>
      <c r="I21" s="75">
        <f t="array" ref="I21">SUM((YEAR(Gastos!$A$2:$A$2500)=I$1)*(MONTH(Gastos!$A$2:$A$2500)=I$3)*(Gastos!$B$2:$B$2500=$A21)*(Gastos!$D$2:$D$2500))</f>
        <v>5800</v>
      </c>
      <c r="J21" s="75">
        <f t="array" ref="J21">SUM((YEAR(Gastos!$A$2:$A$2500)=J$1)*(MONTH(Gastos!$A$2:$A$2500)=J$3)*(Gastos!$B$2:$B$2500=$A21)*(Gastos!$D$2:$D$2500))</f>
        <v>0</v>
      </c>
      <c r="K21" s="75">
        <f t="array" ref="K21">SUM((YEAR(Gastos!$A$2:$A$2500)=K$1)*(MONTH(Gastos!$A$2:$A$2500)=K$3)*(Gastos!$B$2:$B$2500=$A21)*(Gastos!$D$2:$D$2500))</f>
        <v>0</v>
      </c>
      <c r="L21" s="75">
        <f t="array" ref="L21">SUM((YEAR(Gastos!$A$2:$A$2500)=L$1)*(MONTH(Gastos!$A$2:$A$2500)=L$3)*(Gastos!$B$2:$B$2500=$A21)*(Gastos!$D$2:$D$2500))</f>
        <v>3300</v>
      </c>
      <c r="M21" s="75">
        <f t="array" ref="M21">SUM((YEAR(Gastos!$A$2:$A$2500)=M$1)*(MONTH(Gastos!$A$2:$A$2500)=M$3)*(Gastos!$B$2:$B$2500=$A21)*(Gastos!$D$2:$D$2500))</f>
        <v>0</v>
      </c>
      <c r="N21" s="75">
        <f t="array" ref="N21">SUM((YEAR(Gastos!$A$2:$A$2500)=N$1)*(MONTH(Gastos!$A$2:$A$2500)=N$3)*(Gastos!$B$2:$B$2500=$A21)*(Gastos!$D$2:$D$2500))</f>
        <v>0</v>
      </c>
      <c r="O21" s="75">
        <f t="array" ref="O21">SUM((YEAR(Gastos!$A$2:$A$2500)=O$1)*(MONTH(Gastos!$A$2:$A$2500)=O$3)*(Gastos!$B$2:$B$2500=$A21)*(Gastos!$D$2:$D$2500))</f>
        <v>0</v>
      </c>
      <c r="P21" s="75">
        <f t="array" ref="P21">SUM((YEAR(Gastos!$A$2:$A$2500)=P$1)*(MONTH(Gastos!$A$2:$A$2500)=P$3)*(Gastos!$B$2:$B$2500=$A21)*(Gastos!$D$2:$D$2500))</f>
        <v>0</v>
      </c>
      <c r="Q21" s="75">
        <f t="array" ref="Q21">SUM((YEAR(Gastos!$A$2:$A$2500)=Q$1)*(MONTH(Gastos!$A$2:$A$2500)=Q$3)*(Gastos!$B$2:$B$2500=$A21)*(Gastos!$D$2:$D$2500))</f>
        <v>0</v>
      </c>
      <c r="R21" s="75">
        <f t="array" ref="R21">SUM((YEAR(Gastos!$A$2:$A$2500)=R$1)*(MONTH(Gastos!$A$2:$A$2500)=R$3)*(Gastos!$B$2:$B$2500=$A21)*(Gastos!$D$2:$D$2500))</f>
        <v>0</v>
      </c>
      <c r="S21" s="75">
        <f t="array" ref="S21">SUM((YEAR(Gastos!$A$2:$A$2500)=S$1)*(MONTH(Gastos!$A$2:$A$2500)=S$3)*(Gastos!$B$2:$B$2500=$A21)*(Gastos!$D$2:$D$2500))</f>
        <v>0</v>
      </c>
      <c r="T21" s="75">
        <f t="array" ref="T21">SUM((YEAR(Gastos!$A$2:$A$2500)=T$1)*(MONTH(Gastos!$A$2:$A$2500)=T$3)*(Gastos!$B$2:$B$2500=$A21)*(Gastos!$D$2:$D$2500))</f>
        <v>0</v>
      </c>
      <c r="U21" s="75">
        <f t="array" ref="U21">SUM((YEAR(Gastos!$A$2:$A$2500)=U$1)*(MONTH(Gastos!$A$2:$A$2500)=U$3)*(Gastos!$B$2:$B$2500=$A21)*(Gastos!$D$2:$D$2500))</f>
        <v>0</v>
      </c>
      <c r="V21" s="75">
        <f t="array" ref="V21">SUM((YEAR(Gastos!$A$2:$A$2500)=V$1)*(MONTH(Gastos!$A$2:$A$2500)=V$3)*(Gastos!$B$2:$B$2500=$A21)*(Gastos!$D$2:$D$2500))</f>
        <v>0</v>
      </c>
      <c r="W21" s="75">
        <f t="array" ref="W21">SUM((YEAR(Gastos!$A$2:$A$2500)=W$1)*(MONTH(Gastos!$A$2:$A$2500)=W$3)*(Gastos!$B$2:$B$2500=$A21)*(Gastos!$D$2:$D$2500))</f>
        <v>0</v>
      </c>
      <c r="X21" s="75">
        <f t="array" ref="X21">SUM((YEAR(Gastos!$A$2:$A$2500)=X$1)*(MONTH(Gastos!$A$2:$A$2500)=X$3)*(Gastos!$B$2:$B$2500=$A21)*(Gastos!$D$2:$D$2500))</f>
        <v>0</v>
      </c>
      <c r="Y21" s="75">
        <f t="array" ref="Y21">SUM((YEAR(Gastos!$A$2:$A$2500)=Y$1)*(MONTH(Gastos!$A$2:$A$2500)=Y$3)*(Gastos!$B$2:$B$2500=$A21)*(Gastos!$D$2:$D$2500))</f>
        <v>0</v>
      </c>
      <c r="Z21" s="75">
        <f t="array" ref="Z21">SUM((YEAR(Gastos!$A$2:$A$2500)=Z$1)*(MONTH(Gastos!$A$2:$A$2500)=Z$3)*(Gastos!$B$2:$B$2500=$A21)*(Gastos!$D$2:$D$2500))</f>
        <v>0</v>
      </c>
      <c r="AA21" s="75">
        <f t="array" ref="AA21">SUM((YEAR(Gastos!$A$2:$A$2500)=AA$1)*(MONTH(Gastos!$A$2:$A$2500)=AA$3)*(Gastos!$B$2:$B$2500=$A21)*(Gastos!$D$2:$D$2500))</f>
        <v>0</v>
      </c>
      <c r="AB21" s="75">
        <f t="array" ref="AB21">SUM((YEAR(Gastos!$A$2:$A$2500)=AB$1)*(MONTH(Gastos!$A$2:$A$2500)=AB$3)*(Gastos!$B$2:$B$2500=$A21)*(Gastos!$D$2:$D$2500))</f>
        <v>0</v>
      </c>
      <c r="AC21" s="75">
        <f t="array" ref="AC21">SUM((YEAR(Gastos!$A$2:$A$2500)=AC$1)*(MONTH(Gastos!$A$2:$A$2500)=AC$3)*(Gastos!$B$2:$B$2500=$A21)*(Gastos!$D$2:$D$2500))</f>
        <v>0</v>
      </c>
      <c r="AD21" s="75">
        <f t="array" ref="AD21">SUM((YEAR(Gastos!$A$2:$A$2500)=AD$1)*(MONTH(Gastos!$A$2:$A$2500)=AD$3)*(Gastos!$B$2:$B$2500=$A21)*(Gastos!$D$2:$D$2500))</f>
        <v>0</v>
      </c>
      <c r="AE21" s="75">
        <f t="array" ref="AE21">SUM((YEAR(Gastos!$A$2:$A$2500)=AE$1)*(MONTH(Gastos!$A$2:$A$2500)=AE$3)*(Gastos!$B$2:$B$2500=$A21)*(Gastos!$D$2:$D$2500))</f>
        <v>0</v>
      </c>
      <c r="AF21" s="75">
        <f t="array" ref="AF21">SUM((YEAR(Gastos!$A$2:$A$2500)=AF$1)*(MONTH(Gastos!$A$2:$A$2500)=AF$3)*(Gastos!$B$2:$B$2500=$A21)*(Gastos!$D$2:$D$2500))</f>
        <v>0</v>
      </c>
      <c r="AG21" s="75">
        <f t="array" ref="AG21">SUM((YEAR(Gastos!$A$2:$A$2500)=AG$1)*(MONTH(Gastos!$A$2:$A$2500)=AG$3)*(Gastos!$B$2:$B$2500=$A21)*(Gastos!$D$2:$D$2500))</f>
        <v>0</v>
      </c>
      <c r="AH21" s="75">
        <f t="array" ref="AH21">SUM((YEAR(Gastos!$A$2:$A$2500)=AH$1)*(MONTH(Gastos!$A$2:$A$2500)=AH$3)*(Gastos!$B$2:$B$2500=$A21)*(Gastos!$D$2:$D$2500))</f>
        <v>0</v>
      </c>
      <c r="AI21" s="75">
        <f t="array" ref="AI21">SUM((YEAR(Gastos!$A$2:$A$2500)=AI$1)*(MONTH(Gastos!$A$2:$A$2500)=AI$3)*(Gastos!$B$2:$B$2500=$A21)*(Gastos!$D$2:$D$2500))</f>
        <v>0</v>
      </c>
      <c r="AJ21" s="75">
        <f t="array" ref="AJ21">SUM((YEAR(Gastos!$A$2:$A$2500)=AJ$1)*(MONTH(Gastos!$A$2:$A$2500)=AJ$3)*(Gastos!$B$2:$B$2500=$A21)*(Gastos!$D$2:$D$2500))</f>
        <v>0</v>
      </c>
      <c r="AK21" s="75">
        <f t="array" ref="AK21">SUM((YEAR(Gastos!$A$2:$A$2500)=AK$1)*(MONTH(Gastos!$A$2:$A$2500)=AK$3)*(Gastos!$B$2:$B$2500=$A21)*(Gastos!$D$2:$D$2500))</f>
        <v>0</v>
      </c>
      <c r="AL21" s="75">
        <f t="array" ref="AL21">SUM((YEAR(Gastos!$A$2:$A$2500)=AL$1)*(MONTH(Gastos!$A$2:$A$2500)=AL$3)*(Gastos!$B$2:$B$2500=$A21)*(Gastos!$D$2:$D$2500))</f>
        <v>0</v>
      </c>
      <c r="AM21" s="75">
        <f t="array" ref="AM21">SUM((YEAR(Gastos!$A$2:$A$2500)=AM$1)*(MONTH(Gastos!$A$2:$A$2500)=AM$3)*(Gastos!$B$2:$B$2500=$A21)*(Gastos!$D$2:$D$2500))</f>
        <v>0</v>
      </c>
      <c r="AN21" s="75">
        <f t="array" ref="AN21">SUM((YEAR(Gastos!$A$2:$A$2500)=AN$1)*(MONTH(Gastos!$A$2:$A$2500)=AN$3)*(Gastos!$B$2:$B$2500=$A21)*(Gastos!$D$2:$D$2500))</f>
        <v>0</v>
      </c>
      <c r="AO21" s="75">
        <f t="array" ref="AO21">SUM((YEAR(Gastos!$A$2:$A$2500)=AO$1)*(MONTH(Gastos!$A$2:$A$2500)=AO$3)*(Gastos!$B$2:$B$2500=$A21)*(Gastos!$D$2:$D$2500))</f>
        <v>0</v>
      </c>
      <c r="AP21" s="75">
        <f t="array" ref="AP21">SUM((YEAR(Gastos!$A$2:$A$2500)=AP$1)*(MONTH(Gastos!$A$2:$A$2500)=AP$3)*(Gastos!$B$2:$B$2500=$A21)*(Gastos!$D$2:$D$2500))</f>
        <v>0</v>
      </c>
      <c r="AQ21" s="75">
        <f t="array" ref="AQ21">SUM((YEAR(Gastos!$A$2:$A$2500)=AQ$1)*(MONTH(Gastos!$A$2:$A$2500)=AQ$3)*(Gastos!$B$2:$B$2500=$A21)*(Gastos!$D$2:$D$2500))</f>
        <v>0</v>
      </c>
      <c r="AR21" s="75">
        <f t="array" ref="AR21">SUM((YEAR(Gastos!$A$2:$A$2500)=AR$1)*(MONTH(Gastos!$A$2:$A$2500)=AR$3)*(Gastos!$B$2:$B$2500=$A21)*(Gastos!$D$2:$D$2500))</f>
        <v>0</v>
      </c>
      <c r="AS21" s="75">
        <f t="array" ref="AS21">SUM((YEAR(Gastos!$A$2:$A$2500)=AS$1)*(MONTH(Gastos!$A$2:$A$2500)=AS$3)*(Gastos!$B$2:$B$2500=$A21)*(Gastos!$D$2:$D$2500))</f>
        <v>0</v>
      </c>
      <c r="AT21" s="75">
        <f t="array" ref="AT21">SUM((YEAR(Gastos!$A$2:$A$2500)=AT$1)*(MONTH(Gastos!$A$2:$A$2500)=AT$3)*(Gastos!$B$2:$B$2500=$A21)*(Gastos!$D$2:$D$2500))</f>
        <v>0</v>
      </c>
      <c r="AU21" s="75">
        <f t="array" ref="AU21">SUM((YEAR(Gastos!$A$2:$A$2500)=AU$1)*(MONTH(Gastos!$A$2:$A$2500)=AU$3)*(Gastos!$B$2:$B$2500=$A21)*(Gastos!$D$2:$D$2500))</f>
        <v>0</v>
      </c>
      <c r="AV21" s="75">
        <f t="array" ref="AV21">SUM((YEAR(Gastos!$A$2:$A$2500)=AV$1)*(MONTH(Gastos!$A$2:$A$2500)=AV$3)*(Gastos!$B$2:$B$2500=$A21)*(Gastos!$D$2:$D$2500))</f>
        <v>0</v>
      </c>
      <c r="AW21" s="75">
        <f t="array" ref="AW21">SUM((YEAR(Gastos!$A$2:$A$2500)=AW$1)*(MONTH(Gastos!$A$2:$A$2500)=AW$3)*(Gastos!$B$2:$B$2500=$A21)*(Gastos!$D$2:$D$2500))</f>
        <v>0</v>
      </c>
      <c r="AX21" s="75">
        <f t="array" ref="AX21">SUM((YEAR(Gastos!$A$2:$A$2500)=AX$1)*(MONTH(Gastos!$A$2:$A$2500)=AX$3)*(Gastos!$B$2:$B$2500=$A21)*(Gastos!$D$2:$D$2500))</f>
        <v>0</v>
      </c>
      <c r="AY21" s="75">
        <f t="array" ref="AY21">SUM((YEAR(Gastos!$A$2:$A$2500)=AY$1)*(MONTH(Gastos!$A$2:$A$2500)=AY$3)*(Gastos!$B$2:$B$2500=$A21)*(Gastos!$D$2:$D$2500))</f>
        <v>0</v>
      </c>
      <c r="AZ21" s="75">
        <f t="array" ref="AZ21">SUM((YEAR(Gastos!$A$2:$A$2500)=AZ$1)*(MONTH(Gastos!$A$2:$A$2500)=AZ$3)*(Gastos!$B$2:$B$2500=$A21)*(Gastos!$D$2:$D$2500))</f>
        <v>0</v>
      </c>
      <c r="BA21" s="75">
        <f t="array" ref="BA21">SUM((YEAR(Gastos!$A$2:$A$2500)=BA$1)*(MONTH(Gastos!$A$2:$A$2500)=BA$3)*(Gastos!$B$2:$B$2500=$A21)*(Gastos!$D$2:$D$2500))</f>
        <v>0</v>
      </c>
      <c r="BB21" s="75">
        <f t="array" ref="BB21">SUM((YEAR(Gastos!$A$2:$A$2500)=BB$1)*(MONTH(Gastos!$A$2:$A$2500)=BB$3)*(Gastos!$B$2:$B$2500=$A21)*(Gastos!$D$2:$D$2500))</f>
        <v>0</v>
      </c>
      <c r="BC21" s="75">
        <f t="array" ref="BC21">SUM((YEAR(Gastos!$A$2:$A$2500)=BC$1)*(MONTH(Gastos!$A$2:$A$2500)=BC$3)*(Gastos!$B$2:$B$2500=$A21)*(Gastos!$D$2:$D$2500))</f>
        <v>0</v>
      </c>
      <c r="BD21" s="75">
        <f t="array" ref="BD21">SUM((YEAR(Gastos!$A$2:$A$2500)=BD$1)*(MONTH(Gastos!$A$2:$A$2500)=BD$3)*(Gastos!$B$2:$B$2500=$A21)*(Gastos!$D$2:$D$2500))</f>
        <v>0</v>
      </c>
      <c r="BE21" s="75">
        <f t="array" ref="BE21">SUM((YEAR(Gastos!$A$2:$A$2500)=BE$1)*(MONTH(Gastos!$A$2:$A$2500)=BE$3)*(Gastos!$B$2:$B$2500=$A21)*(Gastos!$D$2:$D$2500))</f>
        <v>0</v>
      </c>
      <c r="BF21" s="75">
        <f t="array" ref="BF21">SUM((YEAR(Gastos!$A$2:$A$2500)=BF$1)*(MONTH(Gastos!$A$2:$A$2500)=BF$3)*(Gastos!$B$2:$B$2500=$A21)*(Gastos!$D$2:$D$2500))</f>
        <v>0</v>
      </c>
      <c r="BG21" s="75">
        <f t="array" ref="BG21">SUM((YEAR(Gastos!$A$2:$A$2500)=BG$1)*(MONTH(Gastos!$A$2:$A$2500)=BG$3)*(Gastos!$B$2:$B$2500=$A21)*(Gastos!$D$2:$D$2500))</f>
        <v>0</v>
      </c>
      <c r="BH21" s="75">
        <f t="array" ref="BH21">SUM((YEAR(Gastos!$A$2:$A$2500)=BH$1)*(MONTH(Gastos!$A$2:$A$2500)=BH$3)*(Gastos!$B$2:$B$2500=$A21)*(Gastos!$D$2:$D$2500))</f>
        <v>0</v>
      </c>
      <c r="BI21" s="75">
        <f t="array" ref="BI21">SUM((YEAR(Gastos!$A$2:$A$2500)=BI$1)*(MONTH(Gastos!$A$2:$A$2500)=BI$3)*(Gastos!$B$2:$B$2500=$A21)*(Gastos!$D$2:$D$2500))</f>
        <v>0</v>
      </c>
      <c r="BJ21" s="75">
        <f t="array" ref="BJ21">SUM((YEAR(Gastos!$A$2:$A$2500)=BJ$1)*(MONTH(Gastos!$A$2:$A$2500)=BJ$3)*(Gastos!$B$2:$B$2500=$A21)*(Gastos!$D$2:$D$2500))</f>
        <v>0</v>
      </c>
      <c r="BK21" s="75">
        <f t="array" ref="BK21">SUM((YEAR(Gastos!$A$2:$A$2500)=BK$1)*(MONTH(Gastos!$A$2:$A$2500)=BK$3)*(Gastos!$B$2:$B$2500=$A21)*(Gastos!$D$2:$D$2500))</f>
        <v>0</v>
      </c>
      <c r="BL21" s="75">
        <f t="array" ref="BL21">SUM((YEAR(Gastos!$A$2:$A$2500)=BL$1)*(MONTH(Gastos!$A$2:$A$2500)=BL$3)*(Gastos!$B$2:$B$2500=$A21)*(Gastos!$D$2:$D$2500))</f>
        <v>0</v>
      </c>
      <c r="BM21" s="75">
        <f t="array" ref="BM21">SUM((YEAR(Gastos!$A$2:$A$2500)=BM$1)*(MONTH(Gastos!$A$2:$A$2500)=BM$3)*(Gastos!$B$2:$B$2500=$A21)*(Gastos!$D$2:$D$2500))</f>
        <v>0</v>
      </c>
      <c r="BN21" s="75">
        <f t="array" ref="BN21">SUM((YEAR(Gastos!$A$2:$A$2500)=BN$1)*(MONTH(Gastos!$A$2:$A$2500)=BN$3)*(Gastos!$B$2:$B$2500=$A21)*(Gastos!$D$2:$D$2500))</f>
        <v>0</v>
      </c>
      <c r="BO21" s="75">
        <f t="array" ref="BO21">SUM((YEAR(Gastos!$A$2:$A$2500)=BO$1)*(MONTH(Gastos!$A$2:$A$2500)=BO$3)*(Gastos!$B$2:$B$2500=$A21)*(Gastos!$D$2:$D$2500))</f>
        <v>0</v>
      </c>
      <c r="BP21" s="75">
        <f t="array" ref="BP21">SUM((YEAR(Gastos!$A$2:$A$2500)=BP$1)*(MONTH(Gastos!$A$2:$A$2500)=BP$3)*(Gastos!$B$2:$B$2500=$A21)*(Gastos!$D$2:$D$2500))</f>
        <v>0</v>
      </c>
      <c r="BQ21" s="75">
        <f t="array" ref="BQ21">SUM((YEAR(Gastos!$A$2:$A$2500)=BQ$1)*(MONTH(Gastos!$A$2:$A$2500)=BQ$3)*(Gastos!$B$2:$B$2500=$A21)*(Gastos!$D$2:$D$2500))</f>
        <v>0</v>
      </c>
      <c r="BR21" s="75">
        <f t="array" ref="BR21">SUM((YEAR(Gastos!$A$2:$A$2500)=BR$1)*(MONTH(Gastos!$A$2:$A$2500)=BR$3)*(Gastos!$B$2:$B$2500=$A21)*(Gastos!$D$2:$D$2500))</f>
        <v>0</v>
      </c>
      <c r="BS21" s="75">
        <f t="array" ref="BS21">SUM((YEAR(Gastos!$A$2:$A$2500)=BS$1)*(MONTH(Gastos!$A$2:$A$2500)=BS$3)*(Gastos!$B$2:$B$2500=$A21)*(Gastos!$D$2:$D$2500))</f>
        <v>0</v>
      </c>
      <c r="BT21" s="75">
        <f t="array" ref="BT21">SUM((YEAR(Gastos!$A$2:$A$2500)=BT$1)*(MONTH(Gastos!$A$2:$A$2500)=BT$3)*(Gastos!$B$2:$B$2500=$A21)*(Gastos!$D$2:$D$2500))</f>
        <v>0</v>
      </c>
      <c r="BU21" s="75">
        <f t="array" ref="BU21">SUM((YEAR(Gastos!$A$2:$A$2500)=BU$1)*(MONTH(Gastos!$A$2:$A$2500)=BU$3)*(Gastos!$B$2:$B$2500=$A21)*(Gastos!$D$2:$D$2500))</f>
        <v>0</v>
      </c>
      <c r="BV21" s="75">
        <f t="array" ref="BV21">SUM((YEAR(Gastos!$A$2:$A$2500)=BV$1)*(MONTH(Gastos!$A$2:$A$2500)=BV$3)*(Gastos!$B$2:$B$2500=$A21)*(Gastos!$D$2:$D$2500))</f>
        <v>0</v>
      </c>
      <c r="BW21" s="75">
        <f t="array" ref="BW21">SUM((YEAR(Gastos!$A$2:$A$2500)=BW$1)*(MONTH(Gastos!$A$2:$A$2500)=BW$3)*(Gastos!$B$2:$B$2500=$A21)*(Gastos!$D$2:$D$2500))</f>
        <v>0</v>
      </c>
      <c r="BX21" s="75">
        <f t="array" ref="BX21">SUM((YEAR(Gastos!$A$2:$A$2500)=BX$1)*(MONTH(Gastos!$A$2:$A$2500)=BX$3)*(Gastos!$B$2:$B$2500=$A21)*(Gastos!$D$2:$D$2500))</f>
        <v>0</v>
      </c>
      <c r="BY21" s="75">
        <f t="array" ref="BY21">SUM((YEAR(Gastos!$A$2:$A$2500)=BY$1)*(MONTH(Gastos!$A$2:$A$2500)=BY$3)*(Gastos!$B$2:$B$2500=$A21)*(Gastos!$D$2:$D$2500))</f>
        <v>0</v>
      </c>
      <c r="BZ21" s="75">
        <f t="array" ref="BZ21">SUM((YEAR(Gastos!$A$2:$A$2500)=BZ$1)*(MONTH(Gastos!$A$2:$A$2500)=BZ$3)*(Gastos!$B$2:$B$2500=$A21)*(Gastos!$D$2:$D$2500))</f>
        <v>0</v>
      </c>
      <c r="CA21" s="75">
        <f t="array" ref="CA21">SUM((YEAR(Gastos!$A$2:$A$2500)=CA$1)*(MONTH(Gastos!$A$2:$A$2500)=CA$3)*(Gastos!$B$2:$B$2500=$A21)*(Gastos!$D$2:$D$2500))</f>
        <v>0</v>
      </c>
      <c r="CB21" s="75">
        <f t="array" ref="CB21">SUM((YEAR(Gastos!$A$2:$A$2500)=CB$1)*(MONTH(Gastos!$A$2:$A$2500)=CB$3)*(Gastos!$B$2:$B$2500=$A21)*(Gastos!$D$2:$D$2500))</f>
        <v>0</v>
      </c>
      <c r="CC21" s="75">
        <f t="array" ref="CC21">SUM((YEAR(Gastos!$A$2:$A$2500)=CC$1)*(MONTH(Gastos!$A$2:$A$2500)=CC$3)*(Gastos!$B$2:$B$2500=$A21)*(Gastos!$D$2:$D$2500))</f>
        <v>0</v>
      </c>
      <c r="CD21" s="75">
        <f t="array" ref="CD21">SUM((YEAR(Gastos!$A$2:$A$2500)=CD$1)*(MONTH(Gastos!$A$2:$A$2500)=CD$3)*(Gastos!$B$2:$B$2500=$A21)*(Gastos!$D$2:$D$2500))</f>
        <v>0</v>
      </c>
      <c r="CE21" s="75">
        <f t="array" ref="CE21">SUM((YEAR(Gastos!$A$2:$A$2500)=CE$1)*(MONTH(Gastos!$A$2:$A$2500)=CE$3)*(Gastos!$B$2:$B$2500=$A21)*(Gastos!$D$2:$D$2500))</f>
        <v>0</v>
      </c>
      <c r="CF21" s="75">
        <f t="array" ref="CF21">SUM((YEAR(Gastos!$A$2:$A$2500)=CF$1)*(MONTH(Gastos!$A$2:$A$2500)=CF$3)*(Gastos!$B$2:$B$2500=$A21)*(Gastos!$D$2:$D$2500))</f>
        <v>0</v>
      </c>
      <c r="CG21" s="75">
        <f t="array" ref="CG21">SUM((YEAR(Gastos!$A$2:$A$2500)=CG$1)*(MONTH(Gastos!$A$2:$A$2500)=CG$3)*(Gastos!$B$2:$B$2500=$A21)*(Gastos!$D$2:$D$2500))</f>
        <v>0</v>
      </c>
      <c r="CH21" s="75">
        <f t="array" ref="CH21">SUM((YEAR(Gastos!$A$2:$A$2500)=CH$1)*(MONTH(Gastos!$A$2:$A$2500)=CH$3)*(Gastos!$B$2:$B$2500=$A21)*(Gastos!$D$2:$D$2500))</f>
        <v>0</v>
      </c>
      <c r="CI21" s="75">
        <f t="array" ref="CI21">SUM((YEAR(Gastos!$A$2:$A$2500)=CI$1)*(MONTH(Gastos!$A$2:$A$2500)=CI$3)*(Gastos!$B$2:$B$2500=$A21)*(Gastos!$D$2:$D$2500))</f>
        <v>0</v>
      </c>
      <c r="CJ21" s="75">
        <f t="array" ref="CJ21">SUM((YEAR(Gastos!$A$2:$A$2500)=CJ$1)*(MONTH(Gastos!$A$2:$A$2500)=CJ$3)*(Gastos!$B$2:$B$2500=$A21)*(Gastos!$D$2:$D$2500))</f>
        <v>63.8</v>
      </c>
      <c r="CK21" s="75">
        <f t="array" ref="CK21">SUM((YEAR(Gastos!$A$2:$A$2500)=CK$1)*(MONTH(Gastos!$A$2:$A$2500)=CK$3)*(Gastos!$B$2:$B$2500=$A21)*(Gastos!$D$2:$D$2500))</f>
        <v>0</v>
      </c>
      <c r="CL21" s="75">
        <f t="array" ref="CL21">SUM((YEAR(Gastos!$A$2:$A$2500)=CL$1)*(MONTH(Gastos!$A$2:$A$2500)=CL$3)*(Gastos!$B$2:$B$2500=$A21)*(Gastos!$D$2:$D$2500))</f>
        <v>0</v>
      </c>
      <c r="CM21" s="75">
        <f t="array" ref="CM21">SUM((YEAR(Gastos!$A$2:$A$2500)=CM$1)*(MONTH(Gastos!$A$2:$A$2500)=CM$3)*(Gastos!$B$2:$B$2500=$A21)*(Gastos!$D$2:$D$2500))</f>
        <v>0</v>
      </c>
      <c r="CN21" s="75">
        <f t="array" ref="CN21">SUM((YEAR(Gastos!$A$2:$A$2500)=CN$1)*(MONTH(Gastos!$A$2:$A$2500)=CN$3)*(Gastos!$B$2:$B$2500=$A21)*(Gastos!$D$2:$D$2500))</f>
        <v>0</v>
      </c>
      <c r="CO21" s="75">
        <f t="array" ref="CO21">SUM((YEAR(Gastos!$A$2:$A$2500)=CO$1)*(MONTH(Gastos!$A$2:$A$2500)=CO$3)*(Gastos!$B$2:$B$2500=$A21)*(Gastos!$D$2:$D$2500))</f>
        <v>0</v>
      </c>
      <c r="CP21" s="75">
        <f t="array" ref="CP21">SUM((YEAR(Gastos!$A$2:$A$2500)=CP$1)*(MONTH(Gastos!$A$2:$A$2500)=CP$3)*(Gastos!$B$2:$B$2500=$A21)*(Gastos!$D$2:$D$2500))</f>
        <v>0</v>
      </c>
      <c r="CQ21" s="75">
        <f t="array" ref="CQ21">SUM((YEAR(Gastos!$A$2:$A$2500)=CQ$1)*(MONTH(Gastos!$A$2:$A$2500)=CQ$3)*(Gastos!$B$2:$B$2500=$A21)*(Gastos!$D$2:$D$2500))</f>
        <v>0</v>
      </c>
      <c r="CR21" s="75">
        <f t="array" ref="CR21">SUM((YEAR(Gastos!$A$2:$A$2500)=CR$1)*(MONTH(Gastos!$A$2:$A$2500)=CR$3)*(Gastos!$B$2:$B$2500=$A21)*(Gastos!$D$2:$D$2500))</f>
        <v>0</v>
      </c>
      <c r="CS21" s="75">
        <f t="array" ref="CS21">SUM((YEAR(Gastos!$A$2:$A$2500)=CS$1)*(MONTH(Gastos!$A$2:$A$2500)=CS$3)*(Gastos!$B$2:$B$2500=$A21)*(Gastos!$D$2:$D$2500))</f>
        <v>0</v>
      </c>
      <c r="CT21" s="75">
        <f t="array" ref="CT21">SUM((YEAR(Gastos!$A$2:$A$2500)=CT$1)*(MONTH(Gastos!$A$2:$A$2500)=CT$3)*(Gastos!$B$2:$B$2500=$A21)*(Gastos!$D$2:$D$2500))</f>
        <v>573.75</v>
      </c>
      <c r="CU21" s="75">
        <f t="array" ref="CU21">SUM((YEAR(Gastos!$A$2:$A$2500)=CU$1)*(MONTH(Gastos!$A$2:$A$2500)=CU$3)*(Gastos!$B$2:$B$2500=$A21)*(Gastos!$D$2:$D$2500))</f>
        <v>0</v>
      </c>
      <c r="CV21" s="75">
        <f t="array" ref="CV21">SUM((YEAR(Gastos!$A$2:$A$2500)=CV$1)*(MONTH(Gastos!$A$2:$A$2500)=CV$3)*(Gastos!$B$2:$B$2500=$A21)*(Gastos!$D$2:$D$2500))</f>
        <v>59321.030000000006</v>
      </c>
      <c r="CW21" s="75">
        <f t="array" ref="CW21">SUM((YEAR(Gastos!$A$2:$A$2500)=CW$1)*(MONTH(Gastos!$A$2:$A$2500)=CW$3)*(Gastos!$B$2:$B$2500=$A21)*(Gastos!$D$2:$D$2500))</f>
        <v>0</v>
      </c>
      <c r="CX21" s="75">
        <f t="array" ref="CX21">SUM((YEAR(Gastos!$A$2:$A$2500)=CX$1)*(MONTH(Gastos!$A$2:$A$2500)=CX$3)*(Gastos!$B$2:$B$2500=$A21)*(Gastos!$D$2:$D$2500))</f>
        <v>0</v>
      </c>
      <c r="CY21" s="75">
        <f t="array" ref="CY21">SUM((YEAR(Gastos!$A$2:$A$2500)=CY$1)*(MONTH(Gastos!$A$2:$A$2500)=CY$3)*(Gastos!$B$2:$B$2500=$A21)*(Gastos!$D$2:$D$2500))</f>
        <v>0</v>
      </c>
      <c r="CZ21" s="75">
        <f t="array" ref="CZ21">SUM((YEAR(Gastos!$A$2:$A$2500)=CZ$1)*(MONTH(Gastos!$A$2:$A$2500)=CZ$3)*(Gastos!$B$2:$B$2500=$A21)*(Gastos!$D$2:$D$2500))</f>
        <v>0</v>
      </c>
      <c r="DA21" s="75">
        <f t="array" ref="DA21">SUM((YEAR(Gastos!$A$2:$A$2500)=DA$1)*(MONTH(Gastos!$A$2:$A$2500)=DA$3)*(Gastos!$B$2:$B$2500=$A21)*(Gastos!$D$2:$D$2500))</f>
        <v>0</v>
      </c>
      <c r="DB21" s="75">
        <f t="array" ref="DB21">SUM((YEAR(Gastos!$A$2:$A$2500)=DB$1)*(MONTH(Gastos!$A$2:$A$2500)=DB$3)*(Gastos!$B$2:$B$2500=$A21)*(Gastos!$D$2:$D$2500))</f>
        <v>0</v>
      </c>
      <c r="DC21" s="75">
        <f t="array" ref="DC21">SUM((YEAR(Gastos!$A$2:$A$2500)=DC$1)*(MONTH(Gastos!$A$2:$A$2500)=DC$3)*(Gastos!$B$2:$B$2500=$A21)*(Gastos!$D$2:$D$2500))</f>
        <v>0</v>
      </c>
      <c r="DD21" s="75">
        <f t="array" ref="DD21">SUM((YEAR(Gastos!$A$2:$A$2500)=DD$1)*(MONTH(Gastos!$A$2:$A$2500)=DD$3)*(Gastos!$B$2:$B$2500=$A21)*(Gastos!$D$2:$D$2500))</f>
        <v>0</v>
      </c>
      <c r="DE21" s="75">
        <f t="array" ref="DE21">SUM((YEAR(Gastos!$A$2:$A$2500)=DE$1)*(MONTH(Gastos!$A$2:$A$2500)=DE$3)*(Gastos!$B$2:$B$2500=$A21)*(Gastos!$D$2:$D$2500))</f>
        <v>0</v>
      </c>
      <c r="DF21" s="75">
        <f t="array" ref="DF21">SUM((YEAR(Gastos!$A$2:$A$2500)=DF$1)*(MONTH(Gastos!$A$2:$A$2500)=DF$3)*(Gastos!$B$2:$B$2500=$A21)*(Gastos!$D$2:$D$2500))</f>
        <v>0</v>
      </c>
      <c r="DG21" s="75">
        <f t="array" ref="DG21">SUM((YEAR(Gastos!$A$2:$A$2500)=DG$1)*(MONTH(Gastos!$A$2:$A$2500)=DG$3)*(Gastos!$B$2:$B$2500=$A21)*(Gastos!$D$2:$D$2500))</f>
        <v>0</v>
      </c>
      <c r="DH21" s="75">
        <f t="array" ref="DH21">SUM((YEAR(Gastos!$A$2:$A$2500)=DH$1)*(MONTH(Gastos!$A$2:$A$2500)=DH$3)*(Gastos!$B$2:$B$2500=$A21)*(Gastos!$D$2:$D$2500))</f>
        <v>0</v>
      </c>
      <c r="DI21" s="75">
        <f t="array" ref="DI21">SUM((YEAR(Gastos!$A$2:$A$2500)=DI$1)*(MONTH(Gastos!$A$2:$A$2500)=DI$3)*(Gastos!$B$2:$B$2500=$A21)*(Gastos!$D$2:$D$2500))</f>
        <v>0</v>
      </c>
      <c r="DJ21" s="75">
        <f t="array" ref="DJ21">SUM((YEAR(Gastos!$A$2:$A$2500)=DJ$1)*(MONTH(Gastos!$A$2:$A$2500)=DJ$3)*(Gastos!$B$2:$B$2500=$A21)*(Gastos!$D$2:$D$2500))</f>
        <v>0</v>
      </c>
      <c r="DK21" s="75">
        <f t="array" ref="DK21">SUM((YEAR(Gastos!$A$2:$A$2500)=DK$1)*(MONTH(Gastos!$A$2:$A$2500)=DK$3)*(Gastos!$B$2:$B$2500=$A21)*(Gastos!$D$2:$D$2500))</f>
        <v>0</v>
      </c>
      <c r="DL21" s="75">
        <f t="array" ref="DL21">SUM((YEAR(Gastos!$A$2:$A$2500)=DL$1)*(MONTH(Gastos!$A$2:$A$2500)=DL$3)*(Gastos!$B$2:$B$2500=$A21)*(Gastos!$D$2:$D$2500))</f>
        <v>0</v>
      </c>
      <c r="DM21" s="75">
        <f t="array" ref="DM21">SUM((YEAR(Gastos!$A$2:$A$2500)=DM$1)*(MONTH(Gastos!$A$2:$A$2500)=DM$3)*(Gastos!$B$2:$B$2500=$A21)*(Gastos!$D$2:$D$2500))</f>
        <v>0</v>
      </c>
      <c r="DN21" s="75">
        <f t="array" ref="DN21">SUM((YEAR(Gastos!$A$2:$A$2500)=DN$1)*(MONTH(Gastos!$A$2:$A$2500)=DN$3)*(Gastos!$B$2:$B$2500=$A21)*(Gastos!$D$2:$D$2500))</f>
        <v>0</v>
      </c>
      <c r="DO21" s="75">
        <f t="array" ref="DO21">SUM((YEAR(Gastos!$A$2:$A$2500)=DO$1)*(MONTH(Gastos!$A$2:$A$2500)=DO$3)*(Gastos!$B$2:$B$2500=$A21)*(Gastos!$D$2:$D$2500))</f>
        <v>0</v>
      </c>
      <c r="DP21" s="75">
        <f t="array" ref="DP21">SUM((YEAR(Gastos!$A$2:$A$2500)=DP$1)*(MONTH(Gastos!$A$2:$A$2500)=DP$3)*(Gastos!$B$2:$B$2500=$A21)*(Gastos!$D$2:$D$2500))</f>
        <v>0</v>
      </c>
      <c r="DQ21" s="75">
        <f t="array" ref="DQ21">SUM((YEAR(Gastos!$A$2:$A$2500)=DQ$1)*(MONTH(Gastos!$A$2:$A$2500)=DQ$3)*(Gastos!$B$2:$B$2500=$A21)*(Gastos!$D$2:$D$2500))</f>
        <v>0</v>
      </c>
      <c r="DR21" s="75">
        <f t="array" ref="DR21">SUM((YEAR(Gastos!$A$2:$A$2500)=DR$1)*(MONTH(Gastos!$A$2:$A$2500)=DR$3)*(Gastos!$B$2:$B$2500=$A21)*(Gastos!$D$2:$D$2500))</f>
        <v>0</v>
      </c>
      <c r="DS21" s="75">
        <f t="array" ref="DS21">SUM((YEAR(Gastos!$A$2:$A$2500)=DS$1)*(MONTH(Gastos!$A$2:$A$2500)=DS$3)*(Gastos!$B$2:$B$2500=$A21)*(Gastos!$D$2:$D$2500))</f>
        <v>573.75</v>
      </c>
      <c r="DT21" s="75">
        <f t="array" ref="DT21">SUM((YEAR(Gastos!$A$2:$A$2500)=DT$1)*(MONTH(Gastos!$A$2:$A$2500)=DT$3)*(Gastos!$B$2:$B$2500=$A21)*(Gastos!$D$2:$D$2500))</f>
        <v>0</v>
      </c>
      <c r="DU21" s="75">
        <f t="array" ref="DU21">SUM((YEAR(Gastos!$A$2:$A$2500)=DU$1)*(MONTH(Gastos!$A$2:$A$2500)=DU$3)*(Gastos!$B$2:$B$2500=$A21)*(Gastos!$D$2:$D$2500))</f>
        <v>0</v>
      </c>
      <c r="DV21" s="75">
        <f t="array" ref="DV21">SUM((YEAR(Gastos!$A$2:$A$2500)=DV$1)*(MONTH(Gastos!$A$2:$A$2500)=DV$3)*(Gastos!$B$2:$B$2500=$A21)*(Gastos!$D$2:$D$2500))</f>
        <v>800</v>
      </c>
      <c r="DW21" s="75">
        <f t="array" ref="DW21">SUM((YEAR(Gastos!$A$2:$A$2500)=DW$1)*(MONTH(Gastos!$A$2:$A$2500)=DW$3)*(Gastos!$B$2:$B$2500=$A21)*(Gastos!$D$2:$D$2500))</f>
        <v>0</v>
      </c>
      <c r="DX21" s="75">
        <f t="array" ref="DX21">SUM((YEAR(Gastos!$A$2:$A$2500)=DX$1)*(MONTH(Gastos!$A$2:$A$2500)=DX$3)*(Gastos!$B$2:$B$2500=$A21)*(Gastos!$D$2:$D$2500))</f>
        <v>0</v>
      </c>
      <c r="DY21" s="75">
        <f t="array" ref="DY21">SUM((YEAR(Gastos!$A$2:$A$2500)=DY$1)*(MONTH(Gastos!$A$2:$A$2500)=DY$3)*(Gastos!$B$2:$B$2500=$A21)*(Gastos!$D$2:$D$2500))</f>
        <v>0</v>
      </c>
      <c r="DZ21" s="75">
        <f t="array" ref="DZ21">SUM((YEAR(Gastos!$A$2:$A$2500)=DZ$1)*(MONTH(Gastos!$A$2:$A$2500)=DZ$3)*(Gastos!$B$2:$B$2500=$A21)*(Gastos!$D$2:$D$2500))</f>
        <v>0</v>
      </c>
      <c r="EA21" s="75">
        <f t="array" ref="EA21">SUM((YEAR(Gastos!$A$2:$A$2500)=EA$1)*(MONTH(Gastos!$A$2:$A$2500)=EA$3)*(Gastos!$B$2:$B$2500=$A21)*(Gastos!$D$2:$D$2500))</f>
        <v>0</v>
      </c>
      <c r="EB21" s="75">
        <f t="array" ref="EB21">SUM((YEAR(Gastos!$A$2:$A$2500)=EB$1)*(MONTH(Gastos!$A$2:$A$2500)=EB$3)*(Gastos!$B$2:$B$2500=$A21)*(Gastos!$D$2:$D$2500))</f>
        <v>0</v>
      </c>
      <c r="EC21" s="75">
        <f t="array" ref="EC21">SUM((YEAR(Gastos!$A$2:$A$2500)=EC$1)*(MONTH(Gastos!$A$2:$A$2500)=EC$3)*(Gastos!$B$2:$B$2500=$A21)*(Gastos!$D$2:$D$2500))</f>
        <v>0</v>
      </c>
      <c r="ED21" s="75">
        <f t="array" ref="ED21">SUM((YEAR(Gastos!$A$2:$A$2500)=ED$1)*(MONTH(Gastos!$A$2:$A$2500)=ED$3)*(Gastos!$B$2:$B$2500=$A21)*(Gastos!$D$2:$D$2500))</f>
        <v>0</v>
      </c>
      <c r="EE21" s="75">
        <f t="array" ref="EE21">SUM((YEAR(Gastos!$A$2:$A$2500)=EE$1)*(MONTH(Gastos!$A$2:$A$2500)=EE$3)*(Gastos!$B$2:$B$2500=$A21)*(Gastos!$D$2:$D$2500))</f>
        <v>0</v>
      </c>
      <c r="EF21" s="75">
        <f t="array" ref="EF21">SUM((YEAR(Gastos!$A$2:$A$2500)=EF$1)*(MONTH(Gastos!$A$2:$A$2500)=EF$3)*(Gastos!$B$2:$B$2500=$A21)*(Gastos!$D$2:$D$2500))</f>
        <v>0</v>
      </c>
      <c r="EG21" s="75">
        <f t="array" ref="EG21">SUM((YEAR(Gastos!$A$2:$A$2500)=EG$1)*(MONTH(Gastos!$A$2:$A$2500)=EG$3)*(Gastos!$B$2:$B$2500=$A21)*(Gastos!$D$2:$D$2500))</f>
        <v>0</v>
      </c>
      <c r="EH21" s="75">
        <f t="array" ref="EH21">SUM((YEAR(Gastos!$A$2:$A$2500)=EH$1)*(MONTH(Gastos!$A$2:$A$2500)=EH$3)*(Gastos!$B$2:$B$2500=$A21)*(Gastos!$D$2:$D$2500))</f>
        <v>0</v>
      </c>
      <c r="EI21" s="75">
        <f t="array" ref="EI21">SUM((YEAR(Gastos!$A$2:$A$2500)=EI$1)*(MONTH(Gastos!$A$2:$A$2500)=EI$3)*(Gastos!$B$2:$B$2500=$A21)*(Gastos!$D$2:$D$2500))</f>
        <v>0</v>
      </c>
      <c r="EJ21" s="75">
        <f t="array" ref="EJ21">SUM((YEAR(Gastos!$A$2:$A$2500)=EJ$1)*(MONTH(Gastos!$A$2:$A$2500)=EJ$3)*(Gastos!$B$2:$B$2500=$A21)*(Gastos!$D$2:$D$2500))</f>
        <v>0</v>
      </c>
      <c r="EK21" s="75">
        <f t="array" ref="EK21">SUM((YEAR(Gastos!$A$2:$A$2500)=EK$1)*(MONTH(Gastos!$A$2:$A$2500)=EK$3)*(Gastos!$B$2:$B$2500=$A21)*(Gastos!$D$2:$D$2500))</f>
        <v>0</v>
      </c>
      <c r="EL21" s="75">
        <f t="array" ref="EL21">SUM((YEAR(Gastos!$A$2:$A$2500)=EL$1)*(MONTH(Gastos!$A$2:$A$2500)=EL$3)*(Gastos!$B$2:$B$2500=$A21)*(Gastos!$D$2:$D$2500))</f>
        <v>1600</v>
      </c>
      <c r="EM21" s="75">
        <f t="array" ref="EM21">SUM((YEAR(Gastos!$A$2:$A$2500)=EM$1)*(MONTH(Gastos!$A$2:$A$2500)=EM$3)*(Gastos!$B$2:$B$2500=$A21)*(Gastos!$D$2:$D$2500))</f>
        <v>1600</v>
      </c>
      <c r="EN21" s="75">
        <f t="array" ref="EN21">SUM((YEAR(Gastos!$A$2:$A$2500)=EN$1)*(MONTH(Gastos!$A$2:$A$2500)=EN$3)*(Gastos!$B$2:$B$2500=$A21)*(Gastos!$D$2:$D$2500))</f>
        <v>0</v>
      </c>
      <c r="EO21" s="75">
        <f t="array" ref="EO21">SUM((YEAR(Gastos!$A$2:$A$2500)=EO$1)*(MONTH(Gastos!$A$2:$A$2500)=EO$3)*(Gastos!$B$2:$B$2500=$A21)*(Gastos!$D$2:$D$2500))</f>
        <v>0</v>
      </c>
      <c r="EP21" s="75">
        <f t="array" ref="EP21">SUM((YEAR(Gastos!$A$2:$A$2500)=EP$1)*(MONTH(Gastos!$A$2:$A$2500)=EP$3)*(Gastos!$B$2:$B$2500=$A21)*(Gastos!$D$2:$D$2500))</f>
        <v>0</v>
      </c>
      <c r="EQ21" s="75">
        <f t="array" ref="EQ21">SUM((YEAR(Gastos!$A$2:$A$2500)=EQ$1)*(MONTH(Gastos!$A$2:$A$2500)=EQ$3)*(Gastos!$B$2:$B$2500=$A21)*(Gastos!$D$2:$D$2500))</f>
        <v>0</v>
      </c>
      <c r="ER21" s="75">
        <f t="array" ref="ER21">SUM((YEAR(Gastos!$A$2:$A$2500)=ER$1)*(MONTH(Gastos!$A$2:$A$2500)=ER$3)*(Gastos!$B$2:$B$2500=$A21)*(Gastos!$D$2:$D$2500))</f>
        <v>0</v>
      </c>
      <c r="ES21" s="75">
        <f t="array" ref="ES21">SUM((YEAR(Gastos!$A$2:$A$2500)=ES$1)*(MONTH(Gastos!$A$2:$A$2500)=ES$3)*(Gastos!$B$2:$B$2500=$A21)*(Gastos!$D$2:$D$2500))</f>
        <v>0</v>
      </c>
      <c r="ET21" s="75">
        <f t="array" ref="ET21">SUM((YEAR(Gastos!$A$2:$A$2500)=ET$1)*(MONTH(Gastos!$A$2:$A$2500)=ET$3)*(Gastos!$B$2:$B$2500=$A21)*(Gastos!$D$2:$D$2500))</f>
        <v>0</v>
      </c>
      <c r="EU21" s="75">
        <f t="array" ref="EU21">SUM((YEAR(Gastos!$A$2:$A$2500)=EU$1)*(MONTH(Gastos!$A$2:$A$2500)=EU$3)*(Gastos!$B$2:$B$2500=$A21)*(Gastos!$D$2:$D$2500))</f>
        <v>0</v>
      </c>
      <c r="EV21" s="75">
        <f t="array" ref="EV21">SUM((YEAR(Gastos!$A$2:$A$2500)=EV$1)*(MONTH(Gastos!$A$2:$A$2500)=EV$3)*(Gastos!$B$2:$B$2500=$A21)*(Gastos!$D$2:$D$2500))</f>
        <v>0</v>
      </c>
      <c r="EW21" s="75">
        <f t="array" ref="EW21">SUM((YEAR(Gastos!$A$2:$A$2500)=EW$1)*(MONTH(Gastos!$A$2:$A$2500)=EW$3)*(Gastos!$B$2:$B$2500=$A21)*(Gastos!$D$2:$D$2500))</f>
        <v>0</v>
      </c>
      <c r="EX21" s="75">
        <f t="array" ref="EX21">SUM((YEAR(Gastos!$A$2:$A$2500)=EX$1)*(MONTH(Gastos!$A$2:$A$2500)=EX$3)*(Gastos!$B$2:$B$2500=$A21)*(Gastos!$D$2:$D$2500))</f>
        <v>0</v>
      </c>
      <c r="EY21" s="75">
        <f t="array" ref="EY21">SUM((YEAR(Gastos!$A$2:$A$2500)=EY$1)*(MONTH(Gastos!$A$2:$A$2500)=EY$3)*(Gastos!$B$2:$B$2500=$A21)*(Gastos!$D$2:$D$2500))</f>
        <v>0</v>
      </c>
      <c r="EZ21" s="75">
        <f t="array" ref="EZ21">SUM((YEAR(Gastos!$A$2:$A$2500)=EZ$1)*(MONTH(Gastos!$A$2:$A$2500)=EZ$3)*(Gastos!$B$2:$B$2500=$A21)*(Gastos!$D$2:$D$2500))</f>
        <v>0</v>
      </c>
      <c r="FA21" s="75">
        <f t="array" ref="FA21">SUM((YEAR(Gastos!$A$2:$A$2500)=FA$1)*(MONTH(Gastos!$A$2:$A$2500)=FA$3)*(Gastos!$B$2:$B$2500=$A21)*(Gastos!$D$2:$D$2500))</f>
        <v>0</v>
      </c>
      <c r="FB21" s="75">
        <f t="array" ref="FB21">SUM((YEAR(Gastos!$A$2:$A$2500)=FB$1)*(MONTH(Gastos!$A$2:$A$2500)=FB$3)*(Gastos!$B$2:$B$2500=$A21)*(Gastos!$D$2:$D$2500))</f>
        <v>0</v>
      </c>
      <c r="FC21" s="75">
        <f t="array" ref="FC21">SUM((YEAR(Gastos!$A$2:$A$2500)=FC$1)*(MONTH(Gastos!$A$2:$A$2500)=FC$3)*(Gastos!$B$2:$B$2500=$A21)*(Gastos!$D$2:$D$2500))</f>
        <v>0</v>
      </c>
      <c r="FD21" s="75">
        <f t="array" ref="FD21">SUM((YEAR(Gastos!$A$2:$A$2500)=FD$1)*(MONTH(Gastos!$A$2:$A$2500)=FD$3)*(Gastos!$B$2:$B$2500=$A21)*(Gastos!$D$2:$D$2500))</f>
        <v>0</v>
      </c>
      <c r="FE21" s="75">
        <f t="array" ref="FE21">SUM((YEAR(Gastos!$A$2:$A$2500)=FE$1)*(MONTH(Gastos!$A$2:$A$2500)=FE$3)*(Gastos!$B$2:$B$2500=$A21)*(Gastos!$D$2:$D$2500))</f>
        <v>0</v>
      </c>
      <c r="FF21" s="75">
        <f t="array" ref="FF21">SUM((YEAR(Gastos!$A$2:$A$2500)=FF$1)*(MONTH(Gastos!$A$2:$A$2500)=FF$3)*(Gastos!$B$2:$B$2500=$A21)*(Gastos!$D$2:$D$2500))</f>
        <v>0</v>
      </c>
      <c r="FG21" s="75">
        <f t="array" ref="FG21">SUM((YEAR(Gastos!$A$2:$A$2500)=FG$1)*(MONTH(Gastos!$A$2:$A$2500)=FG$3)*(Gastos!$B$2:$B$2500=$A21)*(Gastos!$D$2:$D$2500))</f>
        <v>0</v>
      </c>
      <c r="FH21" s="75">
        <f t="array" ref="FH21">SUM((YEAR(Gastos!$A$2:$A$2500)=FH$1)*(MONTH(Gastos!$A$2:$A$2500)=FH$3)*(Gastos!$B$2:$B$2500=$A21)*(Gastos!$D$2:$D$2500))</f>
        <v>0</v>
      </c>
      <c r="FI21" s="75">
        <f t="array" ref="FI21">SUM((YEAR(Gastos!$A$2:$A$2500)=FI$1)*(MONTH(Gastos!$A$2:$A$2500)=FI$3)*(Gastos!$B$2:$B$2500=$A21)*(Gastos!$D$2:$D$2500))</f>
        <v>0</v>
      </c>
      <c r="FJ21" s="75">
        <f t="array" ref="FJ21">SUM((YEAR(Gastos!$A$2:$A$2500)=FJ$1)*(MONTH(Gastos!$A$2:$A$2500)=FJ$3)*(Gastos!$B$2:$B$2500=$A21)*(Gastos!$D$2:$D$2500))</f>
        <v>0</v>
      </c>
      <c r="FK21" s="75">
        <f t="array" ref="FK21">SUM((YEAR(Gastos!$A$2:$A$2500)=FK$1)*(MONTH(Gastos!$A$2:$A$2500)=FK$3)*(Gastos!$B$2:$B$2500=$A21)*(Gastos!$D$2:$D$2500))</f>
        <v>0</v>
      </c>
      <c r="FL21" s="75">
        <f t="array" ref="FL21">SUM((YEAR(Gastos!$A$2:$A$2500)=FL$1)*(MONTH(Gastos!$A$2:$A$2500)=FL$3)*(Gastos!$B$2:$B$2500=$A21)*(Gastos!$D$2:$D$2500))</f>
        <v>0</v>
      </c>
      <c r="FM21" s="75">
        <f t="array" ref="FM21">SUM((YEAR(Gastos!$A$2:$A$2500)=FM$1)*(MONTH(Gastos!$A$2:$A$2500)=FM$3)*(Gastos!$B$2:$B$2500=$A21)*(Gastos!$D$2:$D$2500))</f>
        <v>0</v>
      </c>
      <c r="FN21" s="75">
        <f t="array" ref="FN21">SUM((YEAR(Gastos!$A$2:$A$2500)=FN$1)*(MONTH(Gastos!$A$2:$A$2500)=FN$3)*(Gastos!$B$2:$B$2500=$A21)*(Gastos!$D$2:$D$2500))</f>
        <v>0</v>
      </c>
      <c r="FO21" s="75">
        <f t="array" ref="FO21">SUM((YEAR(Gastos!$A$2:$A$2500)=FO$1)*(MONTH(Gastos!$A$2:$A$2500)=FO$3)*(Gastos!$B$2:$B$2500=$A21)*(Gastos!$D$2:$D$2500))</f>
        <v>0</v>
      </c>
      <c r="FP21" s="75">
        <f t="array" ref="FP21">SUM((YEAR(Gastos!$A$2:$A$2500)=FP$1)*(MONTH(Gastos!$A$2:$A$2500)=FP$3)*(Gastos!$B$2:$B$2500=$A21)*(Gastos!$D$2:$D$2500))</f>
        <v>0</v>
      </c>
      <c r="FQ21" s="75">
        <f t="array" ref="FQ21">SUM((YEAR(Gastos!$A$2:$A$2500)=FQ$1)*(MONTH(Gastos!$A$2:$A$2500)=FQ$3)*(Gastos!$B$2:$B$2500=$A21)*(Gastos!$D$2:$D$2500))</f>
        <v>0</v>
      </c>
      <c r="FR21" s="75">
        <f t="array" ref="FR21">SUM((YEAR(Gastos!$A$2:$A$2500)=FR$1)*(MONTH(Gastos!$A$2:$A$2500)=FR$3)*(Gastos!$B$2:$B$2500=$A21)*(Gastos!$D$2:$D$2500))</f>
        <v>0</v>
      </c>
      <c r="FS21" s="75">
        <f t="array" ref="FS21">SUM((YEAR(Gastos!$A$2:$A$2500)=FS$1)*(MONTH(Gastos!$A$2:$A$2500)=FS$3)*(Gastos!$B$2:$B$2500=$A21)*(Gastos!$D$2:$D$2500))</f>
        <v>0</v>
      </c>
      <c r="FT21" s="75">
        <f t="array" ref="FT21">SUM((YEAR(Gastos!$A$2:$A$2500)=FT$1)*(MONTH(Gastos!$A$2:$A$2500)=FT$3)*(Gastos!$B$2:$B$2500=$A21)*(Gastos!$D$2:$D$2500))</f>
        <v>0</v>
      </c>
      <c r="FU21" s="75">
        <f t="array" ref="FU21">SUM((YEAR(Gastos!$A$2:$A$2500)=FU$1)*(MONTH(Gastos!$A$2:$A$2500)=FU$3)*(Gastos!$B$2:$B$2500=$A21)*(Gastos!$D$2:$D$2500))</f>
        <v>0</v>
      </c>
      <c r="FV21" s="75">
        <f t="array" ref="FV21">SUM((YEAR(Gastos!$A$2:$A$2500)=FV$1)*(MONTH(Gastos!$A$2:$A$2500)=FV$3)*(Gastos!$B$2:$B$2500=$A21)*(Gastos!$D$2:$D$2500))</f>
        <v>0</v>
      </c>
      <c r="FW21" s="75">
        <f t="array" ref="FW21">SUM((YEAR(Gastos!$A$2:$A$2500)=FW$1)*(MONTH(Gastos!$A$2:$A$2500)=FW$3)*(Gastos!$B$2:$B$2500=$A21)*(Gastos!$D$2:$D$2500))</f>
        <v>0</v>
      </c>
      <c r="FX21" s="75">
        <f t="array" ref="FX21">SUM((YEAR(Gastos!$A$2:$A$2500)=FX$1)*(MONTH(Gastos!$A$2:$A$2500)=FX$3)*(Gastos!$B$2:$B$2500=$A21)*(Gastos!$D$2:$D$2500))</f>
        <v>0</v>
      </c>
      <c r="FY21" s="75">
        <f t="array" ref="FY21">SUM((YEAR(Gastos!$A$2:$A$2500)=FY$1)*(MONTH(Gastos!$A$2:$A$2500)=FY$3)*(Gastos!$B$2:$B$2500=$A21)*(Gastos!$D$2:$D$2500))</f>
        <v>0</v>
      </c>
      <c r="FZ21" s="76">
        <f t="shared" si="65"/>
        <v>73632.33</v>
      </c>
      <c r="GA21" s="80"/>
      <c r="GB21" s="78">
        <f t="shared" si="66"/>
        <v>0</v>
      </c>
      <c r="GF21" s="79">
        <f t="array" ref="GF21">SUM(((Gastos!$A$2:$A$1647)&gt;=GD$3)*((Gastos!$A$2:$A$1647)&lt;=GF$3)*(Gastos!$B$2:$B$1647=$A21)*(Gastos!$D$2:$D$1647))</f>
        <v>0</v>
      </c>
      <c r="GI21" s="79">
        <f t="array" ref="GI21">SUM(((Gastos!$A$2:$A$1647)&gt;=GG$3)*((Gastos!$A$2:$A$1647)&lt;=GI$3)*(Gastos!$B$2:$B$1647=$A21)*(Gastos!$D$2:$D$1647))</f>
        <v>0</v>
      </c>
    </row>
    <row r="22" spans="1:191" ht="15" thickBot="1" x14ac:dyDescent="0.4">
      <c r="A22" s="74" t="str">
        <f>Gastos!AA20</f>
        <v>V. CERCA ELECTRICA</v>
      </c>
      <c r="B22" s="75">
        <f t="array" ref="B22">SUM((YEAR(Gastos!$A$2:$A$2500)=B$1)*(MONTH(Gastos!$A$2:$A$2500)=B$3)*(Gastos!$B$2:$B$2500=$A22)*(Gastos!$D$2:$D$2500))</f>
        <v>0</v>
      </c>
      <c r="C22" s="75">
        <f t="array" ref="C22">SUM((YEAR(Gastos!$A$2:$A$2500)=C$1)*(MONTH(Gastos!$A$2:$A$2500)=C$3)*(Gastos!$B$2:$B$2500=$A22)*(Gastos!$D$2:$D$2500))</f>
        <v>0</v>
      </c>
      <c r="D22" s="75">
        <f t="array" ref="D22">SUM((YEAR(Gastos!$A$2:$A$2500)=D$1)*(MONTH(Gastos!$A$2:$A$2500)=D$3)*(Gastos!$B$2:$B$2500=$A22)*(Gastos!$D$2:$D$2500))</f>
        <v>0</v>
      </c>
      <c r="E22" s="75">
        <f t="array" ref="E22">SUM((YEAR(Gastos!$A$2:$A$2500)=E$1)*(MONTH(Gastos!$A$2:$A$2500)=E$3)*(Gastos!$B$2:$B$2500=$A22)*(Gastos!$D$2:$D$2500))</f>
        <v>0</v>
      </c>
      <c r="F22" s="75">
        <f t="array" ref="F22">SUM((YEAR(Gastos!$A$2:$A$2500)=F$1)*(MONTH(Gastos!$A$2:$A$2500)=F$3)*(Gastos!$B$2:$B$2500=$A22)*(Gastos!$D$2:$D$2500))</f>
        <v>0</v>
      </c>
      <c r="G22" s="75">
        <f t="array" ref="G22">SUM((YEAR(Gastos!$A$2:$A$2500)=G$1)*(MONTH(Gastos!$A$2:$A$2500)=G$3)*(Gastos!$B$2:$B$2500=$A22)*(Gastos!$D$2:$D$2500))</f>
        <v>0</v>
      </c>
      <c r="H22" s="75">
        <f t="array" ref="H22">SUM((YEAR(Gastos!$A$2:$A$2500)=H$1)*(MONTH(Gastos!$A$2:$A$2500)=H$3)*(Gastos!$B$2:$B$2500=$A22)*(Gastos!$D$2:$D$2500))</f>
        <v>0</v>
      </c>
      <c r="I22" s="75">
        <f t="array" ref="I22">SUM((YEAR(Gastos!$A$2:$A$2500)=I$1)*(MONTH(Gastos!$A$2:$A$2500)=I$3)*(Gastos!$B$2:$B$2500=$A22)*(Gastos!$D$2:$D$2500))</f>
        <v>0</v>
      </c>
      <c r="J22" s="75">
        <f t="array" ref="J22">SUM((YEAR(Gastos!$A$2:$A$2500)=J$1)*(MONTH(Gastos!$A$2:$A$2500)=J$3)*(Gastos!$B$2:$B$2500=$A22)*(Gastos!$D$2:$D$2500))</f>
        <v>0</v>
      </c>
      <c r="K22" s="75">
        <f t="array" ref="K22">SUM((YEAR(Gastos!$A$2:$A$2500)=K$1)*(MONTH(Gastos!$A$2:$A$2500)=K$3)*(Gastos!$B$2:$B$2500=$A22)*(Gastos!$D$2:$D$2500))</f>
        <v>0</v>
      </c>
      <c r="L22" s="75">
        <f t="array" ref="L22">SUM((YEAR(Gastos!$A$2:$A$2500)=L$1)*(MONTH(Gastos!$A$2:$A$2500)=L$3)*(Gastos!$B$2:$B$2500=$A22)*(Gastos!$D$2:$D$2500))</f>
        <v>0</v>
      </c>
      <c r="M22" s="75">
        <f t="array" ref="M22">SUM((YEAR(Gastos!$A$2:$A$2500)=M$1)*(MONTH(Gastos!$A$2:$A$2500)=M$3)*(Gastos!$B$2:$B$2500=$A22)*(Gastos!$D$2:$D$2500))</f>
        <v>0</v>
      </c>
      <c r="N22" s="75">
        <f t="array" ref="N22">SUM((YEAR(Gastos!$A$2:$A$2500)=N$1)*(MONTH(Gastos!$A$2:$A$2500)=N$3)*(Gastos!$B$2:$B$2500=$A22)*(Gastos!$D$2:$D$2500))</f>
        <v>0</v>
      </c>
      <c r="O22" s="75">
        <f t="array" ref="O22">SUM((YEAR(Gastos!$A$2:$A$2500)=O$1)*(MONTH(Gastos!$A$2:$A$2500)=O$3)*(Gastos!$B$2:$B$2500=$A22)*(Gastos!$D$2:$D$2500))</f>
        <v>0</v>
      </c>
      <c r="P22" s="75">
        <f t="array" ref="P22">SUM((YEAR(Gastos!$A$2:$A$2500)=P$1)*(MONTH(Gastos!$A$2:$A$2500)=P$3)*(Gastos!$B$2:$B$2500=$A22)*(Gastos!$D$2:$D$2500))</f>
        <v>0</v>
      </c>
      <c r="Q22" s="75">
        <f t="array" ref="Q22">SUM((YEAR(Gastos!$A$2:$A$2500)=Q$1)*(MONTH(Gastos!$A$2:$A$2500)=Q$3)*(Gastos!$B$2:$B$2500=$A22)*(Gastos!$D$2:$D$2500))</f>
        <v>0</v>
      </c>
      <c r="R22" s="75">
        <f t="array" ref="R22">SUM((YEAR(Gastos!$A$2:$A$2500)=R$1)*(MONTH(Gastos!$A$2:$A$2500)=R$3)*(Gastos!$B$2:$B$2500=$A22)*(Gastos!$D$2:$D$2500))</f>
        <v>0</v>
      </c>
      <c r="S22" s="75">
        <f t="array" ref="S22">SUM((YEAR(Gastos!$A$2:$A$2500)=S$1)*(MONTH(Gastos!$A$2:$A$2500)=S$3)*(Gastos!$B$2:$B$2500=$A22)*(Gastos!$D$2:$D$2500))</f>
        <v>0</v>
      </c>
      <c r="T22" s="75">
        <f t="array" ref="T22">SUM((YEAR(Gastos!$A$2:$A$2500)=T$1)*(MONTH(Gastos!$A$2:$A$2500)=T$3)*(Gastos!$B$2:$B$2500=$A22)*(Gastos!$D$2:$D$2500))</f>
        <v>0</v>
      </c>
      <c r="U22" s="75">
        <f t="array" ref="U22">SUM((YEAR(Gastos!$A$2:$A$2500)=U$1)*(MONTH(Gastos!$A$2:$A$2500)=U$3)*(Gastos!$B$2:$B$2500=$A22)*(Gastos!$D$2:$D$2500))</f>
        <v>0</v>
      </c>
      <c r="V22" s="75">
        <f t="array" ref="V22">SUM((YEAR(Gastos!$A$2:$A$2500)=V$1)*(MONTH(Gastos!$A$2:$A$2500)=V$3)*(Gastos!$B$2:$B$2500=$A22)*(Gastos!$D$2:$D$2500))</f>
        <v>0</v>
      </c>
      <c r="W22" s="75">
        <f t="array" ref="W22">SUM((YEAR(Gastos!$A$2:$A$2500)=W$1)*(MONTH(Gastos!$A$2:$A$2500)=W$3)*(Gastos!$B$2:$B$2500=$A22)*(Gastos!$D$2:$D$2500))</f>
        <v>0</v>
      </c>
      <c r="X22" s="75">
        <f t="array" ref="X22">SUM((YEAR(Gastos!$A$2:$A$2500)=X$1)*(MONTH(Gastos!$A$2:$A$2500)=X$3)*(Gastos!$B$2:$B$2500=$A22)*(Gastos!$D$2:$D$2500))</f>
        <v>0</v>
      </c>
      <c r="Y22" s="75">
        <f t="array" ref="Y22">SUM((YEAR(Gastos!$A$2:$A$2500)=Y$1)*(MONTH(Gastos!$A$2:$A$2500)=Y$3)*(Gastos!$B$2:$B$2500=$A22)*(Gastos!$D$2:$D$2500))</f>
        <v>0</v>
      </c>
      <c r="Z22" s="75">
        <f t="array" ref="Z22">SUM((YEAR(Gastos!$A$2:$A$2500)=Z$1)*(MONTH(Gastos!$A$2:$A$2500)=Z$3)*(Gastos!$B$2:$B$2500=$A22)*(Gastos!$D$2:$D$2500))</f>
        <v>0</v>
      </c>
      <c r="AA22" s="75">
        <f t="array" ref="AA22">SUM((YEAR(Gastos!$A$2:$A$2500)=AA$1)*(MONTH(Gastos!$A$2:$A$2500)=AA$3)*(Gastos!$B$2:$B$2500=$A22)*(Gastos!$D$2:$D$2500))</f>
        <v>0</v>
      </c>
      <c r="AB22" s="75">
        <f t="array" ref="AB22">SUM((YEAR(Gastos!$A$2:$A$2500)=AB$1)*(MONTH(Gastos!$A$2:$A$2500)=AB$3)*(Gastos!$B$2:$B$2500=$A22)*(Gastos!$D$2:$D$2500))</f>
        <v>0</v>
      </c>
      <c r="AC22" s="75">
        <f t="array" ref="AC22">SUM((YEAR(Gastos!$A$2:$A$2500)=AC$1)*(MONTH(Gastos!$A$2:$A$2500)=AC$3)*(Gastos!$B$2:$B$2500=$A22)*(Gastos!$D$2:$D$2500))</f>
        <v>0</v>
      </c>
      <c r="AD22" s="75">
        <f t="array" ref="AD22">SUM((YEAR(Gastos!$A$2:$A$2500)=AD$1)*(MONTH(Gastos!$A$2:$A$2500)=AD$3)*(Gastos!$B$2:$B$2500=$A22)*(Gastos!$D$2:$D$2500))</f>
        <v>0</v>
      </c>
      <c r="AE22" s="75">
        <f t="array" ref="AE22">SUM((YEAR(Gastos!$A$2:$A$2500)=AE$1)*(MONTH(Gastos!$A$2:$A$2500)=AE$3)*(Gastos!$B$2:$B$2500=$A22)*(Gastos!$D$2:$D$2500))</f>
        <v>0</v>
      </c>
      <c r="AF22" s="75">
        <f t="array" ref="AF22">SUM((YEAR(Gastos!$A$2:$A$2500)=AF$1)*(MONTH(Gastos!$A$2:$A$2500)=AF$3)*(Gastos!$B$2:$B$2500=$A22)*(Gastos!$D$2:$D$2500))</f>
        <v>0</v>
      </c>
      <c r="AG22" s="75">
        <f t="array" ref="AG22">SUM((YEAR(Gastos!$A$2:$A$2500)=AG$1)*(MONTH(Gastos!$A$2:$A$2500)=AG$3)*(Gastos!$B$2:$B$2500=$A22)*(Gastos!$D$2:$D$2500))</f>
        <v>0</v>
      </c>
      <c r="AH22" s="75">
        <f t="array" ref="AH22">SUM((YEAR(Gastos!$A$2:$A$2500)=AH$1)*(MONTH(Gastos!$A$2:$A$2500)=AH$3)*(Gastos!$B$2:$B$2500=$A22)*(Gastos!$D$2:$D$2500))</f>
        <v>0</v>
      </c>
      <c r="AI22" s="75">
        <f t="array" ref="AI22">SUM((YEAR(Gastos!$A$2:$A$2500)=AI$1)*(MONTH(Gastos!$A$2:$A$2500)=AI$3)*(Gastos!$B$2:$B$2500=$A22)*(Gastos!$D$2:$D$2500))</f>
        <v>0</v>
      </c>
      <c r="AJ22" s="75">
        <f t="array" ref="AJ22">SUM((YEAR(Gastos!$A$2:$A$2500)=AJ$1)*(MONTH(Gastos!$A$2:$A$2500)=AJ$3)*(Gastos!$B$2:$B$2500=$A22)*(Gastos!$D$2:$D$2500))</f>
        <v>0</v>
      </c>
      <c r="AK22" s="75">
        <f t="array" ref="AK22">SUM((YEAR(Gastos!$A$2:$A$2500)=AK$1)*(MONTH(Gastos!$A$2:$A$2500)=AK$3)*(Gastos!$B$2:$B$2500=$A22)*(Gastos!$D$2:$D$2500))</f>
        <v>0</v>
      </c>
      <c r="AL22" s="75">
        <f t="array" ref="AL22">SUM((YEAR(Gastos!$A$2:$A$2500)=AL$1)*(MONTH(Gastos!$A$2:$A$2500)=AL$3)*(Gastos!$B$2:$B$2500=$A22)*(Gastos!$D$2:$D$2500))</f>
        <v>0</v>
      </c>
      <c r="AM22" s="75">
        <f t="array" ref="AM22">SUM((YEAR(Gastos!$A$2:$A$2500)=AM$1)*(MONTH(Gastos!$A$2:$A$2500)=AM$3)*(Gastos!$B$2:$B$2500=$A22)*(Gastos!$D$2:$D$2500))</f>
        <v>0</v>
      </c>
      <c r="AN22" s="75">
        <f t="array" ref="AN22">SUM((YEAR(Gastos!$A$2:$A$2500)=AN$1)*(MONTH(Gastos!$A$2:$A$2500)=AN$3)*(Gastos!$B$2:$B$2500=$A22)*(Gastos!$D$2:$D$2500))</f>
        <v>0</v>
      </c>
      <c r="AO22" s="75">
        <f t="array" ref="AO22">SUM((YEAR(Gastos!$A$2:$A$2500)=AO$1)*(MONTH(Gastos!$A$2:$A$2500)=AO$3)*(Gastos!$B$2:$B$2500=$A22)*(Gastos!$D$2:$D$2500))</f>
        <v>0</v>
      </c>
      <c r="AP22" s="75">
        <f t="array" ref="AP22">SUM((YEAR(Gastos!$A$2:$A$2500)=AP$1)*(MONTH(Gastos!$A$2:$A$2500)=AP$3)*(Gastos!$B$2:$B$2500=$A22)*(Gastos!$D$2:$D$2500))</f>
        <v>0</v>
      </c>
      <c r="AQ22" s="75">
        <f t="array" ref="AQ22">SUM((YEAR(Gastos!$A$2:$A$2500)=AQ$1)*(MONTH(Gastos!$A$2:$A$2500)=AQ$3)*(Gastos!$B$2:$B$2500=$A22)*(Gastos!$D$2:$D$2500))</f>
        <v>0</v>
      </c>
      <c r="AR22" s="75">
        <f t="array" ref="AR22">SUM((YEAR(Gastos!$A$2:$A$2500)=AR$1)*(MONTH(Gastos!$A$2:$A$2500)=AR$3)*(Gastos!$B$2:$B$2500=$A22)*(Gastos!$D$2:$D$2500))</f>
        <v>0</v>
      </c>
      <c r="AS22" s="75">
        <f t="array" ref="AS22">SUM((YEAR(Gastos!$A$2:$A$2500)=AS$1)*(MONTH(Gastos!$A$2:$A$2500)=AS$3)*(Gastos!$B$2:$B$2500=$A22)*(Gastos!$D$2:$D$2500))</f>
        <v>0</v>
      </c>
      <c r="AT22" s="75">
        <f t="array" ref="AT22">SUM((YEAR(Gastos!$A$2:$A$2500)=AT$1)*(MONTH(Gastos!$A$2:$A$2500)=AT$3)*(Gastos!$B$2:$B$2500=$A22)*(Gastos!$D$2:$D$2500))</f>
        <v>0</v>
      </c>
      <c r="AU22" s="75">
        <f t="array" ref="AU22">SUM((YEAR(Gastos!$A$2:$A$2500)=AU$1)*(MONTH(Gastos!$A$2:$A$2500)=AU$3)*(Gastos!$B$2:$B$2500=$A22)*(Gastos!$D$2:$D$2500))</f>
        <v>0</v>
      </c>
      <c r="AV22" s="75">
        <f t="array" ref="AV22">SUM((YEAR(Gastos!$A$2:$A$2500)=AV$1)*(MONTH(Gastos!$A$2:$A$2500)=AV$3)*(Gastos!$B$2:$B$2500=$A22)*(Gastos!$D$2:$D$2500))</f>
        <v>0</v>
      </c>
      <c r="AW22" s="75">
        <f t="array" ref="AW22">SUM((YEAR(Gastos!$A$2:$A$2500)=AW$1)*(MONTH(Gastos!$A$2:$A$2500)=AW$3)*(Gastos!$B$2:$B$2500=$A22)*(Gastos!$D$2:$D$2500))</f>
        <v>0</v>
      </c>
      <c r="AX22" s="75">
        <f t="array" ref="AX22">SUM((YEAR(Gastos!$A$2:$A$2500)=AX$1)*(MONTH(Gastos!$A$2:$A$2500)=AX$3)*(Gastos!$B$2:$B$2500=$A22)*(Gastos!$D$2:$D$2500))</f>
        <v>0</v>
      </c>
      <c r="AY22" s="75">
        <f t="array" ref="AY22">SUM((YEAR(Gastos!$A$2:$A$2500)=AY$1)*(MONTH(Gastos!$A$2:$A$2500)=AY$3)*(Gastos!$B$2:$B$2500=$A22)*(Gastos!$D$2:$D$2500))</f>
        <v>0</v>
      </c>
      <c r="AZ22" s="75">
        <f t="array" ref="AZ22">SUM((YEAR(Gastos!$A$2:$A$2500)=AZ$1)*(MONTH(Gastos!$A$2:$A$2500)=AZ$3)*(Gastos!$B$2:$B$2500=$A22)*(Gastos!$D$2:$D$2500))</f>
        <v>0</v>
      </c>
      <c r="BA22" s="75">
        <f t="array" ref="BA22">SUM((YEAR(Gastos!$A$2:$A$2500)=BA$1)*(MONTH(Gastos!$A$2:$A$2500)=BA$3)*(Gastos!$B$2:$B$2500=$A22)*(Gastos!$D$2:$D$2500))</f>
        <v>0</v>
      </c>
      <c r="BB22" s="75">
        <f t="array" ref="BB22">SUM((YEAR(Gastos!$A$2:$A$2500)=BB$1)*(MONTH(Gastos!$A$2:$A$2500)=BB$3)*(Gastos!$B$2:$B$2500=$A22)*(Gastos!$D$2:$D$2500))</f>
        <v>0</v>
      </c>
      <c r="BC22" s="75">
        <f t="array" ref="BC22">SUM((YEAR(Gastos!$A$2:$A$2500)=BC$1)*(MONTH(Gastos!$A$2:$A$2500)=BC$3)*(Gastos!$B$2:$B$2500=$A22)*(Gastos!$D$2:$D$2500))</f>
        <v>0</v>
      </c>
      <c r="BD22" s="75">
        <f t="array" ref="BD22">SUM((YEAR(Gastos!$A$2:$A$2500)=BD$1)*(MONTH(Gastos!$A$2:$A$2500)=BD$3)*(Gastos!$B$2:$B$2500=$A22)*(Gastos!$D$2:$D$2500))</f>
        <v>0</v>
      </c>
      <c r="BE22" s="75">
        <f t="array" ref="BE22">SUM((YEAR(Gastos!$A$2:$A$2500)=BE$1)*(MONTH(Gastos!$A$2:$A$2500)=BE$3)*(Gastos!$B$2:$B$2500=$A22)*(Gastos!$D$2:$D$2500))</f>
        <v>0</v>
      </c>
      <c r="BF22" s="75">
        <f t="array" ref="BF22">SUM((YEAR(Gastos!$A$2:$A$2500)=BF$1)*(MONTH(Gastos!$A$2:$A$2500)=BF$3)*(Gastos!$B$2:$B$2500=$A22)*(Gastos!$D$2:$D$2500))</f>
        <v>0</v>
      </c>
      <c r="BG22" s="75">
        <f t="array" ref="BG22">SUM((YEAR(Gastos!$A$2:$A$2500)=BG$1)*(MONTH(Gastos!$A$2:$A$2500)=BG$3)*(Gastos!$B$2:$B$2500=$A22)*(Gastos!$D$2:$D$2500))</f>
        <v>0</v>
      </c>
      <c r="BH22" s="75">
        <f t="array" ref="BH22">SUM((YEAR(Gastos!$A$2:$A$2500)=BH$1)*(MONTH(Gastos!$A$2:$A$2500)=BH$3)*(Gastos!$B$2:$B$2500=$A22)*(Gastos!$D$2:$D$2500))</f>
        <v>0</v>
      </c>
      <c r="BI22" s="75">
        <f t="array" ref="BI22">SUM((YEAR(Gastos!$A$2:$A$2500)=BI$1)*(MONTH(Gastos!$A$2:$A$2500)=BI$3)*(Gastos!$B$2:$B$2500=$A22)*(Gastos!$D$2:$D$2500))</f>
        <v>0</v>
      </c>
      <c r="BJ22" s="75">
        <f t="array" ref="BJ22">SUM((YEAR(Gastos!$A$2:$A$2500)=BJ$1)*(MONTH(Gastos!$A$2:$A$2500)=BJ$3)*(Gastos!$B$2:$B$2500=$A22)*(Gastos!$D$2:$D$2500))</f>
        <v>0</v>
      </c>
      <c r="BK22" s="75">
        <f t="array" ref="BK22">SUM((YEAR(Gastos!$A$2:$A$2500)=BK$1)*(MONTH(Gastos!$A$2:$A$2500)=BK$3)*(Gastos!$B$2:$B$2500=$A22)*(Gastos!$D$2:$D$2500))</f>
        <v>0</v>
      </c>
      <c r="BL22" s="75">
        <f t="array" ref="BL22">SUM((YEAR(Gastos!$A$2:$A$2500)=BL$1)*(MONTH(Gastos!$A$2:$A$2500)=BL$3)*(Gastos!$B$2:$B$2500=$A22)*(Gastos!$D$2:$D$2500))</f>
        <v>0</v>
      </c>
      <c r="BM22" s="75">
        <f t="array" ref="BM22">SUM((YEAR(Gastos!$A$2:$A$2500)=BM$1)*(MONTH(Gastos!$A$2:$A$2500)=BM$3)*(Gastos!$B$2:$B$2500=$A22)*(Gastos!$D$2:$D$2500))</f>
        <v>0</v>
      </c>
      <c r="BN22" s="75">
        <f t="array" ref="BN22">SUM((YEAR(Gastos!$A$2:$A$2500)=BN$1)*(MONTH(Gastos!$A$2:$A$2500)=BN$3)*(Gastos!$B$2:$B$2500=$A22)*(Gastos!$D$2:$D$2500))</f>
        <v>0</v>
      </c>
      <c r="BO22" s="75">
        <f t="array" ref="BO22">SUM((YEAR(Gastos!$A$2:$A$2500)=BO$1)*(MONTH(Gastos!$A$2:$A$2500)=BO$3)*(Gastos!$B$2:$B$2500=$A22)*(Gastos!$D$2:$D$2500))</f>
        <v>0</v>
      </c>
      <c r="BP22" s="75">
        <f t="array" ref="BP22">SUM((YEAR(Gastos!$A$2:$A$2500)=BP$1)*(MONTH(Gastos!$A$2:$A$2500)=BP$3)*(Gastos!$B$2:$B$2500=$A22)*(Gastos!$D$2:$D$2500))</f>
        <v>0</v>
      </c>
      <c r="BQ22" s="75">
        <f t="array" ref="BQ22">SUM((YEAR(Gastos!$A$2:$A$2500)=BQ$1)*(MONTH(Gastos!$A$2:$A$2500)=BQ$3)*(Gastos!$B$2:$B$2500=$A22)*(Gastos!$D$2:$D$2500))</f>
        <v>0</v>
      </c>
      <c r="BR22" s="75">
        <f t="array" ref="BR22">SUM((YEAR(Gastos!$A$2:$A$2500)=BR$1)*(MONTH(Gastos!$A$2:$A$2500)=BR$3)*(Gastos!$B$2:$B$2500=$A22)*(Gastos!$D$2:$D$2500))</f>
        <v>0</v>
      </c>
      <c r="BS22" s="75">
        <f t="array" ref="BS22">SUM((YEAR(Gastos!$A$2:$A$2500)=BS$1)*(MONTH(Gastos!$A$2:$A$2500)=BS$3)*(Gastos!$B$2:$B$2500=$A22)*(Gastos!$D$2:$D$2500))</f>
        <v>0</v>
      </c>
      <c r="BT22" s="75">
        <f t="array" ref="BT22">SUM((YEAR(Gastos!$A$2:$A$2500)=BT$1)*(MONTH(Gastos!$A$2:$A$2500)=BT$3)*(Gastos!$B$2:$B$2500=$A22)*(Gastos!$D$2:$D$2500))</f>
        <v>0</v>
      </c>
      <c r="BU22" s="75">
        <f t="array" ref="BU22">SUM((YEAR(Gastos!$A$2:$A$2500)=BU$1)*(MONTH(Gastos!$A$2:$A$2500)=BU$3)*(Gastos!$B$2:$B$2500=$A22)*(Gastos!$D$2:$D$2500))</f>
        <v>0</v>
      </c>
      <c r="BV22" s="75">
        <f t="array" ref="BV22">SUM((YEAR(Gastos!$A$2:$A$2500)=BV$1)*(MONTH(Gastos!$A$2:$A$2500)=BV$3)*(Gastos!$B$2:$B$2500=$A22)*(Gastos!$D$2:$D$2500))</f>
        <v>0</v>
      </c>
      <c r="BW22" s="75">
        <f t="array" ref="BW22">SUM((YEAR(Gastos!$A$2:$A$2500)=BW$1)*(MONTH(Gastos!$A$2:$A$2500)=BW$3)*(Gastos!$B$2:$B$2500=$A22)*(Gastos!$D$2:$D$2500))</f>
        <v>0</v>
      </c>
      <c r="BX22" s="75">
        <f t="array" ref="BX22">SUM((YEAR(Gastos!$A$2:$A$2500)=BX$1)*(MONTH(Gastos!$A$2:$A$2500)=BX$3)*(Gastos!$B$2:$B$2500=$A22)*(Gastos!$D$2:$D$2500))</f>
        <v>0</v>
      </c>
      <c r="BY22" s="75">
        <f t="array" ref="BY22">SUM((YEAR(Gastos!$A$2:$A$2500)=BY$1)*(MONTH(Gastos!$A$2:$A$2500)=BY$3)*(Gastos!$B$2:$B$2500=$A22)*(Gastos!$D$2:$D$2500))</f>
        <v>0</v>
      </c>
      <c r="BZ22" s="75">
        <f t="array" ref="BZ22">SUM((YEAR(Gastos!$A$2:$A$2500)=BZ$1)*(MONTH(Gastos!$A$2:$A$2500)=BZ$3)*(Gastos!$B$2:$B$2500=$A22)*(Gastos!$D$2:$D$2500))</f>
        <v>0</v>
      </c>
      <c r="CA22" s="75">
        <f t="array" ref="CA22">SUM((YEAR(Gastos!$A$2:$A$2500)=CA$1)*(MONTH(Gastos!$A$2:$A$2500)=CA$3)*(Gastos!$B$2:$B$2500=$A22)*(Gastos!$D$2:$D$2500))</f>
        <v>0</v>
      </c>
      <c r="CB22" s="75">
        <f t="array" ref="CB22">SUM((YEAR(Gastos!$A$2:$A$2500)=CB$1)*(MONTH(Gastos!$A$2:$A$2500)=CB$3)*(Gastos!$B$2:$B$2500=$A22)*(Gastos!$D$2:$D$2500))</f>
        <v>0</v>
      </c>
      <c r="CC22" s="75">
        <f t="array" ref="CC22">SUM((YEAR(Gastos!$A$2:$A$2500)=CC$1)*(MONTH(Gastos!$A$2:$A$2500)=CC$3)*(Gastos!$B$2:$B$2500=$A22)*(Gastos!$D$2:$D$2500))</f>
        <v>0</v>
      </c>
      <c r="CD22" s="75">
        <f t="array" ref="CD22">SUM((YEAR(Gastos!$A$2:$A$2500)=CD$1)*(MONTH(Gastos!$A$2:$A$2500)=CD$3)*(Gastos!$B$2:$B$2500=$A22)*(Gastos!$D$2:$D$2500))</f>
        <v>0</v>
      </c>
      <c r="CE22" s="75">
        <f t="array" ref="CE22">SUM((YEAR(Gastos!$A$2:$A$2500)=CE$1)*(MONTH(Gastos!$A$2:$A$2500)=CE$3)*(Gastos!$B$2:$B$2500=$A22)*(Gastos!$D$2:$D$2500))</f>
        <v>0</v>
      </c>
      <c r="CF22" s="75">
        <f t="array" ref="CF22">SUM((YEAR(Gastos!$A$2:$A$2500)=CF$1)*(MONTH(Gastos!$A$2:$A$2500)=CF$3)*(Gastos!$B$2:$B$2500=$A22)*(Gastos!$D$2:$D$2500))</f>
        <v>0</v>
      </c>
      <c r="CG22" s="75">
        <f t="array" ref="CG22">SUM((YEAR(Gastos!$A$2:$A$2500)=CG$1)*(MONTH(Gastos!$A$2:$A$2500)=CG$3)*(Gastos!$B$2:$B$2500=$A22)*(Gastos!$D$2:$D$2500))</f>
        <v>0</v>
      </c>
      <c r="CH22" s="75">
        <f t="array" ref="CH22">SUM((YEAR(Gastos!$A$2:$A$2500)=CH$1)*(MONTH(Gastos!$A$2:$A$2500)=CH$3)*(Gastos!$B$2:$B$2500=$A22)*(Gastos!$D$2:$D$2500))</f>
        <v>0</v>
      </c>
      <c r="CI22" s="75">
        <f t="array" ref="CI22">SUM((YEAR(Gastos!$A$2:$A$2500)=CI$1)*(MONTH(Gastos!$A$2:$A$2500)=CI$3)*(Gastos!$B$2:$B$2500=$A22)*(Gastos!$D$2:$D$2500))</f>
        <v>0</v>
      </c>
      <c r="CJ22" s="75">
        <f t="array" ref="CJ22">SUM((YEAR(Gastos!$A$2:$A$2500)=CJ$1)*(MONTH(Gastos!$A$2:$A$2500)=CJ$3)*(Gastos!$B$2:$B$2500=$A22)*(Gastos!$D$2:$D$2500))</f>
        <v>0</v>
      </c>
      <c r="CK22" s="75">
        <f t="array" ref="CK22">SUM((YEAR(Gastos!$A$2:$A$2500)=CK$1)*(MONTH(Gastos!$A$2:$A$2500)=CK$3)*(Gastos!$B$2:$B$2500=$A22)*(Gastos!$D$2:$D$2500))</f>
        <v>0</v>
      </c>
      <c r="CL22" s="75">
        <f t="array" ref="CL22">SUM((YEAR(Gastos!$A$2:$A$2500)=CL$1)*(MONTH(Gastos!$A$2:$A$2500)=CL$3)*(Gastos!$B$2:$B$2500=$A22)*(Gastos!$D$2:$D$2500))</f>
        <v>0</v>
      </c>
      <c r="CM22" s="75">
        <f t="array" ref="CM22">SUM((YEAR(Gastos!$A$2:$A$2500)=CM$1)*(MONTH(Gastos!$A$2:$A$2500)=CM$3)*(Gastos!$B$2:$B$2500=$A22)*(Gastos!$D$2:$D$2500))</f>
        <v>0</v>
      </c>
      <c r="CN22" s="75">
        <f t="array" ref="CN22">SUM((YEAR(Gastos!$A$2:$A$2500)=CN$1)*(MONTH(Gastos!$A$2:$A$2500)=CN$3)*(Gastos!$B$2:$B$2500=$A22)*(Gastos!$D$2:$D$2500))</f>
        <v>0</v>
      </c>
      <c r="CO22" s="75">
        <f t="array" ref="CO22">SUM((YEAR(Gastos!$A$2:$A$2500)=CO$1)*(MONTH(Gastos!$A$2:$A$2500)=CO$3)*(Gastos!$B$2:$B$2500=$A22)*(Gastos!$D$2:$D$2500))</f>
        <v>499.99</v>
      </c>
      <c r="CP22" s="75">
        <f t="array" ref="CP22">SUM((YEAR(Gastos!$A$2:$A$2500)=CP$1)*(MONTH(Gastos!$A$2:$A$2500)=CP$3)*(Gastos!$B$2:$B$2500=$A22)*(Gastos!$D$2:$D$2500))</f>
        <v>0</v>
      </c>
      <c r="CQ22" s="75">
        <f t="array" ref="CQ22">SUM((YEAR(Gastos!$A$2:$A$2500)=CQ$1)*(MONTH(Gastos!$A$2:$A$2500)=CQ$3)*(Gastos!$B$2:$B$2500=$A22)*(Gastos!$D$2:$D$2500))</f>
        <v>500.01</v>
      </c>
      <c r="CR22" s="75">
        <f t="array" ref="CR22">SUM((YEAR(Gastos!$A$2:$A$2500)=CR$1)*(MONTH(Gastos!$A$2:$A$2500)=CR$3)*(Gastos!$B$2:$B$2500=$A22)*(Gastos!$D$2:$D$2500))</f>
        <v>0</v>
      </c>
      <c r="CS22" s="75">
        <f t="array" ref="CS22">SUM((YEAR(Gastos!$A$2:$A$2500)=CS$1)*(MONTH(Gastos!$A$2:$A$2500)=CS$3)*(Gastos!$B$2:$B$2500=$A22)*(Gastos!$D$2:$D$2500))</f>
        <v>0</v>
      </c>
      <c r="CT22" s="75">
        <f t="array" ref="CT22">SUM((YEAR(Gastos!$A$2:$A$2500)=CT$1)*(MONTH(Gastos!$A$2:$A$2500)=CT$3)*(Gastos!$B$2:$B$2500=$A22)*(Gastos!$D$2:$D$2500))</f>
        <v>0</v>
      </c>
      <c r="CU22" s="75">
        <f t="array" ref="CU22">SUM((YEAR(Gastos!$A$2:$A$2500)=CU$1)*(MONTH(Gastos!$A$2:$A$2500)=CU$3)*(Gastos!$B$2:$B$2500=$A22)*(Gastos!$D$2:$D$2500))</f>
        <v>0</v>
      </c>
      <c r="CV22" s="75">
        <f t="array" ref="CV22">SUM((YEAR(Gastos!$A$2:$A$2500)=CV$1)*(MONTH(Gastos!$A$2:$A$2500)=CV$3)*(Gastos!$B$2:$B$2500=$A22)*(Gastos!$D$2:$D$2500))</f>
        <v>0</v>
      </c>
      <c r="CW22" s="75">
        <f t="array" ref="CW22">SUM((YEAR(Gastos!$A$2:$A$2500)=CW$1)*(MONTH(Gastos!$A$2:$A$2500)=CW$3)*(Gastos!$B$2:$B$2500=$A22)*(Gastos!$D$2:$D$2500))</f>
        <v>0</v>
      </c>
      <c r="CX22" s="75">
        <f t="array" ref="CX22">SUM((YEAR(Gastos!$A$2:$A$2500)=CX$1)*(MONTH(Gastos!$A$2:$A$2500)=CX$3)*(Gastos!$B$2:$B$2500=$A22)*(Gastos!$D$2:$D$2500))</f>
        <v>0</v>
      </c>
      <c r="CY22" s="75">
        <f t="array" ref="CY22">SUM((YEAR(Gastos!$A$2:$A$2500)=CY$1)*(MONTH(Gastos!$A$2:$A$2500)=CY$3)*(Gastos!$B$2:$B$2500=$A22)*(Gastos!$D$2:$D$2500))</f>
        <v>0</v>
      </c>
      <c r="CZ22" s="75">
        <f t="array" ref="CZ22">SUM((YEAR(Gastos!$A$2:$A$2500)=CZ$1)*(MONTH(Gastos!$A$2:$A$2500)=CZ$3)*(Gastos!$B$2:$B$2500=$A22)*(Gastos!$D$2:$D$2500))</f>
        <v>0</v>
      </c>
      <c r="DA22" s="75">
        <f t="array" ref="DA22">SUM((YEAR(Gastos!$A$2:$A$2500)=DA$1)*(MONTH(Gastos!$A$2:$A$2500)=DA$3)*(Gastos!$B$2:$B$2500=$A22)*(Gastos!$D$2:$D$2500))</f>
        <v>0</v>
      </c>
      <c r="DB22" s="75">
        <f t="array" ref="DB22">SUM((YEAR(Gastos!$A$2:$A$2500)=DB$1)*(MONTH(Gastos!$A$2:$A$2500)=DB$3)*(Gastos!$B$2:$B$2500=$A22)*(Gastos!$D$2:$D$2500))</f>
        <v>0</v>
      </c>
      <c r="DC22" s="75">
        <f t="array" ref="DC22">SUM((YEAR(Gastos!$A$2:$A$2500)=DC$1)*(MONTH(Gastos!$A$2:$A$2500)=DC$3)*(Gastos!$B$2:$B$2500=$A22)*(Gastos!$D$2:$D$2500))</f>
        <v>0</v>
      </c>
      <c r="DD22" s="75">
        <f t="array" ref="DD22">SUM((YEAR(Gastos!$A$2:$A$2500)=DD$1)*(MONTH(Gastos!$A$2:$A$2500)=DD$3)*(Gastos!$B$2:$B$2500=$A22)*(Gastos!$D$2:$D$2500))</f>
        <v>0</v>
      </c>
      <c r="DE22" s="75">
        <f t="array" ref="DE22">SUM((YEAR(Gastos!$A$2:$A$2500)=DE$1)*(MONTH(Gastos!$A$2:$A$2500)=DE$3)*(Gastos!$B$2:$B$2500=$A22)*(Gastos!$D$2:$D$2500))</f>
        <v>0</v>
      </c>
      <c r="DF22" s="75">
        <f t="array" ref="DF22">SUM((YEAR(Gastos!$A$2:$A$2500)=DF$1)*(MONTH(Gastos!$A$2:$A$2500)=DF$3)*(Gastos!$B$2:$B$2500=$A22)*(Gastos!$D$2:$D$2500))</f>
        <v>0</v>
      </c>
      <c r="DG22" s="75">
        <f t="array" ref="DG22">SUM((YEAR(Gastos!$A$2:$A$2500)=DG$1)*(MONTH(Gastos!$A$2:$A$2500)=DG$3)*(Gastos!$B$2:$B$2500=$A22)*(Gastos!$D$2:$D$2500))</f>
        <v>0</v>
      </c>
      <c r="DH22" s="75">
        <f t="array" ref="DH22">SUM((YEAR(Gastos!$A$2:$A$2500)=DH$1)*(MONTH(Gastos!$A$2:$A$2500)=DH$3)*(Gastos!$B$2:$B$2500=$A22)*(Gastos!$D$2:$D$2500))</f>
        <v>0</v>
      </c>
      <c r="DI22" s="75">
        <f t="array" ref="DI22">SUM((YEAR(Gastos!$A$2:$A$2500)=DI$1)*(MONTH(Gastos!$A$2:$A$2500)=DI$3)*(Gastos!$B$2:$B$2500=$A22)*(Gastos!$D$2:$D$2500))</f>
        <v>0</v>
      </c>
      <c r="DJ22" s="75">
        <f t="array" ref="DJ22">SUM((YEAR(Gastos!$A$2:$A$2500)=DJ$1)*(MONTH(Gastos!$A$2:$A$2500)=DJ$3)*(Gastos!$B$2:$B$2500=$A22)*(Gastos!$D$2:$D$2500))</f>
        <v>0</v>
      </c>
      <c r="DK22" s="75">
        <f t="array" ref="DK22">SUM((YEAR(Gastos!$A$2:$A$2500)=DK$1)*(MONTH(Gastos!$A$2:$A$2500)=DK$3)*(Gastos!$B$2:$B$2500=$A22)*(Gastos!$D$2:$D$2500))</f>
        <v>0</v>
      </c>
      <c r="DL22" s="75">
        <f t="array" ref="DL22">SUM((YEAR(Gastos!$A$2:$A$2500)=DL$1)*(MONTH(Gastos!$A$2:$A$2500)=DL$3)*(Gastos!$B$2:$B$2500=$A22)*(Gastos!$D$2:$D$2500))</f>
        <v>0</v>
      </c>
      <c r="DM22" s="75">
        <f t="array" ref="DM22">SUM((YEAR(Gastos!$A$2:$A$2500)=DM$1)*(MONTH(Gastos!$A$2:$A$2500)=DM$3)*(Gastos!$B$2:$B$2500=$A22)*(Gastos!$D$2:$D$2500))</f>
        <v>0</v>
      </c>
      <c r="DN22" s="75">
        <f t="array" ref="DN22">SUM((YEAR(Gastos!$A$2:$A$2500)=DN$1)*(MONTH(Gastos!$A$2:$A$2500)=DN$3)*(Gastos!$B$2:$B$2500=$A22)*(Gastos!$D$2:$D$2500))</f>
        <v>0</v>
      </c>
      <c r="DO22" s="75">
        <f t="array" ref="DO22">SUM((YEAR(Gastos!$A$2:$A$2500)=DO$1)*(MONTH(Gastos!$A$2:$A$2500)=DO$3)*(Gastos!$B$2:$B$2500=$A22)*(Gastos!$D$2:$D$2500))</f>
        <v>0</v>
      </c>
      <c r="DP22" s="75">
        <f t="array" ref="DP22">SUM((YEAR(Gastos!$A$2:$A$2500)=DP$1)*(MONTH(Gastos!$A$2:$A$2500)=DP$3)*(Gastos!$B$2:$B$2500=$A22)*(Gastos!$D$2:$D$2500))</f>
        <v>0</v>
      </c>
      <c r="DQ22" s="75">
        <f t="array" ref="DQ22">SUM((YEAR(Gastos!$A$2:$A$2500)=DQ$1)*(MONTH(Gastos!$A$2:$A$2500)=DQ$3)*(Gastos!$B$2:$B$2500=$A22)*(Gastos!$D$2:$D$2500))</f>
        <v>0</v>
      </c>
      <c r="DR22" s="75">
        <f t="array" ref="DR22">SUM((YEAR(Gastos!$A$2:$A$2500)=DR$1)*(MONTH(Gastos!$A$2:$A$2500)=DR$3)*(Gastos!$B$2:$B$2500=$A22)*(Gastos!$D$2:$D$2500))</f>
        <v>0</v>
      </c>
      <c r="DS22" s="75">
        <f t="array" ref="DS22">SUM((YEAR(Gastos!$A$2:$A$2500)=DS$1)*(MONTH(Gastos!$A$2:$A$2500)=DS$3)*(Gastos!$B$2:$B$2500=$A22)*(Gastos!$D$2:$D$2500))</f>
        <v>0</v>
      </c>
      <c r="DT22" s="75">
        <f t="array" ref="DT22">SUM((YEAR(Gastos!$A$2:$A$2500)=DT$1)*(MONTH(Gastos!$A$2:$A$2500)=DT$3)*(Gastos!$B$2:$B$2500=$A22)*(Gastos!$D$2:$D$2500))</f>
        <v>0</v>
      </c>
      <c r="DU22" s="75">
        <f t="array" ref="DU22">SUM((YEAR(Gastos!$A$2:$A$2500)=DU$1)*(MONTH(Gastos!$A$2:$A$2500)=DU$3)*(Gastos!$B$2:$B$2500=$A22)*(Gastos!$D$2:$D$2500))</f>
        <v>0</v>
      </c>
      <c r="DV22" s="75">
        <f t="array" ref="DV22">SUM((YEAR(Gastos!$A$2:$A$2500)=DV$1)*(MONTH(Gastos!$A$2:$A$2500)=DV$3)*(Gastos!$B$2:$B$2500=$A22)*(Gastos!$D$2:$D$2500))</f>
        <v>0</v>
      </c>
      <c r="DW22" s="75">
        <f t="array" ref="DW22">SUM((YEAR(Gastos!$A$2:$A$2500)=DW$1)*(MONTH(Gastos!$A$2:$A$2500)=DW$3)*(Gastos!$B$2:$B$2500=$A22)*(Gastos!$D$2:$D$2500))</f>
        <v>0</v>
      </c>
      <c r="DX22" s="75">
        <f t="array" ref="DX22">SUM((YEAR(Gastos!$A$2:$A$2500)=DX$1)*(MONTH(Gastos!$A$2:$A$2500)=DX$3)*(Gastos!$B$2:$B$2500=$A22)*(Gastos!$D$2:$D$2500))</f>
        <v>0</v>
      </c>
      <c r="DY22" s="75">
        <f t="array" ref="DY22">SUM((YEAR(Gastos!$A$2:$A$2500)=DY$1)*(MONTH(Gastos!$A$2:$A$2500)=DY$3)*(Gastos!$B$2:$B$2500=$A22)*(Gastos!$D$2:$D$2500))</f>
        <v>6554</v>
      </c>
      <c r="DZ22" s="75">
        <f t="array" ref="DZ22">SUM((YEAR(Gastos!$A$2:$A$2500)=DZ$1)*(MONTH(Gastos!$A$2:$A$2500)=DZ$3)*(Gastos!$B$2:$B$2500=$A22)*(Gastos!$D$2:$D$2500))</f>
        <v>0</v>
      </c>
      <c r="EA22" s="75">
        <f t="array" ref="EA22">SUM((YEAR(Gastos!$A$2:$A$2500)=EA$1)*(MONTH(Gastos!$A$2:$A$2500)=EA$3)*(Gastos!$B$2:$B$2500=$A22)*(Gastos!$D$2:$D$2500))</f>
        <v>0</v>
      </c>
      <c r="EB22" s="75">
        <f t="array" ref="EB22">SUM((YEAR(Gastos!$A$2:$A$2500)=EB$1)*(MONTH(Gastos!$A$2:$A$2500)=EB$3)*(Gastos!$B$2:$B$2500=$A22)*(Gastos!$D$2:$D$2500))</f>
        <v>0</v>
      </c>
      <c r="EC22" s="75">
        <f t="array" ref="EC22">SUM((YEAR(Gastos!$A$2:$A$2500)=EC$1)*(MONTH(Gastos!$A$2:$A$2500)=EC$3)*(Gastos!$B$2:$B$2500=$A22)*(Gastos!$D$2:$D$2500))</f>
        <v>0</v>
      </c>
      <c r="ED22" s="75">
        <f t="array" ref="ED22">SUM((YEAR(Gastos!$A$2:$A$2500)=ED$1)*(MONTH(Gastos!$A$2:$A$2500)=ED$3)*(Gastos!$B$2:$B$2500=$A22)*(Gastos!$D$2:$D$2500))</f>
        <v>0</v>
      </c>
      <c r="EE22" s="75">
        <f t="array" ref="EE22">SUM((YEAR(Gastos!$A$2:$A$2500)=EE$1)*(MONTH(Gastos!$A$2:$A$2500)=EE$3)*(Gastos!$B$2:$B$2500=$A22)*(Gastos!$D$2:$D$2500))</f>
        <v>0</v>
      </c>
      <c r="EF22" s="75">
        <f t="array" ref="EF22">SUM((YEAR(Gastos!$A$2:$A$2500)=EF$1)*(MONTH(Gastos!$A$2:$A$2500)=EF$3)*(Gastos!$B$2:$B$2500=$A22)*(Gastos!$D$2:$D$2500))</f>
        <v>0</v>
      </c>
      <c r="EG22" s="75">
        <f t="array" ref="EG22">SUM((YEAR(Gastos!$A$2:$A$2500)=EG$1)*(MONTH(Gastos!$A$2:$A$2500)=EG$3)*(Gastos!$B$2:$B$2500=$A22)*(Gastos!$D$2:$D$2500))</f>
        <v>0</v>
      </c>
      <c r="EH22" s="75">
        <f t="array" ref="EH22">SUM((YEAR(Gastos!$A$2:$A$2500)=EH$1)*(MONTH(Gastos!$A$2:$A$2500)=EH$3)*(Gastos!$B$2:$B$2500=$A22)*(Gastos!$D$2:$D$2500))</f>
        <v>0</v>
      </c>
      <c r="EI22" s="75">
        <f t="array" ref="EI22">SUM((YEAR(Gastos!$A$2:$A$2500)=EI$1)*(MONTH(Gastos!$A$2:$A$2500)=EI$3)*(Gastos!$B$2:$B$2500=$A22)*(Gastos!$D$2:$D$2500))</f>
        <v>0</v>
      </c>
      <c r="EJ22" s="75">
        <f t="array" ref="EJ22">SUM((YEAR(Gastos!$A$2:$A$2500)=EJ$1)*(MONTH(Gastos!$A$2:$A$2500)=EJ$3)*(Gastos!$B$2:$B$2500=$A22)*(Gastos!$D$2:$D$2500))</f>
        <v>0</v>
      </c>
      <c r="EK22" s="75">
        <f t="array" ref="EK22">SUM((YEAR(Gastos!$A$2:$A$2500)=EK$1)*(MONTH(Gastos!$A$2:$A$2500)=EK$3)*(Gastos!$B$2:$B$2500=$A22)*(Gastos!$D$2:$D$2500))</f>
        <v>0</v>
      </c>
      <c r="EL22" s="75">
        <f t="array" ref="EL22">SUM((YEAR(Gastos!$A$2:$A$2500)=EL$1)*(MONTH(Gastos!$A$2:$A$2500)=EL$3)*(Gastos!$B$2:$B$2500=$A22)*(Gastos!$D$2:$D$2500))</f>
        <v>0</v>
      </c>
      <c r="EM22" s="75">
        <f t="array" ref="EM22">SUM((YEAR(Gastos!$A$2:$A$2500)=EM$1)*(MONTH(Gastos!$A$2:$A$2500)=EM$3)*(Gastos!$B$2:$B$2500=$A22)*(Gastos!$D$2:$D$2500))</f>
        <v>0</v>
      </c>
      <c r="EN22" s="75">
        <f t="array" ref="EN22">SUM((YEAR(Gastos!$A$2:$A$2500)=EN$1)*(MONTH(Gastos!$A$2:$A$2500)=EN$3)*(Gastos!$B$2:$B$2500=$A22)*(Gastos!$D$2:$D$2500))</f>
        <v>0</v>
      </c>
      <c r="EO22" s="75">
        <f t="array" ref="EO22">SUM((YEAR(Gastos!$A$2:$A$2500)=EO$1)*(MONTH(Gastos!$A$2:$A$2500)=EO$3)*(Gastos!$B$2:$B$2500=$A22)*(Gastos!$D$2:$D$2500))</f>
        <v>0</v>
      </c>
      <c r="EP22" s="75">
        <f t="array" ref="EP22">SUM((YEAR(Gastos!$A$2:$A$2500)=EP$1)*(MONTH(Gastos!$A$2:$A$2500)=EP$3)*(Gastos!$B$2:$B$2500=$A22)*(Gastos!$D$2:$D$2500))</f>
        <v>0</v>
      </c>
      <c r="EQ22" s="75">
        <f t="array" ref="EQ22">SUM((YEAR(Gastos!$A$2:$A$2500)=EQ$1)*(MONTH(Gastos!$A$2:$A$2500)=EQ$3)*(Gastos!$B$2:$B$2500=$A22)*(Gastos!$D$2:$D$2500))</f>
        <v>0</v>
      </c>
      <c r="ER22" s="75">
        <f t="array" ref="ER22">SUM((YEAR(Gastos!$A$2:$A$2500)=ER$1)*(MONTH(Gastos!$A$2:$A$2500)=ER$3)*(Gastos!$B$2:$B$2500=$A22)*(Gastos!$D$2:$D$2500))</f>
        <v>0</v>
      </c>
      <c r="ES22" s="75">
        <f t="array" ref="ES22">SUM((YEAR(Gastos!$A$2:$A$2500)=ES$1)*(MONTH(Gastos!$A$2:$A$2500)=ES$3)*(Gastos!$B$2:$B$2500=$A22)*(Gastos!$D$2:$D$2500))</f>
        <v>0</v>
      </c>
      <c r="ET22" s="75">
        <f t="array" ref="ET22">SUM((YEAR(Gastos!$A$2:$A$2500)=ET$1)*(MONTH(Gastos!$A$2:$A$2500)=ET$3)*(Gastos!$B$2:$B$2500=$A22)*(Gastos!$D$2:$D$2500))</f>
        <v>0</v>
      </c>
      <c r="EU22" s="75">
        <f t="array" ref="EU22">SUM((YEAR(Gastos!$A$2:$A$2500)=EU$1)*(MONTH(Gastos!$A$2:$A$2500)=EU$3)*(Gastos!$B$2:$B$2500=$A22)*(Gastos!$D$2:$D$2500))</f>
        <v>0</v>
      </c>
      <c r="EV22" s="75">
        <f t="array" ref="EV22">SUM((YEAR(Gastos!$A$2:$A$2500)=EV$1)*(MONTH(Gastos!$A$2:$A$2500)=EV$3)*(Gastos!$B$2:$B$2500=$A22)*(Gastos!$D$2:$D$2500))</f>
        <v>0</v>
      </c>
      <c r="EW22" s="75">
        <f t="array" ref="EW22">SUM((YEAR(Gastos!$A$2:$A$2500)=EW$1)*(MONTH(Gastos!$A$2:$A$2500)=EW$3)*(Gastos!$B$2:$B$2500=$A22)*(Gastos!$D$2:$D$2500))</f>
        <v>0</v>
      </c>
      <c r="EX22" s="75">
        <f t="array" ref="EX22">SUM((YEAR(Gastos!$A$2:$A$2500)=EX$1)*(MONTH(Gastos!$A$2:$A$2500)=EX$3)*(Gastos!$B$2:$B$2500=$A22)*(Gastos!$D$2:$D$2500))</f>
        <v>0</v>
      </c>
      <c r="EY22" s="75">
        <f t="array" ref="EY22">SUM((YEAR(Gastos!$A$2:$A$2500)=EY$1)*(MONTH(Gastos!$A$2:$A$2500)=EY$3)*(Gastos!$B$2:$B$2500=$A22)*(Gastos!$D$2:$D$2500))</f>
        <v>0</v>
      </c>
      <c r="EZ22" s="75">
        <f t="array" ref="EZ22">SUM((YEAR(Gastos!$A$2:$A$2500)=EZ$1)*(MONTH(Gastos!$A$2:$A$2500)=EZ$3)*(Gastos!$B$2:$B$2500=$A22)*(Gastos!$D$2:$D$2500))</f>
        <v>0</v>
      </c>
      <c r="FA22" s="75">
        <f t="array" ref="FA22">SUM((YEAR(Gastos!$A$2:$A$2500)=FA$1)*(MONTH(Gastos!$A$2:$A$2500)=FA$3)*(Gastos!$B$2:$B$2500=$A22)*(Gastos!$D$2:$D$2500))</f>
        <v>0</v>
      </c>
      <c r="FB22" s="75">
        <f t="array" ref="FB22">SUM((YEAR(Gastos!$A$2:$A$2500)=FB$1)*(MONTH(Gastos!$A$2:$A$2500)=FB$3)*(Gastos!$B$2:$B$2500=$A22)*(Gastos!$D$2:$D$2500))</f>
        <v>0</v>
      </c>
      <c r="FC22" s="75">
        <f t="array" ref="FC22">SUM((YEAR(Gastos!$A$2:$A$2500)=FC$1)*(MONTH(Gastos!$A$2:$A$2500)=FC$3)*(Gastos!$B$2:$B$2500=$A22)*(Gastos!$D$2:$D$2500))</f>
        <v>0</v>
      </c>
      <c r="FD22" s="75">
        <f t="array" ref="FD22">SUM((YEAR(Gastos!$A$2:$A$2500)=FD$1)*(MONTH(Gastos!$A$2:$A$2500)=FD$3)*(Gastos!$B$2:$B$2500=$A22)*(Gastos!$D$2:$D$2500))</f>
        <v>0</v>
      </c>
      <c r="FE22" s="75">
        <f t="array" ref="FE22">SUM((YEAR(Gastos!$A$2:$A$2500)=FE$1)*(MONTH(Gastos!$A$2:$A$2500)=FE$3)*(Gastos!$B$2:$B$2500=$A22)*(Gastos!$D$2:$D$2500))</f>
        <v>0</v>
      </c>
      <c r="FF22" s="75">
        <f t="array" ref="FF22">SUM((YEAR(Gastos!$A$2:$A$2500)=FF$1)*(MONTH(Gastos!$A$2:$A$2500)=FF$3)*(Gastos!$B$2:$B$2500=$A22)*(Gastos!$D$2:$D$2500))</f>
        <v>0</v>
      </c>
      <c r="FG22" s="75">
        <f t="array" ref="FG22">SUM((YEAR(Gastos!$A$2:$A$2500)=FG$1)*(MONTH(Gastos!$A$2:$A$2500)=FG$3)*(Gastos!$B$2:$B$2500=$A22)*(Gastos!$D$2:$D$2500))</f>
        <v>0</v>
      </c>
      <c r="FH22" s="75">
        <f t="array" ref="FH22">SUM((YEAR(Gastos!$A$2:$A$2500)=FH$1)*(MONTH(Gastos!$A$2:$A$2500)=FH$3)*(Gastos!$B$2:$B$2500=$A22)*(Gastos!$D$2:$D$2500))</f>
        <v>0</v>
      </c>
      <c r="FI22" s="75">
        <f t="array" ref="FI22">SUM((YEAR(Gastos!$A$2:$A$2500)=FI$1)*(MONTH(Gastos!$A$2:$A$2500)=FI$3)*(Gastos!$B$2:$B$2500=$A22)*(Gastos!$D$2:$D$2500))</f>
        <v>0</v>
      </c>
      <c r="FJ22" s="75">
        <f t="array" ref="FJ22">SUM((YEAR(Gastos!$A$2:$A$2500)=FJ$1)*(MONTH(Gastos!$A$2:$A$2500)=FJ$3)*(Gastos!$B$2:$B$2500=$A22)*(Gastos!$D$2:$D$2500))</f>
        <v>0</v>
      </c>
      <c r="FK22" s="75">
        <f t="array" ref="FK22">SUM((YEAR(Gastos!$A$2:$A$2500)=FK$1)*(MONTH(Gastos!$A$2:$A$2500)=FK$3)*(Gastos!$B$2:$B$2500=$A22)*(Gastos!$D$2:$D$2500))</f>
        <v>0</v>
      </c>
      <c r="FL22" s="75">
        <f t="array" ref="FL22">SUM((YEAR(Gastos!$A$2:$A$2500)=FL$1)*(MONTH(Gastos!$A$2:$A$2500)=FL$3)*(Gastos!$B$2:$B$2500=$A22)*(Gastos!$D$2:$D$2500))</f>
        <v>0</v>
      </c>
      <c r="FM22" s="75">
        <f t="array" ref="FM22">SUM((YEAR(Gastos!$A$2:$A$2500)=FM$1)*(MONTH(Gastos!$A$2:$A$2500)=FM$3)*(Gastos!$B$2:$B$2500=$A22)*(Gastos!$D$2:$D$2500))</f>
        <v>0</v>
      </c>
      <c r="FN22" s="75">
        <f t="array" ref="FN22">SUM((YEAR(Gastos!$A$2:$A$2500)=FN$1)*(MONTH(Gastos!$A$2:$A$2500)=FN$3)*(Gastos!$B$2:$B$2500=$A22)*(Gastos!$D$2:$D$2500))</f>
        <v>0</v>
      </c>
      <c r="FO22" s="75">
        <f t="array" ref="FO22">SUM((YEAR(Gastos!$A$2:$A$2500)=FO$1)*(MONTH(Gastos!$A$2:$A$2500)=FO$3)*(Gastos!$B$2:$B$2500=$A22)*(Gastos!$D$2:$D$2500))</f>
        <v>0</v>
      </c>
      <c r="FP22" s="75">
        <f t="array" ref="FP22">SUM((YEAR(Gastos!$A$2:$A$2500)=FP$1)*(MONTH(Gastos!$A$2:$A$2500)=FP$3)*(Gastos!$B$2:$B$2500=$A22)*(Gastos!$D$2:$D$2500))</f>
        <v>0</v>
      </c>
      <c r="FQ22" s="75">
        <f t="array" ref="FQ22">SUM((YEAR(Gastos!$A$2:$A$2500)=FQ$1)*(MONTH(Gastos!$A$2:$A$2500)=FQ$3)*(Gastos!$B$2:$B$2500=$A22)*(Gastos!$D$2:$D$2500))</f>
        <v>0</v>
      </c>
      <c r="FR22" s="75">
        <f t="array" ref="FR22">SUM((YEAR(Gastos!$A$2:$A$2500)=FR$1)*(MONTH(Gastos!$A$2:$A$2500)=FR$3)*(Gastos!$B$2:$B$2500=$A22)*(Gastos!$D$2:$D$2500))</f>
        <v>0</v>
      </c>
      <c r="FS22" s="75">
        <f t="array" ref="FS22">SUM((YEAR(Gastos!$A$2:$A$2500)=FS$1)*(MONTH(Gastos!$A$2:$A$2500)=FS$3)*(Gastos!$B$2:$B$2500=$A22)*(Gastos!$D$2:$D$2500))</f>
        <v>0</v>
      </c>
      <c r="FT22" s="75">
        <f t="array" ref="FT22">SUM((YEAR(Gastos!$A$2:$A$2500)=FT$1)*(MONTH(Gastos!$A$2:$A$2500)=FT$3)*(Gastos!$B$2:$B$2500=$A22)*(Gastos!$D$2:$D$2500))</f>
        <v>0</v>
      </c>
      <c r="FU22" s="75">
        <f t="array" ref="FU22">SUM((YEAR(Gastos!$A$2:$A$2500)=FU$1)*(MONTH(Gastos!$A$2:$A$2500)=FU$3)*(Gastos!$B$2:$B$2500=$A22)*(Gastos!$D$2:$D$2500))</f>
        <v>0</v>
      </c>
      <c r="FV22" s="75">
        <f t="array" ref="FV22">SUM((YEAR(Gastos!$A$2:$A$2500)=FV$1)*(MONTH(Gastos!$A$2:$A$2500)=FV$3)*(Gastos!$B$2:$B$2500=$A22)*(Gastos!$D$2:$D$2500))</f>
        <v>0</v>
      </c>
      <c r="FW22" s="75">
        <f t="array" ref="FW22">SUM((YEAR(Gastos!$A$2:$A$2500)=FW$1)*(MONTH(Gastos!$A$2:$A$2500)=FW$3)*(Gastos!$B$2:$B$2500=$A22)*(Gastos!$D$2:$D$2500))</f>
        <v>0</v>
      </c>
      <c r="FX22" s="75">
        <f t="array" ref="FX22">SUM((YEAR(Gastos!$A$2:$A$2500)=FX$1)*(MONTH(Gastos!$A$2:$A$2500)=FX$3)*(Gastos!$B$2:$B$2500=$A22)*(Gastos!$D$2:$D$2500))</f>
        <v>0</v>
      </c>
      <c r="FY22" s="75">
        <f t="array" ref="FY22">SUM((YEAR(Gastos!$A$2:$A$2500)=FY$1)*(MONTH(Gastos!$A$2:$A$2500)=FY$3)*(Gastos!$B$2:$B$2500=$A22)*(Gastos!$D$2:$D$2500))</f>
        <v>0</v>
      </c>
      <c r="FZ22" s="76">
        <f t="shared" si="65"/>
        <v>7554</v>
      </c>
      <c r="GA22" s="80"/>
      <c r="GB22" s="78">
        <f t="shared" si="66"/>
        <v>0</v>
      </c>
      <c r="GF22" s="79">
        <f t="array" ref="GF22">SUM(((Gastos!$A$2:$A$1647)&gt;=GD$3)*((Gastos!$A$2:$A$1647)&lt;=GF$3)*(Gastos!$B$2:$B$1647=$A22)*(Gastos!$D$2:$D$1647))</f>
        <v>0</v>
      </c>
      <c r="GI22" s="79">
        <f t="array" ref="GI22">SUM(((Gastos!$A$2:$A$1647)&gt;=GG$3)*((Gastos!$A$2:$A$1647)&lt;=GI$3)*(Gastos!$B$2:$B$1647=$A22)*(Gastos!$D$2:$D$1647))</f>
        <v>0</v>
      </c>
    </row>
    <row r="23" spans="1:191" ht="15" thickBot="1" x14ac:dyDescent="0.4">
      <c r="A23" s="74" t="str">
        <f>Gastos!AA21</f>
        <v>V. CERRAJERIA</v>
      </c>
      <c r="B23" s="75">
        <f t="array" ref="B23">SUM((YEAR(Gastos!$A$2:$A$2500)=B$1)*(MONTH(Gastos!$A$2:$A$2500)=B$3)*(Gastos!$B$2:$B$2500=$A23)*(Gastos!$D$2:$D$2500))</f>
        <v>0</v>
      </c>
      <c r="C23" s="75">
        <f t="array" ref="C23">SUM((YEAR(Gastos!$A$2:$A$2500)=C$1)*(MONTH(Gastos!$A$2:$A$2500)=C$3)*(Gastos!$B$2:$B$2500=$A23)*(Gastos!$D$2:$D$2500))</f>
        <v>0</v>
      </c>
      <c r="D23" s="75">
        <f t="array" ref="D23">SUM((YEAR(Gastos!$A$2:$A$2500)=D$1)*(MONTH(Gastos!$A$2:$A$2500)=D$3)*(Gastos!$B$2:$B$2500=$A23)*(Gastos!$D$2:$D$2500))</f>
        <v>0</v>
      </c>
      <c r="E23" s="75">
        <f t="array" ref="E23">SUM((YEAR(Gastos!$A$2:$A$2500)=E$1)*(MONTH(Gastos!$A$2:$A$2500)=E$3)*(Gastos!$B$2:$B$2500=$A23)*(Gastos!$D$2:$D$2500))</f>
        <v>0</v>
      </c>
      <c r="F23" s="75">
        <f t="array" ref="F23">SUM((YEAR(Gastos!$A$2:$A$2500)=F$1)*(MONTH(Gastos!$A$2:$A$2500)=F$3)*(Gastos!$B$2:$B$2500=$A23)*(Gastos!$D$2:$D$2500))</f>
        <v>0</v>
      </c>
      <c r="G23" s="75">
        <f t="array" ref="G23">SUM((YEAR(Gastos!$A$2:$A$2500)=G$1)*(MONTH(Gastos!$A$2:$A$2500)=G$3)*(Gastos!$B$2:$B$2500=$A23)*(Gastos!$D$2:$D$2500))</f>
        <v>0</v>
      </c>
      <c r="H23" s="75">
        <f t="array" ref="H23">SUM((YEAR(Gastos!$A$2:$A$2500)=H$1)*(MONTH(Gastos!$A$2:$A$2500)=H$3)*(Gastos!$B$2:$B$2500=$A23)*(Gastos!$D$2:$D$2500))</f>
        <v>0</v>
      </c>
      <c r="I23" s="75">
        <f t="array" ref="I23">SUM((YEAR(Gastos!$A$2:$A$2500)=I$1)*(MONTH(Gastos!$A$2:$A$2500)=I$3)*(Gastos!$B$2:$B$2500=$A23)*(Gastos!$D$2:$D$2500))</f>
        <v>0</v>
      </c>
      <c r="J23" s="75">
        <f t="array" ref="J23">SUM((YEAR(Gastos!$A$2:$A$2500)=J$1)*(MONTH(Gastos!$A$2:$A$2500)=J$3)*(Gastos!$B$2:$B$2500=$A23)*(Gastos!$D$2:$D$2500))</f>
        <v>0</v>
      </c>
      <c r="K23" s="75">
        <f t="array" ref="K23">SUM((YEAR(Gastos!$A$2:$A$2500)=K$1)*(MONTH(Gastos!$A$2:$A$2500)=K$3)*(Gastos!$B$2:$B$2500=$A23)*(Gastos!$D$2:$D$2500))</f>
        <v>0</v>
      </c>
      <c r="L23" s="75">
        <f t="array" ref="L23">SUM((YEAR(Gastos!$A$2:$A$2500)=L$1)*(MONTH(Gastos!$A$2:$A$2500)=L$3)*(Gastos!$B$2:$B$2500=$A23)*(Gastos!$D$2:$D$2500))</f>
        <v>0</v>
      </c>
      <c r="M23" s="75">
        <f t="array" ref="M23">SUM((YEAR(Gastos!$A$2:$A$2500)=M$1)*(MONTH(Gastos!$A$2:$A$2500)=M$3)*(Gastos!$B$2:$B$2500=$A23)*(Gastos!$D$2:$D$2500))</f>
        <v>0</v>
      </c>
      <c r="N23" s="75">
        <f t="array" ref="N23">SUM((YEAR(Gastos!$A$2:$A$2500)=N$1)*(MONTH(Gastos!$A$2:$A$2500)=N$3)*(Gastos!$B$2:$B$2500=$A23)*(Gastos!$D$2:$D$2500))</f>
        <v>0</v>
      </c>
      <c r="O23" s="75">
        <f t="array" ref="O23">SUM((YEAR(Gastos!$A$2:$A$2500)=O$1)*(MONTH(Gastos!$A$2:$A$2500)=O$3)*(Gastos!$B$2:$B$2500=$A23)*(Gastos!$D$2:$D$2500))</f>
        <v>0</v>
      </c>
      <c r="P23" s="75">
        <f t="array" ref="P23">SUM((YEAR(Gastos!$A$2:$A$2500)=P$1)*(MONTH(Gastos!$A$2:$A$2500)=P$3)*(Gastos!$B$2:$B$2500=$A23)*(Gastos!$D$2:$D$2500))</f>
        <v>0</v>
      </c>
      <c r="Q23" s="75">
        <f t="array" ref="Q23">SUM((YEAR(Gastos!$A$2:$A$2500)=Q$1)*(MONTH(Gastos!$A$2:$A$2500)=Q$3)*(Gastos!$B$2:$B$2500=$A23)*(Gastos!$D$2:$D$2500))</f>
        <v>0</v>
      </c>
      <c r="R23" s="75">
        <f t="array" ref="R23">SUM((YEAR(Gastos!$A$2:$A$2500)=R$1)*(MONTH(Gastos!$A$2:$A$2500)=R$3)*(Gastos!$B$2:$B$2500=$A23)*(Gastos!$D$2:$D$2500))</f>
        <v>0</v>
      </c>
      <c r="S23" s="75">
        <f t="array" ref="S23">SUM((YEAR(Gastos!$A$2:$A$2500)=S$1)*(MONTH(Gastos!$A$2:$A$2500)=S$3)*(Gastos!$B$2:$B$2500=$A23)*(Gastos!$D$2:$D$2500))</f>
        <v>0</v>
      </c>
      <c r="T23" s="75">
        <f t="array" ref="T23">SUM((YEAR(Gastos!$A$2:$A$2500)=T$1)*(MONTH(Gastos!$A$2:$A$2500)=T$3)*(Gastos!$B$2:$B$2500=$A23)*(Gastos!$D$2:$D$2500))</f>
        <v>0</v>
      </c>
      <c r="U23" s="75">
        <f t="array" ref="U23">SUM((YEAR(Gastos!$A$2:$A$2500)=U$1)*(MONTH(Gastos!$A$2:$A$2500)=U$3)*(Gastos!$B$2:$B$2500=$A23)*(Gastos!$D$2:$D$2500))</f>
        <v>0</v>
      </c>
      <c r="V23" s="75">
        <f t="array" ref="V23">SUM((YEAR(Gastos!$A$2:$A$2500)=V$1)*(MONTH(Gastos!$A$2:$A$2500)=V$3)*(Gastos!$B$2:$B$2500=$A23)*(Gastos!$D$2:$D$2500))</f>
        <v>0</v>
      </c>
      <c r="W23" s="75">
        <f t="array" ref="W23">SUM((YEAR(Gastos!$A$2:$A$2500)=W$1)*(MONTH(Gastos!$A$2:$A$2500)=W$3)*(Gastos!$B$2:$B$2500=$A23)*(Gastos!$D$2:$D$2500))</f>
        <v>0</v>
      </c>
      <c r="X23" s="75">
        <f t="array" ref="X23">SUM((YEAR(Gastos!$A$2:$A$2500)=X$1)*(MONTH(Gastos!$A$2:$A$2500)=X$3)*(Gastos!$B$2:$B$2500=$A23)*(Gastos!$D$2:$D$2500))</f>
        <v>0</v>
      </c>
      <c r="Y23" s="75">
        <f t="array" ref="Y23">SUM((YEAR(Gastos!$A$2:$A$2500)=Y$1)*(MONTH(Gastos!$A$2:$A$2500)=Y$3)*(Gastos!$B$2:$B$2500=$A23)*(Gastos!$D$2:$D$2500))</f>
        <v>0</v>
      </c>
      <c r="Z23" s="75">
        <f t="array" ref="Z23">SUM((YEAR(Gastos!$A$2:$A$2500)=Z$1)*(MONTH(Gastos!$A$2:$A$2500)=Z$3)*(Gastos!$B$2:$B$2500=$A23)*(Gastos!$D$2:$D$2500))</f>
        <v>0</v>
      </c>
      <c r="AA23" s="75">
        <f t="array" ref="AA23">SUM((YEAR(Gastos!$A$2:$A$2500)=AA$1)*(MONTH(Gastos!$A$2:$A$2500)=AA$3)*(Gastos!$B$2:$B$2500=$A23)*(Gastos!$D$2:$D$2500))</f>
        <v>0</v>
      </c>
      <c r="AB23" s="75">
        <f t="array" ref="AB23">SUM((YEAR(Gastos!$A$2:$A$2500)=AB$1)*(MONTH(Gastos!$A$2:$A$2500)=AB$3)*(Gastos!$B$2:$B$2500=$A23)*(Gastos!$D$2:$D$2500))</f>
        <v>0</v>
      </c>
      <c r="AC23" s="75">
        <f t="array" ref="AC23">SUM((YEAR(Gastos!$A$2:$A$2500)=AC$1)*(MONTH(Gastos!$A$2:$A$2500)=AC$3)*(Gastos!$B$2:$B$2500=$A23)*(Gastos!$D$2:$D$2500))</f>
        <v>0</v>
      </c>
      <c r="AD23" s="75">
        <f t="array" ref="AD23">SUM((YEAR(Gastos!$A$2:$A$2500)=AD$1)*(MONTH(Gastos!$A$2:$A$2500)=AD$3)*(Gastos!$B$2:$B$2500=$A23)*(Gastos!$D$2:$D$2500))</f>
        <v>0</v>
      </c>
      <c r="AE23" s="75">
        <f t="array" ref="AE23">SUM((YEAR(Gastos!$A$2:$A$2500)=AE$1)*(MONTH(Gastos!$A$2:$A$2500)=AE$3)*(Gastos!$B$2:$B$2500=$A23)*(Gastos!$D$2:$D$2500))</f>
        <v>0</v>
      </c>
      <c r="AF23" s="75">
        <f t="array" ref="AF23">SUM((YEAR(Gastos!$A$2:$A$2500)=AF$1)*(MONTH(Gastos!$A$2:$A$2500)=AF$3)*(Gastos!$B$2:$B$2500=$A23)*(Gastos!$D$2:$D$2500))</f>
        <v>0</v>
      </c>
      <c r="AG23" s="75">
        <f t="array" ref="AG23">SUM((YEAR(Gastos!$A$2:$A$2500)=AG$1)*(MONTH(Gastos!$A$2:$A$2500)=AG$3)*(Gastos!$B$2:$B$2500=$A23)*(Gastos!$D$2:$D$2500))</f>
        <v>0</v>
      </c>
      <c r="AH23" s="75">
        <f t="array" ref="AH23">SUM((YEAR(Gastos!$A$2:$A$2500)=AH$1)*(MONTH(Gastos!$A$2:$A$2500)=AH$3)*(Gastos!$B$2:$B$2500=$A23)*(Gastos!$D$2:$D$2500))</f>
        <v>0</v>
      </c>
      <c r="AI23" s="75">
        <f t="array" ref="AI23">SUM((YEAR(Gastos!$A$2:$A$2500)=AI$1)*(MONTH(Gastos!$A$2:$A$2500)=AI$3)*(Gastos!$B$2:$B$2500=$A23)*(Gastos!$D$2:$D$2500))</f>
        <v>0</v>
      </c>
      <c r="AJ23" s="75">
        <f t="array" ref="AJ23">SUM((YEAR(Gastos!$A$2:$A$2500)=AJ$1)*(MONTH(Gastos!$A$2:$A$2500)=AJ$3)*(Gastos!$B$2:$B$2500=$A23)*(Gastos!$D$2:$D$2500))</f>
        <v>0</v>
      </c>
      <c r="AK23" s="75">
        <f t="array" ref="AK23">SUM((YEAR(Gastos!$A$2:$A$2500)=AK$1)*(MONTH(Gastos!$A$2:$A$2500)=AK$3)*(Gastos!$B$2:$B$2500=$A23)*(Gastos!$D$2:$D$2500))</f>
        <v>0</v>
      </c>
      <c r="AL23" s="75">
        <f t="array" ref="AL23">SUM((YEAR(Gastos!$A$2:$A$2500)=AL$1)*(MONTH(Gastos!$A$2:$A$2500)=AL$3)*(Gastos!$B$2:$B$2500=$A23)*(Gastos!$D$2:$D$2500))</f>
        <v>0</v>
      </c>
      <c r="AM23" s="75">
        <f t="array" ref="AM23">SUM((YEAR(Gastos!$A$2:$A$2500)=AM$1)*(MONTH(Gastos!$A$2:$A$2500)=AM$3)*(Gastos!$B$2:$B$2500=$A23)*(Gastos!$D$2:$D$2500))</f>
        <v>0</v>
      </c>
      <c r="AN23" s="75">
        <f t="array" ref="AN23">SUM((YEAR(Gastos!$A$2:$A$2500)=AN$1)*(MONTH(Gastos!$A$2:$A$2500)=AN$3)*(Gastos!$B$2:$B$2500=$A23)*(Gastos!$D$2:$D$2500))</f>
        <v>0</v>
      </c>
      <c r="AO23" s="75">
        <f t="array" ref="AO23">SUM((YEAR(Gastos!$A$2:$A$2500)=AO$1)*(MONTH(Gastos!$A$2:$A$2500)=AO$3)*(Gastos!$B$2:$B$2500=$A23)*(Gastos!$D$2:$D$2500))</f>
        <v>0</v>
      </c>
      <c r="AP23" s="75">
        <f t="array" ref="AP23">SUM((YEAR(Gastos!$A$2:$A$2500)=AP$1)*(MONTH(Gastos!$A$2:$A$2500)=AP$3)*(Gastos!$B$2:$B$2500=$A23)*(Gastos!$D$2:$D$2500))</f>
        <v>0</v>
      </c>
      <c r="AQ23" s="75">
        <f t="array" ref="AQ23">SUM((YEAR(Gastos!$A$2:$A$2500)=AQ$1)*(MONTH(Gastos!$A$2:$A$2500)=AQ$3)*(Gastos!$B$2:$B$2500=$A23)*(Gastos!$D$2:$D$2500))</f>
        <v>0</v>
      </c>
      <c r="AR23" s="75">
        <f t="array" ref="AR23">SUM((YEAR(Gastos!$A$2:$A$2500)=AR$1)*(MONTH(Gastos!$A$2:$A$2500)=AR$3)*(Gastos!$B$2:$B$2500=$A23)*(Gastos!$D$2:$D$2500))</f>
        <v>0</v>
      </c>
      <c r="AS23" s="75">
        <f t="array" ref="AS23">SUM((YEAR(Gastos!$A$2:$A$2500)=AS$1)*(MONTH(Gastos!$A$2:$A$2500)=AS$3)*(Gastos!$B$2:$B$2500=$A23)*(Gastos!$D$2:$D$2500))</f>
        <v>0</v>
      </c>
      <c r="AT23" s="75">
        <f t="array" ref="AT23">SUM((YEAR(Gastos!$A$2:$A$2500)=AT$1)*(MONTH(Gastos!$A$2:$A$2500)=AT$3)*(Gastos!$B$2:$B$2500=$A23)*(Gastos!$D$2:$D$2500))</f>
        <v>0</v>
      </c>
      <c r="AU23" s="75">
        <f t="array" ref="AU23">SUM((YEAR(Gastos!$A$2:$A$2500)=AU$1)*(MONTH(Gastos!$A$2:$A$2500)=AU$3)*(Gastos!$B$2:$B$2500=$A23)*(Gastos!$D$2:$D$2500))</f>
        <v>0</v>
      </c>
      <c r="AV23" s="75">
        <f t="array" ref="AV23">SUM((YEAR(Gastos!$A$2:$A$2500)=AV$1)*(MONTH(Gastos!$A$2:$A$2500)=AV$3)*(Gastos!$B$2:$B$2500=$A23)*(Gastos!$D$2:$D$2500))</f>
        <v>0</v>
      </c>
      <c r="AW23" s="75">
        <f t="array" ref="AW23">SUM((YEAR(Gastos!$A$2:$A$2500)=AW$1)*(MONTH(Gastos!$A$2:$A$2500)=AW$3)*(Gastos!$B$2:$B$2500=$A23)*(Gastos!$D$2:$D$2500))</f>
        <v>0</v>
      </c>
      <c r="AX23" s="75">
        <f t="array" ref="AX23">SUM((YEAR(Gastos!$A$2:$A$2500)=AX$1)*(MONTH(Gastos!$A$2:$A$2500)=AX$3)*(Gastos!$B$2:$B$2500=$A23)*(Gastos!$D$2:$D$2500))</f>
        <v>0</v>
      </c>
      <c r="AY23" s="75">
        <f t="array" ref="AY23">SUM((YEAR(Gastos!$A$2:$A$2500)=AY$1)*(MONTH(Gastos!$A$2:$A$2500)=AY$3)*(Gastos!$B$2:$B$2500=$A23)*(Gastos!$D$2:$D$2500))</f>
        <v>0</v>
      </c>
      <c r="AZ23" s="75">
        <f t="array" ref="AZ23">SUM((YEAR(Gastos!$A$2:$A$2500)=AZ$1)*(MONTH(Gastos!$A$2:$A$2500)=AZ$3)*(Gastos!$B$2:$B$2500=$A23)*(Gastos!$D$2:$D$2500))</f>
        <v>0</v>
      </c>
      <c r="BA23" s="75">
        <f t="array" ref="BA23">SUM((YEAR(Gastos!$A$2:$A$2500)=BA$1)*(MONTH(Gastos!$A$2:$A$2500)=BA$3)*(Gastos!$B$2:$B$2500=$A23)*(Gastos!$D$2:$D$2500))</f>
        <v>0</v>
      </c>
      <c r="BB23" s="75">
        <f t="array" ref="BB23">SUM((YEAR(Gastos!$A$2:$A$2500)=BB$1)*(MONTH(Gastos!$A$2:$A$2500)=BB$3)*(Gastos!$B$2:$B$2500=$A23)*(Gastos!$D$2:$D$2500))</f>
        <v>0</v>
      </c>
      <c r="BC23" s="75">
        <f t="array" ref="BC23">SUM((YEAR(Gastos!$A$2:$A$2500)=BC$1)*(MONTH(Gastos!$A$2:$A$2500)=BC$3)*(Gastos!$B$2:$B$2500=$A23)*(Gastos!$D$2:$D$2500))</f>
        <v>0</v>
      </c>
      <c r="BD23" s="75">
        <f t="array" ref="BD23">SUM((YEAR(Gastos!$A$2:$A$2500)=BD$1)*(MONTH(Gastos!$A$2:$A$2500)=BD$3)*(Gastos!$B$2:$B$2500=$A23)*(Gastos!$D$2:$D$2500))</f>
        <v>0</v>
      </c>
      <c r="BE23" s="75">
        <f t="array" ref="BE23">SUM((YEAR(Gastos!$A$2:$A$2500)=BE$1)*(MONTH(Gastos!$A$2:$A$2500)=BE$3)*(Gastos!$B$2:$B$2500=$A23)*(Gastos!$D$2:$D$2500))</f>
        <v>0</v>
      </c>
      <c r="BF23" s="75">
        <f t="array" ref="BF23">SUM((YEAR(Gastos!$A$2:$A$2500)=BF$1)*(MONTH(Gastos!$A$2:$A$2500)=BF$3)*(Gastos!$B$2:$B$2500=$A23)*(Gastos!$D$2:$D$2500))</f>
        <v>0</v>
      </c>
      <c r="BG23" s="75">
        <f t="array" ref="BG23">SUM((YEAR(Gastos!$A$2:$A$2500)=BG$1)*(MONTH(Gastos!$A$2:$A$2500)=BG$3)*(Gastos!$B$2:$B$2500=$A23)*(Gastos!$D$2:$D$2500))</f>
        <v>0</v>
      </c>
      <c r="BH23" s="75">
        <f t="array" ref="BH23">SUM((YEAR(Gastos!$A$2:$A$2500)=BH$1)*(MONTH(Gastos!$A$2:$A$2500)=BH$3)*(Gastos!$B$2:$B$2500=$A23)*(Gastos!$D$2:$D$2500))</f>
        <v>0</v>
      </c>
      <c r="BI23" s="75">
        <f t="array" ref="BI23">SUM((YEAR(Gastos!$A$2:$A$2500)=BI$1)*(MONTH(Gastos!$A$2:$A$2500)=BI$3)*(Gastos!$B$2:$B$2500=$A23)*(Gastos!$D$2:$D$2500))</f>
        <v>0</v>
      </c>
      <c r="BJ23" s="75">
        <f t="array" ref="BJ23">SUM((YEAR(Gastos!$A$2:$A$2500)=BJ$1)*(MONTH(Gastos!$A$2:$A$2500)=BJ$3)*(Gastos!$B$2:$B$2500=$A23)*(Gastos!$D$2:$D$2500))</f>
        <v>0</v>
      </c>
      <c r="BK23" s="75">
        <f t="array" ref="BK23">SUM((YEAR(Gastos!$A$2:$A$2500)=BK$1)*(MONTH(Gastos!$A$2:$A$2500)=BK$3)*(Gastos!$B$2:$B$2500=$A23)*(Gastos!$D$2:$D$2500))</f>
        <v>0</v>
      </c>
      <c r="BL23" s="75">
        <f t="array" ref="BL23">SUM((YEAR(Gastos!$A$2:$A$2500)=BL$1)*(MONTH(Gastos!$A$2:$A$2500)=BL$3)*(Gastos!$B$2:$B$2500=$A23)*(Gastos!$D$2:$D$2500))</f>
        <v>0</v>
      </c>
      <c r="BM23" s="75">
        <f t="array" ref="BM23">SUM((YEAR(Gastos!$A$2:$A$2500)=BM$1)*(MONTH(Gastos!$A$2:$A$2500)=BM$3)*(Gastos!$B$2:$B$2500=$A23)*(Gastos!$D$2:$D$2500))</f>
        <v>0</v>
      </c>
      <c r="BN23" s="75">
        <f t="array" ref="BN23">SUM((YEAR(Gastos!$A$2:$A$2500)=BN$1)*(MONTH(Gastos!$A$2:$A$2500)=BN$3)*(Gastos!$B$2:$B$2500=$A23)*(Gastos!$D$2:$D$2500))</f>
        <v>0</v>
      </c>
      <c r="BO23" s="75">
        <f t="array" ref="BO23">SUM((YEAR(Gastos!$A$2:$A$2500)=BO$1)*(MONTH(Gastos!$A$2:$A$2500)=BO$3)*(Gastos!$B$2:$B$2500=$A23)*(Gastos!$D$2:$D$2500))</f>
        <v>0</v>
      </c>
      <c r="BP23" s="75">
        <f t="array" ref="BP23">SUM((YEAR(Gastos!$A$2:$A$2500)=BP$1)*(MONTH(Gastos!$A$2:$A$2500)=BP$3)*(Gastos!$B$2:$B$2500=$A23)*(Gastos!$D$2:$D$2500))</f>
        <v>0</v>
      </c>
      <c r="BQ23" s="75">
        <f t="array" ref="BQ23">SUM((YEAR(Gastos!$A$2:$A$2500)=BQ$1)*(MONTH(Gastos!$A$2:$A$2500)=BQ$3)*(Gastos!$B$2:$B$2500=$A23)*(Gastos!$D$2:$D$2500))</f>
        <v>0</v>
      </c>
      <c r="BR23" s="75">
        <f t="array" ref="BR23">SUM((YEAR(Gastos!$A$2:$A$2500)=BR$1)*(MONTH(Gastos!$A$2:$A$2500)=BR$3)*(Gastos!$B$2:$B$2500=$A23)*(Gastos!$D$2:$D$2500))</f>
        <v>0</v>
      </c>
      <c r="BS23" s="75">
        <f t="array" ref="BS23">SUM((YEAR(Gastos!$A$2:$A$2500)=BS$1)*(MONTH(Gastos!$A$2:$A$2500)=BS$3)*(Gastos!$B$2:$B$2500=$A23)*(Gastos!$D$2:$D$2500))</f>
        <v>0</v>
      </c>
      <c r="BT23" s="75">
        <f t="array" ref="BT23">SUM((YEAR(Gastos!$A$2:$A$2500)=BT$1)*(MONTH(Gastos!$A$2:$A$2500)=BT$3)*(Gastos!$B$2:$B$2500=$A23)*(Gastos!$D$2:$D$2500))</f>
        <v>0</v>
      </c>
      <c r="BU23" s="75">
        <f t="array" ref="BU23">SUM((YEAR(Gastos!$A$2:$A$2500)=BU$1)*(MONTH(Gastos!$A$2:$A$2500)=BU$3)*(Gastos!$B$2:$B$2500=$A23)*(Gastos!$D$2:$D$2500))</f>
        <v>0</v>
      </c>
      <c r="BV23" s="75">
        <f t="array" ref="BV23">SUM((YEAR(Gastos!$A$2:$A$2500)=BV$1)*(MONTH(Gastos!$A$2:$A$2500)=BV$3)*(Gastos!$B$2:$B$2500=$A23)*(Gastos!$D$2:$D$2500))</f>
        <v>0</v>
      </c>
      <c r="BW23" s="75">
        <f t="array" ref="BW23">SUM((YEAR(Gastos!$A$2:$A$2500)=BW$1)*(MONTH(Gastos!$A$2:$A$2500)=BW$3)*(Gastos!$B$2:$B$2500=$A23)*(Gastos!$D$2:$D$2500))</f>
        <v>0</v>
      </c>
      <c r="BX23" s="75">
        <f t="array" ref="BX23">SUM((YEAR(Gastos!$A$2:$A$2500)=BX$1)*(MONTH(Gastos!$A$2:$A$2500)=BX$3)*(Gastos!$B$2:$B$2500=$A23)*(Gastos!$D$2:$D$2500))</f>
        <v>0</v>
      </c>
      <c r="BY23" s="75">
        <f t="array" ref="BY23">SUM((YEAR(Gastos!$A$2:$A$2500)=BY$1)*(MONTH(Gastos!$A$2:$A$2500)=BY$3)*(Gastos!$B$2:$B$2500=$A23)*(Gastos!$D$2:$D$2500))</f>
        <v>0</v>
      </c>
      <c r="BZ23" s="75">
        <f t="array" ref="BZ23">SUM((YEAR(Gastos!$A$2:$A$2500)=BZ$1)*(MONTH(Gastos!$A$2:$A$2500)=BZ$3)*(Gastos!$B$2:$B$2500=$A23)*(Gastos!$D$2:$D$2500))</f>
        <v>0</v>
      </c>
      <c r="CA23" s="75">
        <f t="array" ref="CA23">SUM((YEAR(Gastos!$A$2:$A$2500)=CA$1)*(MONTH(Gastos!$A$2:$A$2500)=CA$3)*(Gastos!$B$2:$B$2500=$A23)*(Gastos!$D$2:$D$2500))</f>
        <v>0</v>
      </c>
      <c r="CB23" s="75">
        <f t="array" ref="CB23">SUM((YEAR(Gastos!$A$2:$A$2500)=CB$1)*(MONTH(Gastos!$A$2:$A$2500)=CB$3)*(Gastos!$B$2:$B$2500=$A23)*(Gastos!$D$2:$D$2500))</f>
        <v>580</v>
      </c>
      <c r="CC23" s="75">
        <f t="array" ref="CC23">SUM((YEAR(Gastos!$A$2:$A$2500)=CC$1)*(MONTH(Gastos!$A$2:$A$2500)=CC$3)*(Gastos!$B$2:$B$2500=$A23)*(Gastos!$D$2:$D$2500))</f>
        <v>0</v>
      </c>
      <c r="CD23" s="75">
        <f t="array" ref="CD23">SUM((YEAR(Gastos!$A$2:$A$2500)=CD$1)*(MONTH(Gastos!$A$2:$A$2500)=CD$3)*(Gastos!$B$2:$B$2500=$A23)*(Gastos!$D$2:$D$2500))</f>
        <v>0</v>
      </c>
      <c r="CE23" s="75">
        <f t="array" ref="CE23">SUM((YEAR(Gastos!$A$2:$A$2500)=CE$1)*(MONTH(Gastos!$A$2:$A$2500)=CE$3)*(Gastos!$B$2:$B$2500=$A23)*(Gastos!$D$2:$D$2500))</f>
        <v>0</v>
      </c>
      <c r="CF23" s="75">
        <f t="array" ref="CF23">SUM((YEAR(Gastos!$A$2:$A$2500)=CF$1)*(MONTH(Gastos!$A$2:$A$2500)=CF$3)*(Gastos!$B$2:$B$2500=$A23)*(Gastos!$D$2:$D$2500))</f>
        <v>0</v>
      </c>
      <c r="CG23" s="75">
        <f t="array" ref="CG23">SUM((YEAR(Gastos!$A$2:$A$2500)=CG$1)*(MONTH(Gastos!$A$2:$A$2500)=CG$3)*(Gastos!$B$2:$B$2500=$A23)*(Gastos!$D$2:$D$2500))</f>
        <v>0</v>
      </c>
      <c r="CH23" s="75">
        <f t="array" ref="CH23">SUM((YEAR(Gastos!$A$2:$A$2500)=CH$1)*(MONTH(Gastos!$A$2:$A$2500)=CH$3)*(Gastos!$B$2:$B$2500=$A23)*(Gastos!$D$2:$D$2500))</f>
        <v>0</v>
      </c>
      <c r="CI23" s="75">
        <f t="array" ref="CI23">SUM((YEAR(Gastos!$A$2:$A$2500)=CI$1)*(MONTH(Gastos!$A$2:$A$2500)=CI$3)*(Gastos!$B$2:$B$2500=$A23)*(Gastos!$D$2:$D$2500))</f>
        <v>0</v>
      </c>
      <c r="CJ23" s="75">
        <f t="array" ref="CJ23">SUM((YEAR(Gastos!$A$2:$A$2500)=CJ$1)*(MONTH(Gastos!$A$2:$A$2500)=CJ$3)*(Gastos!$B$2:$B$2500=$A23)*(Gastos!$D$2:$D$2500))</f>
        <v>0</v>
      </c>
      <c r="CK23" s="75">
        <f t="array" ref="CK23">SUM((YEAR(Gastos!$A$2:$A$2500)=CK$1)*(MONTH(Gastos!$A$2:$A$2500)=CK$3)*(Gastos!$B$2:$B$2500=$A23)*(Gastos!$D$2:$D$2500))</f>
        <v>0</v>
      </c>
      <c r="CL23" s="75">
        <f t="array" ref="CL23">SUM((YEAR(Gastos!$A$2:$A$2500)=CL$1)*(MONTH(Gastos!$A$2:$A$2500)=CL$3)*(Gastos!$B$2:$B$2500=$A23)*(Gastos!$D$2:$D$2500))</f>
        <v>0</v>
      </c>
      <c r="CM23" s="75">
        <f t="array" ref="CM23">SUM((YEAR(Gastos!$A$2:$A$2500)=CM$1)*(MONTH(Gastos!$A$2:$A$2500)=CM$3)*(Gastos!$B$2:$B$2500=$A23)*(Gastos!$D$2:$D$2500))</f>
        <v>0</v>
      </c>
      <c r="CN23" s="75">
        <f t="array" ref="CN23">SUM((YEAR(Gastos!$A$2:$A$2500)=CN$1)*(MONTH(Gastos!$A$2:$A$2500)=CN$3)*(Gastos!$B$2:$B$2500=$A23)*(Gastos!$D$2:$D$2500))</f>
        <v>0</v>
      </c>
      <c r="CO23" s="75">
        <f t="array" ref="CO23">SUM((YEAR(Gastos!$A$2:$A$2500)=CO$1)*(MONTH(Gastos!$A$2:$A$2500)=CO$3)*(Gastos!$B$2:$B$2500=$A23)*(Gastos!$D$2:$D$2500))</f>
        <v>0</v>
      </c>
      <c r="CP23" s="75">
        <f t="array" ref="CP23">SUM((YEAR(Gastos!$A$2:$A$2500)=CP$1)*(MONTH(Gastos!$A$2:$A$2500)=CP$3)*(Gastos!$B$2:$B$2500=$A23)*(Gastos!$D$2:$D$2500))</f>
        <v>0</v>
      </c>
      <c r="CQ23" s="75">
        <f t="array" ref="CQ23">SUM((YEAR(Gastos!$A$2:$A$2500)=CQ$1)*(MONTH(Gastos!$A$2:$A$2500)=CQ$3)*(Gastos!$B$2:$B$2500=$A23)*(Gastos!$D$2:$D$2500))</f>
        <v>0</v>
      </c>
      <c r="CR23" s="75">
        <f t="array" ref="CR23">SUM((YEAR(Gastos!$A$2:$A$2500)=CR$1)*(MONTH(Gastos!$A$2:$A$2500)=CR$3)*(Gastos!$B$2:$B$2500=$A23)*(Gastos!$D$2:$D$2500))</f>
        <v>0</v>
      </c>
      <c r="CS23" s="75">
        <f t="array" ref="CS23">SUM((YEAR(Gastos!$A$2:$A$2500)=CS$1)*(MONTH(Gastos!$A$2:$A$2500)=CS$3)*(Gastos!$B$2:$B$2500=$A23)*(Gastos!$D$2:$D$2500))</f>
        <v>0</v>
      </c>
      <c r="CT23" s="75">
        <f t="array" ref="CT23">SUM((YEAR(Gastos!$A$2:$A$2500)=CT$1)*(MONTH(Gastos!$A$2:$A$2500)=CT$3)*(Gastos!$B$2:$B$2500=$A23)*(Gastos!$D$2:$D$2500))</f>
        <v>0</v>
      </c>
      <c r="CU23" s="75">
        <f t="array" ref="CU23">SUM((YEAR(Gastos!$A$2:$A$2500)=CU$1)*(MONTH(Gastos!$A$2:$A$2500)=CU$3)*(Gastos!$B$2:$B$2500=$A23)*(Gastos!$D$2:$D$2500))</f>
        <v>0</v>
      </c>
      <c r="CV23" s="75">
        <f t="array" ref="CV23">SUM((YEAR(Gastos!$A$2:$A$2500)=CV$1)*(MONTH(Gastos!$A$2:$A$2500)=CV$3)*(Gastos!$B$2:$B$2500=$A23)*(Gastos!$D$2:$D$2500))</f>
        <v>0</v>
      </c>
      <c r="CW23" s="75">
        <f t="array" ref="CW23">SUM((YEAR(Gastos!$A$2:$A$2500)=CW$1)*(MONTH(Gastos!$A$2:$A$2500)=CW$3)*(Gastos!$B$2:$B$2500=$A23)*(Gastos!$D$2:$D$2500))</f>
        <v>0</v>
      </c>
      <c r="CX23" s="75">
        <f t="array" ref="CX23">SUM((YEAR(Gastos!$A$2:$A$2500)=CX$1)*(MONTH(Gastos!$A$2:$A$2500)=CX$3)*(Gastos!$B$2:$B$2500=$A23)*(Gastos!$D$2:$D$2500))</f>
        <v>0</v>
      </c>
      <c r="CY23" s="75">
        <f t="array" ref="CY23">SUM((YEAR(Gastos!$A$2:$A$2500)=CY$1)*(MONTH(Gastos!$A$2:$A$2500)=CY$3)*(Gastos!$B$2:$B$2500=$A23)*(Gastos!$D$2:$D$2500))</f>
        <v>0</v>
      </c>
      <c r="CZ23" s="75">
        <f t="array" ref="CZ23">SUM((YEAR(Gastos!$A$2:$A$2500)=CZ$1)*(MONTH(Gastos!$A$2:$A$2500)=CZ$3)*(Gastos!$B$2:$B$2500=$A23)*(Gastos!$D$2:$D$2500))</f>
        <v>0</v>
      </c>
      <c r="DA23" s="75">
        <f t="array" ref="DA23">SUM((YEAR(Gastos!$A$2:$A$2500)=DA$1)*(MONTH(Gastos!$A$2:$A$2500)=DA$3)*(Gastos!$B$2:$B$2500=$A23)*(Gastos!$D$2:$D$2500))</f>
        <v>0</v>
      </c>
      <c r="DB23" s="75">
        <f t="array" ref="DB23">SUM((YEAR(Gastos!$A$2:$A$2500)=DB$1)*(MONTH(Gastos!$A$2:$A$2500)=DB$3)*(Gastos!$B$2:$B$2500=$A23)*(Gastos!$D$2:$D$2500))</f>
        <v>0</v>
      </c>
      <c r="DC23" s="75">
        <f t="array" ref="DC23">SUM((YEAR(Gastos!$A$2:$A$2500)=DC$1)*(MONTH(Gastos!$A$2:$A$2500)=DC$3)*(Gastos!$B$2:$B$2500=$A23)*(Gastos!$D$2:$D$2500))</f>
        <v>0</v>
      </c>
      <c r="DD23" s="75">
        <f t="array" ref="DD23">SUM((YEAR(Gastos!$A$2:$A$2500)=DD$1)*(MONTH(Gastos!$A$2:$A$2500)=DD$3)*(Gastos!$B$2:$B$2500=$A23)*(Gastos!$D$2:$D$2500))</f>
        <v>0</v>
      </c>
      <c r="DE23" s="75">
        <f t="array" ref="DE23">SUM((YEAR(Gastos!$A$2:$A$2500)=DE$1)*(MONTH(Gastos!$A$2:$A$2500)=DE$3)*(Gastos!$B$2:$B$2500=$A23)*(Gastos!$D$2:$D$2500))</f>
        <v>0</v>
      </c>
      <c r="DF23" s="75">
        <f t="array" ref="DF23">SUM((YEAR(Gastos!$A$2:$A$2500)=DF$1)*(MONTH(Gastos!$A$2:$A$2500)=DF$3)*(Gastos!$B$2:$B$2500=$A23)*(Gastos!$D$2:$D$2500))</f>
        <v>0</v>
      </c>
      <c r="DG23" s="75">
        <f t="array" ref="DG23">SUM((YEAR(Gastos!$A$2:$A$2500)=DG$1)*(MONTH(Gastos!$A$2:$A$2500)=DG$3)*(Gastos!$B$2:$B$2500=$A23)*(Gastos!$D$2:$D$2500))</f>
        <v>0</v>
      </c>
      <c r="DH23" s="75">
        <f t="array" ref="DH23">SUM((YEAR(Gastos!$A$2:$A$2500)=DH$1)*(MONTH(Gastos!$A$2:$A$2500)=DH$3)*(Gastos!$B$2:$B$2500=$A23)*(Gastos!$D$2:$D$2500))</f>
        <v>0</v>
      </c>
      <c r="DI23" s="75">
        <f t="array" ref="DI23">SUM((YEAR(Gastos!$A$2:$A$2500)=DI$1)*(MONTH(Gastos!$A$2:$A$2500)=DI$3)*(Gastos!$B$2:$B$2500=$A23)*(Gastos!$D$2:$D$2500))</f>
        <v>0</v>
      </c>
      <c r="DJ23" s="75">
        <f t="array" ref="DJ23">SUM((YEAR(Gastos!$A$2:$A$2500)=DJ$1)*(MONTH(Gastos!$A$2:$A$2500)=DJ$3)*(Gastos!$B$2:$B$2500=$A23)*(Gastos!$D$2:$D$2500))</f>
        <v>0</v>
      </c>
      <c r="DK23" s="75">
        <f t="array" ref="DK23">SUM((YEAR(Gastos!$A$2:$A$2500)=DK$1)*(MONTH(Gastos!$A$2:$A$2500)=DK$3)*(Gastos!$B$2:$B$2500=$A23)*(Gastos!$D$2:$D$2500))</f>
        <v>0</v>
      </c>
      <c r="DL23" s="75">
        <f t="array" ref="DL23">SUM((YEAR(Gastos!$A$2:$A$2500)=DL$1)*(MONTH(Gastos!$A$2:$A$2500)=DL$3)*(Gastos!$B$2:$B$2500=$A23)*(Gastos!$D$2:$D$2500))</f>
        <v>0</v>
      </c>
      <c r="DM23" s="75">
        <f t="array" ref="DM23">SUM((YEAR(Gastos!$A$2:$A$2500)=DM$1)*(MONTH(Gastos!$A$2:$A$2500)=DM$3)*(Gastos!$B$2:$B$2500=$A23)*(Gastos!$D$2:$D$2500))</f>
        <v>0</v>
      </c>
      <c r="DN23" s="75">
        <f t="array" ref="DN23">SUM((YEAR(Gastos!$A$2:$A$2500)=DN$1)*(MONTH(Gastos!$A$2:$A$2500)=DN$3)*(Gastos!$B$2:$B$2500=$A23)*(Gastos!$D$2:$D$2500))</f>
        <v>0</v>
      </c>
      <c r="DO23" s="75">
        <f t="array" ref="DO23">SUM((YEAR(Gastos!$A$2:$A$2500)=DO$1)*(MONTH(Gastos!$A$2:$A$2500)=DO$3)*(Gastos!$B$2:$B$2500=$A23)*(Gastos!$D$2:$D$2500))</f>
        <v>0</v>
      </c>
      <c r="DP23" s="75">
        <f t="array" ref="DP23">SUM((YEAR(Gastos!$A$2:$A$2500)=DP$1)*(MONTH(Gastos!$A$2:$A$2500)=DP$3)*(Gastos!$B$2:$B$2500=$A23)*(Gastos!$D$2:$D$2500))</f>
        <v>0</v>
      </c>
      <c r="DQ23" s="75">
        <f t="array" ref="DQ23">SUM((YEAR(Gastos!$A$2:$A$2500)=DQ$1)*(MONTH(Gastos!$A$2:$A$2500)=DQ$3)*(Gastos!$B$2:$B$2500=$A23)*(Gastos!$D$2:$D$2500))</f>
        <v>0</v>
      </c>
      <c r="DR23" s="75">
        <f t="array" ref="DR23">SUM((YEAR(Gastos!$A$2:$A$2500)=DR$1)*(MONTH(Gastos!$A$2:$A$2500)=DR$3)*(Gastos!$B$2:$B$2500=$A23)*(Gastos!$D$2:$D$2500))</f>
        <v>0</v>
      </c>
      <c r="DS23" s="75">
        <f t="array" ref="DS23">SUM((YEAR(Gastos!$A$2:$A$2500)=DS$1)*(MONTH(Gastos!$A$2:$A$2500)=DS$3)*(Gastos!$B$2:$B$2500=$A23)*(Gastos!$D$2:$D$2500))</f>
        <v>0</v>
      </c>
      <c r="DT23" s="75">
        <f t="array" ref="DT23">SUM((YEAR(Gastos!$A$2:$A$2500)=DT$1)*(MONTH(Gastos!$A$2:$A$2500)=DT$3)*(Gastos!$B$2:$B$2500=$A23)*(Gastos!$D$2:$D$2500))</f>
        <v>0</v>
      </c>
      <c r="DU23" s="75">
        <f t="array" ref="DU23">SUM((YEAR(Gastos!$A$2:$A$2500)=DU$1)*(MONTH(Gastos!$A$2:$A$2500)=DU$3)*(Gastos!$B$2:$B$2500=$A23)*(Gastos!$D$2:$D$2500))</f>
        <v>0</v>
      </c>
      <c r="DV23" s="75">
        <f t="array" ref="DV23">SUM((YEAR(Gastos!$A$2:$A$2500)=DV$1)*(MONTH(Gastos!$A$2:$A$2500)=DV$3)*(Gastos!$B$2:$B$2500=$A23)*(Gastos!$D$2:$D$2500))</f>
        <v>0</v>
      </c>
      <c r="DW23" s="75">
        <f t="array" ref="DW23">SUM((YEAR(Gastos!$A$2:$A$2500)=DW$1)*(MONTH(Gastos!$A$2:$A$2500)=DW$3)*(Gastos!$B$2:$B$2500=$A23)*(Gastos!$D$2:$D$2500))</f>
        <v>0</v>
      </c>
      <c r="DX23" s="75">
        <f t="array" ref="DX23">SUM((YEAR(Gastos!$A$2:$A$2500)=DX$1)*(MONTH(Gastos!$A$2:$A$2500)=DX$3)*(Gastos!$B$2:$B$2500=$A23)*(Gastos!$D$2:$D$2500))</f>
        <v>0</v>
      </c>
      <c r="DY23" s="75">
        <f t="array" ref="DY23">SUM((YEAR(Gastos!$A$2:$A$2500)=DY$1)*(MONTH(Gastos!$A$2:$A$2500)=DY$3)*(Gastos!$B$2:$B$2500=$A23)*(Gastos!$D$2:$D$2500))</f>
        <v>0</v>
      </c>
      <c r="DZ23" s="75">
        <f t="array" ref="DZ23">SUM((YEAR(Gastos!$A$2:$A$2500)=DZ$1)*(MONTH(Gastos!$A$2:$A$2500)=DZ$3)*(Gastos!$B$2:$B$2500=$A23)*(Gastos!$D$2:$D$2500))</f>
        <v>0</v>
      </c>
      <c r="EA23" s="75">
        <f t="array" ref="EA23">SUM((YEAR(Gastos!$A$2:$A$2500)=EA$1)*(MONTH(Gastos!$A$2:$A$2500)=EA$3)*(Gastos!$B$2:$B$2500=$A23)*(Gastos!$D$2:$D$2500))</f>
        <v>0</v>
      </c>
      <c r="EB23" s="75">
        <f t="array" ref="EB23">SUM((YEAR(Gastos!$A$2:$A$2500)=EB$1)*(MONTH(Gastos!$A$2:$A$2500)=EB$3)*(Gastos!$B$2:$B$2500=$A23)*(Gastos!$D$2:$D$2500))</f>
        <v>0</v>
      </c>
      <c r="EC23" s="75">
        <f t="array" ref="EC23">SUM((YEAR(Gastos!$A$2:$A$2500)=EC$1)*(MONTH(Gastos!$A$2:$A$2500)=EC$3)*(Gastos!$B$2:$B$2500=$A23)*(Gastos!$D$2:$D$2500))</f>
        <v>0</v>
      </c>
      <c r="ED23" s="75">
        <f t="array" ref="ED23">SUM((YEAR(Gastos!$A$2:$A$2500)=ED$1)*(MONTH(Gastos!$A$2:$A$2500)=ED$3)*(Gastos!$B$2:$B$2500=$A23)*(Gastos!$D$2:$D$2500))</f>
        <v>0</v>
      </c>
      <c r="EE23" s="75">
        <f t="array" ref="EE23">SUM((YEAR(Gastos!$A$2:$A$2500)=EE$1)*(MONTH(Gastos!$A$2:$A$2500)=EE$3)*(Gastos!$B$2:$B$2500=$A23)*(Gastos!$D$2:$D$2500))</f>
        <v>0</v>
      </c>
      <c r="EF23" s="75">
        <f t="array" ref="EF23">SUM((YEAR(Gastos!$A$2:$A$2500)=EF$1)*(MONTH(Gastos!$A$2:$A$2500)=EF$3)*(Gastos!$B$2:$B$2500=$A23)*(Gastos!$D$2:$D$2500))</f>
        <v>0</v>
      </c>
      <c r="EG23" s="75">
        <f t="array" ref="EG23">SUM((YEAR(Gastos!$A$2:$A$2500)=EG$1)*(MONTH(Gastos!$A$2:$A$2500)=EG$3)*(Gastos!$B$2:$B$2500=$A23)*(Gastos!$D$2:$D$2500))</f>
        <v>0</v>
      </c>
      <c r="EH23" s="75">
        <f t="array" ref="EH23">SUM((YEAR(Gastos!$A$2:$A$2500)=EH$1)*(MONTH(Gastos!$A$2:$A$2500)=EH$3)*(Gastos!$B$2:$B$2500=$A23)*(Gastos!$D$2:$D$2500))</f>
        <v>0</v>
      </c>
      <c r="EI23" s="75">
        <f t="array" ref="EI23">SUM((YEAR(Gastos!$A$2:$A$2500)=EI$1)*(MONTH(Gastos!$A$2:$A$2500)=EI$3)*(Gastos!$B$2:$B$2500=$A23)*(Gastos!$D$2:$D$2500))</f>
        <v>0</v>
      </c>
      <c r="EJ23" s="75">
        <f t="array" ref="EJ23">SUM((YEAR(Gastos!$A$2:$A$2500)=EJ$1)*(MONTH(Gastos!$A$2:$A$2500)=EJ$3)*(Gastos!$B$2:$B$2500=$A23)*(Gastos!$D$2:$D$2500))</f>
        <v>0</v>
      </c>
      <c r="EK23" s="75">
        <f t="array" ref="EK23">SUM((YEAR(Gastos!$A$2:$A$2500)=EK$1)*(MONTH(Gastos!$A$2:$A$2500)=EK$3)*(Gastos!$B$2:$B$2500=$A23)*(Gastos!$D$2:$D$2500))</f>
        <v>0</v>
      </c>
      <c r="EL23" s="75">
        <f t="array" ref="EL23">SUM((YEAR(Gastos!$A$2:$A$2500)=EL$1)*(MONTH(Gastos!$A$2:$A$2500)=EL$3)*(Gastos!$B$2:$B$2500=$A23)*(Gastos!$D$2:$D$2500))</f>
        <v>0</v>
      </c>
      <c r="EM23" s="75">
        <f t="array" ref="EM23">SUM((YEAR(Gastos!$A$2:$A$2500)=EM$1)*(MONTH(Gastos!$A$2:$A$2500)=EM$3)*(Gastos!$B$2:$B$2500=$A23)*(Gastos!$D$2:$D$2500))</f>
        <v>0</v>
      </c>
      <c r="EN23" s="75">
        <f t="array" ref="EN23">SUM((YEAR(Gastos!$A$2:$A$2500)=EN$1)*(MONTH(Gastos!$A$2:$A$2500)=EN$3)*(Gastos!$B$2:$B$2500=$A23)*(Gastos!$D$2:$D$2500))</f>
        <v>0</v>
      </c>
      <c r="EO23" s="75">
        <f t="array" ref="EO23">SUM((YEAR(Gastos!$A$2:$A$2500)=EO$1)*(MONTH(Gastos!$A$2:$A$2500)=EO$3)*(Gastos!$B$2:$B$2500=$A23)*(Gastos!$D$2:$D$2500))</f>
        <v>0</v>
      </c>
      <c r="EP23" s="75">
        <f t="array" ref="EP23">SUM((YEAR(Gastos!$A$2:$A$2500)=EP$1)*(MONTH(Gastos!$A$2:$A$2500)=EP$3)*(Gastos!$B$2:$B$2500=$A23)*(Gastos!$D$2:$D$2500))</f>
        <v>0</v>
      </c>
      <c r="EQ23" s="75">
        <f t="array" ref="EQ23">SUM((YEAR(Gastos!$A$2:$A$2500)=EQ$1)*(MONTH(Gastos!$A$2:$A$2500)=EQ$3)*(Gastos!$B$2:$B$2500=$A23)*(Gastos!$D$2:$D$2500))</f>
        <v>0</v>
      </c>
      <c r="ER23" s="75">
        <f t="array" ref="ER23">SUM((YEAR(Gastos!$A$2:$A$2500)=ER$1)*(MONTH(Gastos!$A$2:$A$2500)=ER$3)*(Gastos!$B$2:$B$2500=$A23)*(Gastos!$D$2:$D$2500))</f>
        <v>0</v>
      </c>
      <c r="ES23" s="75">
        <f t="array" ref="ES23">SUM((YEAR(Gastos!$A$2:$A$2500)=ES$1)*(MONTH(Gastos!$A$2:$A$2500)=ES$3)*(Gastos!$B$2:$B$2500=$A23)*(Gastos!$D$2:$D$2500))</f>
        <v>0</v>
      </c>
      <c r="ET23" s="75">
        <f t="array" ref="ET23">SUM((YEAR(Gastos!$A$2:$A$2500)=ET$1)*(MONTH(Gastos!$A$2:$A$2500)=ET$3)*(Gastos!$B$2:$B$2500=$A23)*(Gastos!$D$2:$D$2500))</f>
        <v>0</v>
      </c>
      <c r="EU23" s="75">
        <f t="array" ref="EU23">SUM((YEAR(Gastos!$A$2:$A$2500)=EU$1)*(MONTH(Gastos!$A$2:$A$2500)=EU$3)*(Gastos!$B$2:$B$2500=$A23)*(Gastos!$D$2:$D$2500))</f>
        <v>0</v>
      </c>
      <c r="EV23" s="75">
        <f t="array" ref="EV23">SUM((YEAR(Gastos!$A$2:$A$2500)=EV$1)*(MONTH(Gastos!$A$2:$A$2500)=EV$3)*(Gastos!$B$2:$B$2500=$A23)*(Gastos!$D$2:$D$2500))</f>
        <v>0</v>
      </c>
      <c r="EW23" s="75">
        <f t="array" ref="EW23">SUM((YEAR(Gastos!$A$2:$A$2500)=EW$1)*(MONTH(Gastos!$A$2:$A$2500)=EW$3)*(Gastos!$B$2:$B$2500=$A23)*(Gastos!$D$2:$D$2500))</f>
        <v>0</v>
      </c>
      <c r="EX23" s="75">
        <f t="array" ref="EX23">SUM((YEAR(Gastos!$A$2:$A$2500)=EX$1)*(MONTH(Gastos!$A$2:$A$2500)=EX$3)*(Gastos!$B$2:$B$2500=$A23)*(Gastos!$D$2:$D$2500))</f>
        <v>0</v>
      </c>
      <c r="EY23" s="75">
        <f t="array" ref="EY23">SUM((YEAR(Gastos!$A$2:$A$2500)=EY$1)*(MONTH(Gastos!$A$2:$A$2500)=EY$3)*(Gastos!$B$2:$B$2500=$A23)*(Gastos!$D$2:$D$2500))</f>
        <v>0</v>
      </c>
      <c r="EZ23" s="75">
        <f t="array" ref="EZ23">SUM((YEAR(Gastos!$A$2:$A$2500)=EZ$1)*(MONTH(Gastos!$A$2:$A$2500)=EZ$3)*(Gastos!$B$2:$B$2500=$A23)*(Gastos!$D$2:$D$2500))</f>
        <v>0</v>
      </c>
      <c r="FA23" s="75">
        <f t="array" ref="FA23">SUM((YEAR(Gastos!$A$2:$A$2500)=FA$1)*(MONTH(Gastos!$A$2:$A$2500)=FA$3)*(Gastos!$B$2:$B$2500=$A23)*(Gastos!$D$2:$D$2500))</f>
        <v>0</v>
      </c>
      <c r="FB23" s="75">
        <f t="array" ref="FB23">SUM((YEAR(Gastos!$A$2:$A$2500)=FB$1)*(MONTH(Gastos!$A$2:$A$2500)=FB$3)*(Gastos!$B$2:$B$2500=$A23)*(Gastos!$D$2:$D$2500))</f>
        <v>0</v>
      </c>
      <c r="FC23" s="75">
        <f t="array" ref="FC23">SUM((YEAR(Gastos!$A$2:$A$2500)=FC$1)*(MONTH(Gastos!$A$2:$A$2500)=FC$3)*(Gastos!$B$2:$B$2500=$A23)*(Gastos!$D$2:$D$2500))</f>
        <v>0</v>
      </c>
      <c r="FD23" s="75">
        <f t="array" ref="FD23">SUM((YEAR(Gastos!$A$2:$A$2500)=FD$1)*(MONTH(Gastos!$A$2:$A$2500)=FD$3)*(Gastos!$B$2:$B$2500=$A23)*(Gastos!$D$2:$D$2500))</f>
        <v>0</v>
      </c>
      <c r="FE23" s="75">
        <f t="array" ref="FE23">SUM((YEAR(Gastos!$A$2:$A$2500)=FE$1)*(MONTH(Gastos!$A$2:$A$2500)=FE$3)*(Gastos!$B$2:$B$2500=$A23)*(Gastos!$D$2:$D$2500))</f>
        <v>0</v>
      </c>
      <c r="FF23" s="75">
        <f t="array" ref="FF23">SUM((YEAR(Gastos!$A$2:$A$2500)=FF$1)*(MONTH(Gastos!$A$2:$A$2500)=FF$3)*(Gastos!$B$2:$B$2500=$A23)*(Gastos!$D$2:$D$2500))</f>
        <v>0</v>
      </c>
      <c r="FG23" s="75">
        <f t="array" ref="FG23">SUM((YEAR(Gastos!$A$2:$A$2500)=FG$1)*(MONTH(Gastos!$A$2:$A$2500)=FG$3)*(Gastos!$B$2:$B$2500=$A23)*(Gastos!$D$2:$D$2500))</f>
        <v>0</v>
      </c>
      <c r="FH23" s="75">
        <f t="array" ref="FH23">SUM((YEAR(Gastos!$A$2:$A$2500)=FH$1)*(MONTH(Gastos!$A$2:$A$2500)=FH$3)*(Gastos!$B$2:$B$2500=$A23)*(Gastos!$D$2:$D$2500))</f>
        <v>0</v>
      </c>
      <c r="FI23" s="75">
        <f t="array" ref="FI23">SUM((YEAR(Gastos!$A$2:$A$2500)=FI$1)*(MONTH(Gastos!$A$2:$A$2500)=FI$3)*(Gastos!$B$2:$B$2500=$A23)*(Gastos!$D$2:$D$2500))</f>
        <v>0</v>
      </c>
      <c r="FJ23" s="75">
        <f t="array" ref="FJ23">SUM((YEAR(Gastos!$A$2:$A$2500)=FJ$1)*(MONTH(Gastos!$A$2:$A$2500)=FJ$3)*(Gastos!$B$2:$B$2500=$A23)*(Gastos!$D$2:$D$2500))</f>
        <v>0</v>
      </c>
      <c r="FK23" s="75">
        <f t="array" ref="FK23">SUM((YEAR(Gastos!$A$2:$A$2500)=FK$1)*(MONTH(Gastos!$A$2:$A$2500)=FK$3)*(Gastos!$B$2:$B$2500=$A23)*(Gastos!$D$2:$D$2500))</f>
        <v>0</v>
      </c>
      <c r="FL23" s="75">
        <f t="array" ref="FL23">SUM((YEAR(Gastos!$A$2:$A$2500)=FL$1)*(MONTH(Gastos!$A$2:$A$2500)=FL$3)*(Gastos!$B$2:$B$2500=$A23)*(Gastos!$D$2:$D$2500))</f>
        <v>0</v>
      </c>
      <c r="FM23" s="75">
        <f t="array" ref="FM23">SUM((YEAR(Gastos!$A$2:$A$2500)=FM$1)*(MONTH(Gastos!$A$2:$A$2500)=FM$3)*(Gastos!$B$2:$B$2500=$A23)*(Gastos!$D$2:$D$2500))</f>
        <v>0</v>
      </c>
      <c r="FN23" s="75">
        <f t="array" ref="FN23">SUM((YEAR(Gastos!$A$2:$A$2500)=FN$1)*(MONTH(Gastos!$A$2:$A$2500)=FN$3)*(Gastos!$B$2:$B$2500=$A23)*(Gastos!$D$2:$D$2500))</f>
        <v>0</v>
      </c>
      <c r="FO23" s="75">
        <f t="array" ref="FO23">SUM((YEAR(Gastos!$A$2:$A$2500)=FO$1)*(MONTH(Gastos!$A$2:$A$2500)=FO$3)*(Gastos!$B$2:$B$2500=$A23)*(Gastos!$D$2:$D$2500))</f>
        <v>0</v>
      </c>
      <c r="FP23" s="75">
        <f t="array" ref="FP23">SUM((YEAR(Gastos!$A$2:$A$2500)=FP$1)*(MONTH(Gastos!$A$2:$A$2500)=FP$3)*(Gastos!$B$2:$B$2500=$A23)*(Gastos!$D$2:$D$2500))</f>
        <v>0</v>
      </c>
      <c r="FQ23" s="75">
        <f t="array" ref="FQ23">SUM((YEAR(Gastos!$A$2:$A$2500)=FQ$1)*(MONTH(Gastos!$A$2:$A$2500)=FQ$3)*(Gastos!$B$2:$B$2500=$A23)*(Gastos!$D$2:$D$2500))</f>
        <v>0</v>
      </c>
      <c r="FR23" s="75">
        <f t="array" ref="FR23">SUM((YEAR(Gastos!$A$2:$A$2500)=FR$1)*(MONTH(Gastos!$A$2:$A$2500)=FR$3)*(Gastos!$B$2:$B$2500=$A23)*(Gastos!$D$2:$D$2500))</f>
        <v>0</v>
      </c>
      <c r="FS23" s="75">
        <f t="array" ref="FS23">SUM((YEAR(Gastos!$A$2:$A$2500)=FS$1)*(MONTH(Gastos!$A$2:$A$2500)=FS$3)*(Gastos!$B$2:$B$2500=$A23)*(Gastos!$D$2:$D$2500))</f>
        <v>0</v>
      </c>
      <c r="FT23" s="75">
        <f t="array" ref="FT23">SUM((YEAR(Gastos!$A$2:$A$2500)=FT$1)*(MONTH(Gastos!$A$2:$A$2500)=FT$3)*(Gastos!$B$2:$B$2500=$A23)*(Gastos!$D$2:$D$2500))</f>
        <v>0</v>
      </c>
      <c r="FU23" s="75">
        <f t="array" ref="FU23">SUM((YEAR(Gastos!$A$2:$A$2500)=FU$1)*(MONTH(Gastos!$A$2:$A$2500)=FU$3)*(Gastos!$B$2:$B$2500=$A23)*(Gastos!$D$2:$D$2500))</f>
        <v>0</v>
      </c>
      <c r="FV23" s="75">
        <f t="array" ref="FV23">SUM((YEAR(Gastos!$A$2:$A$2500)=FV$1)*(MONTH(Gastos!$A$2:$A$2500)=FV$3)*(Gastos!$B$2:$B$2500=$A23)*(Gastos!$D$2:$D$2500))</f>
        <v>0</v>
      </c>
      <c r="FW23" s="75">
        <f t="array" ref="FW23">SUM((YEAR(Gastos!$A$2:$A$2500)=FW$1)*(MONTH(Gastos!$A$2:$A$2500)=FW$3)*(Gastos!$B$2:$B$2500=$A23)*(Gastos!$D$2:$D$2500))</f>
        <v>0</v>
      </c>
      <c r="FX23" s="75">
        <f t="array" ref="FX23">SUM((YEAR(Gastos!$A$2:$A$2500)=FX$1)*(MONTH(Gastos!$A$2:$A$2500)=FX$3)*(Gastos!$B$2:$B$2500=$A23)*(Gastos!$D$2:$D$2500))</f>
        <v>0</v>
      </c>
      <c r="FY23" s="75">
        <f t="array" ref="FY23">SUM((YEAR(Gastos!$A$2:$A$2500)=FY$1)*(MONTH(Gastos!$A$2:$A$2500)=FY$3)*(Gastos!$B$2:$B$2500=$A23)*(Gastos!$D$2:$D$2500))</f>
        <v>0</v>
      </c>
      <c r="FZ23" s="76">
        <f t="shared" si="65"/>
        <v>580</v>
      </c>
      <c r="GA23" s="80"/>
      <c r="GB23" s="78">
        <f t="shared" si="66"/>
        <v>-580</v>
      </c>
      <c r="GF23" s="79">
        <f t="array" ref="GF23">SUM(((Gastos!$A$2:$A$1647)&gt;=GD$3)*((Gastos!$A$2:$A$1647)&lt;=GF$3)*(Gastos!$B$2:$B$1647=$A23)*(Gastos!$D$2:$D$1647))</f>
        <v>0</v>
      </c>
      <c r="GI23" s="79">
        <f t="array" ref="GI23">SUM(((Gastos!$A$2:$A$1647)&gt;=GG$3)*((Gastos!$A$2:$A$1647)&lt;=GI$3)*(Gastos!$B$2:$B$1647=$A23)*(Gastos!$D$2:$D$1647))</f>
        <v>580</v>
      </c>
    </row>
    <row r="24" spans="1:191" ht="15" thickBot="1" x14ac:dyDescent="0.4">
      <c r="A24" s="74" t="str">
        <f>Gastos!AA22</f>
        <v>V. CHEQUE</v>
      </c>
      <c r="B24" s="75">
        <f t="array" ref="B24">SUM((YEAR(Gastos!$A$2:$A$2500)=B$1)*(MONTH(Gastos!$A$2:$A$2500)=B$3)*(Gastos!$B$2:$B$2500=$A24)*(Gastos!$D$2:$D$2500))</f>
        <v>0</v>
      </c>
      <c r="C24" s="75">
        <f t="array" ref="C24">SUM((YEAR(Gastos!$A$2:$A$2500)=C$1)*(MONTH(Gastos!$A$2:$A$2500)=C$3)*(Gastos!$B$2:$B$2500=$A24)*(Gastos!$D$2:$D$2500))</f>
        <v>0</v>
      </c>
      <c r="D24" s="75">
        <f t="array" ref="D24">SUM((YEAR(Gastos!$A$2:$A$2500)=D$1)*(MONTH(Gastos!$A$2:$A$2500)=D$3)*(Gastos!$B$2:$B$2500=$A24)*(Gastos!$D$2:$D$2500))</f>
        <v>0</v>
      </c>
      <c r="E24" s="75">
        <f t="array" ref="E24">SUM((YEAR(Gastos!$A$2:$A$2500)=E$1)*(MONTH(Gastos!$A$2:$A$2500)=E$3)*(Gastos!$B$2:$B$2500=$A24)*(Gastos!$D$2:$D$2500))</f>
        <v>0</v>
      </c>
      <c r="F24" s="75">
        <f t="array" ref="F24">SUM((YEAR(Gastos!$A$2:$A$2500)=F$1)*(MONTH(Gastos!$A$2:$A$2500)=F$3)*(Gastos!$B$2:$B$2500=$A24)*(Gastos!$D$2:$D$2500))</f>
        <v>0</v>
      </c>
      <c r="G24" s="75">
        <f t="array" ref="G24">SUM((YEAR(Gastos!$A$2:$A$2500)=G$1)*(MONTH(Gastos!$A$2:$A$2500)=G$3)*(Gastos!$B$2:$B$2500=$A24)*(Gastos!$D$2:$D$2500))</f>
        <v>0</v>
      </c>
      <c r="H24" s="75">
        <f t="array" ref="H24">SUM((YEAR(Gastos!$A$2:$A$2500)=H$1)*(MONTH(Gastos!$A$2:$A$2500)=H$3)*(Gastos!$B$2:$B$2500=$A24)*(Gastos!$D$2:$D$2500))</f>
        <v>0</v>
      </c>
      <c r="I24" s="75">
        <f t="array" ref="I24">SUM((YEAR(Gastos!$A$2:$A$2500)=I$1)*(MONTH(Gastos!$A$2:$A$2500)=I$3)*(Gastos!$B$2:$B$2500=$A24)*(Gastos!$D$2:$D$2500))</f>
        <v>0</v>
      </c>
      <c r="J24" s="75">
        <f t="array" ref="J24">SUM((YEAR(Gastos!$A$2:$A$2500)=J$1)*(MONTH(Gastos!$A$2:$A$2500)=J$3)*(Gastos!$B$2:$B$2500=$A24)*(Gastos!$D$2:$D$2500))</f>
        <v>0</v>
      </c>
      <c r="K24" s="75">
        <f t="array" ref="K24">SUM((YEAR(Gastos!$A$2:$A$2500)=K$1)*(MONTH(Gastos!$A$2:$A$2500)=K$3)*(Gastos!$B$2:$B$2500=$A24)*(Gastos!$D$2:$D$2500))</f>
        <v>0</v>
      </c>
      <c r="L24" s="75">
        <f t="array" ref="L24">SUM((YEAR(Gastos!$A$2:$A$2500)=L$1)*(MONTH(Gastos!$A$2:$A$2500)=L$3)*(Gastos!$B$2:$B$2500=$A24)*(Gastos!$D$2:$D$2500))</f>
        <v>0</v>
      </c>
      <c r="M24" s="75">
        <f t="array" ref="M24">SUM((YEAR(Gastos!$A$2:$A$2500)=M$1)*(MONTH(Gastos!$A$2:$A$2500)=M$3)*(Gastos!$B$2:$B$2500=$A24)*(Gastos!$D$2:$D$2500))</f>
        <v>0</v>
      </c>
      <c r="N24" s="75">
        <f t="array" ref="N24">SUM((YEAR(Gastos!$A$2:$A$2500)=N$1)*(MONTH(Gastos!$A$2:$A$2500)=N$3)*(Gastos!$B$2:$B$2500=$A24)*(Gastos!$D$2:$D$2500))</f>
        <v>0</v>
      </c>
      <c r="O24" s="75">
        <f t="array" ref="O24">SUM((YEAR(Gastos!$A$2:$A$2500)=O$1)*(MONTH(Gastos!$A$2:$A$2500)=O$3)*(Gastos!$B$2:$B$2500=$A24)*(Gastos!$D$2:$D$2500))</f>
        <v>0</v>
      </c>
      <c r="P24" s="75">
        <f t="array" ref="P24">SUM((YEAR(Gastos!$A$2:$A$2500)=P$1)*(MONTH(Gastos!$A$2:$A$2500)=P$3)*(Gastos!$B$2:$B$2500=$A24)*(Gastos!$D$2:$D$2500))</f>
        <v>0</v>
      </c>
      <c r="Q24" s="75">
        <f t="array" ref="Q24">SUM((YEAR(Gastos!$A$2:$A$2500)=Q$1)*(MONTH(Gastos!$A$2:$A$2500)=Q$3)*(Gastos!$B$2:$B$2500=$A24)*(Gastos!$D$2:$D$2500))</f>
        <v>0</v>
      </c>
      <c r="R24" s="75">
        <f t="array" ref="R24">SUM((YEAR(Gastos!$A$2:$A$2500)=R$1)*(MONTH(Gastos!$A$2:$A$2500)=R$3)*(Gastos!$B$2:$B$2500=$A24)*(Gastos!$D$2:$D$2500))</f>
        <v>0</v>
      </c>
      <c r="S24" s="75">
        <f t="array" ref="S24">SUM((YEAR(Gastos!$A$2:$A$2500)=S$1)*(MONTH(Gastos!$A$2:$A$2500)=S$3)*(Gastos!$B$2:$B$2500=$A24)*(Gastos!$D$2:$D$2500))</f>
        <v>0</v>
      </c>
      <c r="T24" s="75">
        <f t="array" ref="T24">SUM((YEAR(Gastos!$A$2:$A$2500)=T$1)*(MONTH(Gastos!$A$2:$A$2500)=T$3)*(Gastos!$B$2:$B$2500=$A24)*(Gastos!$D$2:$D$2500))</f>
        <v>0</v>
      </c>
      <c r="U24" s="75">
        <f t="array" ref="U24">SUM((YEAR(Gastos!$A$2:$A$2500)=U$1)*(MONTH(Gastos!$A$2:$A$2500)=U$3)*(Gastos!$B$2:$B$2500=$A24)*(Gastos!$D$2:$D$2500))</f>
        <v>0</v>
      </c>
      <c r="V24" s="75">
        <f t="array" ref="V24">SUM((YEAR(Gastos!$A$2:$A$2500)=V$1)*(MONTH(Gastos!$A$2:$A$2500)=V$3)*(Gastos!$B$2:$B$2500=$A24)*(Gastos!$D$2:$D$2500))</f>
        <v>0</v>
      </c>
      <c r="W24" s="75">
        <f t="array" ref="W24">SUM((YEAR(Gastos!$A$2:$A$2500)=W$1)*(MONTH(Gastos!$A$2:$A$2500)=W$3)*(Gastos!$B$2:$B$2500=$A24)*(Gastos!$D$2:$D$2500))</f>
        <v>0</v>
      </c>
      <c r="X24" s="75">
        <f t="array" ref="X24">SUM((YEAR(Gastos!$A$2:$A$2500)=X$1)*(MONTH(Gastos!$A$2:$A$2500)=X$3)*(Gastos!$B$2:$B$2500=$A24)*(Gastos!$D$2:$D$2500))</f>
        <v>0</v>
      </c>
      <c r="Y24" s="75">
        <f t="array" ref="Y24">SUM((YEAR(Gastos!$A$2:$A$2500)=Y$1)*(MONTH(Gastos!$A$2:$A$2500)=Y$3)*(Gastos!$B$2:$B$2500=$A24)*(Gastos!$D$2:$D$2500))</f>
        <v>0</v>
      </c>
      <c r="Z24" s="75">
        <f t="array" ref="Z24">SUM((YEAR(Gastos!$A$2:$A$2500)=Z$1)*(MONTH(Gastos!$A$2:$A$2500)=Z$3)*(Gastos!$B$2:$B$2500=$A24)*(Gastos!$D$2:$D$2500))</f>
        <v>0</v>
      </c>
      <c r="AA24" s="75">
        <f t="array" ref="AA24">SUM((YEAR(Gastos!$A$2:$A$2500)=AA$1)*(MONTH(Gastos!$A$2:$A$2500)=AA$3)*(Gastos!$B$2:$B$2500=$A24)*(Gastos!$D$2:$D$2500))</f>
        <v>0</v>
      </c>
      <c r="AB24" s="75">
        <f t="array" ref="AB24">SUM((YEAR(Gastos!$A$2:$A$2500)=AB$1)*(MONTH(Gastos!$A$2:$A$2500)=AB$3)*(Gastos!$B$2:$B$2500=$A24)*(Gastos!$D$2:$D$2500))</f>
        <v>0</v>
      </c>
      <c r="AC24" s="75">
        <f t="array" ref="AC24">SUM((YEAR(Gastos!$A$2:$A$2500)=AC$1)*(MONTH(Gastos!$A$2:$A$2500)=AC$3)*(Gastos!$B$2:$B$2500=$A24)*(Gastos!$D$2:$D$2500))</f>
        <v>0</v>
      </c>
      <c r="AD24" s="75">
        <f t="array" ref="AD24">SUM((YEAR(Gastos!$A$2:$A$2500)=AD$1)*(MONTH(Gastos!$A$2:$A$2500)=AD$3)*(Gastos!$B$2:$B$2500=$A24)*(Gastos!$D$2:$D$2500))</f>
        <v>0</v>
      </c>
      <c r="AE24" s="75">
        <f t="array" ref="AE24">SUM((YEAR(Gastos!$A$2:$A$2500)=AE$1)*(MONTH(Gastos!$A$2:$A$2500)=AE$3)*(Gastos!$B$2:$B$2500=$A24)*(Gastos!$D$2:$D$2500))</f>
        <v>0</v>
      </c>
      <c r="AF24" s="75">
        <f t="array" ref="AF24">SUM((YEAR(Gastos!$A$2:$A$2500)=AF$1)*(MONTH(Gastos!$A$2:$A$2500)=AF$3)*(Gastos!$B$2:$B$2500=$A24)*(Gastos!$D$2:$D$2500))</f>
        <v>0</v>
      </c>
      <c r="AG24" s="75">
        <f t="array" ref="AG24">SUM((YEAR(Gastos!$A$2:$A$2500)=AG$1)*(MONTH(Gastos!$A$2:$A$2500)=AG$3)*(Gastos!$B$2:$B$2500=$A24)*(Gastos!$D$2:$D$2500))</f>
        <v>0</v>
      </c>
      <c r="AH24" s="75">
        <f t="array" ref="AH24">SUM((YEAR(Gastos!$A$2:$A$2500)=AH$1)*(MONTH(Gastos!$A$2:$A$2500)=AH$3)*(Gastos!$B$2:$B$2500=$A24)*(Gastos!$D$2:$D$2500))</f>
        <v>0</v>
      </c>
      <c r="AI24" s="75">
        <f t="array" ref="AI24">SUM((YEAR(Gastos!$A$2:$A$2500)=AI$1)*(MONTH(Gastos!$A$2:$A$2500)=AI$3)*(Gastos!$B$2:$B$2500=$A24)*(Gastos!$D$2:$D$2500))</f>
        <v>0</v>
      </c>
      <c r="AJ24" s="75">
        <f t="array" ref="AJ24">SUM((YEAR(Gastos!$A$2:$A$2500)=AJ$1)*(MONTH(Gastos!$A$2:$A$2500)=AJ$3)*(Gastos!$B$2:$B$2500=$A24)*(Gastos!$D$2:$D$2500))</f>
        <v>0</v>
      </c>
      <c r="AK24" s="75">
        <f t="array" ref="AK24">SUM((YEAR(Gastos!$A$2:$A$2500)=AK$1)*(MONTH(Gastos!$A$2:$A$2500)=AK$3)*(Gastos!$B$2:$B$2500=$A24)*(Gastos!$D$2:$D$2500))</f>
        <v>0</v>
      </c>
      <c r="AL24" s="75">
        <f t="array" ref="AL24">SUM((YEAR(Gastos!$A$2:$A$2500)=AL$1)*(MONTH(Gastos!$A$2:$A$2500)=AL$3)*(Gastos!$B$2:$B$2500=$A24)*(Gastos!$D$2:$D$2500))</f>
        <v>0</v>
      </c>
      <c r="AM24" s="75">
        <f t="array" ref="AM24">SUM((YEAR(Gastos!$A$2:$A$2500)=AM$1)*(MONTH(Gastos!$A$2:$A$2500)=AM$3)*(Gastos!$B$2:$B$2500=$A24)*(Gastos!$D$2:$D$2500))</f>
        <v>0</v>
      </c>
      <c r="AN24" s="75">
        <f t="array" ref="AN24">SUM((YEAR(Gastos!$A$2:$A$2500)=AN$1)*(MONTH(Gastos!$A$2:$A$2500)=AN$3)*(Gastos!$B$2:$B$2500=$A24)*(Gastos!$D$2:$D$2500))</f>
        <v>0</v>
      </c>
      <c r="AO24" s="75">
        <f t="array" ref="AO24">SUM((YEAR(Gastos!$A$2:$A$2500)=AO$1)*(MONTH(Gastos!$A$2:$A$2500)=AO$3)*(Gastos!$B$2:$B$2500=$A24)*(Gastos!$D$2:$D$2500))</f>
        <v>0</v>
      </c>
      <c r="AP24" s="75">
        <f t="array" ref="AP24">SUM((YEAR(Gastos!$A$2:$A$2500)=AP$1)*(MONTH(Gastos!$A$2:$A$2500)=AP$3)*(Gastos!$B$2:$B$2500=$A24)*(Gastos!$D$2:$D$2500))</f>
        <v>0</v>
      </c>
      <c r="AQ24" s="75">
        <f t="array" ref="AQ24">SUM((YEAR(Gastos!$A$2:$A$2500)=AQ$1)*(MONTH(Gastos!$A$2:$A$2500)=AQ$3)*(Gastos!$B$2:$B$2500=$A24)*(Gastos!$D$2:$D$2500))</f>
        <v>0</v>
      </c>
      <c r="AR24" s="75">
        <f t="array" ref="AR24">SUM((YEAR(Gastos!$A$2:$A$2500)=AR$1)*(MONTH(Gastos!$A$2:$A$2500)=AR$3)*(Gastos!$B$2:$B$2500=$A24)*(Gastos!$D$2:$D$2500))</f>
        <v>0</v>
      </c>
      <c r="AS24" s="75">
        <f t="array" ref="AS24">SUM((YEAR(Gastos!$A$2:$A$2500)=AS$1)*(MONTH(Gastos!$A$2:$A$2500)=AS$3)*(Gastos!$B$2:$B$2500=$A24)*(Gastos!$D$2:$D$2500))</f>
        <v>0</v>
      </c>
      <c r="AT24" s="75">
        <f t="array" ref="AT24">SUM((YEAR(Gastos!$A$2:$A$2500)=AT$1)*(MONTH(Gastos!$A$2:$A$2500)=AT$3)*(Gastos!$B$2:$B$2500=$A24)*(Gastos!$D$2:$D$2500))</f>
        <v>0</v>
      </c>
      <c r="AU24" s="75">
        <f t="array" ref="AU24">SUM((YEAR(Gastos!$A$2:$A$2500)=AU$1)*(MONTH(Gastos!$A$2:$A$2500)=AU$3)*(Gastos!$B$2:$B$2500=$A24)*(Gastos!$D$2:$D$2500))</f>
        <v>0</v>
      </c>
      <c r="AV24" s="75">
        <f t="array" ref="AV24">SUM((YEAR(Gastos!$A$2:$A$2500)=AV$1)*(MONTH(Gastos!$A$2:$A$2500)=AV$3)*(Gastos!$B$2:$B$2500=$A24)*(Gastos!$D$2:$D$2500))</f>
        <v>0</v>
      </c>
      <c r="AW24" s="75">
        <f t="array" ref="AW24">SUM((YEAR(Gastos!$A$2:$A$2500)=AW$1)*(MONTH(Gastos!$A$2:$A$2500)=AW$3)*(Gastos!$B$2:$B$2500=$A24)*(Gastos!$D$2:$D$2500))</f>
        <v>0</v>
      </c>
      <c r="AX24" s="75">
        <f t="array" ref="AX24">SUM((YEAR(Gastos!$A$2:$A$2500)=AX$1)*(MONTH(Gastos!$A$2:$A$2500)=AX$3)*(Gastos!$B$2:$B$2500=$A24)*(Gastos!$D$2:$D$2500))</f>
        <v>0</v>
      </c>
      <c r="AY24" s="75">
        <f t="array" ref="AY24">SUM((YEAR(Gastos!$A$2:$A$2500)=AY$1)*(MONTH(Gastos!$A$2:$A$2500)=AY$3)*(Gastos!$B$2:$B$2500=$A24)*(Gastos!$D$2:$D$2500))</f>
        <v>0</v>
      </c>
      <c r="AZ24" s="75">
        <f t="array" ref="AZ24">SUM((YEAR(Gastos!$A$2:$A$2500)=AZ$1)*(MONTH(Gastos!$A$2:$A$2500)=AZ$3)*(Gastos!$B$2:$B$2500=$A24)*(Gastos!$D$2:$D$2500))</f>
        <v>0</v>
      </c>
      <c r="BA24" s="75">
        <f t="array" ref="BA24">SUM((YEAR(Gastos!$A$2:$A$2500)=BA$1)*(MONTH(Gastos!$A$2:$A$2500)=BA$3)*(Gastos!$B$2:$B$2500=$A24)*(Gastos!$D$2:$D$2500))</f>
        <v>0</v>
      </c>
      <c r="BB24" s="75">
        <f t="array" ref="BB24">SUM((YEAR(Gastos!$A$2:$A$2500)=BB$1)*(MONTH(Gastos!$A$2:$A$2500)=BB$3)*(Gastos!$B$2:$B$2500=$A24)*(Gastos!$D$2:$D$2500))</f>
        <v>0</v>
      </c>
      <c r="BC24" s="75">
        <f t="array" ref="BC24">SUM((YEAR(Gastos!$A$2:$A$2500)=BC$1)*(MONTH(Gastos!$A$2:$A$2500)=BC$3)*(Gastos!$B$2:$B$2500=$A24)*(Gastos!$D$2:$D$2500))</f>
        <v>0</v>
      </c>
      <c r="BD24" s="75">
        <f t="array" ref="BD24">SUM((YEAR(Gastos!$A$2:$A$2500)=BD$1)*(MONTH(Gastos!$A$2:$A$2500)=BD$3)*(Gastos!$B$2:$B$2500=$A24)*(Gastos!$D$2:$D$2500))</f>
        <v>0</v>
      </c>
      <c r="BE24" s="75">
        <f t="array" ref="BE24">SUM((YEAR(Gastos!$A$2:$A$2500)=BE$1)*(MONTH(Gastos!$A$2:$A$2500)=BE$3)*(Gastos!$B$2:$B$2500=$A24)*(Gastos!$D$2:$D$2500))</f>
        <v>0</v>
      </c>
      <c r="BF24" s="75">
        <f t="array" ref="BF24">SUM((YEAR(Gastos!$A$2:$A$2500)=BF$1)*(MONTH(Gastos!$A$2:$A$2500)=BF$3)*(Gastos!$B$2:$B$2500=$A24)*(Gastos!$D$2:$D$2500))</f>
        <v>0</v>
      </c>
      <c r="BG24" s="75">
        <f t="array" ref="BG24">SUM((YEAR(Gastos!$A$2:$A$2500)=BG$1)*(MONTH(Gastos!$A$2:$A$2500)=BG$3)*(Gastos!$B$2:$B$2500=$A24)*(Gastos!$D$2:$D$2500))</f>
        <v>0</v>
      </c>
      <c r="BH24" s="75">
        <f t="array" ref="BH24">SUM((YEAR(Gastos!$A$2:$A$2500)=BH$1)*(MONTH(Gastos!$A$2:$A$2500)=BH$3)*(Gastos!$B$2:$B$2500=$A24)*(Gastos!$D$2:$D$2500))</f>
        <v>0</v>
      </c>
      <c r="BI24" s="75">
        <f t="array" ref="BI24">SUM((YEAR(Gastos!$A$2:$A$2500)=BI$1)*(MONTH(Gastos!$A$2:$A$2500)=BI$3)*(Gastos!$B$2:$B$2500=$A24)*(Gastos!$D$2:$D$2500))</f>
        <v>0</v>
      </c>
      <c r="BJ24" s="75">
        <f t="array" ref="BJ24">SUM((YEAR(Gastos!$A$2:$A$2500)=BJ$1)*(MONTH(Gastos!$A$2:$A$2500)=BJ$3)*(Gastos!$B$2:$B$2500=$A24)*(Gastos!$D$2:$D$2500))</f>
        <v>0</v>
      </c>
      <c r="BK24" s="75">
        <f t="array" ref="BK24">SUM((YEAR(Gastos!$A$2:$A$2500)=BK$1)*(MONTH(Gastos!$A$2:$A$2500)=BK$3)*(Gastos!$B$2:$B$2500=$A24)*(Gastos!$D$2:$D$2500))</f>
        <v>0</v>
      </c>
      <c r="BL24" s="75">
        <f t="array" ref="BL24">SUM((YEAR(Gastos!$A$2:$A$2500)=BL$1)*(MONTH(Gastos!$A$2:$A$2500)=BL$3)*(Gastos!$B$2:$B$2500=$A24)*(Gastos!$D$2:$D$2500))</f>
        <v>0</v>
      </c>
      <c r="BM24" s="75">
        <f t="array" ref="BM24">SUM((YEAR(Gastos!$A$2:$A$2500)=BM$1)*(MONTH(Gastos!$A$2:$A$2500)=BM$3)*(Gastos!$B$2:$B$2500=$A24)*(Gastos!$D$2:$D$2500))</f>
        <v>0</v>
      </c>
      <c r="BN24" s="75">
        <f t="array" ref="BN24">SUM((YEAR(Gastos!$A$2:$A$2500)=BN$1)*(MONTH(Gastos!$A$2:$A$2500)=BN$3)*(Gastos!$B$2:$B$2500=$A24)*(Gastos!$D$2:$D$2500))</f>
        <v>7225</v>
      </c>
      <c r="BO24" s="75">
        <f t="array" ref="BO24">SUM((YEAR(Gastos!$A$2:$A$2500)=BO$1)*(MONTH(Gastos!$A$2:$A$2500)=BO$3)*(Gastos!$B$2:$B$2500=$A24)*(Gastos!$D$2:$D$2500))</f>
        <v>0</v>
      </c>
      <c r="BP24" s="75">
        <f t="array" ref="BP24">SUM((YEAR(Gastos!$A$2:$A$2500)=BP$1)*(MONTH(Gastos!$A$2:$A$2500)=BP$3)*(Gastos!$B$2:$B$2500=$A24)*(Gastos!$D$2:$D$2500))</f>
        <v>0</v>
      </c>
      <c r="BQ24" s="75">
        <f t="array" ref="BQ24">SUM((YEAR(Gastos!$A$2:$A$2500)=BQ$1)*(MONTH(Gastos!$A$2:$A$2500)=BQ$3)*(Gastos!$B$2:$B$2500=$A24)*(Gastos!$D$2:$D$2500))</f>
        <v>0</v>
      </c>
      <c r="BR24" s="75">
        <f t="array" ref="BR24">SUM((YEAR(Gastos!$A$2:$A$2500)=BR$1)*(MONTH(Gastos!$A$2:$A$2500)=BR$3)*(Gastos!$B$2:$B$2500=$A24)*(Gastos!$D$2:$D$2500))</f>
        <v>0</v>
      </c>
      <c r="BS24" s="75">
        <f t="array" ref="BS24">SUM((YEAR(Gastos!$A$2:$A$2500)=BS$1)*(MONTH(Gastos!$A$2:$A$2500)=BS$3)*(Gastos!$B$2:$B$2500=$A24)*(Gastos!$D$2:$D$2500))</f>
        <v>0</v>
      </c>
      <c r="BT24" s="75">
        <f t="array" ref="BT24">SUM((YEAR(Gastos!$A$2:$A$2500)=BT$1)*(MONTH(Gastos!$A$2:$A$2500)=BT$3)*(Gastos!$B$2:$B$2500=$A24)*(Gastos!$D$2:$D$2500))</f>
        <v>0</v>
      </c>
      <c r="BU24" s="75">
        <f t="array" ref="BU24">SUM((YEAR(Gastos!$A$2:$A$2500)=BU$1)*(MONTH(Gastos!$A$2:$A$2500)=BU$3)*(Gastos!$B$2:$B$2500=$A24)*(Gastos!$D$2:$D$2500))</f>
        <v>0</v>
      </c>
      <c r="BV24" s="75">
        <f t="array" ref="BV24">SUM((YEAR(Gastos!$A$2:$A$2500)=BV$1)*(MONTH(Gastos!$A$2:$A$2500)=BV$3)*(Gastos!$B$2:$B$2500=$A24)*(Gastos!$D$2:$D$2500))</f>
        <v>0</v>
      </c>
      <c r="BW24" s="75">
        <f t="array" ref="BW24">SUM((YEAR(Gastos!$A$2:$A$2500)=BW$1)*(MONTH(Gastos!$A$2:$A$2500)=BW$3)*(Gastos!$B$2:$B$2500=$A24)*(Gastos!$D$2:$D$2500))</f>
        <v>0</v>
      </c>
      <c r="BX24" s="75">
        <f t="array" ref="BX24">SUM((YEAR(Gastos!$A$2:$A$2500)=BX$1)*(MONTH(Gastos!$A$2:$A$2500)=BX$3)*(Gastos!$B$2:$B$2500=$A24)*(Gastos!$D$2:$D$2500))</f>
        <v>0</v>
      </c>
      <c r="BY24" s="75">
        <f t="array" ref="BY24">SUM((YEAR(Gastos!$A$2:$A$2500)=BY$1)*(MONTH(Gastos!$A$2:$A$2500)=BY$3)*(Gastos!$B$2:$B$2500=$A24)*(Gastos!$D$2:$D$2500))</f>
        <v>0</v>
      </c>
      <c r="BZ24" s="75">
        <f t="array" ref="BZ24">SUM((YEAR(Gastos!$A$2:$A$2500)=BZ$1)*(MONTH(Gastos!$A$2:$A$2500)=BZ$3)*(Gastos!$B$2:$B$2500=$A24)*(Gastos!$D$2:$D$2500))</f>
        <v>0</v>
      </c>
      <c r="CA24" s="75">
        <f t="array" ref="CA24">SUM((YEAR(Gastos!$A$2:$A$2500)=CA$1)*(MONTH(Gastos!$A$2:$A$2500)=CA$3)*(Gastos!$B$2:$B$2500=$A24)*(Gastos!$D$2:$D$2500))</f>
        <v>0</v>
      </c>
      <c r="CB24" s="75">
        <f t="array" ref="CB24">SUM((YEAR(Gastos!$A$2:$A$2500)=CB$1)*(MONTH(Gastos!$A$2:$A$2500)=CB$3)*(Gastos!$B$2:$B$2500=$A24)*(Gastos!$D$2:$D$2500))</f>
        <v>0</v>
      </c>
      <c r="CC24" s="75">
        <f t="array" ref="CC24">SUM((YEAR(Gastos!$A$2:$A$2500)=CC$1)*(MONTH(Gastos!$A$2:$A$2500)=CC$3)*(Gastos!$B$2:$B$2500=$A24)*(Gastos!$D$2:$D$2500))</f>
        <v>0</v>
      </c>
      <c r="CD24" s="75">
        <f t="array" ref="CD24">SUM((YEAR(Gastos!$A$2:$A$2500)=CD$1)*(MONTH(Gastos!$A$2:$A$2500)=CD$3)*(Gastos!$B$2:$B$2500=$A24)*(Gastos!$D$2:$D$2500))</f>
        <v>0</v>
      </c>
      <c r="CE24" s="75">
        <f t="array" ref="CE24">SUM((YEAR(Gastos!$A$2:$A$2500)=CE$1)*(MONTH(Gastos!$A$2:$A$2500)=CE$3)*(Gastos!$B$2:$B$2500=$A24)*(Gastos!$D$2:$D$2500))</f>
        <v>0</v>
      </c>
      <c r="CF24" s="75">
        <f t="array" ref="CF24">SUM((YEAR(Gastos!$A$2:$A$2500)=CF$1)*(MONTH(Gastos!$A$2:$A$2500)=CF$3)*(Gastos!$B$2:$B$2500=$A24)*(Gastos!$D$2:$D$2500))</f>
        <v>0</v>
      </c>
      <c r="CG24" s="75">
        <f t="array" ref="CG24">SUM((YEAR(Gastos!$A$2:$A$2500)=CG$1)*(MONTH(Gastos!$A$2:$A$2500)=CG$3)*(Gastos!$B$2:$B$2500=$A24)*(Gastos!$D$2:$D$2500))</f>
        <v>0</v>
      </c>
      <c r="CH24" s="75">
        <f t="array" ref="CH24">SUM((YEAR(Gastos!$A$2:$A$2500)=CH$1)*(MONTH(Gastos!$A$2:$A$2500)=CH$3)*(Gastos!$B$2:$B$2500=$A24)*(Gastos!$D$2:$D$2500))</f>
        <v>0</v>
      </c>
      <c r="CI24" s="75">
        <f t="array" ref="CI24">SUM((YEAR(Gastos!$A$2:$A$2500)=CI$1)*(MONTH(Gastos!$A$2:$A$2500)=CI$3)*(Gastos!$B$2:$B$2500=$A24)*(Gastos!$D$2:$D$2500))</f>
        <v>0</v>
      </c>
      <c r="CJ24" s="75">
        <f t="array" ref="CJ24">SUM((YEAR(Gastos!$A$2:$A$2500)=CJ$1)*(MONTH(Gastos!$A$2:$A$2500)=CJ$3)*(Gastos!$B$2:$B$2500=$A24)*(Gastos!$D$2:$D$2500))</f>
        <v>0</v>
      </c>
      <c r="CK24" s="75">
        <f t="array" ref="CK24">SUM((YEAR(Gastos!$A$2:$A$2500)=CK$1)*(MONTH(Gastos!$A$2:$A$2500)=CK$3)*(Gastos!$B$2:$B$2500=$A24)*(Gastos!$D$2:$D$2500))</f>
        <v>0</v>
      </c>
      <c r="CL24" s="75">
        <f t="array" ref="CL24">SUM((YEAR(Gastos!$A$2:$A$2500)=CL$1)*(MONTH(Gastos!$A$2:$A$2500)=CL$3)*(Gastos!$B$2:$B$2500=$A24)*(Gastos!$D$2:$D$2500))</f>
        <v>0</v>
      </c>
      <c r="CM24" s="75">
        <f t="array" ref="CM24">SUM((YEAR(Gastos!$A$2:$A$2500)=CM$1)*(MONTH(Gastos!$A$2:$A$2500)=CM$3)*(Gastos!$B$2:$B$2500=$A24)*(Gastos!$D$2:$D$2500))</f>
        <v>0</v>
      </c>
      <c r="CN24" s="75">
        <f t="array" ref="CN24">SUM((YEAR(Gastos!$A$2:$A$2500)=CN$1)*(MONTH(Gastos!$A$2:$A$2500)=CN$3)*(Gastos!$B$2:$B$2500=$A24)*(Gastos!$D$2:$D$2500))</f>
        <v>0</v>
      </c>
      <c r="CO24" s="75">
        <f t="array" ref="CO24">SUM((YEAR(Gastos!$A$2:$A$2500)=CO$1)*(MONTH(Gastos!$A$2:$A$2500)=CO$3)*(Gastos!$B$2:$B$2500=$A24)*(Gastos!$D$2:$D$2500))</f>
        <v>0</v>
      </c>
      <c r="CP24" s="75">
        <f t="array" ref="CP24">SUM((YEAR(Gastos!$A$2:$A$2500)=CP$1)*(MONTH(Gastos!$A$2:$A$2500)=CP$3)*(Gastos!$B$2:$B$2500=$A24)*(Gastos!$D$2:$D$2500))</f>
        <v>0</v>
      </c>
      <c r="CQ24" s="75">
        <f t="array" ref="CQ24">SUM((YEAR(Gastos!$A$2:$A$2500)=CQ$1)*(MONTH(Gastos!$A$2:$A$2500)=CQ$3)*(Gastos!$B$2:$B$2500=$A24)*(Gastos!$D$2:$D$2500))</f>
        <v>0</v>
      </c>
      <c r="CR24" s="75">
        <f t="array" ref="CR24">SUM((YEAR(Gastos!$A$2:$A$2500)=CR$1)*(MONTH(Gastos!$A$2:$A$2500)=CR$3)*(Gastos!$B$2:$B$2500=$A24)*(Gastos!$D$2:$D$2500))</f>
        <v>0</v>
      </c>
      <c r="CS24" s="75">
        <f t="array" ref="CS24">SUM((YEAR(Gastos!$A$2:$A$2500)=CS$1)*(MONTH(Gastos!$A$2:$A$2500)=CS$3)*(Gastos!$B$2:$B$2500=$A24)*(Gastos!$D$2:$D$2500))</f>
        <v>0</v>
      </c>
      <c r="CT24" s="75">
        <f t="array" ref="CT24">SUM((YEAR(Gastos!$A$2:$A$2500)=CT$1)*(MONTH(Gastos!$A$2:$A$2500)=CT$3)*(Gastos!$B$2:$B$2500=$A24)*(Gastos!$D$2:$D$2500))</f>
        <v>0</v>
      </c>
      <c r="CU24" s="75">
        <f t="array" ref="CU24">SUM((YEAR(Gastos!$A$2:$A$2500)=CU$1)*(MONTH(Gastos!$A$2:$A$2500)=CU$3)*(Gastos!$B$2:$B$2500=$A24)*(Gastos!$D$2:$D$2500))</f>
        <v>0</v>
      </c>
      <c r="CV24" s="75">
        <f t="array" ref="CV24">SUM((YEAR(Gastos!$A$2:$A$2500)=CV$1)*(MONTH(Gastos!$A$2:$A$2500)=CV$3)*(Gastos!$B$2:$B$2500=$A24)*(Gastos!$D$2:$D$2500))</f>
        <v>0</v>
      </c>
      <c r="CW24" s="75">
        <f t="array" ref="CW24">SUM((YEAR(Gastos!$A$2:$A$2500)=CW$1)*(MONTH(Gastos!$A$2:$A$2500)=CW$3)*(Gastos!$B$2:$B$2500=$A24)*(Gastos!$D$2:$D$2500))</f>
        <v>0</v>
      </c>
      <c r="CX24" s="75">
        <f t="array" ref="CX24">SUM((YEAR(Gastos!$A$2:$A$2500)=CX$1)*(MONTH(Gastos!$A$2:$A$2500)=CX$3)*(Gastos!$B$2:$B$2500=$A24)*(Gastos!$D$2:$D$2500))</f>
        <v>0</v>
      </c>
      <c r="CY24" s="75">
        <f t="array" ref="CY24">SUM((YEAR(Gastos!$A$2:$A$2500)=CY$1)*(MONTH(Gastos!$A$2:$A$2500)=CY$3)*(Gastos!$B$2:$B$2500=$A24)*(Gastos!$D$2:$D$2500))</f>
        <v>0</v>
      </c>
      <c r="CZ24" s="75">
        <f t="array" ref="CZ24">SUM((YEAR(Gastos!$A$2:$A$2500)=CZ$1)*(MONTH(Gastos!$A$2:$A$2500)=CZ$3)*(Gastos!$B$2:$B$2500=$A24)*(Gastos!$D$2:$D$2500))</f>
        <v>0</v>
      </c>
      <c r="DA24" s="75">
        <f t="array" ref="DA24">SUM((YEAR(Gastos!$A$2:$A$2500)=DA$1)*(MONTH(Gastos!$A$2:$A$2500)=DA$3)*(Gastos!$B$2:$B$2500=$A24)*(Gastos!$D$2:$D$2500))</f>
        <v>0</v>
      </c>
      <c r="DB24" s="75">
        <f t="array" ref="DB24">SUM((YEAR(Gastos!$A$2:$A$2500)=DB$1)*(MONTH(Gastos!$A$2:$A$2500)=DB$3)*(Gastos!$B$2:$B$2500=$A24)*(Gastos!$D$2:$D$2500))</f>
        <v>0</v>
      </c>
      <c r="DC24" s="75">
        <f t="array" ref="DC24">SUM((YEAR(Gastos!$A$2:$A$2500)=DC$1)*(MONTH(Gastos!$A$2:$A$2500)=DC$3)*(Gastos!$B$2:$B$2500=$A24)*(Gastos!$D$2:$D$2500))</f>
        <v>0</v>
      </c>
      <c r="DD24" s="75">
        <f t="array" ref="DD24">SUM((YEAR(Gastos!$A$2:$A$2500)=DD$1)*(MONTH(Gastos!$A$2:$A$2500)=DD$3)*(Gastos!$B$2:$B$2500=$A24)*(Gastos!$D$2:$D$2500))</f>
        <v>0</v>
      </c>
      <c r="DE24" s="75">
        <f t="array" ref="DE24">SUM((YEAR(Gastos!$A$2:$A$2500)=DE$1)*(MONTH(Gastos!$A$2:$A$2500)=DE$3)*(Gastos!$B$2:$B$2500=$A24)*(Gastos!$D$2:$D$2500))</f>
        <v>0</v>
      </c>
      <c r="DF24" s="75">
        <f t="array" ref="DF24">SUM((YEAR(Gastos!$A$2:$A$2500)=DF$1)*(MONTH(Gastos!$A$2:$A$2500)=DF$3)*(Gastos!$B$2:$B$2500=$A24)*(Gastos!$D$2:$D$2500))</f>
        <v>0</v>
      </c>
      <c r="DG24" s="75">
        <f t="array" ref="DG24">SUM((YEAR(Gastos!$A$2:$A$2500)=DG$1)*(MONTH(Gastos!$A$2:$A$2500)=DG$3)*(Gastos!$B$2:$B$2500=$A24)*(Gastos!$D$2:$D$2500))</f>
        <v>0</v>
      </c>
      <c r="DH24" s="75">
        <f t="array" ref="DH24">SUM((YEAR(Gastos!$A$2:$A$2500)=DH$1)*(MONTH(Gastos!$A$2:$A$2500)=DH$3)*(Gastos!$B$2:$B$2500=$A24)*(Gastos!$D$2:$D$2500))</f>
        <v>0</v>
      </c>
      <c r="DI24" s="75">
        <f t="array" ref="DI24">SUM((YEAR(Gastos!$A$2:$A$2500)=DI$1)*(MONTH(Gastos!$A$2:$A$2500)=DI$3)*(Gastos!$B$2:$B$2500=$A24)*(Gastos!$D$2:$D$2500))</f>
        <v>0</v>
      </c>
      <c r="DJ24" s="75">
        <f t="array" ref="DJ24">SUM((YEAR(Gastos!$A$2:$A$2500)=DJ$1)*(MONTH(Gastos!$A$2:$A$2500)=DJ$3)*(Gastos!$B$2:$B$2500=$A24)*(Gastos!$D$2:$D$2500))</f>
        <v>0</v>
      </c>
      <c r="DK24" s="75">
        <f t="array" ref="DK24">SUM((YEAR(Gastos!$A$2:$A$2500)=DK$1)*(MONTH(Gastos!$A$2:$A$2500)=DK$3)*(Gastos!$B$2:$B$2500=$A24)*(Gastos!$D$2:$D$2500))</f>
        <v>0</v>
      </c>
      <c r="DL24" s="75">
        <f t="array" ref="DL24">SUM((YEAR(Gastos!$A$2:$A$2500)=DL$1)*(MONTH(Gastos!$A$2:$A$2500)=DL$3)*(Gastos!$B$2:$B$2500=$A24)*(Gastos!$D$2:$D$2500))</f>
        <v>0</v>
      </c>
      <c r="DM24" s="75">
        <f t="array" ref="DM24">SUM((YEAR(Gastos!$A$2:$A$2500)=DM$1)*(MONTH(Gastos!$A$2:$A$2500)=DM$3)*(Gastos!$B$2:$B$2500=$A24)*(Gastos!$D$2:$D$2500))</f>
        <v>0</v>
      </c>
      <c r="DN24" s="75">
        <f t="array" ref="DN24">SUM((YEAR(Gastos!$A$2:$A$2500)=DN$1)*(MONTH(Gastos!$A$2:$A$2500)=DN$3)*(Gastos!$B$2:$B$2500=$A24)*(Gastos!$D$2:$D$2500))</f>
        <v>0</v>
      </c>
      <c r="DO24" s="75">
        <f t="array" ref="DO24">SUM((YEAR(Gastos!$A$2:$A$2500)=DO$1)*(MONTH(Gastos!$A$2:$A$2500)=DO$3)*(Gastos!$B$2:$B$2500=$A24)*(Gastos!$D$2:$D$2500))</f>
        <v>0</v>
      </c>
      <c r="DP24" s="75">
        <f t="array" ref="DP24">SUM((YEAR(Gastos!$A$2:$A$2500)=DP$1)*(MONTH(Gastos!$A$2:$A$2500)=DP$3)*(Gastos!$B$2:$B$2500=$A24)*(Gastos!$D$2:$D$2500))</f>
        <v>0</v>
      </c>
      <c r="DQ24" s="75">
        <f t="array" ref="DQ24">SUM((YEAR(Gastos!$A$2:$A$2500)=DQ$1)*(MONTH(Gastos!$A$2:$A$2500)=DQ$3)*(Gastos!$B$2:$B$2500=$A24)*(Gastos!$D$2:$D$2500))</f>
        <v>0</v>
      </c>
      <c r="DR24" s="75">
        <f t="array" ref="DR24">SUM((YEAR(Gastos!$A$2:$A$2500)=DR$1)*(MONTH(Gastos!$A$2:$A$2500)=DR$3)*(Gastos!$B$2:$B$2500=$A24)*(Gastos!$D$2:$D$2500))</f>
        <v>0</v>
      </c>
      <c r="DS24" s="75">
        <f t="array" ref="DS24">SUM((YEAR(Gastos!$A$2:$A$2500)=DS$1)*(MONTH(Gastos!$A$2:$A$2500)=DS$3)*(Gastos!$B$2:$B$2500=$A24)*(Gastos!$D$2:$D$2500))</f>
        <v>0</v>
      </c>
      <c r="DT24" s="75">
        <f t="array" ref="DT24">SUM((YEAR(Gastos!$A$2:$A$2500)=DT$1)*(MONTH(Gastos!$A$2:$A$2500)=DT$3)*(Gastos!$B$2:$B$2500=$A24)*(Gastos!$D$2:$D$2500))</f>
        <v>0</v>
      </c>
      <c r="DU24" s="75">
        <f t="array" ref="DU24">SUM((YEAR(Gastos!$A$2:$A$2500)=DU$1)*(MONTH(Gastos!$A$2:$A$2500)=DU$3)*(Gastos!$B$2:$B$2500=$A24)*(Gastos!$D$2:$D$2500))</f>
        <v>0</v>
      </c>
      <c r="DV24" s="75">
        <f t="array" ref="DV24">SUM((YEAR(Gastos!$A$2:$A$2500)=DV$1)*(MONTH(Gastos!$A$2:$A$2500)=DV$3)*(Gastos!$B$2:$B$2500=$A24)*(Gastos!$D$2:$D$2500))</f>
        <v>0</v>
      </c>
      <c r="DW24" s="75">
        <f t="array" ref="DW24">SUM((YEAR(Gastos!$A$2:$A$2500)=DW$1)*(MONTH(Gastos!$A$2:$A$2500)=DW$3)*(Gastos!$B$2:$B$2500=$A24)*(Gastos!$D$2:$D$2500))</f>
        <v>0</v>
      </c>
      <c r="DX24" s="75">
        <f t="array" ref="DX24">SUM((YEAR(Gastos!$A$2:$A$2500)=DX$1)*(MONTH(Gastos!$A$2:$A$2500)=DX$3)*(Gastos!$B$2:$B$2500=$A24)*(Gastos!$D$2:$D$2500))</f>
        <v>0</v>
      </c>
      <c r="DY24" s="75">
        <f t="array" ref="DY24">SUM((YEAR(Gastos!$A$2:$A$2500)=DY$1)*(MONTH(Gastos!$A$2:$A$2500)=DY$3)*(Gastos!$B$2:$B$2500=$A24)*(Gastos!$D$2:$D$2500))</f>
        <v>0</v>
      </c>
      <c r="DZ24" s="75">
        <f t="array" ref="DZ24">SUM((YEAR(Gastos!$A$2:$A$2500)=DZ$1)*(MONTH(Gastos!$A$2:$A$2500)=DZ$3)*(Gastos!$B$2:$B$2500=$A24)*(Gastos!$D$2:$D$2500))</f>
        <v>0</v>
      </c>
      <c r="EA24" s="75">
        <f t="array" ref="EA24">SUM((YEAR(Gastos!$A$2:$A$2500)=EA$1)*(MONTH(Gastos!$A$2:$A$2500)=EA$3)*(Gastos!$B$2:$B$2500=$A24)*(Gastos!$D$2:$D$2500))</f>
        <v>0</v>
      </c>
      <c r="EB24" s="75">
        <f t="array" ref="EB24">SUM((YEAR(Gastos!$A$2:$A$2500)=EB$1)*(MONTH(Gastos!$A$2:$A$2500)=EB$3)*(Gastos!$B$2:$B$2500=$A24)*(Gastos!$D$2:$D$2500))</f>
        <v>0</v>
      </c>
      <c r="EC24" s="75">
        <f t="array" ref="EC24">SUM((YEAR(Gastos!$A$2:$A$2500)=EC$1)*(MONTH(Gastos!$A$2:$A$2500)=EC$3)*(Gastos!$B$2:$B$2500=$A24)*(Gastos!$D$2:$D$2500))</f>
        <v>0</v>
      </c>
      <c r="ED24" s="75">
        <f t="array" ref="ED24">SUM((YEAR(Gastos!$A$2:$A$2500)=ED$1)*(MONTH(Gastos!$A$2:$A$2500)=ED$3)*(Gastos!$B$2:$B$2500=$A24)*(Gastos!$D$2:$D$2500))</f>
        <v>0</v>
      </c>
      <c r="EE24" s="75">
        <f t="array" ref="EE24">SUM((YEAR(Gastos!$A$2:$A$2500)=EE$1)*(MONTH(Gastos!$A$2:$A$2500)=EE$3)*(Gastos!$B$2:$B$2500=$A24)*(Gastos!$D$2:$D$2500))</f>
        <v>0</v>
      </c>
      <c r="EF24" s="75">
        <f t="array" ref="EF24">SUM((YEAR(Gastos!$A$2:$A$2500)=EF$1)*(MONTH(Gastos!$A$2:$A$2500)=EF$3)*(Gastos!$B$2:$B$2500=$A24)*(Gastos!$D$2:$D$2500))</f>
        <v>0</v>
      </c>
      <c r="EG24" s="75">
        <f t="array" ref="EG24">SUM((YEAR(Gastos!$A$2:$A$2500)=EG$1)*(MONTH(Gastos!$A$2:$A$2500)=EG$3)*(Gastos!$B$2:$B$2500=$A24)*(Gastos!$D$2:$D$2500))</f>
        <v>0</v>
      </c>
      <c r="EH24" s="75">
        <f t="array" ref="EH24">SUM((YEAR(Gastos!$A$2:$A$2500)=EH$1)*(MONTH(Gastos!$A$2:$A$2500)=EH$3)*(Gastos!$B$2:$B$2500=$A24)*(Gastos!$D$2:$D$2500))</f>
        <v>0</v>
      </c>
      <c r="EI24" s="75">
        <f t="array" ref="EI24">SUM((YEAR(Gastos!$A$2:$A$2500)=EI$1)*(MONTH(Gastos!$A$2:$A$2500)=EI$3)*(Gastos!$B$2:$B$2500=$A24)*(Gastos!$D$2:$D$2500))</f>
        <v>0</v>
      </c>
      <c r="EJ24" s="75">
        <f t="array" ref="EJ24">SUM((YEAR(Gastos!$A$2:$A$2500)=EJ$1)*(MONTH(Gastos!$A$2:$A$2500)=EJ$3)*(Gastos!$B$2:$B$2500=$A24)*(Gastos!$D$2:$D$2500))</f>
        <v>0</v>
      </c>
      <c r="EK24" s="75">
        <f t="array" ref="EK24">SUM((YEAR(Gastos!$A$2:$A$2500)=EK$1)*(MONTH(Gastos!$A$2:$A$2500)=EK$3)*(Gastos!$B$2:$B$2500=$A24)*(Gastos!$D$2:$D$2500))</f>
        <v>0</v>
      </c>
      <c r="EL24" s="75">
        <f t="array" ref="EL24">SUM((YEAR(Gastos!$A$2:$A$2500)=EL$1)*(MONTH(Gastos!$A$2:$A$2500)=EL$3)*(Gastos!$B$2:$B$2500=$A24)*(Gastos!$D$2:$D$2500))</f>
        <v>0</v>
      </c>
      <c r="EM24" s="75">
        <f t="array" ref="EM24">SUM((YEAR(Gastos!$A$2:$A$2500)=EM$1)*(MONTH(Gastos!$A$2:$A$2500)=EM$3)*(Gastos!$B$2:$B$2500=$A24)*(Gastos!$D$2:$D$2500))</f>
        <v>0</v>
      </c>
      <c r="EN24" s="75">
        <f t="array" ref="EN24">SUM((YEAR(Gastos!$A$2:$A$2500)=EN$1)*(MONTH(Gastos!$A$2:$A$2500)=EN$3)*(Gastos!$B$2:$B$2500=$A24)*(Gastos!$D$2:$D$2500))</f>
        <v>0</v>
      </c>
      <c r="EO24" s="75">
        <f t="array" ref="EO24">SUM((YEAR(Gastos!$A$2:$A$2500)=EO$1)*(MONTH(Gastos!$A$2:$A$2500)=EO$3)*(Gastos!$B$2:$B$2500=$A24)*(Gastos!$D$2:$D$2500))</f>
        <v>0</v>
      </c>
      <c r="EP24" s="75">
        <f t="array" ref="EP24">SUM((YEAR(Gastos!$A$2:$A$2500)=EP$1)*(MONTH(Gastos!$A$2:$A$2500)=EP$3)*(Gastos!$B$2:$B$2500=$A24)*(Gastos!$D$2:$D$2500))</f>
        <v>0</v>
      </c>
      <c r="EQ24" s="75">
        <f t="array" ref="EQ24">SUM((YEAR(Gastos!$A$2:$A$2500)=EQ$1)*(MONTH(Gastos!$A$2:$A$2500)=EQ$3)*(Gastos!$B$2:$B$2500=$A24)*(Gastos!$D$2:$D$2500))</f>
        <v>0</v>
      </c>
      <c r="ER24" s="75">
        <f t="array" ref="ER24">SUM((YEAR(Gastos!$A$2:$A$2500)=ER$1)*(MONTH(Gastos!$A$2:$A$2500)=ER$3)*(Gastos!$B$2:$B$2500=$A24)*(Gastos!$D$2:$D$2500))</f>
        <v>0</v>
      </c>
      <c r="ES24" s="75">
        <f t="array" ref="ES24">SUM((YEAR(Gastos!$A$2:$A$2500)=ES$1)*(MONTH(Gastos!$A$2:$A$2500)=ES$3)*(Gastos!$B$2:$B$2500=$A24)*(Gastos!$D$2:$D$2500))</f>
        <v>0</v>
      </c>
      <c r="ET24" s="75">
        <f t="array" ref="ET24">SUM((YEAR(Gastos!$A$2:$A$2500)=ET$1)*(MONTH(Gastos!$A$2:$A$2500)=ET$3)*(Gastos!$B$2:$B$2500=$A24)*(Gastos!$D$2:$D$2500))</f>
        <v>0</v>
      </c>
      <c r="EU24" s="75">
        <f t="array" ref="EU24">SUM((YEAR(Gastos!$A$2:$A$2500)=EU$1)*(MONTH(Gastos!$A$2:$A$2500)=EU$3)*(Gastos!$B$2:$B$2500=$A24)*(Gastos!$D$2:$D$2500))</f>
        <v>0</v>
      </c>
      <c r="EV24" s="75">
        <f t="array" ref="EV24">SUM((YEAR(Gastos!$A$2:$A$2500)=EV$1)*(MONTH(Gastos!$A$2:$A$2500)=EV$3)*(Gastos!$B$2:$B$2500=$A24)*(Gastos!$D$2:$D$2500))</f>
        <v>0</v>
      </c>
      <c r="EW24" s="75">
        <f t="array" ref="EW24">SUM((YEAR(Gastos!$A$2:$A$2500)=EW$1)*(MONTH(Gastos!$A$2:$A$2500)=EW$3)*(Gastos!$B$2:$B$2500=$A24)*(Gastos!$D$2:$D$2500))</f>
        <v>0</v>
      </c>
      <c r="EX24" s="75">
        <f t="array" ref="EX24">SUM((YEAR(Gastos!$A$2:$A$2500)=EX$1)*(MONTH(Gastos!$A$2:$A$2500)=EX$3)*(Gastos!$B$2:$B$2500=$A24)*(Gastos!$D$2:$D$2500))</f>
        <v>0</v>
      </c>
      <c r="EY24" s="75">
        <f t="array" ref="EY24">SUM((YEAR(Gastos!$A$2:$A$2500)=EY$1)*(MONTH(Gastos!$A$2:$A$2500)=EY$3)*(Gastos!$B$2:$B$2500=$A24)*(Gastos!$D$2:$D$2500))</f>
        <v>0</v>
      </c>
      <c r="EZ24" s="75">
        <f t="array" ref="EZ24">SUM((YEAR(Gastos!$A$2:$A$2500)=EZ$1)*(MONTH(Gastos!$A$2:$A$2500)=EZ$3)*(Gastos!$B$2:$B$2500=$A24)*(Gastos!$D$2:$D$2500))</f>
        <v>0</v>
      </c>
      <c r="FA24" s="75">
        <f t="array" ref="FA24">SUM((YEAR(Gastos!$A$2:$A$2500)=FA$1)*(MONTH(Gastos!$A$2:$A$2500)=FA$3)*(Gastos!$B$2:$B$2500=$A24)*(Gastos!$D$2:$D$2500))</f>
        <v>0</v>
      </c>
      <c r="FB24" s="75">
        <f t="array" ref="FB24">SUM((YEAR(Gastos!$A$2:$A$2500)=FB$1)*(MONTH(Gastos!$A$2:$A$2500)=FB$3)*(Gastos!$B$2:$B$2500=$A24)*(Gastos!$D$2:$D$2500))</f>
        <v>0</v>
      </c>
      <c r="FC24" s="75">
        <f t="array" ref="FC24">SUM((YEAR(Gastos!$A$2:$A$2500)=FC$1)*(MONTH(Gastos!$A$2:$A$2500)=FC$3)*(Gastos!$B$2:$B$2500=$A24)*(Gastos!$D$2:$D$2500))</f>
        <v>0</v>
      </c>
      <c r="FD24" s="75">
        <f t="array" ref="FD24">SUM((YEAR(Gastos!$A$2:$A$2500)=FD$1)*(MONTH(Gastos!$A$2:$A$2500)=FD$3)*(Gastos!$B$2:$B$2500=$A24)*(Gastos!$D$2:$D$2500))</f>
        <v>0</v>
      </c>
      <c r="FE24" s="75">
        <f t="array" ref="FE24">SUM((YEAR(Gastos!$A$2:$A$2500)=FE$1)*(MONTH(Gastos!$A$2:$A$2500)=FE$3)*(Gastos!$B$2:$B$2500=$A24)*(Gastos!$D$2:$D$2500))</f>
        <v>0</v>
      </c>
      <c r="FF24" s="75">
        <f t="array" ref="FF24">SUM((YEAR(Gastos!$A$2:$A$2500)=FF$1)*(MONTH(Gastos!$A$2:$A$2500)=FF$3)*(Gastos!$B$2:$B$2500=$A24)*(Gastos!$D$2:$D$2500))</f>
        <v>0</v>
      </c>
      <c r="FG24" s="75">
        <f t="array" ref="FG24">SUM((YEAR(Gastos!$A$2:$A$2500)=FG$1)*(MONTH(Gastos!$A$2:$A$2500)=FG$3)*(Gastos!$B$2:$B$2500=$A24)*(Gastos!$D$2:$D$2500))</f>
        <v>0</v>
      </c>
      <c r="FH24" s="75">
        <f t="array" ref="FH24">SUM((YEAR(Gastos!$A$2:$A$2500)=FH$1)*(MONTH(Gastos!$A$2:$A$2500)=FH$3)*(Gastos!$B$2:$B$2500=$A24)*(Gastos!$D$2:$D$2500))</f>
        <v>0</v>
      </c>
      <c r="FI24" s="75">
        <f t="array" ref="FI24">SUM((YEAR(Gastos!$A$2:$A$2500)=FI$1)*(MONTH(Gastos!$A$2:$A$2500)=FI$3)*(Gastos!$B$2:$B$2500=$A24)*(Gastos!$D$2:$D$2500))</f>
        <v>0</v>
      </c>
      <c r="FJ24" s="75">
        <f t="array" ref="FJ24">SUM((YEAR(Gastos!$A$2:$A$2500)=FJ$1)*(MONTH(Gastos!$A$2:$A$2500)=FJ$3)*(Gastos!$B$2:$B$2500=$A24)*(Gastos!$D$2:$D$2500))</f>
        <v>0</v>
      </c>
      <c r="FK24" s="75">
        <f t="array" ref="FK24">SUM((YEAR(Gastos!$A$2:$A$2500)=FK$1)*(MONTH(Gastos!$A$2:$A$2500)=FK$3)*(Gastos!$B$2:$B$2500=$A24)*(Gastos!$D$2:$D$2500))</f>
        <v>0</v>
      </c>
      <c r="FL24" s="75">
        <f t="array" ref="FL24">SUM((YEAR(Gastos!$A$2:$A$2500)=FL$1)*(MONTH(Gastos!$A$2:$A$2500)=FL$3)*(Gastos!$B$2:$B$2500=$A24)*(Gastos!$D$2:$D$2500))</f>
        <v>0</v>
      </c>
      <c r="FM24" s="75">
        <f t="array" ref="FM24">SUM((YEAR(Gastos!$A$2:$A$2500)=FM$1)*(MONTH(Gastos!$A$2:$A$2500)=FM$3)*(Gastos!$B$2:$B$2500=$A24)*(Gastos!$D$2:$D$2500))</f>
        <v>0</v>
      </c>
      <c r="FN24" s="75">
        <f t="array" ref="FN24">SUM((YEAR(Gastos!$A$2:$A$2500)=FN$1)*(MONTH(Gastos!$A$2:$A$2500)=FN$3)*(Gastos!$B$2:$B$2500=$A24)*(Gastos!$D$2:$D$2500))</f>
        <v>0</v>
      </c>
      <c r="FO24" s="75">
        <f t="array" ref="FO24">SUM((YEAR(Gastos!$A$2:$A$2500)=FO$1)*(MONTH(Gastos!$A$2:$A$2500)=FO$3)*(Gastos!$B$2:$B$2500=$A24)*(Gastos!$D$2:$D$2500))</f>
        <v>0</v>
      </c>
      <c r="FP24" s="75">
        <f t="array" ref="FP24">SUM((YEAR(Gastos!$A$2:$A$2500)=FP$1)*(MONTH(Gastos!$A$2:$A$2500)=FP$3)*(Gastos!$B$2:$B$2500=$A24)*(Gastos!$D$2:$D$2500))</f>
        <v>0</v>
      </c>
      <c r="FQ24" s="75">
        <f t="array" ref="FQ24">SUM((YEAR(Gastos!$A$2:$A$2500)=FQ$1)*(MONTH(Gastos!$A$2:$A$2500)=FQ$3)*(Gastos!$B$2:$B$2500=$A24)*(Gastos!$D$2:$D$2500))</f>
        <v>0</v>
      </c>
      <c r="FR24" s="75">
        <f t="array" ref="FR24">SUM((YEAR(Gastos!$A$2:$A$2500)=FR$1)*(MONTH(Gastos!$A$2:$A$2500)=FR$3)*(Gastos!$B$2:$B$2500=$A24)*(Gastos!$D$2:$D$2500))</f>
        <v>0</v>
      </c>
      <c r="FS24" s="75">
        <f t="array" ref="FS24">SUM((YEAR(Gastos!$A$2:$A$2500)=FS$1)*(MONTH(Gastos!$A$2:$A$2500)=FS$3)*(Gastos!$B$2:$B$2500=$A24)*(Gastos!$D$2:$D$2500))</f>
        <v>0</v>
      </c>
      <c r="FT24" s="75">
        <f t="array" ref="FT24">SUM((YEAR(Gastos!$A$2:$A$2500)=FT$1)*(MONTH(Gastos!$A$2:$A$2500)=FT$3)*(Gastos!$B$2:$B$2500=$A24)*(Gastos!$D$2:$D$2500))</f>
        <v>0</v>
      </c>
      <c r="FU24" s="75">
        <f t="array" ref="FU24">SUM((YEAR(Gastos!$A$2:$A$2500)=FU$1)*(MONTH(Gastos!$A$2:$A$2500)=FU$3)*(Gastos!$B$2:$B$2500=$A24)*(Gastos!$D$2:$D$2500))</f>
        <v>0</v>
      </c>
      <c r="FV24" s="75">
        <f t="array" ref="FV24">SUM((YEAR(Gastos!$A$2:$A$2500)=FV$1)*(MONTH(Gastos!$A$2:$A$2500)=FV$3)*(Gastos!$B$2:$B$2500=$A24)*(Gastos!$D$2:$D$2500))</f>
        <v>0</v>
      </c>
      <c r="FW24" s="75">
        <f t="array" ref="FW24">SUM((YEAR(Gastos!$A$2:$A$2500)=FW$1)*(MONTH(Gastos!$A$2:$A$2500)=FW$3)*(Gastos!$B$2:$B$2500=$A24)*(Gastos!$D$2:$D$2500))</f>
        <v>0</v>
      </c>
      <c r="FX24" s="75">
        <f t="array" ref="FX24">SUM((YEAR(Gastos!$A$2:$A$2500)=FX$1)*(MONTH(Gastos!$A$2:$A$2500)=FX$3)*(Gastos!$B$2:$B$2500=$A24)*(Gastos!$D$2:$D$2500))</f>
        <v>0</v>
      </c>
      <c r="FY24" s="75">
        <f t="array" ref="FY24">SUM((YEAR(Gastos!$A$2:$A$2500)=FY$1)*(MONTH(Gastos!$A$2:$A$2500)=FY$3)*(Gastos!$B$2:$B$2500=$A24)*(Gastos!$D$2:$D$2500))</f>
        <v>0</v>
      </c>
      <c r="FZ24" s="76">
        <f t="shared" si="65"/>
        <v>7225</v>
      </c>
      <c r="GA24" s="80"/>
      <c r="GB24" s="78">
        <f t="shared" si="66"/>
        <v>7225</v>
      </c>
      <c r="GF24" s="79">
        <f t="array" ref="GF24">SUM(((Gastos!$A$2:$A$1647)&gt;=GD$3)*((Gastos!$A$2:$A$1647)&lt;=GF$3)*(Gastos!$B$2:$B$1647=$A24)*(Gastos!$D$2:$D$1647))</f>
        <v>7225</v>
      </c>
      <c r="GI24" s="79">
        <f t="array" ref="GI24">SUM(((Gastos!$A$2:$A$1647)&gt;=GG$3)*((Gastos!$A$2:$A$1647)&lt;=GI$3)*(Gastos!$B$2:$B$1647=$A24)*(Gastos!$D$2:$D$1647))</f>
        <v>0</v>
      </c>
    </row>
    <row r="25" spans="1:191" ht="15" thickBot="1" x14ac:dyDescent="0.4">
      <c r="A25" s="74" t="str">
        <f>Gastos!AA23</f>
        <v>V. COM. CHQ. LIBRADOS PAGADOS</v>
      </c>
      <c r="B25" s="75">
        <f t="array" ref="B25">SUM((YEAR(Gastos!$A$2:$A$2500)=B$1)*(MONTH(Gastos!$A$2:$A$2500)=B$3)*(Gastos!$B$2:$B$2500=$A25)*(Gastos!$D$2:$D$2500))</f>
        <v>0</v>
      </c>
      <c r="C25" s="75">
        <f t="array" ref="C25">SUM((YEAR(Gastos!$A$2:$A$2500)=C$1)*(MONTH(Gastos!$A$2:$A$2500)=C$3)*(Gastos!$B$2:$B$2500=$A25)*(Gastos!$D$2:$D$2500))</f>
        <v>0</v>
      </c>
      <c r="D25" s="75">
        <f t="array" ref="D25">SUM((YEAR(Gastos!$A$2:$A$2500)=D$1)*(MONTH(Gastos!$A$2:$A$2500)=D$3)*(Gastos!$B$2:$B$2500=$A25)*(Gastos!$D$2:$D$2500))</f>
        <v>0</v>
      </c>
      <c r="E25" s="75">
        <f t="array" ref="E25">SUM((YEAR(Gastos!$A$2:$A$2500)=E$1)*(MONTH(Gastos!$A$2:$A$2500)=E$3)*(Gastos!$B$2:$B$2500=$A25)*(Gastos!$D$2:$D$2500))</f>
        <v>0</v>
      </c>
      <c r="F25" s="75">
        <f t="array" ref="F25">SUM((YEAR(Gastos!$A$2:$A$2500)=F$1)*(MONTH(Gastos!$A$2:$A$2500)=F$3)*(Gastos!$B$2:$B$2500=$A25)*(Gastos!$D$2:$D$2500))</f>
        <v>0</v>
      </c>
      <c r="G25" s="75">
        <f t="array" ref="G25">SUM((YEAR(Gastos!$A$2:$A$2500)=G$1)*(MONTH(Gastos!$A$2:$A$2500)=G$3)*(Gastos!$B$2:$B$2500=$A25)*(Gastos!$D$2:$D$2500))</f>
        <v>0</v>
      </c>
      <c r="H25" s="75">
        <f t="array" ref="H25">SUM((YEAR(Gastos!$A$2:$A$2500)=H$1)*(MONTH(Gastos!$A$2:$A$2500)=H$3)*(Gastos!$B$2:$B$2500=$A25)*(Gastos!$D$2:$D$2500))</f>
        <v>30</v>
      </c>
      <c r="I25" s="75">
        <f t="array" ref="I25">SUM((YEAR(Gastos!$A$2:$A$2500)=I$1)*(MONTH(Gastos!$A$2:$A$2500)=I$3)*(Gastos!$B$2:$B$2500=$A25)*(Gastos!$D$2:$D$2500))</f>
        <v>15</v>
      </c>
      <c r="J25" s="75">
        <f t="array" ref="J25">SUM((YEAR(Gastos!$A$2:$A$2500)=J$1)*(MONTH(Gastos!$A$2:$A$2500)=J$3)*(Gastos!$B$2:$B$2500=$A25)*(Gastos!$D$2:$D$2500))</f>
        <v>0</v>
      </c>
      <c r="K25" s="75">
        <f t="array" ref="K25">SUM((YEAR(Gastos!$A$2:$A$2500)=K$1)*(MONTH(Gastos!$A$2:$A$2500)=K$3)*(Gastos!$B$2:$B$2500=$A25)*(Gastos!$D$2:$D$2500))</f>
        <v>0</v>
      </c>
      <c r="L25" s="75">
        <f t="array" ref="L25">SUM((YEAR(Gastos!$A$2:$A$2500)=L$1)*(MONTH(Gastos!$A$2:$A$2500)=L$3)*(Gastos!$B$2:$B$2500=$A25)*(Gastos!$D$2:$D$2500))</f>
        <v>0</v>
      </c>
      <c r="M25" s="75">
        <f t="array" ref="M25">SUM((YEAR(Gastos!$A$2:$A$2500)=M$1)*(MONTH(Gastos!$A$2:$A$2500)=M$3)*(Gastos!$B$2:$B$2500=$A25)*(Gastos!$D$2:$D$2500))</f>
        <v>15</v>
      </c>
      <c r="N25" s="75">
        <f t="array" ref="N25">SUM((YEAR(Gastos!$A$2:$A$2500)=N$1)*(MONTH(Gastos!$A$2:$A$2500)=N$3)*(Gastos!$B$2:$B$2500=$A25)*(Gastos!$D$2:$D$2500))</f>
        <v>0</v>
      </c>
      <c r="O25" s="75">
        <f t="array" ref="O25">SUM((YEAR(Gastos!$A$2:$A$2500)=O$1)*(MONTH(Gastos!$A$2:$A$2500)=O$3)*(Gastos!$B$2:$B$2500=$A25)*(Gastos!$D$2:$D$2500))</f>
        <v>0</v>
      </c>
      <c r="P25" s="75">
        <f t="array" ref="P25">SUM((YEAR(Gastos!$A$2:$A$2500)=P$1)*(MONTH(Gastos!$A$2:$A$2500)=P$3)*(Gastos!$B$2:$B$2500=$A25)*(Gastos!$D$2:$D$2500))</f>
        <v>0</v>
      </c>
      <c r="Q25" s="75">
        <f t="array" ref="Q25">SUM((YEAR(Gastos!$A$2:$A$2500)=Q$1)*(MONTH(Gastos!$A$2:$A$2500)=Q$3)*(Gastos!$B$2:$B$2500=$A25)*(Gastos!$D$2:$D$2500))</f>
        <v>0</v>
      </c>
      <c r="R25" s="75">
        <f t="array" ref="R25">SUM((YEAR(Gastos!$A$2:$A$2500)=R$1)*(MONTH(Gastos!$A$2:$A$2500)=R$3)*(Gastos!$B$2:$B$2500=$A25)*(Gastos!$D$2:$D$2500))</f>
        <v>0</v>
      </c>
      <c r="S25" s="75">
        <f t="array" ref="S25">SUM((YEAR(Gastos!$A$2:$A$2500)=S$1)*(MONTH(Gastos!$A$2:$A$2500)=S$3)*(Gastos!$B$2:$B$2500=$A25)*(Gastos!$D$2:$D$2500))</f>
        <v>0</v>
      </c>
      <c r="T25" s="75">
        <f t="array" ref="T25">SUM((YEAR(Gastos!$A$2:$A$2500)=T$1)*(MONTH(Gastos!$A$2:$A$2500)=T$3)*(Gastos!$B$2:$B$2500=$A25)*(Gastos!$D$2:$D$2500))</f>
        <v>0</v>
      </c>
      <c r="U25" s="75">
        <f t="array" ref="U25">SUM((YEAR(Gastos!$A$2:$A$2500)=U$1)*(MONTH(Gastos!$A$2:$A$2500)=U$3)*(Gastos!$B$2:$B$2500=$A25)*(Gastos!$D$2:$D$2500))</f>
        <v>0</v>
      </c>
      <c r="V25" s="75">
        <f t="array" ref="V25">SUM((YEAR(Gastos!$A$2:$A$2500)=V$1)*(MONTH(Gastos!$A$2:$A$2500)=V$3)*(Gastos!$B$2:$B$2500=$A25)*(Gastos!$D$2:$D$2500))</f>
        <v>15</v>
      </c>
      <c r="W25" s="75">
        <f t="array" ref="W25">SUM((YEAR(Gastos!$A$2:$A$2500)=W$1)*(MONTH(Gastos!$A$2:$A$2500)=W$3)*(Gastos!$B$2:$B$2500=$A25)*(Gastos!$D$2:$D$2500))</f>
        <v>15</v>
      </c>
      <c r="X25" s="75">
        <f t="array" ref="X25">SUM((YEAR(Gastos!$A$2:$A$2500)=X$1)*(MONTH(Gastos!$A$2:$A$2500)=X$3)*(Gastos!$B$2:$B$2500=$A25)*(Gastos!$D$2:$D$2500))</f>
        <v>15</v>
      </c>
      <c r="Y25" s="75">
        <f t="array" ref="Y25">SUM((YEAR(Gastos!$A$2:$A$2500)=Y$1)*(MONTH(Gastos!$A$2:$A$2500)=Y$3)*(Gastos!$B$2:$B$2500=$A25)*(Gastos!$D$2:$D$2500))</f>
        <v>0</v>
      </c>
      <c r="Z25" s="75">
        <f t="array" ref="Z25">SUM((YEAR(Gastos!$A$2:$A$2500)=Z$1)*(MONTH(Gastos!$A$2:$A$2500)=Z$3)*(Gastos!$B$2:$B$2500=$A25)*(Gastos!$D$2:$D$2500))</f>
        <v>0</v>
      </c>
      <c r="AA25" s="75">
        <f t="array" ref="AA25">SUM((YEAR(Gastos!$A$2:$A$2500)=AA$1)*(MONTH(Gastos!$A$2:$A$2500)=AA$3)*(Gastos!$B$2:$B$2500=$A25)*(Gastos!$D$2:$D$2500))</f>
        <v>0</v>
      </c>
      <c r="AB25" s="75">
        <f t="array" ref="AB25">SUM((YEAR(Gastos!$A$2:$A$2500)=AB$1)*(MONTH(Gastos!$A$2:$A$2500)=AB$3)*(Gastos!$B$2:$B$2500=$A25)*(Gastos!$D$2:$D$2500))</f>
        <v>0</v>
      </c>
      <c r="AC25" s="75">
        <f t="array" ref="AC25">SUM((YEAR(Gastos!$A$2:$A$2500)=AC$1)*(MONTH(Gastos!$A$2:$A$2500)=AC$3)*(Gastos!$B$2:$B$2500=$A25)*(Gastos!$D$2:$D$2500))</f>
        <v>0</v>
      </c>
      <c r="AD25" s="75">
        <f t="array" ref="AD25">SUM((YEAR(Gastos!$A$2:$A$2500)=AD$1)*(MONTH(Gastos!$A$2:$A$2500)=AD$3)*(Gastos!$B$2:$B$2500=$A25)*(Gastos!$D$2:$D$2500))</f>
        <v>0</v>
      </c>
      <c r="AE25" s="75">
        <f t="array" ref="AE25">SUM((YEAR(Gastos!$A$2:$A$2500)=AE$1)*(MONTH(Gastos!$A$2:$A$2500)=AE$3)*(Gastos!$B$2:$B$2500=$A25)*(Gastos!$D$2:$D$2500))</f>
        <v>0</v>
      </c>
      <c r="AF25" s="75">
        <f t="array" ref="AF25">SUM((YEAR(Gastos!$A$2:$A$2500)=AF$1)*(MONTH(Gastos!$A$2:$A$2500)=AF$3)*(Gastos!$B$2:$B$2500=$A25)*(Gastos!$D$2:$D$2500))</f>
        <v>15</v>
      </c>
      <c r="AG25" s="75">
        <f t="array" ref="AG25">SUM((YEAR(Gastos!$A$2:$A$2500)=AG$1)*(MONTH(Gastos!$A$2:$A$2500)=AG$3)*(Gastos!$B$2:$B$2500=$A25)*(Gastos!$D$2:$D$2500))</f>
        <v>0</v>
      </c>
      <c r="AH25" s="75">
        <f t="array" ref="AH25">SUM((YEAR(Gastos!$A$2:$A$2500)=AH$1)*(MONTH(Gastos!$A$2:$A$2500)=AH$3)*(Gastos!$B$2:$B$2500=$A25)*(Gastos!$D$2:$D$2500))</f>
        <v>0</v>
      </c>
      <c r="AI25" s="75">
        <f t="array" ref="AI25">SUM((YEAR(Gastos!$A$2:$A$2500)=AI$1)*(MONTH(Gastos!$A$2:$A$2500)=AI$3)*(Gastos!$B$2:$B$2500=$A25)*(Gastos!$D$2:$D$2500))</f>
        <v>0</v>
      </c>
      <c r="AJ25" s="75">
        <f t="array" ref="AJ25">SUM((YEAR(Gastos!$A$2:$A$2500)=AJ$1)*(MONTH(Gastos!$A$2:$A$2500)=AJ$3)*(Gastos!$B$2:$B$2500=$A25)*(Gastos!$D$2:$D$2500))</f>
        <v>0</v>
      </c>
      <c r="AK25" s="75">
        <f t="array" ref="AK25">SUM((YEAR(Gastos!$A$2:$A$2500)=AK$1)*(MONTH(Gastos!$A$2:$A$2500)=AK$3)*(Gastos!$B$2:$B$2500=$A25)*(Gastos!$D$2:$D$2500))</f>
        <v>0</v>
      </c>
      <c r="AL25" s="75">
        <f t="array" ref="AL25">SUM((YEAR(Gastos!$A$2:$A$2500)=AL$1)*(MONTH(Gastos!$A$2:$A$2500)=AL$3)*(Gastos!$B$2:$B$2500=$A25)*(Gastos!$D$2:$D$2500))</f>
        <v>0</v>
      </c>
      <c r="AM25" s="75">
        <f t="array" ref="AM25">SUM((YEAR(Gastos!$A$2:$A$2500)=AM$1)*(MONTH(Gastos!$A$2:$A$2500)=AM$3)*(Gastos!$B$2:$B$2500=$A25)*(Gastos!$D$2:$D$2500))</f>
        <v>0</v>
      </c>
      <c r="AN25" s="75">
        <f t="array" ref="AN25">SUM((YEAR(Gastos!$A$2:$A$2500)=AN$1)*(MONTH(Gastos!$A$2:$A$2500)=AN$3)*(Gastos!$B$2:$B$2500=$A25)*(Gastos!$D$2:$D$2500))</f>
        <v>0</v>
      </c>
      <c r="AO25" s="75">
        <f t="array" ref="AO25">SUM((YEAR(Gastos!$A$2:$A$2500)=AO$1)*(MONTH(Gastos!$A$2:$A$2500)=AO$3)*(Gastos!$B$2:$B$2500=$A25)*(Gastos!$D$2:$D$2500))</f>
        <v>0</v>
      </c>
      <c r="AP25" s="75">
        <f t="array" ref="AP25">SUM((YEAR(Gastos!$A$2:$A$2500)=AP$1)*(MONTH(Gastos!$A$2:$A$2500)=AP$3)*(Gastos!$B$2:$B$2500=$A25)*(Gastos!$D$2:$D$2500))</f>
        <v>0</v>
      </c>
      <c r="AQ25" s="75">
        <f t="array" ref="AQ25">SUM((YEAR(Gastos!$A$2:$A$2500)=AQ$1)*(MONTH(Gastos!$A$2:$A$2500)=AQ$3)*(Gastos!$B$2:$B$2500=$A25)*(Gastos!$D$2:$D$2500))</f>
        <v>0</v>
      </c>
      <c r="AR25" s="75">
        <f t="array" ref="AR25">SUM((YEAR(Gastos!$A$2:$A$2500)=AR$1)*(MONTH(Gastos!$A$2:$A$2500)=AR$3)*(Gastos!$B$2:$B$2500=$A25)*(Gastos!$D$2:$D$2500))</f>
        <v>0</v>
      </c>
      <c r="AS25" s="75">
        <f t="array" ref="AS25">SUM((YEAR(Gastos!$A$2:$A$2500)=AS$1)*(MONTH(Gastos!$A$2:$A$2500)=AS$3)*(Gastos!$B$2:$B$2500=$A25)*(Gastos!$D$2:$D$2500))</f>
        <v>0</v>
      </c>
      <c r="AT25" s="75">
        <f t="array" ref="AT25">SUM((YEAR(Gastos!$A$2:$A$2500)=AT$1)*(MONTH(Gastos!$A$2:$A$2500)=AT$3)*(Gastos!$B$2:$B$2500=$A25)*(Gastos!$D$2:$D$2500))</f>
        <v>0</v>
      </c>
      <c r="AU25" s="75">
        <f t="array" ref="AU25">SUM((YEAR(Gastos!$A$2:$A$2500)=AU$1)*(MONTH(Gastos!$A$2:$A$2500)=AU$3)*(Gastos!$B$2:$B$2500=$A25)*(Gastos!$D$2:$D$2500))</f>
        <v>0</v>
      </c>
      <c r="AV25" s="75">
        <f t="array" ref="AV25">SUM((YEAR(Gastos!$A$2:$A$2500)=AV$1)*(MONTH(Gastos!$A$2:$A$2500)=AV$3)*(Gastos!$B$2:$B$2500=$A25)*(Gastos!$D$2:$D$2500))</f>
        <v>0</v>
      </c>
      <c r="AW25" s="75">
        <f t="array" ref="AW25">SUM((YEAR(Gastos!$A$2:$A$2500)=AW$1)*(MONTH(Gastos!$A$2:$A$2500)=AW$3)*(Gastos!$B$2:$B$2500=$A25)*(Gastos!$D$2:$D$2500))</f>
        <v>0</v>
      </c>
      <c r="AX25" s="75">
        <f t="array" ref="AX25">SUM((YEAR(Gastos!$A$2:$A$2500)=AX$1)*(MONTH(Gastos!$A$2:$A$2500)=AX$3)*(Gastos!$B$2:$B$2500=$A25)*(Gastos!$D$2:$D$2500))</f>
        <v>0</v>
      </c>
      <c r="AY25" s="75">
        <f t="array" ref="AY25">SUM((YEAR(Gastos!$A$2:$A$2500)=AY$1)*(MONTH(Gastos!$A$2:$A$2500)=AY$3)*(Gastos!$B$2:$B$2500=$A25)*(Gastos!$D$2:$D$2500))</f>
        <v>0</v>
      </c>
      <c r="AZ25" s="75">
        <f t="array" ref="AZ25">SUM((YEAR(Gastos!$A$2:$A$2500)=AZ$1)*(MONTH(Gastos!$A$2:$A$2500)=AZ$3)*(Gastos!$B$2:$B$2500=$A25)*(Gastos!$D$2:$D$2500))</f>
        <v>0</v>
      </c>
      <c r="BA25" s="75">
        <f t="array" ref="BA25">SUM((YEAR(Gastos!$A$2:$A$2500)=BA$1)*(MONTH(Gastos!$A$2:$A$2500)=BA$3)*(Gastos!$B$2:$B$2500=$A25)*(Gastos!$D$2:$D$2500))</f>
        <v>0</v>
      </c>
      <c r="BB25" s="75">
        <f t="array" ref="BB25">SUM((YEAR(Gastos!$A$2:$A$2500)=BB$1)*(MONTH(Gastos!$A$2:$A$2500)=BB$3)*(Gastos!$B$2:$B$2500=$A25)*(Gastos!$D$2:$D$2500))</f>
        <v>0</v>
      </c>
      <c r="BC25" s="75">
        <f t="array" ref="BC25">SUM((YEAR(Gastos!$A$2:$A$2500)=BC$1)*(MONTH(Gastos!$A$2:$A$2500)=BC$3)*(Gastos!$B$2:$B$2500=$A25)*(Gastos!$D$2:$D$2500))</f>
        <v>0</v>
      </c>
      <c r="BD25" s="75">
        <f t="array" ref="BD25">SUM((YEAR(Gastos!$A$2:$A$2500)=BD$1)*(MONTH(Gastos!$A$2:$A$2500)=BD$3)*(Gastos!$B$2:$B$2500=$A25)*(Gastos!$D$2:$D$2500))</f>
        <v>15</v>
      </c>
      <c r="BE25" s="75">
        <f t="array" ref="BE25">SUM((YEAR(Gastos!$A$2:$A$2500)=BE$1)*(MONTH(Gastos!$A$2:$A$2500)=BE$3)*(Gastos!$B$2:$B$2500=$A25)*(Gastos!$D$2:$D$2500))</f>
        <v>0</v>
      </c>
      <c r="BF25" s="75">
        <f t="array" ref="BF25">SUM((YEAR(Gastos!$A$2:$A$2500)=BF$1)*(MONTH(Gastos!$A$2:$A$2500)=BF$3)*(Gastos!$B$2:$B$2500=$A25)*(Gastos!$D$2:$D$2500))</f>
        <v>0</v>
      </c>
      <c r="BG25" s="75">
        <f t="array" ref="BG25">SUM((YEAR(Gastos!$A$2:$A$2500)=BG$1)*(MONTH(Gastos!$A$2:$A$2500)=BG$3)*(Gastos!$B$2:$B$2500=$A25)*(Gastos!$D$2:$D$2500))</f>
        <v>0</v>
      </c>
      <c r="BH25" s="75">
        <f t="array" ref="BH25">SUM((YEAR(Gastos!$A$2:$A$2500)=BH$1)*(MONTH(Gastos!$A$2:$A$2500)=BH$3)*(Gastos!$B$2:$B$2500=$A25)*(Gastos!$D$2:$D$2500))</f>
        <v>0</v>
      </c>
      <c r="BI25" s="75">
        <f t="array" ref="BI25">SUM((YEAR(Gastos!$A$2:$A$2500)=BI$1)*(MONTH(Gastos!$A$2:$A$2500)=BI$3)*(Gastos!$B$2:$B$2500=$A25)*(Gastos!$D$2:$D$2500))</f>
        <v>0</v>
      </c>
      <c r="BJ25" s="75">
        <f t="array" ref="BJ25">SUM((YEAR(Gastos!$A$2:$A$2500)=BJ$1)*(MONTH(Gastos!$A$2:$A$2500)=BJ$3)*(Gastos!$B$2:$B$2500=$A25)*(Gastos!$D$2:$D$2500))</f>
        <v>0</v>
      </c>
      <c r="BK25" s="75">
        <f t="array" ref="BK25">SUM((YEAR(Gastos!$A$2:$A$2500)=BK$1)*(MONTH(Gastos!$A$2:$A$2500)=BK$3)*(Gastos!$B$2:$B$2500=$A25)*(Gastos!$D$2:$D$2500))</f>
        <v>0</v>
      </c>
      <c r="BL25" s="75">
        <f t="array" ref="BL25">SUM((YEAR(Gastos!$A$2:$A$2500)=BL$1)*(MONTH(Gastos!$A$2:$A$2500)=BL$3)*(Gastos!$B$2:$B$2500=$A25)*(Gastos!$D$2:$D$2500))</f>
        <v>0</v>
      </c>
      <c r="BM25" s="75">
        <f t="array" ref="BM25">SUM((YEAR(Gastos!$A$2:$A$2500)=BM$1)*(MONTH(Gastos!$A$2:$A$2500)=BM$3)*(Gastos!$B$2:$B$2500=$A25)*(Gastos!$D$2:$D$2500))</f>
        <v>15</v>
      </c>
      <c r="BN25" s="75">
        <f t="array" ref="BN25">SUM((YEAR(Gastos!$A$2:$A$2500)=BN$1)*(MONTH(Gastos!$A$2:$A$2500)=BN$3)*(Gastos!$B$2:$B$2500=$A25)*(Gastos!$D$2:$D$2500))</f>
        <v>0</v>
      </c>
      <c r="BO25" s="75">
        <f t="array" ref="BO25">SUM((YEAR(Gastos!$A$2:$A$2500)=BO$1)*(MONTH(Gastos!$A$2:$A$2500)=BO$3)*(Gastos!$B$2:$B$2500=$A25)*(Gastos!$D$2:$D$2500))</f>
        <v>16</v>
      </c>
      <c r="BP25" s="75">
        <f t="array" ref="BP25">SUM((YEAR(Gastos!$A$2:$A$2500)=BP$1)*(MONTH(Gastos!$A$2:$A$2500)=BP$3)*(Gastos!$B$2:$B$2500=$A25)*(Gastos!$D$2:$D$2500))</f>
        <v>0</v>
      </c>
      <c r="BQ25" s="75">
        <f t="array" ref="BQ25">SUM((YEAR(Gastos!$A$2:$A$2500)=BQ$1)*(MONTH(Gastos!$A$2:$A$2500)=BQ$3)*(Gastos!$B$2:$B$2500=$A25)*(Gastos!$D$2:$D$2500))</f>
        <v>0</v>
      </c>
      <c r="BR25" s="75">
        <f t="array" ref="BR25">SUM((YEAR(Gastos!$A$2:$A$2500)=BR$1)*(MONTH(Gastos!$A$2:$A$2500)=BR$3)*(Gastos!$B$2:$B$2500=$A25)*(Gastos!$D$2:$D$2500))</f>
        <v>0</v>
      </c>
      <c r="BS25" s="75">
        <f t="array" ref="BS25">SUM((YEAR(Gastos!$A$2:$A$2500)=BS$1)*(MONTH(Gastos!$A$2:$A$2500)=BS$3)*(Gastos!$B$2:$B$2500=$A25)*(Gastos!$D$2:$D$2500))</f>
        <v>0</v>
      </c>
      <c r="BT25" s="75">
        <f t="array" ref="BT25">SUM((YEAR(Gastos!$A$2:$A$2500)=BT$1)*(MONTH(Gastos!$A$2:$A$2500)=BT$3)*(Gastos!$B$2:$B$2500=$A25)*(Gastos!$D$2:$D$2500))</f>
        <v>0</v>
      </c>
      <c r="BU25" s="75">
        <f t="array" ref="BU25">SUM((YEAR(Gastos!$A$2:$A$2500)=BU$1)*(MONTH(Gastos!$A$2:$A$2500)=BU$3)*(Gastos!$B$2:$B$2500=$A25)*(Gastos!$D$2:$D$2500))</f>
        <v>0</v>
      </c>
      <c r="BV25" s="75">
        <f t="array" ref="BV25">SUM((YEAR(Gastos!$A$2:$A$2500)=BV$1)*(MONTH(Gastos!$A$2:$A$2500)=BV$3)*(Gastos!$B$2:$B$2500=$A25)*(Gastos!$D$2:$D$2500))</f>
        <v>0</v>
      </c>
      <c r="BW25" s="75">
        <f t="array" ref="BW25">SUM((YEAR(Gastos!$A$2:$A$2500)=BW$1)*(MONTH(Gastos!$A$2:$A$2500)=BW$3)*(Gastos!$B$2:$B$2500=$A25)*(Gastos!$D$2:$D$2500))</f>
        <v>0</v>
      </c>
      <c r="BX25" s="75">
        <f t="array" ref="BX25">SUM((YEAR(Gastos!$A$2:$A$2500)=BX$1)*(MONTH(Gastos!$A$2:$A$2500)=BX$3)*(Gastos!$B$2:$B$2500=$A25)*(Gastos!$D$2:$D$2500))</f>
        <v>0</v>
      </c>
      <c r="BY25" s="75">
        <f t="array" ref="BY25">SUM((YEAR(Gastos!$A$2:$A$2500)=BY$1)*(MONTH(Gastos!$A$2:$A$2500)=BY$3)*(Gastos!$B$2:$B$2500=$A25)*(Gastos!$D$2:$D$2500))</f>
        <v>0</v>
      </c>
      <c r="BZ25" s="75">
        <f t="array" ref="BZ25">SUM((YEAR(Gastos!$A$2:$A$2500)=BZ$1)*(MONTH(Gastos!$A$2:$A$2500)=BZ$3)*(Gastos!$B$2:$B$2500=$A25)*(Gastos!$D$2:$D$2500))</f>
        <v>0</v>
      </c>
      <c r="CA25" s="75">
        <f t="array" ref="CA25">SUM((YEAR(Gastos!$A$2:$A$2500)=CA$1)*(MONTH(Gastos!$A$2:$A$2500)=CA$3)*(Gastos!$B$2:$B$2500=$A25)*(Gastos!$D$2:$D$2500))</f>
        <v>0</v>
      </c>
      <c r="CB25" s="75">
        <f t="array" ref="CB25">SUM((YEAR(Gastos!$A$2:$A$2500)=CB$1)*(MONTH(Gastos!$A$2:$A$2500)=CB$3)*(Gastos!$B$2:$B$2500=$A25)*(Gastos!$D$2:$D$2500))</f>
        <v>0</v>
      </c>
      <c r="CC25" s="75">
        <f t="array" ref="CC25">SUM((YEAR(Gastos!$A$2:$A$2500)=CC$1)*(MONTH(Gastos!$A$2:$A$2500)=CC$3)*(Gastos!$B$2:$B$2500=$A25)*(Gastos!$D$2:$D$2500))</f>
        <v>0</v>
      </c>
      <c r="CD25" s="75">
        <f t="array" ref="CD25">SUM((YEAR(Gastos!$A$2:$A$2500)=CD$1)*(MONTH(Gastos!$A$2:$A$2500)=CD$3)*(Gastos!$B$2:$B$2500=$A25)*(Gastos!$D$2:$D$2500))</f>
        <v>0</v>
      </c>
      <c r="CE25" s="75">
        <f t="array" ref="CE25">SUM((YEAR(Gastos!$A$2:$A$2500)=CE$1)*(MONTH(Gastos!$A$2:$A$2500)=CE$3)*(Gastos!$B$2:$B$2500=$A25)*(Gastos!$D$2:$D$2500))</f>
        <v>0</v>
      </c>
      <c r="CF25" s="75">
        <f t="array" ref="CF25">SUM((YEAR(Gastos!$A$2:$A$2500)=CF$1)*(MONTH(Gastos!$A$2:$A$2500)=CF$3)*(Gastos!$B$2:$B$2500=$A25)*(Gastos!$D$2:$D$2500))</f>
        <v>0</v>
      </c>
      <c r="CG25" s="75">
        <f t="array" ref="CG25">SUM((YEAR(Gastos!$A$2:$A$2500)=CG$1)*(MONTH(Gastos!$A$2:$A$2500)=CG$3)*(Gastos!$B$2:$B$2500=$A25)*(Gastos!$D$2:$D$2500))</f>
        <v>0</v>
      </c>
      <c r="CH25" s="75">
        <f t="array" ref="CH25">SUM((YEAR(Gastos!$A$2:$A$2500)=CH$1)*(MONTH(Gastos!$A$2:$A$2500)=CH$3)*(Gastos!$B$2:$B$2500=$A25)*(Gastos!$D$2:$D$2500))</f>
        <v>0</v>
      </c>
      <c r="CI25" s="75">
        <f t="array" ref="CI25">SUM((YEAR(Gastos!$A$2:$A$2500)=CI$1)*(MONTH(Gastos!$A$2:$A$2500)=CI$3)*(Gastos!$B$2:$B$2500=$A25)*(Gastos!$D$2:$D$2500))</f>
        <v>0</v>
      </c>
      <c r="CJ25" s="75">
        <f t="array" ref="CJ25">SUM((YEAR(Gastos!$A$2:$A$2500)=CJ$1)*(MONTH(Gastos!$A$2:$A$2500)=CJ$3)*(Gastos!$B$2:$B$2500=$A25)*(Gastos!$D$2:$D$2500))</f>
        <v>0</v>
      </c>
      <c r="CK25" s="75">
        <f t="array" ref="CK25">SUM((YEAR(Gastos!$A$2:$A$2500)=CK$1)*(MONTH(Gastos!$A$2:$A$2500)=CK$3)*(Gastos!$B$2:$B$2500=$A25)*(Gastos!$D$2:$D$2500))</f>
        <v>0</v>
      </c>
      <c r="CL25" s="75">
        <f t="array" ref="CL25">SUM((YEAR(Gastos!$A$2:$A$2500)=CL$1)*(MONTH(Gastos!$A$2:$A$2500)=CL$3)*(Gastos!$B$2:$B$2500=$A25)*(Gastos!$D$2:$D$2500))</f>
        <v>0</v>
      </c>
      <c r="CM25" s="75">
        <f t="array" ref="CM25">SUM((YEAR(Gastos!$A$2:$A$2500)=CM$1)*(MONTH(Gastos!$A$2:$A$2500)=CM$3)*(Gastos!$B$2:$B$2500=$A25)*(Gastos!$D$2:$D$2500))</f>
        <v>0</v>
      </c>
      <c r="CN25" s="75">
        <f t="array" ref="CN25">SUM((YEAR(Gastos!$A$2:$A$2500)=CN$1)*(MONTH(Gastos!$A$2:$A$2500)=CN$3)*(Gastos!$B$2:$B$2500=$A25)*(Gastos!$D$2:$D$2500))</f>
        <v>0</v>
      </c>
      <c r="CO25" s="75">
        <f t="array" ref="CO25">SUM((YEAR(Gastos!$A$2:$A$2500)=CO$1)*(MONTH(Gastos!$A$2:$A$2500)=CO$3)*(Gastos!$B$2:$B$2500=$A25)*(Gastos!$D$2:$D$2500))</f>
        <v>0</v>
      </c>
      <c r="CP25" s="75">
        <f t="array" ref="CP25">SUM((YEAR(Gastos!$A$2:$A$2500)=CP$1)*(MONTH(Gastos!$A$2:$A$2500)=CP$3)*(Gastos!$B$2:$B$2500=$A25)*(Gastos!$D$2:$D$2500))</f>
        <v>0</v>
      </c>
      <c r="CQ25" s="75">
        <f t="array" ref="CQ25">SUM((YEAR(Gastos!$A$2:$A$2500)=CQ$1)*(MONTH(Gastos!$A$2:$A$2500)=CQ$3)*(Gastos!$B$2:$B$2500=$A25)*(Gastos!$D$2:$D$2500))</f>
        <v>0</v>
      </c>
      <c r="CR25" s="75">
        <f t="array" ref="CR25">SUM((YEAR(Gastos!$A$2:$A$2500)=CR$1)*(MONTH(Gastos!$A$2:$A$2500)=CR$3)*(Gastos!$B$2:$B$2500=$A25)*(Gastos!$D$2:$D$2500))</f>
        <v>0</v>
      </c>
      <c r="CS25" s="75">
        <f t="array" ref="CS25">SUM((YEAR(Gastos!$A$2:$A$2500)=CS$1)*(MONTH(Gastos!$A$2:$A$2500)=CS$3)*(Gastos!$B$2:$B$2500=$A25)*(Gastos!$D$2:$D$2500))</f>
        <v>0</v>
      </c>
      <c r="CT25" s="75">
        <f t="array" ref="CT25">SUM((YEAR(Gastos!$A$2:$A$2500)=CT$1)*(MONTH(Gastos!$A$2:$A$2500)=CT$3)*(Gastos!$B$2:$B$2500=$A25)*(Gastos!$D$2:$D$2500))</f>
        <v>0</v>
      </c>
      <c r="CU25" s="75">
        <f t="array" ref="CU25">SUM((YEAR(Gastos!$A$2:$A$2500)=CU$1)*(MONTH(Gastos!$A$2:$A$2500)=CU$3)*(Gastos!$B$2:$B$2500=$A25)*(Gastos!$D$2:$D$2500))</f>
        <v>0</v>
      </c>
      <c r="CV25" s="75">
        <f t="array" ref="CV25">SUM((YEAR(Gastos!$A$2:$A$2500)=CV$1)*(MONTH(Gastos!$A$2:$A$2500)=CV$3)*(Gastos!$B$2:$B$2500=$A25)*(Gastos!$D$2:$D$2500))</f>
        <v>0</v>
      </c>
      <c r="CW25" s="75">
        <f t="array" ref="CW25">SUM((YEAR(Gastos!$A$2:$A$2500)=CW$1)*(MONTH(Gastos!$A$2:$A$2500)=CW$3)*(Gastos!$B$2:$B$2500=$A25)*(Gastos!$D$2:$D$2500))</f>
        <v>0</v>
      </c>
      <c r="CX25" s="75">
        <f t="array" ref="CX25">SUM((YEAR(Gastos!$A$2:$A$2500)=CX$1)*(MONTH(Gastos!$A$2:$A$2500)=CX$3)*(Gastos!$B$2:$B$2500=$A25)*(Gastos!$D$2:$D$2500))</f>
        <v>0</v>
      </c>
      <c r="CY25" s="75">
        <f t="array" ref="CY25">SUM((YEAR(Gastos!$A$2:$A$2500)=CY$1)*(MONTH(Gastos!$A$2:$A$2500)=CY$3)*(Gastos!$B$2:$B$2500=$A25)*(Gastos!$D$2:$D$2500))</f>
        <v>0</v>
      </c>
      <c r="CZ25" s="75">
        <f t="array" ref="CZ25">SUM((YEAR(Gastos!$A$2:$A$2500)=CZ$1)*(MONTH(Gastos!$A$2:$A$2500)=CZ$3)*(Gastos!$B$2:$B$2500=$A25)*(Gastos!$D$2:$D$2500))</f>
        <v>0</v>
      </c>
      <c r="DA25" s="75">
        <f t="array" ref="DA25">SUM((YEAR(Gastos!$A$2:$A$2500)=DA$1)*(MONTH(Gastos!$A$2:$A$2500)=DA$3)*(Gastos!$B$2:$B$2500=$A25)*(Gastos!$D$2:$D$2500))</f>
        <v>0</v>
      </c>
      <c r="DB25" s="75">
        <f t="array" ref="DB25">SUM((YEAR(Gastos!$A$2:$A$2500)=DB$1)*(MONTH(Gastos!$A$2:$A$2500)=DB$3)*(Gastos!$B$2:$B$2500=$A25)*(Gastos!$D$2:$D$2500))</f>
        <v>0</v>
      </c>
      <c r="DC25" s="75">
        <f t="array" ref="DC25">SUM((YEAR(Gastos!$A$2:$A$2500)=DC$1)*(MONTH(Gastos!$A$2:$A$2500)=DC$3)*(Gastos!$B$2:$B$2500=$A25)*(Gastos!$D$2:$D$2500))</f>
        <v>0</v>
      </c>
      <c r="DD25" s="75">
        <f t="array" ref="DD25">SUM((YEAR(Gastos!$A$2:$A$2500)=DD$1)*(MONTH(Gastos!$A$2:$A$2500)=DD$3)*(Gastos!$B$2:$B$2500=$A25)*(Gastos!$D$2:$D$2500))</f>
        <v>0</v>
      </c>
      <c r="DE25" s="75">
        <f t="array" ref="DE25">SUM((YEAR(Gastos!$A$2:$A$2500)=DE$1)*(MONTH(Gastos!$A$2:$A$2500)=DE$3)*(Gastos!$B$2:$B$2500=$A25)*(Gastos!$D$2:$D$2500))</f>
        <v>0</v>
      </c>
      <c r="DF25" s="75">
        <f t="array" ref="DF25">SUM((YEAR(Gastos!$A$2:$A$2500)=DF$1)*(MONTH(Gastos!$A$2:$A$2500)=DF$3)*(Gastos!$B$2:$B$2500=$A25)*(Gastos!$D$2:$D$2500))</f>
        <v>0</v>
      </c>
      <c r="DG25" s="75">
        <f t="array" ref="DG25">SUM((YEAR(Gastos!$A$2:$A$2500)=DG$1)*(MONTH(Gastos!$A$2:$A$2500)=DG$3)*(Gastos!$B$2:$B$2500=$A25)*(Gastos!$D$2:$D$2500))</f>
        <v>0</v>
      </c>
      <c r="DH25" s="75">
        <f t="array" ref="DH25">SUM((YEAR(Gastos!$A$2:$A$2500)=DH$1)*(MONTH(Gastos!$A$2:$A$2500)=DH$3)*(Gastos!$B$2:$B$2500=$A25)*(Gastos!$D$2:$D$2500))</f>
        <v>0</v>
      </c>
      <c r="DI25" s="75">
        <f t="array" ref="DI25">SUM((YEAR(Gastos!$A$2:$A$2500)=DI$1)*(MONTH(Gastos!$A$2:$A$2500)=DI$3)*(Gastos!$B$2:$B$2500=$A25)*(Gastos!$D$2:$D$2500))</f>
        <v>0</v>
      </c>
      <c r="DJ25" s="75">
        <f t="array" ref="DJ25">SUM((YEAR(Gastos!$A$2:$A$2500)=DJ$1)*(MONTH(Gastos!$A$2:$A$2500)=DJ$3)*(Gastos!$B$2:$B$2500=$A25)*(Gastos!$D$2:$D$2500))</f>
        <v>0</v>
      </c>
      <c r="DK25" s="75">
        <f t="array" ref="DK25">SUM((YEAR(Gastos!$A$2:$A$2500)=DK$1)*(MONTH(Gastos!$A$2:$A$2500)=DK$3)*(Gastos!$B$2:$B$2500=$A25)*(Gastos!$D$2:$D$2500))</f>
        <v>0</v>
      </c>
      <c r="DL25" s="75">
        <f t="array" ref="DL25">SUM((YEAR(Gastos!$A$2:$A$2500)=DL$1)*(MONTH(Gastos!$A$2:$A$2500)=DL$3)*(Gastos!$B$2:$B$2500=$A25)*(Gastos!$D$2:$D$2500))</f>
        <v>0</v>
      </c>
      <c r="DM25" s="75">
        <f t="array" ref="DM25">SUM((YEAR(Gastos!$A$2:$A$2500)=DM$1)*(MONTH(Gastos!$A$2:$A$2500)=DM$3)*(Gastos!$B$2:$B$2500=$A25)*(Gastos!$D$2:$D$2500))</f>
        <v>0</v>
      </c>
      <c r="DN25" s="75">
        <f t="array" ref="DN25">SUM((YEAR(Gastos!$A$2:$A$2500)=DN$1)*(MONTH(Gastos!$A$2:$A$2500)=DN$3)*(Gastos!$B$2:$B$2500=$A25)*(Gastos!$D$2:$D$2500))</f>
        <v>0</v>
      </c>
      <c r="DO25" s="75">
        <f t="array" ref="DO25">SUM((YEAR(Gastos!$A$2:$A$2500)=DO$1)*(MONTH(Gastos!$A$2:$A$2500)=DO$3)*(Gastos!$B$2:$B$2500=$A25)*(Gastos!$D$2:$D$2500))</f>
        <v>0</v>
      </c>
      <c r="DP25" s="75">
        <f t="array" ref="DP25">SUM((YEAR(Gastos!$A$2:$A$2500)=DP$1)*(MONTH(Gastos!$A$2:$A$2500)=DP$3)*(Gastos!$B$2:$B$2500=$A25)*(Gastos!$D$2:$D$2500))</f>
        <v>0</v>
      </c>
      <c r="DQ25" s="75">
        <f t="array" ref="DQ25">SUM((YEAR(Gastos!$A$2:$A$2500)=DQ$1)*(MONTH(Gastos!$A$2:$A$2500)=DQ$3)*(Gastos!$B$2:$B$2500=$A25)*(Gastos!$D$2:$D$2500))</f>
        <v>0</v>
      </c>
      <c r="DR25" s="75">
        <f t="array" ref="DR25">SUM((YEAR(Gastos!$A$2:$A$2500)=DR$1)*(MONTH(Gastos!$A$2:$A$2500)=DR$3)*(Gastos!$B$2:$B$2500=$A25)*(Gastos!$D$2:$D$2500))</f>
        <v>0</v>
      </c>
      <c r="DS25" s="75">
        <f t="array" ref="DS25">SUM((YEAR(Gastos!$A$2:$A$2500)=DS$1)*(MONTH(Gastos!$A$2:$A$2500)=DS$3)*(Gastos!$B$2:$B$2500=$A25)*(Gastos!$D$2:$D$2500))</f>
        <v>0</v>
      </c>
      <c r="DT25" s="75">
        <f t="array" ref="DT25">SUM((YEAR(Gastos!$A$2:$A$2500)=DT$1)*(MONTH(Gastos!$A$2:$A$2500)=DT$3)*(Gastos!$B$2:$B$2500=$A25)*(Gastos!$D$2:$D$2500))</f>
        <v>0</v>
      </c>
      <c r="DU25" s="75">
        <f t="array" ref="DU25">SUM((YEAR(Gastos!$A$2:$A$2500)=DU$1)*(MONTH(Gastos!$A$2:$A$2500)=DU$3)*(Gastos!$B$2:$B$2500=$A25)*(Gastos!$D$2:$D$2500))</f>
        <v>0</v>
      </c>
      <c r="DV25" s="75">
        <f t="array" ref="DV25">SUM((YEAR(Gastos!$A$2:$A$2500)=DV$1)*(MONTH(Gastos!$A$2:$A$2500)=DV$3)*(Gastos!$B$2:$B$2500=$A25)*(Gastos!$D$2:$D$2500))</f>
        <v>0</v>
      </c>
      <c r="DW25" s="75">
        <f t="array" ref="DW25">SUM((YEAR(Gastos!$A$2:$A$2500)=DW$1)*(MONTH(Gastos!$A$2:$A$2500)=DW$3)*(Gastos!$B$2:$B$2500=$A25)*(Gastos!$D$2:$D$2500))</f>
        <v>0</v>
      </c>
      <c r="DX25" s="75">
        <f t="array" ref="DX25">SUM((YEAR(Gastos!$A$2:$A$2500)=DX$1)*(MONTH(Gastos!$A$2:$A$2500)=DX$3)*(Gastos!$B$2:$B$2500=$A25)*(Gastos!$D$2:$D$2500))</f>
        <v>0</v>
      </c>
      <c r="DY25" s="75">
        <f t="array" ref="DY25">SUM((YEAR(Gastos!$A$2:$A$2500)=DY$1)*(MONTH(Gastos!$A$2:$A$2500)=DY$3)*(Gastos!$B$2:$B$2500=$A25)*(Gastos!$D$2:$D$2500))</f>
        <v>0</v>
      </c>
      <c r="DZ25" s="75">
        <f t="array" ref="DZ25">SUM((YEAR(Gastos!$A$2:$A$2500)=DZ$1)*(MONTH(Gastos!$A$2:$A$2500)=DZ$3)*(Gastos!$B$2:$B$2500=$A25)*(Gastos!$D$2:$D$2500))</f>
        <v>0</v>
      </c>
      <c r="EA25" s="75">
        <f t="array" ref="EA25">SUM((YEAR(Gastos!$A$2:$A$2500)=EA$1)*(MONTH(Gastos!$A$2:$A$2500)=EA$3)*(Gastos!$B$2:$B$2500=$A25)*(Gastos!$D$2:$D$2500))</f>
        <v>0</v>
      </c>
      <c r="EB25" s="75">
        <f t="array" ref="EB25">SUM((YEAR(Gastos!$A$2:$A$2500)=EB$1)*(MONTH(Gastos!$A$2:$A$2500)=EB$3)*(Gastos!$B$2:$B$2500=$A25)*(Gastos!$D$2:$D$2500))</f>
        <v>0</v>
      </c>
      <c r="EC25" s="75">
        <f t="array" ref="EC25">SUM((YEAR(Gastos!$A$2:$A$2500)=EC$1)*(MONTH(Gastos!$A$2:$A$2500)=EC$3)*(Gastos!$B$2:$B$2500=$A25)*(Gastos!$D$2:$D$2500))</f>
        <v>0</v>
      </c>
      <c r="ED25" s="75">
        <f t="array" ref="ED25">SUM((YEAR(Gastos!$A$2:$A$2500)=ED$1)*(MONTH(Gastos!$A$2:$A$2500)=ED$3)*(Gastos!$B$2:$B$2500=$A25)*(Gastos!$D$2:$D$2500))</f>
        <v>0</v>
      </c>
      <c r="EE25" s="75">
        <f t="array" ref="EE25">SUM((YEAR(Gastos!$A$2:$A$2500)=EE$1)*(MONTH(Gastos!$A$2:$A$2500)=EE$3)*(Gastos!$B$2:$B$2500=$A25)*(Gastos!$D$2:$D$2500))</f>
        <v>0</v>
      </c>
      <c r="EF25" s="75">
        <f t="array" ref="EF25">SUM((YEAR(Gastos!$A$2:$A$2500)=EF$1)*(MONTH(Gastos!$A$2:$A$2500)=EF$3)*(Gastos!$B$2:$B$2500=$A25)*(Gastos!$D$2:$D$2500))</f>
        <v>0</v>
      </c>
      <c r="EG25" s="75">
        <f t="array" ref="EG25">SUM((YEAR(Gastos!$A$2:$A$2500)=EG$1)*(MONTH(Gastos!$A$2:$A$2500)=EG$3)*(Gastos!$B$2:$B$2500=$A25)*(Gastos!$D$2:$D$2500))</f>
        <v>0</v>
      </c>
      <c r="EH25" s="75">
        <f t="array" ref="EH25">SUM((YEAR(Gastos!$A$2:$A$2500)=EH$1)*(MONTH(Gastos!$A$2:$A$2500)=EH$3)*(Gastos!$B$2:$B$2500=$A25)*(Gastos!$D$2:$D$2500))</f>
        <v>0</v>
      </c>
      <c r="EI25" s="75">
        <f t="array" ref="EI25">SUM((YEAR(Gastos!$A$2:$A$2500)=EI$1)*(MONTH(Gastos!$A$2:$A$2500)=EI$3)*(Gastos!$B$2:$B$2500=$A25)*(Gastos!$D$2:$D$2500))</f>
        <v>0</v>
      </c>
      <c r="EJ25" s="75">
        <f t="array" ref="EJ25">SUM((YEAR(Gastos!$A$2:$A$2500)=EJ$1)*(MONTH(Gastos!$A$2:$A$2500)=EJ$3)*(Gastos!$B$2:$B$2500=$A25)*(Gastos!$D$2:$D$2500))</f>
        <v>0</v>
      </c>
      <c r="EK25" s="75">
        <f t="array" ref="EK25">SUM((YEAR(Gastos!$A$2:$A$2500)=EK$1)*(MONTH(Gastos!$A$2:$A$2500)=EK$3)*(Gastos!$B$2:$B$2500=$A25)*(Gastos!$D$2:$D$2500))</f>
        <v>0</v>
      </c>
      <c r="EL25" s="75">
        <f t="array" ref="EL25">SUM((YEAR(Gastos!$A$2:$A$2500)=EL$1)*(MONTH(Gastos!$A$2:$A$2500)=EL$3)*(Gastos!$B$2:$B$2500=$A25)*(Gastos!$D$2:$D$2500))</f>
        <v>0</v>
      </c>
      <c r="EM25" s="75">
        <f t="array" ref="EM25">SUM((YEAR(Gastos!$A$2:$A$2500)=EM$1)*(MONTH(Gastos!$A$2:$A$2500)=EM$3)*(Gastos!$B$2:$B$2500=$A25)*(Gastos!$D$2:$D$2500))</f>
        <v>0</v>
      </c>
      <c r="EN25" s="75">
        <f t="array" ref="EN25">SUM((YEAR(Gastos!$A$2:$A$2500)=EN$1)*(MONTH(Gastos!$A$2:$A$2500)=EN$3)*(Gastos!$B$2:$B$2500=$A25)*(Gastos!$D$2:$D$2500))</f>
        <v>0</v>
      </c>
      <c r="EO25" s="75">
        <f t="array" ref="EO25">SUM((YEAR(Gastos!$A$2:$A$2500)=EO$1)*(MONTH(Gastos!$A$2:$A$2500)=EO$3)*(Gastos!$B$2:$B$2500=$A25)*(Gastos!$D$2:$D$2500))</f>
        <v>0</v>
      </c>
      <c r="EP25" s="75">
        <f t="array" ref="EP25">SUM((YEAR(Gastos!$A$2:$A$2500)=EP$1)*(MONTH(Gastos!$A$2:$A$2500)=EP$3)*(Gastos!$B$2:$B$2500=$A25)*(Gastos!$D$2:$D$2500))</f>
        <v>0</v>
      </c>
      <c r="EQ25" s="75">
        <f t="array" ref="EQ25">SUM((YEAR(Gastos!$A$2:$A$2500)=EQ$1)*(MONTH(Gastos!$A$2:$A$2500)=EQ$3)*(Gastos!$B$2:$B$2500=$A25)*(Gastos!$D$2:$D$2500))</f>
        <v>0</v>
      </c>
      <c r="ER25" s="75">
        <f t="array" ref="ER25">SUM((YEAR(Gastos!$A$2:$A$2500)=ER$1)*(MONTH(Gastos!$A$2:$A$2500)=ER$3)*(Gastos!$B$2:$B$2500=$A25)*(Gastos!$D$2:$D$2500))</f>
        <v>0</v>
      </c>
      <c r="ES25" s="75">
        <f t="array" ref="ES25">SUM((YEAR(Gastos!$A$2:$A$2500)=ES$1)*(MONTH(Gastos!$A$2:$A$2500)=ES$3)*(Gastos!$B$2:$B$2500=$A25)*(Gastos!$D$2:$D$2500))</f>
        <v>0</v>
      </c>
      <c r="ET25" s="75">
        <f t="array" ref="ET25">SUM((YEAR(Gastos!$A$2:$A$2500)=ET$1)*(MONTH(Gastos!$A$2:$A$2500)=ET$3)*(Gastos!$B$2:$B$2500=$A25)*(Gastos!$D$2:$D$2500))</f>
        <v>0</v>
      </c>
      <c r="EU25" s="75">
        <f t="array" ref="EU25">SUM((YEAR(Gastos!$A$2:$A$2500)=EU$1)*(MONTH(Gastos!$A$2:$A$2500)=EU$3)*(Gastos!$B$2:$B$2500=$A25)*(Gastos!$D$2:$D$2500))</f>
        <v>0</v>
      </c>
      <c r="EV25" s="75">
        <f t="array" ref="EV25">SUM((YEAR(Gastos!$A$2:$A$2500)=EV$1)*(MONTH(Gastos!$A$2:$A$2500)=EV$3)*(Gastos!$B$2:$B$2500=$A25)*(Gastos!$D$2:$D$2500))</f>
        <v>0</v>
      </c>
      <c r="EW25" s="75">
        <f t="array" ref="EW25">SUM((YEAR(Gastos!$A$2:$A$2500)=EW$1)*(MONTH(Gastos!$A$2:$A$2500)=EW$3)*(Gastos!$B$2:$B$2500=$A25)*(Gastos!$D$2:$D$2500))</f>
        <v>0</v>
      </c>
      <c r="EX25" s="75">
        <f t="array" ref="EX25">SUM((YEAR(Gastos!$A$2:$A$2500)=EX$1)*(MONTH(Gastos!$A$2:$A$2500)=EX$3)*(Gastos!$B$2:$B$2500=$A25)*(Gastos!$D$2:$D$2500))</f>
        <v>0</v>
      </c>
      <c r="EY25" s="75">
        <f t="array" ref="EY25">SUM((YEAR(Gastos!$A$2:$A$2500)=EY$1)*(MONTH(Gastos!$A$2:$A$2500)=EY$3)*(Gastos!$B$2:$B$2500=$A25)*(Gastos!$D$2:$D$2500))</f>
        <v>0</v>
      </c>
      <c r="EZ25" s="75">
        <f t="array" ref="EZ25">SUM((YEAR(Gastos!$A$2:$A$2500)=EZ$1)*(MONTH(Gastos!$A$2:$A$2500)=EZ$3)*(Gastos!$B$2:$B$2500=$A25)*(Gastos!$D$2:$D$2500))</f>
        <v>0</v>
      </c>
      <c r="FA25" s="75">
        <f t="array" ref="FA25">SUM((YEAR(Gastos!$A$2:$A$2500)=FA$1)*(MONTH(Gastos!$A$2:$A$2500)=FA$3)*(Gastos!$B$2:$B$2500=$A25)*(Gastos!$D$2:$D$2500))</f>
        <v>0</v>
      </c>
      <c r="FB25" s="75">
        <f t="array" ref="FB25">SUM((YEAR(Gastos!$A$2:$A$2500)=FB$1)*(MONTH(Gastos!$A$2:$A$2500)=FB$3)*(Gastos!$B$2:$B$2500=$A25)*(Gastos!$D$2:$D$2500))</f>
        <v>0</v>
      </c>
      <c r="FC25" s="75">
        <f t="array" ref="FC25">SUM((YEAR(Gastos!$A$2:$A$2500)=FC$1)*(MONTH(Gastos!$A$2:$A$2500)=FC$3)*(Gastos!$B$2:$B$2500=$A25)*(Gastos!$D$2:$D$2500))</f>
        <v>0</v>
      </c>
      <c r="FD25" s="75">
        <f t="array" ref="FD25">SUM((YEAR(Gastos!$A$2:$A$2500)=FD$1)*(MONTH(Gastos!$A$2:$A$2500)=FD$3)*(Gastos!$B$2:$B$2500=$A25)*(Gastos!$D$2:$D$2500))</f>
        <v>0</v>
      </c>
      <c r="FE25" s="75">
        <f t="array" ref="FE25">SUM((YEAR(Gastos!$A$2:$A$2500)=FE$1)*(MONTH(Gastos!$A$2:$A$2500)=FE$3)*(Gastos!$B$2:$B$2500=$A25)*(Gastos!$D$2:$D$2500))</f>
        <v>0</v>
      </c>
      <c r="FF25" s="75">
        <f t="array" ref="FF25">SUM((YEAR(Gastos!$A$2:$A$2500)=FF$1)*(MONTH(Gastos!$A$2:$A$2500)=FF$3)*(Gastos!$B$2:$B$2500=$A25)*(Gastos!$D$2:$D$2500))</f>
        <v>0</v>
      </c>
      <c r="FG25" s="75">
        <f t="array" ref="FG25">SUM((YEAR(Gastos!$A$2:$A$2500)=FG$1)*(MONTH(Gastos!$A$2:$A$2500)=FG$3)*(Gastos!$B$2:$B$2500=$A25)*(Gastos!$D$2:$D$2500))</f>
        <v>0</v>
      </c>
      <c r="FH25" s="75">
        <f t="array" ref="FH25">SUM((YEAR(Gastos!$A$2:$A$2500)=FH$1)*(MONTH(Gastos!$A$2:$A$2500)=FH$3)*(Gastos!$B$2:$B$2500=$A25)*(Gastos!$D$2:$D$2500))</f>
        <v>0</v>
      </c>
      <c r="FI25" s="75">
        <f t="array" ref="FI25">SUM((YEAR(Gastos!$A$2:$A$2500)=FI$1)*(MONTH(Gastos!$A$2:$A$2500)=FI$3)*(Gastos!$B$2:$B$2500=$A25)*(Gastos!$D$2:$D$2500))</f>
        <v>0</v>
      </c>
      <c r="FJ25" s="75">
        <f t="array" ref="FJ25">SUM((YEAR(Gastos!$A$2:$A$2500)=FJ$1)*(MONTH(Gastos!$A$2:$A$2500)=FJ$3)*(Gastos!$B$2:$B$2500=$A25)*(Gastos!$D$2:$D$2500))</f>
        <v>0</v>
      </c>
      <c r="FK25" s="75">
        <f t="array" ref="FK25">SUM((YEAR(Gastos!$A$2:$A$2500)=FK$1)*(MONTH(Gastos!$A$2:$A$2500)=FK$3)*(Gastos!$B$2:$B$2500=$A25)*(Gastos!$D$2:$D$2500))</f>
        <v>0</v>
      </c>
      <c r="FL25" s="75">
        <f t="array" ref="FL25">SUM((YEAR(Gastos!$A$2:$A$2500)=FL$1)*(MONTH(Gastos!$A$2:$A$2500)=FL$3)*(Gastos!$B$2:$B$2500=$A25)*(Gastos!$D$2:$D$2500))</f>
        <v>0</v>
      </c>
      <c r="FM25" s="75">
        <f t="array" ref="FM25">SUM((YEAR(Gastos!$A$2:$A$2500)=FM$1)*(MONTH(Gastos!$A$2:$A$2500)=FM$3)*(Gastos!$B$2:$B$2500=$A25)*(Gastos!$D$2:$D$2500))</f>
        <v>0</v>
      </c>
      <c r="FN25" s="75">
        <f t="array" ref="FN25">SUM((YEAR(Gastos!$A$2:$A$2500)=FN$1)*(MONTH(Gastos!$A$2:$A$2500)=FN$3)*(Gastos!$B$2:$B$2500=$A25)*(Gastos!$D$2:$D$2500))</f>
        <v>0</v>
      </c>
      <c r="FO25" s="75">
        <f t="array" ref="FO25">SUM((YEAR(Gastos!$A$2:$A$2500)=FO$1)*(MONTH(Gastos!$A$2:$A$2500)=FO$3)*(Gastos!$B$2:$B$2500=$A25)*(Gastos!$D$2:$D$2500))</f>
        <v>0</v>
      </c>
      <c r="FP25" s="75">
        <f t="array" ref="FP25">SUM((YEAR(Gastos!$A$2:$A$2500)=FP$1)*(MONTH(Gastos!$A$2:$A$2500)=FP$3)*(Gastos!$B$2:$B$2500=$A25)*(Gastos!$D$2:$D$2500))</f>
        <v>0</v>
      </c>
      <c r="FQ25" s="75">
        <f t="array" ref="FQ25">SUM((YEAR(Gastos!$A$2:$A$2500)=FQ$1)*(MONTH(Gastos!$A$2:$A$2500)=FQ$3)*(Gastos!$B$2:$B$2500=$A25)*(Gastos!$D$2:$D$2500))</f>
        <v>0</v>
      </c>
      <c r="FR25" s="75">
        <f t="array" ref="FR25">SUM((YEAR(Gastos!$A$2:$A$2500)=FR$1)*(MONTH(Gastos!$A$2:$A$2500)=FR$3)*(Gastos!$B$2:$B$2500=$A25)*(Gastos!$D$2:$D$2500))</f>
        <v>0</v>
      </c>
      <c r="FS25" s="75">
        <f t="array" ref="FS25">SUM((YEAR(Gastos!$A$2:$A$2500)=FS$1)*(MONTH(Gastos!$A$2:$A$2500)=FS$3)*(Gastos!$B$2:$B$2500=$A25)*(Gastos!$D$2:$D$2500))</f>
        <v>0</v>
      </c>
      <c r="FT25" s="75">
        <f t="array" ref="FT25">SUM((YEAR(Gastos!$A$2:$A$2500)=FT$1)*(MONTH(Gastos!$A$2:$A$2500)=FT$3)*(Gastos!$B$2:$B$2500=$A25)*(Gastos!$D$2:$D$2500))</f>
        <v>0</v>
      </c>
      <c r="FU25" s="75">
        <f t="array" ref="FU25">SUM((YEAR(Gastos!$A$2:$A$2500)=FU$1)*(MONTH(Gastos!$A$2:$A$2500)=FU$3)*(Gastos!$B$2:$B$2500=$A25)*(Gastos!$D$2:$D$2500))</f>
        <v>0</v>
      </c>
      <c r="FV25" s="75">
        <f t="array" ref="FV25">SUM((YEAR(Gastos!$A$2:$A$2500)=FV$1)*(MONTH(Gastos!$A$2:$A$2500)=FV$3)*(Gastos!$B$2:$B$2500=$A25)*(Gastos!$D$2:$D$2500))</f>
        <v>0</v>
      </c>
      <c r="FW25" s="75">
        <f t="array" ref="FW25">SUM((YEAR(Gastos!$A$2:$A$2500)=FW$1)*(MONTH(Gastos!$A$2:$A$2500)=FW$3)*(Gastos!$B$2:$B$2500=$A25)*(Gastos!$D$2:$D$2500))</f>
        <v>0</v>
      </c>
      <c r="FX25" s="75">
        <f t="array" ref="FX25">SUM((YEAR(Gastos!$A$2:$A$2500)=FX$1)*(MONTH(Gastos!$A$2:$A$2500)=FX$3)*(Gastos!$B$2:$B$2500=$A25)*(Gastos!$D$2:$D$2500))</f>
        <v>0</v>
      </c>
      <c r="FY25" s="75">
        <f t="array" ref="FY25">SUM((YEAR(Gastos!$A$2:$A$2500)=FY$1)*(MONTH(Gastos!$A$2:$A$2500)=FY$3)*(Gastos!$B$2:$B$2500=$A25)*(Gastos!$D$2:$D$2500))</f>
        <v>0</v>
      </c>
      <c r="FZ25" s="76">
        <f t="shared" si="65"/>
        <v>166</v>
      </c>
      <c r="GA25" s="80"/>
      <c r="GB25" s="78">
        <f t="shared" si="66"/>
        <v>31</v>
      </c>
      <c r="GF25" s="79">
        <f t="array" ref="GF25">SUM(((Gastos!$A$2:$A$1647)&gt;=GD$3)*((Gastos!$A$2:$A$1647)&lt;=GF$3)*(Gastos!$B$2:$B$1647=$A25)*(Gastos!$D$2:$D$1647))</f>
        <v>31</v>
      </c>
      <c r="GI25" s="79">
        <f t="array" ref="GI25">SUM(((Gastos!$A$2:$A$1647)&gt;=GG$3)*((Gastos!$A$2:$A$1647)&lt;=GI$3)*(Gastos!$B$2:$B$1647=$A25)*(Gastos!$D$2:$D$1647))</f>
        <v>0</v>
      </c>
    </row>
    <row r="26" spans="1:191" ht="15" thickBot="1" x14ac:dyDescent="0.4">
      <c r="A26" s="74" t="str">
        <f>Gastos!AA24</f>
        <v>V. CONSOLA / CONTROLES</v>
      </c>
      <c r="B26" s="75">
        <f t="array" ref="B26">SUM((YEAR(Gastos!$A$2:$A$2500)=B$1)*(MONTH(Gastos!$A$2:$A$2500)=B$3)*(Gastos!$B$2:$B$2500=$A26)*(Gastos!$D$2:$D$2500))</f>
        <v>0</v>
      </c>
      <c r="C26" s="75">
        <f t="array" ref="C26">SUM((YEAR(Gastos!$A$2:$A$2500)=C$1)*(MONTH(Gastos!$A$2:$A$2500)=C$3)*(Gastos!$B$2:$B$2500=$A26)*(Gastos!$D$2:$D$2500))</f>
        <v>0</v>
      </c>
      <c r="D26" s="75">
        <f t="array" ref="D26">SUM((YEAR(Gastos!$A$2:$A$2500)=D$1)*(MONTH(Gastos!$A$2:$A$2500)=D$3)*(Gastos!$B$2:$B$2500=$A26)*(Gastos!$D$2:$D$2500))</f>
        <v>0</v>
      </c>
      <c r="E26" s="75">
        <f t="array" ref="E26">SUM((YEAR(Gastos!$A$2:$A$2500)=E$1)*(MONTH(Gastos!$A$2:$A$2500)=E$3)*(Gastos!$B$2:$B$2500=$A26)*(Gastos!$D$2:$D$2500))</f>
        <v>0</v>
      </c>
      <c r="F26" s="75">
        <f t="array" ref="F26">SUM((YEAR(Gastos!$A$2:$A$2500)=F$1)*(MONTH(Gastos!$A$2:$A$2500)=F$3)*(Gastos!$B$2:$B$2500=$A26)*(Gastos!$D$2:$D$2500))</f>
        <v>0</v>
      </c>
      <c r="G26" s="75">
        <f t="array" ref="G26">SUM((YEAR(Gastos!$A$2:$A$2500)=G$1)*(MONTH(Gastos!$A$2:$A$2500)=G$3)*(Gastos!$B$2:$B$2500=$A26)*(Gastos!$D$2:$D$2500))</f>
        <v>0</v>
      </c>
      <c r="H26" s="75">
        <f t="array" ref="H26">SUM((YEAR(Gastos!$A$2:$A$2500)=H$1)*(MONTH(Gastos!$A$2:$A$2500)=H$3)*(Gastos!$B$2:$B$2500=$A26)*(Gastos!$D$2:$D$2500))</f>
        <v>0</v>
      </c>
      <c r="I26" s="75">
        <f t="array" ref="I26">SUM((YEAR(Gastos!$A$2:$A$2500)=I$1)*(MONTH(Gastos!$A$2:$A$2500)=I$3)*(Gastos!$B$2:$B$2500=$A26)*(Gastos!$D$2:$D$2500))</f>
        <v>0</v>
      </c>
      <c r="J26" s="75">
        <f t="array" ref="J26">SUM((YEAR(Gastos!$A$2:$A$2500)=J$1)*(MONTH(Gastos!$A$2:$A$2500)=J$3)*(Gastos!$B$2:$B$2500=$A26)*(Gastos!$D$2:$D$2500))</f>
        <v>0</v>
      </c>
      <c r="K26" s="75">
        <f t="array" ref="K26">SUM((YEAR(Gastos!$A$2:$A$2500)=K$1)*(MONTH(Gastos!$A$2:$A$2500)=K$3)*(Gastos!$B$2:$B$2500=$A26)*(Gastos!$D$2:$D$2500))</f>
        <v>0</v>
      </c>
      <c r="L26" s="75">
        <f t="array" ref="L26">SUM((YEAR(Gastos!$A$2:$A$2500)=L$1)*(MONTH(Gastos!$A$2:$A$2500)=L$3)*(Gastos!$B$2:$B$2500=$A26)*(Gastos!$D$2:$D$2500))</f>
        <v>0</v>
      </c>
      <c r="M26" s="75">
        <f t="array" ref="M26">SUM((YEAR(Gastos!$A$2:$A$2500)=M$1)*(MONTH(Gastos!$A$2:$A$2500)=M$3)*(Gastos!$B$2:$B$2500=$A26)*(Gastos!$D$2:$D$2500))</f>
        <v>0</v>
      </c>
      <c r="N26" s="75">
        <f t="array" ref="N26">SUM((YEAR(Gastos!$A$2:$A$2500)=N$1)*(MONTH(Gastos!$A$2:$A$2500)=N$3)*(Gastos!$B$2:$B$2500=$A26)*(Gastos!$D$2:$D$2500))</f>
        <v>0</v>
      </c>
      <c r="O26" s="75">
        <f t="array" ref="O26">SUM((YEAR(Gastos!$A$2:$A$2500)=O$1)*(MONTH(Gastos!$A$2:$A$2500)=O$3)*(Gastos!$B$2:$B$2500=$A26)*(Gastos!$D$2:$D$2500))</f>
        <v>0</v>
      </c>
      <c r="P26" s="75">
        <f t="array" ref="P26">SUM((YEAR(Gastos!$A$2:$A$2500)=P$1)*(MONTH(Gastos!$A$2:$A$2500)=P$3)*(Gastos!$B$2:$B$2500=$A26)*(Gastos!$D$2:$D$2500))</f>
        <v>0</v>
      </c>
      <c r="Q26" s="75">
        <f t="array" ref="Q26">SUM((YEAR(Gastos!$A$2:$A$2500)=Q$1)*(MONTH(Gastos!$A$2:$A$2500)=Q$3)*(Gastos!$B$2:$B$2500=$A26)*(Gastos!$D$2:$D$2500))</f>
        <v>0</v>
      </c>
      <c r="R26" s="75">
        <f t="array" ref="R26">SUM((YEAR(Gastos!$A$2:$A$2500)=R$1)*(MONTH(Gastos!$A$2:$A$2500)=R$3)*(Gastos!$B$2:$B$2500=$A26)*(Gastos!$D$2:$D$2500))</f>
        <v>0</v>
      </c>
      <c r="S26" s="75">
        <f t="array" ref="S26">SUM((YEAR(Gastos!$A$2:$A$2500)=S$1)*(MONTH(Gastos!$A$2:$A$2500)=S$3)*(Gastos!$B$2:$B$2500=$A26)*(Gastos!$D$2:$D$2500))</f>
        <v>0</v>
      </c>
      <c r="T26" s="75">
        <f t="array" ref="T26">SUM((YEAR(Gastos!$A$2:$A$2500)=T$1)*(MONTH(Gastos!$A$2:$A$2500)=T$3)*(Gastos!$B$2:$B$2500=$A26)*(Gastos!$D$2:$D$2500))</f>
        <v>0</v>
      </c>
      <c r="U26" s="75">
        <f t="array" ref="U26">SUM((YEAR(Gastos!$A$2:$A$2500)=U$1)*(MONTH(Gastos!$A$2:$A$2500)=U$3)*(Gastos!$B$2:$B$2500=$A26)*(Gastos!$D$2:$D$2500))</f>
        <v>0</v>
      </c>
      <c r="V26" s="75">
        <f t="array" ref="V26">SUM((YEAR(Gastos!$A$2:$A$2500)=V$1)*(MONTH(Gastos!$A$2:$A$2500)=V$3)*(Gastos!$B$2:$B$2500=$A26)*(Gastos!$D$2:$D$2500))</f>
        <v>0</v>
      </c>
      <c r="W26" s="75">
        <f t="array" ref="W26">SUM((YEAR(Gastos!$A$2:$A$2500)=W$1)*(MONTH(Gastos!$A$2:$A$2500)=W$3)*(Gastos!$B$2:$B$2500=$A26)*(Gastos!$D$2:$D$2500))</f>
        <v>0</v>
      </c>
      <c r="X26" s="75">
        <f t="array" ref="X26">SUM((YEAR(Gastos!$A$2:$A$2500)=X$1)*(MONTH(Gastos!$A$2:$A$2500)=X$3)*(Gastos!$B$2:$B$2500=$A26)*(Gastos!$D$2:$D$2500))</f>
        <v>0</v>
      </c>
      <c r="Y26" s="75">
        <f t="array" ref="Y26">SUM((YEAR(Gastos!$A$2:$A$2500)=Y$1)*(MONTH(Gastos!$A$2:$A$2500)=Y$3)*(Gastos!$B$2:$B$2500=$A26)*(Gastos!$D$2:$D$2500))</f>
        <v>0</v>
      </c>
      <c r="Z26" s="75">
        <f t="array" ref="Z26">SUM((YEAR(Gastos!$A$2:$A$2500)=Z$1)*(MONTH(Gastos!$A$2:$A$2500)=Z$3)*(Gastos!$B$2:$B$2500=$A26)*(Gastos!$D$2:$D$2500))</f>
        <v>0</v>
      </c>
      <c r="AA26" s="75">
        <f t="array" ref="AA26">SUM((YEAR(Gastos!$A$2:$A$2500)=AA$1)*(MONTH(Gastos!$A$2:$A$2500)=AA$3)*(Gastos!$B$2:$B$2500=$A26)*(Gastos!$D$2:$D$2500))</f>
        <v>0</v>
      </c>
      <c r="AB26" s="75">
        <f t="array" ref="AB26">SUM((YEAR(Gastos!$A$2:$A$2500)=AB$1)*(MONTH(Gastos!$A$2:$A$2500)=AB$3)*(Gastos!$B$2:$B$2500=$A26)*(Gastos!$D$2:$D$2500))</f>
        <v>0</v>
      </c>
      <c r="AC26" s="75">
        <f t="array" ref="AC26">SUM((YEAR(Gastos!$A$2:$A$2500)=AC$1)*(MONTH(Gastos!$A$2:$A$2500)=AC$3)*(Gastos!$B$2:$B$2500=$A26)*(Gastos!$D$2:$D$2500))</f>
        <v>0</v>
      </c>
      <c r="AD26" s="75">
        <f t="array" ref="AD26">SUM((YEAR(Gastos!$A$2:$A$2500)=AD$1)*(MONTH(Gastos!$A$2:$A$2500)=AD$3)*(Gastos!$B$2:$B$2500=$A26)*(Gastos!$D$2:$D$2500))</f>
        <v>0</v>
      </c>
      <c r="AE26" s="75">
        <f t="array" ref="AE26">SUM((YEAR(Gastos!$A$2:$A$2500)=AE$1)*(MONTH(Gastos!$A$2:$A$2500)=AE$3)*(Gastos!$B$2:$B$2500=$A26)*(Gastos!$D$2:$D$2500))</f>
        <v>0</v>
      </c>
      <c r="AF26" s="75">
        <f t="array" ref="AF26">SUM((YEAR(Gastos!$A$2:$A$2500)=AF$1)*(MONTH(Gastos!$A$2:$A$2500)=AF$3)*(Gastos!$B$2:$B$2500=$A26)*(Gastos!$D$2:$D$2500))</f>
        <v>0</v>
      </c>
      <c r="AG26" s="75">
        <f t="array" ref="AG26">SUM((YEAR(Gastos!$A$2:$A$2500)=AG$1)*(MONTH(Gastos!$A$2:$A$2500)=AG$3)*(Gastos!$B$2:$B$2500=$A26)*(Gastos!$D$2:$D$2500))</f>
        <v>0</v>
      </c>
      <c r="AH26" s="75">
        <f t="array" ref="AH26">SUM((YEAR(Gastos!$A$2:$A$2500)=AH$1)*(MONTH(Gastos!$A$2:$A$2500)=AH$3)*(Gastos!$B$2:$B$2500=$A26)*(Gastos!$D$2:$D$2500))</f>
        <v>0</v>
      </c>
      <c r="AI26" s="75">
        <f t="array" ref="AI26">SUM((YEAR(Gastos!$A$2:$A$2500)=AI$1)*(MONTH(Gastos!$A$2:$A$2500)=AI$3)*(Gastos!$B$2:$B$2500=$A26)*(Gastos!$D$2:$D$2500))</f>
        <v>0</v>
      </c>
      <c r="AJ26" s="75">
        <f t="array" ref="AJ26">SUM((YEAR(Gastos!$A$2:$A$2500)=AJ$1)*(MONTH(Gastos!$A$2:$A$2500)=AJ$3)*(Gastos!$B$2:$B$2500=$A26)*(Gastos!$D$2:$D$2500))</f>
        <v>0</v>
      </c>
      <c r="AK26" s="75">
        <f t="array" ref="AK26">SUM((YEAR(Gastos!$A$2:$A$2500)=AK$1)*(MONTH(Gastos!$A$2:$A$2500)=AK$3)*(Gastos!$B$2:$B$2500=$A26)*(Gastos!$D$2:$D$2500))</f>
        <v>0</v>
      </c>
      <c r="AL26" s="75">
        <f t="array" ref="AL26">SUM((YEAR(Gastos!$A$2:$A$2500)=AL$1)*(MONTH(Gastos!$A$2:$A$2500)=AL$3)*(Gastos!$B$2:$B$2500=$A26)*(Gastos!$D$2:$D$2500))</f>
        <v>0</v>
      </c>
      <c r="AM26" s="75">
        <f t="array" ref="AM26">SUM((YEAR(Gastos!$A$2:$A$2500)=AM$1)*(MONTH(Gastos!$A$2:$A$2500)=AM$3)*(Gastos!$B$2:$B$2500=$A26)*(Gastos!$D$2:$D$2500))</f>
        <v>0</v>
      </c>
      <c r="AN26" s="75">
        <f t="array" ref="AN26">SUM((YEAR(Gastos!$A$2:$A$2500)=AN$1)*(MONTH(Gastos!$A$2:$A$2500)=AN$3)*(Gastos!$B$2:$B$2500=$A26)*(Gastos!$D$2:$D$2500))</f>
        <v>0</v>
      </c>
      <c r="AO26" s="75">
        <f t="array" ref="AO26">SUM((YEAR(Gastos!$A$2:$A$2500)=AO$1)*(MONTH(Gastos!$A$2:$A$2500)=AO$3)*(Gastos!$B$2:$B$2500=$A26)*(Gastos!$D$2:$D$2500))</f>
        <v>0</v>
      </c>
      <c r="AP26" s="75">
        <f t="array" ref="AP26">SUM((YEAR(Gastos!$A$2:$A$2500)=AP$1)*(MONTH(Gastos!$A$2:$A$2500)=AP$3)*(Gastos!$B$2:$B$2500=$A26)*(Gastos!$D$2:$D$2500))</f>
        <v>0</v>
      </c>
      <c r="AQ26" s="75">
        <f t="array" ref="AQ26">SUM((YEAR(Gastos!$A$2:$A$2500)=AQ$1)*(MONTH(Gastos!$A$2:$A$2500)=AQ$3)*(Gastos!$B$2:$B$2500=$A26)*(Gastos!$D$2:$D$2500))</f>
        <v>0</v>
      </c>
      <c r="AR26" s="75">
        <f t="array" ref="AR26">SUM((YEAR(Gastos!$A$2:$A$2500)=AR$1)*(MONTH(Gastos!$A$2:$A$2500)=AR$3)*(Gastos!$B$2:$B$2500=$A26)*(Gastos!$D$2:$D$2500))</f>
        <v>0</v>
      </c>
      <c r="AS26" s="75">
        <f t="array" ref="AS26">SUM((YEAR(Gastos!$A$2:$A$2500)=AS$1)*(MONTH(Gastos!$A$2:$A$2500)=AS$3)*(Gastos!$B$2:$B$2500=$A26)*(Gastos!$D$2:$D$2500))</f>
        <v>0</v>
      </c>
      <c r="AT26" s="75">
        <f t="array" ref="AT26">SUM((YEAR(Gastos!$A$2:$A$2500)=AT$1)*(MONTH(Gastos!$A$2:$A$2500)=AT$3)*(Gastos!$B$2:$B$2500=$A26)*(Gastos!$D$2:$D$2500))</f>
        <v>0</v>
      </c>
      <c r="AU26" s="75">
        <f t="array" ref="AU26">SUM((YEAR(Gastos!$A$2:$A$2500)=AU$1)*(MONTH(Gastos!$A$2:$A$2500)=AU$3)*(Gastos!$B$2:$B$2500=$A26)*(Gastos!$D$2:$D$2500))</f>
        <v>0</v>
      </c>
      <c r="AV26" s="75">
        <f t="array" ref="AV26">SUM((YEAR(Gastos!$A$2:$A$2500)=AV$1)*(MONTH(Gastos!$A$2:$A$2500)=AV$3)*(Gastos!$B$2:$B$2500=$A26)*(Gastos!$D$2:$D$2500))</f>
        <v>0</v>
      </c>
      <c r="AW26" s="75">
        <f t="array" ref="AW26">SUM((YEAR(Gastos!$A$2:$A$2500)=AW$1)*(MONTH(Gastos!$A$2:$A$2500)=AW$3)*(Gastos!$B$2:$B$2500=$A26)*(Gastos!$D$2:$D$2500))</f>
        <v>0</v>
      </c>
      <c r="AX26" s="75">
        <f t="array" ref="AX26">SUM((YEAR(Gastos!$A$2:$A$2500)=AX$1)*(MONTH(Gastos!$A$2:$A$2500)=AX$3)*(Gastos!$B$2:$B$2500=$A26)*(Gastos!$D$2:$D$2500))</f>
        <v>0</v>
      </c>
      <c r="AY26" s="75">
        <f t="array" ref="AY26">SUM((YEAR(Gastos!$A$2:$A$2500)=AY$1)*(MONTH(Gastos!$A$2:$A$2500)=AY$3)*(Gastos!$B$2:$B$2500=$A26)*(Gastos!$D$2:$D$2500))</f>
        <v>0</v>
      </c>
      <c r="AZ26" s="75">
        <f t="array" ref="AZ26">SUM((YEAR(Gastos!$A$2:$A$2500)=AZ$1)*(MONTH(Gastos!$A$2:$A$2500)=AZ$3)*(Gastos!$B$2:$B$2500=$A26)*(Gastos!$D$2:$D$2500))</f>
        <v>0</v>
      </c>
      <c r="BA26" s="75">
        <f t="array" ref="BA26">SUM((YEAR(Gastos!$A$2:$A$2500)=BA$1)*(MONTH(Gastos!$A$2:$A$2500)=BA$3)*(Gastos!$B$2:$B$2500=$A26)*(Gastos!$D$2:$D$2500))</f>
        <v>0</v>
      </c>
      <c r="BB26" s="75">
        <f t="array" ref="BB26">SUM((YEAR(Gastos!$A$2:$A$2500)=BB$1)*(MONTH(Gastos!$A$2:$A$2500)=BB$3)*(Gastos!$B$2:$B$2500=$A26)*(Gastos!$D$2:$D$2500))</f>
        <v>0</v>
      </c>
      <c r="BC26" s="75">
        <f t="array" ref="BC26">SUM((YEAR(Gastos!$A$2:$A$2500)=BC$1)*(MONTH(Gastos!$A$2:$A$2500)=BC$3)*(Gastos!$B$2:$B$2500=$A26)*(Gastos!$D$2:$D$2500))</f>
        <v>0</v>
      </c>
      <c r="BD26" s="75">
        <f t="array" ref="BD26">SUM((YEAR(Gastos!$A$2:$A$2500)=BD$1)*(MONTH(Gastos!$A$2:$A$2500)=BD$3)*(Gastos!$B$2:$B$2500=$A26)*(Gastos!$D$2:$D$2500))</f>
        <v>0</v>
      </c>
      <c r="BE26" s="75">
        <f t="array" ref="BE26">SUM((YEAR(Gastos!$A$2:$A$2500)=BE$1)*(MONTH(Gastos!$A$2:$A$2500)=BE$3)*(Gastos!$B$2:$B$2500=$A26)*(Gastos!$D$2:$D$2500))</f>
        <v>0</v>
      </c>
      <c r="BF26" s="75">
        <f t="array" ref="BF26">SUM((YEAR(Gastos!$A$2:$A$2500)=BF$1)*(MONTH(Gastos!$A$2:$A$2500)=BF$3)*(Gastos!$B$2:$B$2500=$A26)*(Gastos!$D$2:$D$2500))</f>
        <v>0</v>
      </c>
      <c r="BG26" s="75">
        <f t="array" ref="BG26">SUM((YEAR(Gastos!$A$2:$A$2500)=BG$1)*(MONTH(Gastos!$A$2:$A$2500)=BG$3)*(Gastos!$B$2:$B$2500=$A26)*(Gastos!$D$2:$D$2500))</f>
        <v>1508</v>
      </c>
      <c r="BH26" s="75">
        <f t="array" ref="BH26">SUM((YEAR(Gastos!$A$2:$A$2500)=BH$1)*(MONTH(Gastos!$A$2:$A$2500)=BH$3)*(Gastos!$B$2:$B$2500=$A26)*(Gastos!$D$2:$D$2500))</f>
        <v>0</v>
      </c>
      <c r="BI26" s="75">
        <f t="array" ref="BI26">SUM((YEAR(Gastos!$A$2:$A$2500)=BI$1)*(MONTH(Gastos!$A$2:$A$2500)=BI$3)*(Gastos!$B$2:$B$2500=$A26)*(Gastos!$D$2:$D$2500))</f>
        <v>0</v>
      </c>
      <c r="BJ26" s="75">
        <f t="array" ref="BJ26">SUM((YEAR(Gastos!$A$2:$A$2500)=BJ$1)*(MONTH(Gastos!$A$2:$A$2500)=BJ$3)*(Gastos!$B$2:$B$2500=$A26)*(Gastos!$D$2:$D$2500))</f>
        <v>0</v>
      </c>
      <c r="BK26" s="75">
        <f t="array" ref="BK26">SUM((YEAR(Gastos!$A$2:$A$2500)=BK$1)*(MONTH(Gastos!$A$2:$A$2500)=BK$3)*(Gastos!$B$2:$B$2500=$A26)*(Gastos!$D$2:$D$2500))</f>
        <v>0</v>
      </c>
      <c r="BL26" s="75">
        <f t="array" ref="BL26">SUM((YEAR(Gastos!$A$2:$A$2500)=BL$1)*(MONTH(Gastos!$A$2:$A$2500)=BL$3)*(Gastos!$B$2:$B$2500=$A26)*(Gastos!$D$2:$D$2500))</f>
        <v>0</v>
      </c>
      <c r="BM26" s="75">
        <f t="array" ref="BM26">SUM((YEAR(Gastos!$A$2:$A$2500)=BM$1)*(MONTH(Gastos!$A$2:$A$2500)=BM$3)*(Gastos!$B$2:$B$2500=$A26)*(Gastos!$D$2:$D$2500))</f>
        <v>0</v>
      </c>
      <c r="BN26" s="75">
        <f t="array" ref="BN26">SUM((YEAR(Gastos!$A$2:$A$2500)=BN$1)*(MONTH(Gastos!$A$2:$A$2500)=BN$3)*(Gastos!$B$2:$B$2500=$A26)*(Gastos!$D$2:$D$2500))</f>
        <v>0</v>
      </c>
      <c r="BO26" s="75">
        <f t="array" ref="BO26">SUM((YEAR(Gastos!$A$2:$A$2500)=BO$1)*(MONTH(Gastos!$A$2:$A$2500)=BO$3)*(Gastos!$B$2:$B$2500=$A26)*(Gastos!$D$2:$D$2500))</f>
        <v>0</v>
      </c>
      <c r="BP26" s="75">
        <f t="array" ref="BP26">SUM((YEAR(Gastos!$A$2:$A$2500)=BP$1)*(MONTH(Gastos!$A$2:$A$2500)=BP$3)*(Gastos!$B$2:$B$2500=$A26)*(Gastos!$D$2:$D$2500))</f>
        <v>0</v>
      </c>
      <c r="BQ26" s="75">
        <f t="array" ref="BQ26">SUM((YEAR(Gastos!$A$2:$A$2500)=BQ$1)*(MONTH(Gastos!$A$2:$A$2500)=BQ$3)*(Gastos!$B$2:$B$2500=$A26)*(Gastos!$D$2:$D$2500))</f>
        <v>0</v>
      </c>
      <c r="BR26" s="75">
        <f t="array" ref="BR26">SUM((YEAR(Gastos!$A$2:$A$2500)=BR$1)*(MONTH(Gastos!$A$2:$A$2500)=BR$3)*(Gastos!$B$2:$B$2500=$A26)*(Gastos!$D$2:$D$2500))</f>
        <v>0</v>
      </c>
      <c r="BS26" s="75">
        <f t="array" ref="BS26">SUM((YEAR(Gastos!$A$2:$A$2500)=BS$1)*(MONTH(Gastos!$A$2:$A$2500)=BS$3)*(Gastos!$B$2:$B$2500=$A26)*(Gastos!$D$2:$D$2500))</f>
        <v>0</v>
      </c>
      <c r="BT26" s="75">
        <f t="array" ref="BT26">SUM((YEAR(Gastos!$A$2:$A$2500)=BT$1)*(MONTH(Gastos!$A$2:$A$2500)=BT$3)*(Gastos!$B$2:$B$2500=$A26)*(Gastos!$D$2:$D$2500))</f>
        <v>0</v>
      </c>
      <c r="BU26" s="75">
        <f t="array" ref="BU26">SUM((YEAR(Gastos!$A$2:$A$2500)=BU$1)*(MONTH(Gastos!$A$2:$A$2500)=BU$3)*(Gastos!$B$2:$B$2500=$A26)*(Gastos!$D$2:$D$2500))</f>
        <v>0</v>
      </c>
      <c r="BV26" s="75">
        <f t="array" ref="BV26">SUM((YEAR(Gastos!$A$2:$A$2500)=BV$1)*(MONTH(Gastos!$A$2:$A$2500)=BV$3)*(Gastos!$B$2:$B$2500=$A26)*(Gastos!$D$2:$D$2500))</f>
        <v>0</v>
      </c>
      <c r="BW26" s="75">
        <f t="array" ref="BW26">SUM((YEAR(Gastos!$A$2:$A$2500)=BW$1)*(MONTH(Gastos!$A$2:$A$2500)=BW$3)*(Gastos!$B$2:$B$2500=$A26)*(Gastos!$D$2:$D$2500))</f>
        <v>406</v>
      </c>
      <c r="BX26" s="75">
        <f t="array" ref="BX26">SUM((YEAR(Gastos!$A$2:$A$2500)=BX$1)*(MONTH(Gastos!$A$2:$A$2500)=BX$3)*(Gastos!$B$2:$B$2500=$A26)*(Gastos!$D$2:$D$2500))</f>
        <v>0</v>
      </c>
      <c r="BY26" s="75">
        <f t="array" ref="BY26">SUM((YEAR(Gastos!$A$2:$A$2500)=BY$1)*(MONTH(Gastos!$A$2:$A$2500)=BY$3)*(Gastos!$B$2:$B$2500=$A26)*(Gastos!$D$2:$D$2500))</f>
        <v>0</v>
      </c>
      <c r="BZ26" s="75">
        <f t="array" ref="BZ26">SUM((YEAR(Gastos!$A$2:$A$2500)=BZ$1)*(MONTH(Gastos!$A$2:$A$2500)=BZ$3)*(Gastos!$B$2:$B$2500=$A26)*(Gastos!$D$2:$D$2500))</f>
        <v>0</v>
      </c>
      <c r="CA26" s="75">
        <f t="array" ref="CA26">SUM((YEAR(Gastos!$A$2:$A$2500)=CA$1)*(MONTH(Gastos!$A$2:$A$2500)=CA$3)*(Gastos!$B$2:$B$2500=$A26)*(Gastos!$D$2:$D$2500))</f>
        <v>0</v>
      </c>
      <c r="CB26" s="75">
        <f t="array" ref="CB26">SUM((YEAR(Gastos!$A$2:$A$2500)=CB$1)*(MONTH(Gastos!$A$2:$A$2500)=CB$3)*(Gastos!$B$2:$B$2500=$A26)*(Gastos!$D$2:$D$2500))</f>
        <v>0</v>
      </c>
      <c r="CC26" s="75">
        <f t="array" ref="CC26">SUM((YEAR(Gastos!$A$2:$A$2500)=CC$1)*(MONTH(Gastos!$A$2:$A$2500)=CC$3)*(Gastos!$B$2:$B$2500=$A26)*(Gastos!$D$2:$D$2500))</f>
        <v>0</v>
      </c>
      <c r="CD26" s="75">
        <f t="array" ref="CD26">SUM((YEAR(Gastos!$A$2:$A$2500)=CD$1)*(MONTH(Gastos!$A$2:$A$2500)=CD$3)*(Gastos!$B$2:$B$2500=$A26)*(Gastos!$D$2:$D$2500))</f>
        <v>0</v>
      </c>
      <c r="CE26" s="75">
        <f t="array" ref="CE26">SUM((YEAR(Gastos!$A$2:$A$2500)=CE$1)*(MONTH(Gastos!$A$2:$A$2500)=CE$3)*(Gastos!$B$2:$B$2500=$A26)*(Gastos!$D$2:$D$2500))</f>
        <v>0</v>
      </c>
      <c r="CF26" s="75">
        <f t="array" ref="CF26">SUM((YEAR(Gastos!$A$2:$A$2500)=CF$1)*(MONTH(Gastos!$A$2:$A$2500)=CF$3)*(Gastos!$B$2:$B$2500=$A26)*(Gastos!$D$2:$D$2500))</f>
        <v>0</v>
      </c>
      <c r="CG26" s="75">
        <f t="array" ref="CG26">SUM((YEAR(Gastos!$A$2:$A$2500)=CG$1)*(MONTH(Gastos!$A$2:$A$2500)=CG$3)*(Gastos!$B$2:$B$2500=$A26)*(Gastos!$D$2:$D$2500))</f>
        <v>0</v>
      </c>
      <c r="CH26" s="75">
        <f t="array" ref="CH26">SUM((YEAR(Gastos!$A$2:$A$2500)=CH$1)*(MONTH(Gastos!$A$2:$A$2500)=CH$3)*(Gastos!$B$2:$B$2500=$A26)*(Gastos!$D$2:$D$2500))</f>
        <v>0</v>
      </c>
      <c r="CI26" s="75">
        <f t="array" ref="CI26">SUM((YEAR(Gastos!$A$2:$A$2500)=CI$1)*(MONTH(Gastos!$A$2:$A$2500)=CI$3)*(Gastos!$B$2:$B$2500=$A26)*(Gastos!$D$2:$D$2500))</f>
        <v>0</v>
      </c>
      <c r="CJ26" s="75">
        <f t="array" ref="CJ26">SUM((YEAR(Gastos!$A$2:$A$2500)=CJ$1)*(MONTH(Gastos!$A$2:$A$2500)=CJ$3)*(Gastos!$B$2:$B$2500=$A26)*(Gastos!$D$2:$D$2500))</f>
        <v>0</v>
      </c>
      <c r="CK26" s="75">
        <f t="array" ref="CK26">SUM((YEAR(Gastos!$A$2:$A$2500)=CK$1)*(MONTH(Gastos!$A$2:$A$2500)=CK$3)*(Gastos!$B$2:$B$2500=$A26)*(Gastos!$D$2:$D$2500))</f>
        <v>0</v>
      </c>
      <c r="CL26" s="75">
        <f t="array" ref="CL26">SUM((YEAR(Gastos!$A$2:$A$2500)=CL$1)*(MONTH(Gastos!$A$2:$A$2500)=CL$3)*(Gastos!$B$2:$B$2500=$A26)*(Gastos!$D$2:$D$2500))</f>
        <v>0</v>
      </c>
      <c r="CM26" s="75">
        <f t="array" ref="CM26">SUM((YEAR(Gastos!$A$2:$A$2500)=CM$1)*(MONTH(Gastos!$A$2:$A$2500)=CM$3)*(Gastos!$B$2:$B$2500=$A26)*(Gastos!$D$2:$D$2500))</f>
        <v>0</v>
      </c>
      <c r="CN26" s="75">
        <f t="array" ref="CN26">SUM((YEAR(Gastos!$A$2:$A$2500)=CN$1)*(MONTH(Gastos!$A$2:$A$2500)=CN$3)*(Gastos!$B$2:$B$2500=$A26)*(Gastos!$D$2:$D$2500))</f>
        <v>0</v>
      </c>
      <c r="CO26" s="75">
        <f t="array" ref="CO26">SUM((YEAR(Gastos!$A$2:$A$2500)=CO$1)*(MONTH(Gastos!$A$2:$A$2500)=CO$3)*(Gastos!$B$2:$B$2500=$A26)*(Gastos!$D$2:$D$2500))</f>
        <v>0</v>
      </c>
      <c r="CP26" s="75">
        <f t="array" ref="CP26">SUM((YEAR(Gastos!$A$2:$A$2500)=CP$1)*(MONTH(Gastos!$A$2:$A$2500)=CP$3)*(Gastos!$B$2:$B$2500=$A26)*(Gastos!$D$2:$D$2500))</f>
        <v>0</v>
      </c>
      <c r="CQ26" s="75">
        <f t="array" ref="CQ26">SUM((YEAR(Gastos!$A$2:$A$2500)=CQ$1)*(MONTH(Gastos!$A$2:$A$2500)=CQ$3)*(Gastos!$B$2:$B$2500=$A26)*(Gastos!$D$2:$D$2500))</f>
        <v>0</v>
      </c>
      <c r="CR26" s="75">
        <f t="array" ref="CR26">SUM((YEAR(Gastos!$A$2:$A$2500)=CR$1)*(MONTH(Gastos!$A$2:$A$2500)=CR$3)*(Gastos!$B$2:$B$2500=$A26)*(Gastos!$D$2:$D$2500))</f>
        <v>0</v>
      </c>
      <c r="CS26" s="75">
        <f t="array" ref="CS26">SUM((YEAR(Gastos!$A$2:$A$2500)=CS$1)*(MONTH(Gastos!$A$2:$A$2500)=CS$3)*(Gastos!$B$2:$B$2500=$A26)*(Gastos!$D$2:$D$2500))</f>
        <v>0</v>
      </c>
      <c r="CT26" s="75">
        <f t="array" ref="CT26">SUM((YEAR(Gastos!$A$2:$A$2500)=CT$1)*(MONTH(Gastos!$A$2:$A$2500)=CT$3)*(Gastos!$B$2:$B$2500=$A26)*(Gastos!$D$2:$D$2500))</f>
        <v>0</v>
      </c>
      <c r="CU26" s="75">
        <f t="array" ref="CU26">SUM((YEAR(Gastos!$A$2:$A$2500)=CU$1)*(MONTH(Gastos!$A$2:$A$2500)=CU$3)*(Gastos!$B$2:$B$2500=$A26)*(Gastos!$D$2:$D$2500))</f>
        <v>0</v>
      </c>
      <c r="CV26" s="75">
        <f t="array" ref="CV26">SUM((YEAR(Gastos!$A$2:$A$2500)=CV$1)*(MONTH(Gastos!$A$2:$A$2500)=CV$3)*(Gastos!$B$2:$B$2500=$A26)*(Gastos!$D$2:$D$2500))</f>
        <v>0</v>
      </c>
      <c r="CW26" s="75">
        <f t="array" ref="CW26">SUM((YEAR(Gastos!$A$2:$A$2500)=CW$1)*(MONTH(Gastos!$A$2:$A$2500)=CW$3)*(Gastos!$B$2:$B$2500=$A26)*(Gastos!$D$2:$D$2500))</f>
        <v>0</v>
      </c>
      <c r="CX26" s="75">
        <f t="array" ref="CX26">SUM((YEAR(Gastos!$A$2:$A$2500)=CX$1)*(MONTH(Gastos!$A$2:$A$2500)=CX$3)*(Gastos!$B$2:$B$2500=$A26)*(Gastos!$D$2:$D$2500))</f>
        <v>0</v>
      </c>
      <c r="CY26" s="75">
        <f t="array" ref="CY26">SUM((YEAR(Gastos!$A$2:$A$2500)=CY$1)*(MONTH(Gastos!$A$2:$A$2500)=CY$3)*(Gastos!$B$2:$B$2500=$A26)*(Gastos!$D$2:$D$2500))</f>
        <v>0</v>
      </c>
      <c r="CZ26" s="75">
        <f t="array" ref="CZ26">SUM((YEAR(Gastos!$A$2:$A$2500)=CZ$1)*(MONTH(Gastos!$A$2:$A$2500)=CZ$3)*(Gastos!$B$2:$B$2500=$A26)*(Gastos!$D$2:$D$2500))</f>
        <v>0</v>
      </c>
      <c r="DA26" s="75">
        <f t="array" ref="DA26">SUM((YEAR(Gastos!$A$2:$A$2500)=DA$1)*(MONTH(Gastos!$A$2:$A$2500)=DA$3)*(Gastos!$B$2:$B$2500=$A26)*(Gastos!$D$2:$D$2500))</f>
        <v>0</v>
      </c>
      <c r="DB26" s="75">
        <f t="array" ref="DB26">SUM((YEAR(Gastos!$A$2:$A$2500)=DB$1)*(MONTH(Gastos!$A$2:$A$2500)=DB$3)*(Gastos!$B$2:$B$2500=$A26)*(Gastos!$D$2:$D$2500))</f>
        <v>0</v>
      </c>
      <c r="DC26" s="75">
        <f t="array" ref="DC26">SUM((YEAR(Gastos!$A$2:$A$2500)=DC$1)*(MONTH(Gastos!$A$2:$A$2500)=DC$3)*(Gastos!$B$2:$B$2500=$A26)*(Gastos!$D$2:$D$2500))</f>
        <v>0</v>
      </c>
      <c r="DD26" s="75">
        <f t="array" ref="DD26">SUM((YEAR(Gastos!$A$2:$A$2500)=DD$1)*(MONTH(Gastos!$A$2:$A$2500)=DD$3)*(Gastos!$B$2:$B$2500=$A26)*(Gastos!$D$2:$D$2500))</f>
        <v>0</v>
      </c>
      <c r="DE26" s="75">
        <f t="array" ref="DE26">SUM((YEAR(Gastos!$A$2:$A$2500)=DE$1)*(MONTH(Gastos!$A$2:$A$2500)=DE$3)*(Gastos!$B$2:$B$2500=$A26)*(Gastos!$D$2:$D$2500))</f>
        <v>0</v>
      </c>
      <c r="DF26" s="75">
        <f t="array" ref="DF26">SUM((YEAR(Gastos!$A$2:$A$2500)=DF$1)*(MONTH(Gastos!$A$2:$A$2500)=DF$3)*(Gastos!$B$2:$B$2500=$A26)*(Gastos!$D$2:$D$2500))</f>
        <v>0</v>
      </c>
      <c r="DG26" s="75">
        <f t="array" ref="DG26">SUM((YEAR(Gastos!$A$2:$A$2500)=DG$1)*(MONTH(Gastos!$A$2:$A$2500)=DG$3)*(Gastos!$B$2:$B$2500=$A26)*(Gastos!$D$2:$D$2500))</f>
        <v>0</v>
      </c>
      <c r="DH26" s="75">
        <f t="array" ref="DH26">SUM((YEAR(Gastos!$A$2:$A$2500)=DH$1)*(MONTH(Gastos!$A$2:$A$2500)=DH$3)*(Gastos!$B$2:$B$2500=$A26)*(Gastos!$D$2:$D$2500))</f>
        <v>0</v>
      </c>
      <c r="DI26" s="75">
        <f t="array" ref="DI26">SUM((YEAR(Gastos!$A$2:$A$2500)=DI$1)*(MONTH(Gastos!$A$2:$A$2500)=DI$3)*(Gastos!$B$2:$B$2500=$A26)*(Gastos!$D$2:$D$2500))</f>
        <v>0</v>
      </c>
      <c r="DJ26" s="75">
        <f t="array" ref="DJ26">SUM((YEAR(Gastos!$A$2:$A$2500)=DJ$1)*(MONTH(Gastos!$A$2:$A$2500)=DJ$3)*(Gastos!$B$2:$B$2500=$A26)*(Gastos!$D$2:$D$2500))</f>
        <v>0</v>
      </c>
      <c r="DK26" s="75">
        <f t="array" ref="DK26">SUM((YEAR(Gastos!$A$2:$A$2500)=DK$1)*(MONTH(Gastos!$A$2:$A$2500)=DK$3)*(Gastos!$B$2:$B$2500=$A26)*(Gastos!$D$2:$D$2500))</f>
        <v>0</v>
      </c>
      <c r="DL26" s="75">
        <f t="array" ref="DL26">SUM((YEAR(Gastos!$A$2:$A$2500)=DL$1)*(MONTH(Gastos!$A$2:$A$2500)=DL$3)*(Gastos!$B$2:$B$2500=$A26)*(Gastos!$D$2:$D$2500))</f>
        <v>0</v>
      </c>
      <c r="DM26" s="75">
        <f t="array" ref="DM26">SUM((YEAR(Gastos!$A$2:$A$2500)=DM$1)*(MONTH(Gastos!$A$2:$A$2500)=DM$3)*(Gastos!$B$2:$B$2500=$A26)*(Gastos!$D$2:$D$2500))</f>
        <v>0</v>
      </c>
      <c r="DN26" s="75">
        <f t="array" ref="DN26">SUM((YEAR(Gastos!$A$2:$A$2500)=DN$1)*(MONTH(Gastos!$A$2:$A$2500)=DN$3)*(Gastos!$B$2:$B$2500=$A26)*(Gastos!$D$2:$D$2500))</f>
        <v>0</v>
      </c>
      <c r="DO26" s="75">
        <f t="array" ref="DO26">SUM((YEAR(Gastos!$A$2:$A$2500)=DO$1)*(MONTH(Gastos!$A$2:$A$2500)=DO$3)*(Gastos!$B$2:$B$2500=$A26)*(Gastos!$D$2:$D$2500))</f>
        <v>0</v>
      </c>
      <c r="DP26" s="75">
        <f t="array" ref="DP26">SUM((YEAR(Gastos!$A$2:$A$2500)=DP$1)*(MONTH(Gastos!$A$2:$A$2500)=DP$3)*(Gastos!$B$2:$B$2500=$A26)*(Gastos!$D$2:$D$2500))</f>
        <v>0</v>
      </c>
      <c r="DQ26" s="75">
        <f t="array" ref="DQ26">SUM((YEAR(Gastos!$A$2:$A$2500)=DQ$1)*(MONTH(Gastos!$A$2:$A$2500)=DQ$3)*(Gastos!$B$2:$B$2500=$A26)*(Gastos!$D$2:$D$2500))</f>
        <v>0</v>
      </c>
      <c r="DR26" s="75">
        <f t="array" ref="DR26">SUM((YEAR(Gastos!$A$2:$A$2500)=DR$1)*(MONTH(Gastos!$A$2:$A$2500)=DR$3)*(Gastos!$B$2:$B$2500=$A26)*(Gastos!$D$2:$D$2500))</f>
        <v>0</v>
      </c>
      <c r="DS26" s="75">
        <f t="array" ref="DS26">SUM((YEAR(Gastos!$A$2:$A$2500)=DS$1)*(MONTH(Gastos!$A$2:$A$2500)=DS$3)*(Gastos!$B$2:$B$2500=$A26)*(Gastos!$D$2:$D$2500))</f>
        <v>0</v>
      </c>
      <c r="DT26" s="75">
        <f t="array" ref="DT26">SUM((YEAR(Gastos!$A$2:$A$2500)=DT$1)*(MONTH(Gastos!$A$2:$A$2500)=DT$3)*(Gastos!$B$2:$B$2500=$A26)*(Gastos!$D$2:$D$2500))</f>
        <v>0</v>
      </c>
      <c r="DU26" s="75">
        <f t="array" ref="DU26">SUM((YEAR(Gastos!$A$2:$A$2500)=DU$1)*(MONTH(Gastos!$A$2:$A$2500)=DU$3)*(Gastos!$B$2:$B$2500=$A26)*(Gastos!$D$2:$D$2500))</f>
        <v>0</v>
      </c>
      <c r="DV26" s="75">
        <f t="array" ref="DV26">SUM((YEAR(Gastos!$A$2:$A$2500)=DV$1)*(MONTH(Gastos!$A$2:$A$2500)=DV$3)*(Gastos!$B$2:$B$2500=$A26)*(Gastos!$D$2:$D$2500))</f>
        <v>0</v>
      </c>
      <c r="DW26" s="75">
        <f t="array" ref="DW26">SUM((YEAR(Gastos!$A$2:$A$2500)=DW$1)*(MONTH(Gastos!$A$2:$A$2500)=DW$3)*(Gastos!$B$2:$B$2500=$A26)*(Gastos!$D$2:$D$2500))</f>
        <v>0</v>
      </c>
      <c r="DX26" s="75">
        <f t="array" ref="DX26">SUM((YEAR(Gastos!$A$2:$A$2500)=DX$1)*(MONTH(Gastos!$A$2:$A$2500)=DX$3)*(Gastos!$B$2:$B$2500=$A26)*(Gastos!$D$2:$D$2500))</f>
        <v>0</v>
      </c>
      <c r="DY26" s="75">
        <f t="array" ref="DY26">SUM((YEAR(Gastos!$A$2:$A$2500)=DY$1)*(MONTH(Gastos!$A$2:$A$2500)=DY$3)*(Gastos!$B$2:$B$2500=$A26)*(Gastos!$D$2:$D$2500))</f>
        <v>0</v>
      </c>
      <c r="DZ26" s="75">
        <f t="array" ref="DZ26">SUM((YEAR(Gastos!$A$2:$A$2500)=DZ$1)*(MONTH(Gastos!$A$2:$A$2500)=DZ$3)*(Gastos!$B$2:$B$2500=$A26)*(Gastos!$D$2:$D$2500))</f>
        <v>0</v>
      </c>
      <c r="EA26" s="75">
        <f t="array" ref="EA26">SUM((YEAR(Gastos!$A$2:$A$2500)=EA$1)*(MONTH(Gastos!$A$2:$A$2500)=EA$3)*(Gastos!$B$2:$B$2500=$A26)*(Gastos!$D$2:$D$2500))</f>
        <v>0</v>
      </c>
      <c r="EB26" s="75">
        <f t="array" ref="EB26">SUM((YEAR(Gastos!$A$2:$A$2500)=EB$1)*(MONTH(Gastos!$A$2:$A$2500)=EB$3)*(Gastos!$B$2:$B$2500=$A26)*(Gastos!$D$2:$D$2500))</f>
        <v>0</v>
      </c>
      <c r="EC26" s="75">
        <f t="array" ref="EC26">SUM((YEAR(Gastos!$A$2:$A$2500)=EC$1)*(MONTH(Gastos!$A$2:$A$2500)=EC$3)*(Gastos!$B$2:$B$2500=$A26)*(Gastos!$D$2:$D$2500))</f>
        <v>0</v>
      </c>
      <c r="ED26" s="75">
        <f t="array" ref="ED26">SUM((YEAR(Gastos!$A$2:$A$2500)=ED$1)*(MONTH(Gastos!$A$2:$A$2500)=ED$3)*(Gastos!$B$2:$B$2500=$A26)*(Gastos!$D$2:$D$2500))</f>
        <v>0</v>
      </c>
      <c r="EE26" s="75">
        <f t="array" ref="EE26">SUM((YEAR(Gastos!$A$2:$A$2500)=EE$1)*(MONTH(Gastos!$A$2:$A$2500)=EE$3)*(Gastos!$B$2:$B$2500=$A26)*(Gastos!$D$2:$D$2500))</f>
        <v>0</v>
      </c>
      <c r="EF26" s="75">
        <f t="array" ref="EF26">SUM((YEAR(Gastos!$A$2:$A$2500)=EF$1)*(MONTH(Gastos!$A$2:$A$2500)=EF$3)*(Gastos!$B$2:$B$2500=$A26)*(Gastos!$D$2:$D$2500))</f>
        <v>0</v>
      </c>
      <c r="EG26" s="75">
        <f t="array" ref="EG26">SUM((YEAR(Gastos!$A$2:$A$2500)=EG$1)*(MONTH(Gastos!$A$2:$A$2500)=EG$3)*(Gastos!$B$2:$B$2500=$A26)*(Gastos!$D$2:$D$2500))</f>
        <v>0</v>
      </c>
      <c r="EH26" s="75">
        <f t="array" ref="EH26">SUM((YEAR(Gastos!$A$2:$A$2500)=EH$1)*(MONTH(Gastos!$A$2:$A$2500)=EH$3)*(Gastos!$B$2:$B$2500=$A26)*(Gastos!$D$2:$D$2500))</f>
        <v>0</v>
      </c>
      <c r="EI26" s="75">
        <f t="array" ref="EI26">SUM((YEAR(Gastos!$A$2:$A$2500)=EI$1)*(MONTH(Gastos!$A$2:$A$2500)=EI$3)*(Gastos!$B$2:$B$2500=$A26)*(Gastos!$D$2:$D$2500))</f>
        <v>0</v>
      </c>
      <c r="EJ26" s="75">
        <f t="array" ref="EJ26">SUM((YEAR(Gastos!$A$2:$A$2500)=EJ$1)*(MONTH(Gastos!$A$2:$A$2500)=EJ$3)*(Gastos!$B$2:$B$2500=$A26)*(Gastos!$D$2:$D$2500))</f>
        <v>0</v>
      </c>
      <c r="EK26" s="75">
        <f t="array" ref="EK26">SUM((YEAR(Gastos!$A$2:$A$2500)=EK$1)*(MONTH(Gastos!$A$2:$A$2500)=EK$3)*(Gastos!$B$2:$B$2500=$A26)*(Gastos!$D$2:$D$2500))</f>
        <v>0</v>
      </c>
      <c r="EL26" s="75">
        <f t="array" ref="EL26">SUM((YEAR(Gastos!$A$2:$A$2500)=EL$1)*(MONTH(Gastos!$A$2:$A$2500)=EL$3)*(Gastos!$B$2:$B$2500=$A26)*(Gastos!$D$2:$D$2500))</f>
        <v>0</v>
      </c>
      <c r="EM26" s="75">
        <f t="array" ref="EM26">SUM((YEAR(Gastos!$A$2:$A$2500)=EM$1)*(MONTH(Gastos!$A$2:$A$2500)=EM$3)*(Gastos!$B$2:$B$2500=$A26)*(Gastos!$D$2:$D$2500))</f>
        <v>0</v>
      </c>
      <c r="EN26" s="75">
        <f t="array" ref="EN26">SUM((YEAR(Gastos!$A$2:$A$2500)=EN$1)*(MONTH(Gastos!$A$2:$A$2500)=EN$3)*(Gastos!$B$2:$B$2500=$A26)*(Gastos!$D$2:$D$2500))</f>
        <v>0</v>
      </c>
      <c r="EO26" s="75">
        <f t="array" ref="EO26">SUM((YEAR(Gastos!$A$2:$A$2500)=EO$1)*(MONTH(Gastos!$A$2:$A$2500)=EO$3)*(Gastos!$B$2:$B$2500=$A26)*(Gastos!$D$2:$D$2500))</f>
        <v>0</v>
      </c>
      <c r="EP26" s="75">
        <f t="array" ref="EP26">SUM((YEAR(Gastos!$A$2:$A$2500)=EP$1)*(MONTH(Gastos!$A$2:$A$2500)=EP$3)*(Gastos!$B$2:$B$2500=$A26)*(Gastos!$D$2:$D$2500))</f>
        <v>0</v>
      </c>
      <c r="EQ26" s="75">
        <f t="array" ref="EQ26">SUM((YEAR(Gastos!$A$2:$A$2500)=EQ$1)*(MONTH(Gastos!$A$2:$A$2500)=EQ$3)*(Gastos!$B$2:$B$2500=$A26)*(Gastos!$D$2:$D$2500))</f>
        <v>0</v>
      </c>
      <c r="ER26" s="75">
        <f t="array" ref="ER26">SUM((YEAR(Gastos!$A$2:$A$2500)=ER$1)*(MONTH(Gastos!$A$2:$A$2500)=ER$3)*(Gastos!$B$2:$B$2500=$A26)*(Gastos!$D$2:$D$2500))</f>
        <v>0</v>
      </c>
      <c r="ES26" s="75">
        <f t="array" ref="ES26">SUM((YEAR(Gastos!$A$2:$A$2500)=ES$1)*(MONTH(Gastos!$A$2:$A$2500)=ES$3)*(Gastos!$B$2:$B$2500=$A26)*(Gastos!$D$2:$D$2500))</f>
        <v>0</v>
      </c>
      <c r="ET26" s="75">
        <f t="array" ref="ET26">SUM((YEAR(Gastos!$A$2:$A$2500)=ET$1)*(MONTH(Gastos!$A$2:$A$2500)=ET$3)*(Gastos!$B$2:$B$2500=$A26)*(Gastos!$D$2:$D$2500))</f>
        <v>0</v>
      </c>
      <c r="EU26" s="75">
        <f t="array" ref="EU26">SUM((YEAR(Gastos!$A$2:$A$2500)=EU$1)*(MONTH(Gastos!$A$2:$A$2500)=EU$3)*(Gastos!$B$2:$B$2500=$A26)*(Gastos!$D$2:$D$2500))</f>
        <v>0</v>
      </c>
      <c r="EV26" s="75">
        <f t="array" ref="EV26">SUM((YEAR(Gastos!$A$2:$A$2500)=EV$1)*(MONTH(Gastos!$A$2:$A$2500)=EV$3)*(Gastos!$B$2:$B$2500=$A26)*(Gastos!$D$2:$D$2500))</f>
        <v>0</v>
      </c>
      <c r="EW26" s="75">
        <f t="array" ref="EW26">SUM((YEAR(Gastos!$A$2:$A$2500)=EW$1)*(MONTH(Gastos!$A$2:$A$2500)=EW$3)*(Gastos!$B$2:$B$2500=$A26)*(Gastos!$D$2:$D$2500))</f>
        <v>0</v>
      </c>
      <c r="EX26" s="75">
        <f t="array" ref="EX26">SUM((YEAR(Gastos!$A$2:$A$2500)=EX$1)*(MONTH(Gastos!$A$2:$A$2500)=EX$3)*(Gastos!$B$2:$B$2500=$A26)*(Gastos!$D$2:$D$2500))</f>
        <v>0</v>
      </c>
      <c r="EY26" s="75">
        <f t="array" ref="EY26">SUM((YEAR(Gastos!$A$2:$A$2500)=EY$1)*(MONTH(Gastos!$A$2:$A$2500)=EY$3)*(Gastos!$B$2:$B$2500=$A26)*(Gastos!$D$2:$D$2500))</f>
        <v>0</v>
      </c>
      <c r="EZ26" s="75">
        <f t="array" ref="EZ26">SUM((YEAR(Gastos!$A$2:$A$2500)=EZ$1)*(MONTH(Gastos!$A$2:$A$2500)=EZ$3)*(Gastos!$B$2:$B$2500=$A26)*(Gastos!$D$2:$D$2500))</f>
        <v>0</v>
      </c>
      <c r="FA26" s="75">
        <f t="array" ref="FA26">SUM((YEAR(Gastos!$A$2:$A$2500)=FA$1)*(MONTH(Gastos!$A$2:$A$2500)=FA$3)*(Gastos!$B$2:$B$2500=$A26)*(Gastos!$D$2:$D$2500))</f>
        <v>0</v>
      </c>
      <c r="FB26" s="75">
        <f t="array" ref="FB26">SUM((YEAR(Gastos!$A$2:$A$2500)=FB$1)*(MONTH(Gastos!$A$2:$A$2500)=FB$3)*(Gastos!$B$2:$B$2500=$A26)*(Gastos!$D$2:$D$2500))</f>
        <v>0</v>
      </c>
      <c r="FC26" s="75">
        <f t="array" ref="FC26">SUM((YEAR(Gastos!$A$2:$A$2500)=FC$1)*(MONTH(Gastos!$A$2:$A$2500)=FC$3)*(Gastos!$B$2:$B$2500=$A26)*(Gastos!$D$2:$D$2500))</f>
        <v>0</v>
      </c>
      <c r="FD26" s="75">
        <f t="array" ref="FD26">SUM((YEAR(Gastos!$A$2:$A$2500)=FD$1)*(MONTH(Gastos!$A$2:$A$2500)=FD$3)*(Gastos!$B$2:$B$2500=$A26)*(Gastos!$D$2:$D$2500))</f>
        <v>0</v>
      </c>
      <c r="FE26" s="75">
        <f t="array" ref="FE26">SUM((YEAR(Gastos!$A$2:$A$2500)=FE$1)*(MONTH(Gastos!$A$2:$A$2500)=FE$3)*(Gastos!$B$2:$B$2500=$A26)*(Gastos!$D$2:$D$2500))</f>
        <v>0</v>
      </c>
      <c r="FF26" s="75">
        <f t="array" ref="FF26">SUM((YEAR(Gastos!$A$2:$A$2500)=FF$1)*(MONTH(Gastos!$A$2:$A$2500)=FF$3)*(Gastos!$B$2:$B$2500=$A26)*(Gastos!$D$2:$D$2500))</f>
        <v>0</v>
      </c>
      <c r="FG26" s="75">
        <f t="array" ref="FG26">SUM((YEAR(Gastos!$A$2:$A$2500)=FG$1)*(MONTH(Gastos!$A$2:$A$2500)=FG$3)*(Gastos!$B$2:$B$2500=$A26)*(Gastos!$D$2:$D$2500))</f>
        <v>0</v>
      </c>
      <c r="FH26" s="75">
        <f t="array" ref="FH26">SUM((YEAR(Gastos!$A$2:$A$2500)=FH$1)*(MONTH(Gastos!$A$2:$A$2500)=FH$3)*(Gastos!$B$2:$B$2500=$A26)*(Gastos!$D$2:$D$2500))</f>
        <v>0</v>
      </c>
      <c r="FI26" s="75">
        <f t="array" ref="FI26">SUM((YEAR(Gastos!$A$2:$A$2500)=FI$1)*(MONTH(Gastos!$A$2:$A$2500)=FI$3)*(Gastos!$B$2:$B$2500=$A26)*(Gastos!$D$2:$D$2500))</f>
        <v>0</v>
      </c>
      <c r="FJ26" s="75">
        <f t="array" ref="FJ26">SUM((YEAR(Gastos!$A$2:$A$2500)=FJ$1)*(MONTH(Gastos!$A$2:$A$2500)=FJ$3)*(Gastos!$B$2:$B$2500=$A26)*(Gastos!$D$2:$D$2500))</f>
        <v>0</v>
      </c>
      <c r="FK26" s="75">
        <f t="array" ref="FK26">SUM((YEAR(Gastos!$A$2:$A$2500)=FK$1)*(MONTH(Gastos!$A$2:$A$2500)=FK$3)*(Gastos!$B$2:$B$2500=$A26)*(Gastos!$D$2:$D$2500))</f>
        <v>0</v>
      </c>
      <c r="FL26" s="75">
        <f t="array" ref="FL26">SUM((YEAR(Gastos!$A$2:$A$2500)=FL$1)*(MONTH(Gastos!$A$2:$A$2500)=FL$3)*(Gastos!$B$2:$B$2500=$A26)*(Gastos!$D$2:$D$2500))</f>
        <v>0</v>
      </c>
      <c r="FM26" s="75">
        <f t="array" ref="FM26">SUM((YEAR(Gastos!$A$2:$A$2500)=FM$1)*(MONTH(Gastos!$A$2:$A$2500)=FM$3)*(Gastos!$B$2:$B$2500=$A26)*(Gastos!$D$2:$D$2500))</f>
        <v>0</v>
      </c>
      <c r="FN26" s="75">
        <f t="array" ref="FN26">SUM((YEAR(Gastos!$A$2:$A$2500)=FN$1)*(MONTH(Gastos!$A$2:$A$2500)=FN$3)*(Gastos!$B$2:$B$2500=$A26)*(Gastos!$D$2:$D$2500))</f>
        <v>0</v>
      </c>
      <c r="FO26" s="75">
        <f t="array" ref="FO26">SUM((YEAR(Gastos!$A$2:$A$2500)=FO$1)*(MONTH(Gastos!$A$2:$A$2500)=FO$3)*(Gastos!$B$2:$B$2500=$A26)*(Gastos!$D$2:$D$2500))</f>
        <v>0</v>
      </c>
      <c r="FP26" s="75">
        <f t="array" ref="FP26">SUM((YEAR(Gastos!$A$2:$A$2500)=FP$1)*(MONTH(Gastos!$A$2:$A$2500)=FP$3)*(Gastos!$B$2:$B$2500=$A26)*(Gastos!$D$2:$D$2500))</f>
        <v>0</v>
      </c>
      <c r="FQ26" s="75">
        <f t="array" ref="FQ26">SUM((YEAR(Gastos!$A$2:$A$2500)=FQ$1)*(MONTH(Gastos!$A$2:$A$2500)=FQ$3)*(Gastos!$B$2:$B$2500=$A26)*(Gastos!$D$2:$D$2500))</f>
        <v>0</v>
      </c>
      <c r="FR26" s="75">
        <f t="array" ref="FR26">SUM((YEAR(Gastos!$A$2:$A$2500)=FR$1)*(MONTH(Gastos!$A$2:$A$2500)=FR$3)*(Gastos!$B$2:$B$2500=$A26)*(Gastos!$D$2:$D$2500))</f>
        <v>0</v>
      </c>
      <c r="FS26" s="75">
        <f t="array" ref="FS26">SUM((YEAR(Gastos!$A$2:$A$2500)=FS$1)*(MONTH(Gastos!$A$2:$A$2500)=FS$3)*(Gastos!$B$2:$B$2500=$A26)*(Gastos!$D$2:$D$2500))</f>
        <v>0</v>
      </c>
      <c r="FT26" s="75">
        <f t="array" ref="FT26">SUM((YEAR(Gastos!$A$2:$A$2500)=FT$1)*(MONTH(Gastos!$A$2:$A$2500)=FT$3)*(Gastos!$B$2:$B$2500=$A26)*(Gastos!$D$2:$D$2500))</f>
        <v>0</v>
      </c>
      <c r="FU26" s="75">
        <f t="array" ref="FU26">SUM((YEAR(Gastos!$A$2:$A$2500)=FU$1)*(MONTH(Gastos!$A$2:$A$2500)=FU$3)*(Gastos!$B$2:$B$2500=$A26)*(Gastos!$D$2:$D$2500))</f>
        <v>0</v>
      </c>
      <c r="FV26" s="75">
        <f t="array" ref="FV26">SUM((YEAR(Gastos!$A$2:$A$2500)=FV$1)*(MONTH(Gastos!$A$2:$A$2500)=FV$3)*(Gastos!$B$2:$B$2500=$A26)*(Gastos!$D$2:$D$2500))</f>
        <v>0</v>
      </c>
      <c r="FW26" s="75">
        <f t="array" ref="FW26">SUM((YEAR(Gastos!$A$2:$A$2500)=FW$1)*(MONTH(Gastos!$A$2:$A$2500)=FW$3)*(Gastos!$B$2:$B$2500=$A26)*(Gastos!$D$2:$D$2500))</f>
        <v>0</v>
      </c>
      <c r="FX26" s="75">
        <f t="array" ref="FX26">SUM((YEAR(Gastos!$A$2:$A$2500)=FX$1)*(MONTH(Gastos!$A$2:$A$2500)=FX$3)*(Gastos!$B$2:$B$2500=$A26)*(Gastos!$D$2:$D$2500))</f>
        <v>0</v>
      </c>
      <c r="FY26" s="75">
        <f t="array" ref="FY26">SUM((YEAR(Gastos!$A$2:$A$2500)=FY$1)*(MONTH(Gastos!$A$2:$A$2500)=FY$3)*(Gastos!$B$2:$B$2500=$A26)*(Gastos!$D$2:$D$2500))</f>
        <v>0</v>
      </c>
      <c r="FZ26" s="76">
        <f t="shared" si="65"/>
        <v>1914</v>
      </c>
      <c r="GA26" s="80"/>
      <c r="GB26" s="78">
        <f t="shared" si="66"/>
        <v>1102</v>
      </c>
      <c r="GF26" s="79">
        <f t="array" ref="GF26">SUM(((Gastos!$A$2:$A$1647)&gt;=GD$3)*((Gastos!$A$2:$A$1647)&lt;=GF$3)*(Gastos!$B$2:$B$1647=$A26)*(Gastos!$D$2:$D$1647))</f>
        <v>1508</v>
      </c>
      <c r="GI26" s="79">
        <f t="array" ref="GI26">SUM(((Gastos!$A$2:$A$1647)&gt;=GG$3)*((Gastos!$A$2:$A$1647)&lt;=GI$3)*(Gastos!$B$2:$B$1647=$A26)*(Gastos!$D$2:$D$1647))</f>
        <v>406</v>
      </c>
    </row>
    <row r="27" spans="1:191" ht="15" thickBot="1" x14ac:dyDescent="0.4">
      <c r="A27" s="74" t="str">
        <f>Gastos!AA25</f>
        <v>V. COPIAS ESTADOS DE CUENTA</v>
      </c>
      <c r="B27" s="75">
        <f t="array" ref="B27">SUM((YEAR(Gastos!$A$2:$A$2500)=B$1)*(MONTH(Gastos!$A$2:$A$2500)=B$3)*(Gastos!$B$2:$B$2500=$A27)*(Gastos!$D$2:$D$2500))</f>
        <v>0</v>
      </c>
      <c r="C27" s="75">
        <f t="array" ref="C27">SUM((YEAR(Gastos!$A$2:$A$2500)=C$1)*(MONTH(Gastos!$A$2:$A$2500)=C$3)*(Gastos!$B$2:$B$2500=$A27)*(Gastos!$D$2:$D$2500))</f>
        <v>0</v>
      </c>
      <c r="D27" s="75">
        <f t="array" ref="D27">SUM((YEAR(Gastos!$A$2:$A$2500)=D$1)*(MONTH(Gastos!$A$2:$A$2500)=D$3)*(Gastos!$B$2:$B$2500=$A27)*(Gastos!$D$2:$D$2500))</f>
        <v>0</v>
      </c>
      <c r="E27" s="75">
        <f t="array" ref="E27">SUM((YEAR(Gastos!$A$2:$A$2500)=E$1)*(MONTH(Gastos!$A$2:$A$2500)=E$3)*(Gastos!$B$2:$B$2500=$A27)*(Gastos!$D$2:$D$2500))</f>
        <v>0</v>
      </c>
      <c r="F27" s="75">
        <f t="array" ref="F27">SUM((YEAR(Gastos!$A$2:$A$2500)=F$1)*(MONTH(Gastos!$A$2:$A$2500)=F$3)*(Gastos!$B$2:$B$2500=$A27)*(Gastos!$D$2:$D$2500))</f>
        <v>0</v>
      </c>
      <c r="G27" s="75">
        <f t="array" ref="G27">SUM((YEAR(Gastos!$A$2:$A$2500)=G$1)*(MONTH(Gastos!$A$2:$A$2500)=G$3)*(Gastos!$B$2:$B$2500=$A27)*(Gastos!$D$2:$D$2500))</f>
        <v>0</v>
      </c>
      <c r="H27" s="75">
        <f t="array" ref="H27">SUM((YEAR(Gastos!$A$2:$A$2500)=H$1)*(MONTH(Gastos!$A$2:$A$2500)=H$3)*(Gastos!$B$2:$B$2500=$A27)*(Gastos!$D$2:$D$2500))</f>
        <v>0</v>
      </c>
      <c r="I27" s="75">
        <f t="array" ref="I27">SUM((YEAR(Gastos!$A$2:$A$2500)=I$1)*(MONTH(Gastos!$A$2:$A$2500)=I$3)*(Gastos!$B$2:$B$2500=$A27)*(Gastos!$D$2:$D$2500))</f>
        <v>0</v>
      </c>
      <c r="J27" s="75">
        <f t="array" ref="J27">SUM((YEAR(Gastos!$A$2:$A$2500)=J$1)*(MONTH(Gastos!$A$2:$A$2500)=J$3)*(Gastos!$B$2:$B$2500=$A27)*(Gastos!$D$2:$D$2500))</f>
        <v>0</v>
      </c>
      <c r="K27" s="75">
        <f t="array" ref="K27">SUM((YEAR(Gastos!$A$2:$A$2500)=K$1)*(MONTH(Gastos!$A$2:$A$2500)=K$3)*(Gastos!$B$2:$B$2500=$A27)*(Gastos!$D$2:$D$2500))</f>
        <v>0</v>
      </c>
      <c r="L27" s="75">
        <f t="array" ref="L27">SUM((YEAR(Gastos!$A$2:$A$2500)=L$1)*(MONTH(Gastos!$A$2:$A$2500)=L$3)*(Gastos!$B$2:$B$2500=$A27)*(Gastos!$D$2:$D$2500))</f>
        <v>0</v>
      </c>
      <c r="M27" s="75">
        <f t="array" ref="M27">SUM((YEAR(Gastos!$A$2:$A$2500)=M$1)*(MONTH(Gastos!$A$2:$A$2500)=M$3)*(Gastos!$B$2:$B$2500=$A27)*(Gastos!$D$2:$D$2500))</f>
        <v>0</v>
      </c>
      <c r="N27" s="75">
        <f t="array" ref="N27">SUM((YEAR(Gastos!$A$2:$A$2500)=N$1)*(MONTH(Gastos!$A$2:$A$2500)=N$3)*(Gastos!$B$2:$B$2500=$A27)*(Gastos!$D$2:$D$2500))</f>
        <v>0</v>
      </c>
      <c r="O27" s="75">
        <f t="array" ref="O27">SUM((YEAR(Gastos!$A$2:$A$2500)=O$1)*(MONTH(Gastos!$A$2:$A$2500)=O$3)*(Gastos!$B$2:$B$2500=$A27)*(Gastos!$D$2:$D$2500))</f>
        <v>0</v>
      </c>
      <c r="P27" s="75">
        <f t="array" ref="P27">SUM((YEAR(Gastos!$A$2:$A$2500)=P$1)*(MONTH(Gastos!$A$2:$A$2500)=P$3)*(Gastos!$B$2:$B$2500=$A27)*(Gastos!$D$2:$D$2500))</f>
        <v>0</v>
      </c>
      <c r="Q27" s="75">
        <f t="array" ref="Q27">SUM((YEAR(Gastos!$A$2:$A$2500)=Q$1)*(MONTH(Gastos!$A$2:$A$2500)=Q$3)*(Gastos!$B$2:$B$2500=$A27)*(Gastos!$D$2:$D$2500))</f>
        <v>0</v>
      </c>
      <c r="R27" s="75">
        <f t="array" ref="R27">SUM((YEAR(Gastos!$A$2:$A$2500)=R$1)*(MONTH(Gastos!$A$2:$A$2500)=R$3)*(Gastos!$B$2:$B$2500=$A27)*(Gastos!$D$2:$D$2500))</f>
        <v>0</v>
      </c>
      <c r="S27" s="75">
        <f t="array" ref="S27">SUM((YEAR(Gastos!$A$2:$A$2500)=S$1)*(MONTH(Gastos!$A$2:$A$2500)=S$3)*(Gastos!$B$2:$B$2500=$A27)*(Gastos!$D$2:$D$2500))</f>
        <v>0</v>
      </c>
      <c r="T27" s="75">
        <f t="array" ref="T27">SUM((YEAR(Gastos!$A$2:$A$2500)=T$1)*(MONTH(Gastos!$A$2:$A$2500)=T$3)*(Gastos!$B$2:$B$2500=$A27)*(Gastos!$D$2:$D$2500))</f>
        <v>0</v>
      </c>
      <c r="U27" s="75">
        <f t="array" ref="U27">SUM((YEAR(Gastos!$A$2:$A$2500)=U$1)*(MONTH(Gastos!$A$2:$A$2500)=U$3)*(Gastos!$B$2:$B$2500=$A27)*(Gastos!$D$2:$D$2500))</f>
        <v>0</v>
      </c>
      <c r="V27" s="75">
        <f t="array" ref="V27">SUM((YEAR(Gastos!$A$2:$A$2500)=V$1)*(MONTH(Gastos!$A$2:$A$2500)=V$3)*(Gastos!$B$2:$B$2500=$A27)*(Gastos!$D$2:$D$2500))</f>
        <v>0</v>
      </c>
      <c r="W27" s="75">
        <f t="array" ref="W27">SUM((YEAR(Gastos!$A$2:$A$2500)=W$1)*(MONTH(Gastos!$A$2:$A$2500)=W$3)*(Gastos!$B$2:$B$2500=$A27)*(Gastos!$D$2:$D$2500))</f>
        <v>0</v>
      </c>
      <c r="X27" s="75">
        <f t="array" ref="X27">SUM((YEAR(Gastos!$A$2:$A$2500)=X$1)*(MONTH(Gastos!$A$2:$A$2500)=X$3)*(Gastos!$B$2:$B$2500=$A27)*(Gastos!$D$2:$D$2500))</f>
        <v>0</v>
      </c>
      <c r="Y27" s="75">
        <f t="array" ref="Y27">SUM((YEAR(Gastos!$A$2:$A$2500)=Y$1)*(MONTH(Gastos!$A$2:$A$2500)=Y$3)*(Gastos!$B$2:$B$2500=$A27)*(Gastos!$D$2:$D$2500))</f>
        <v>0</v>
      </c>
      <c r="Z27" s="75">
        <f t="array" ref="Z27">SUM((YEAR(Gastos!$A$2:$A$2500)=Z$1)*(MONTH(Gastos!$A$2:$A$2500)=Z$3)*(Gastos!$B$2:$B$2500=$A27)*(Gastos!$D$2:$D$2500))</f>
        <v>0</v>
      </c>
      <c r="AA27" s="75">
        <f t="array" ref="AA27">SUM((YEAR(Gastos!$A$2:$A$2500)=AA$1)*(MONTH(Gastos!$A$2:$A$2500)=AA$3)*(Gastos!$B$2:$B$2500=$A27)*(Gastos!$D$2:$D$2500))</f>
        <v>0</v>
      </c>
      <c r="AB27" s="75">
        <f t="array" ref="AB27">SUM((YEAR(Gastos!$A$2:$A$2500)=AB$1)*(MONTH(Gastos!$A$2:$A$2500)=AB$3)*(Gastos!$B$2:$B$2500=$A27)*(Gastos!$D$2:$D$2500))</f>
        <v>0</v>
      </c>
      <c r="AC27" s="75">
        <f t="array" ref="AC27">SUM((YEAR(Gastos!$A$2:$A$2500)=AC$1)*(MONTH(Gastos!$A$2:$A$2500)=AC$3)*(Gastos!$B$2:$B$2500=$A27)*(Gastos!$D$2:$D$2500))</f>
        <v>0</v>
      </c>
      <c r="AD27" s="75">
        <f t="array" ref="AD27">SUM((YEAR(Gastos!$A$2:$A$2500)=AD$1)*(MONTH(Gastos!$A$2:$A$2500)=AD$3)*(Gastos!$B$2:$B$2500=$A27)*(Gastos!$D$2:$D$2500))</f>
        <v>0</v>
      </c>
      <c r="AE27" s="75">
        <f t="array" ref="AE27">SUM((YEAR(Gastos!$A$2:$A$2500)=AE$1)*(MONTH(Gastos!$A$2:$A$2500)=AE$3)*(Gastos!$B$2:$B$2500=$A27)*(Gastos!$D$2:$D$2500))</f>
        <v>0</v>
      </c>
      <c r="AF27" s="75">
        <f t="array" ref="AF27">SUM((YEAR(Gastos!$A$2:$A$2500)=AF$1)*(MONTH(Gastos!$A$2:$A$2500)=AF$3)*(Gastos!$B$2:$B$2500=$A27)*(Gastos!$D$2:$D$2500))</f>
        <v>0</v>
      </c>
      <c r="AG27" s="75">
        <f t="array" ref="AG27">SUM((YEAR(Gastos!$A$2:$A$2500)=AG$1)*(MONTH(Gastos!$A$2:$A$2500)=AG$3)*(Gastos!$B$2:$B$2500=$A27)*(Gastos!$D$2:$D$2500))</f>
        <v>0</v>
      </c>
      <c r="AH27" s="75">
        <f t="array" ref="AH27">SUM((YEAR(Gastos!$A$2:$A$2500)=AH$1)*(MONTH(Gastos!$A$2:$A$2500)=AH$3)*(Gastos!$B$2:$B$2500=$A27)*(Gastos!$D$2:$D$2500))</f>
        <v>0</v>
      </c>
      <c r="AI27" s="75">
        <f t="array" ref="AI27">SUM((YEAR(Gastos!$A$2:$A$2500)=AI$1)*(MONTH(Gastos!$A$2:$A$2500)=AI$3)*(Gastos!$B$2:$B$2500=$A27)*(Gastos!$D$2:$D$2500))</f>
        <v>0</v>
      </c>
      <c r="AJ27" s="75">
        <f t="array" ref="AJ27">SUM((YEAR(Gastos!$A$2:$A$2500)=AJ$1)*(MONTH(Gastos!$A$2:$A$2500)=AJ$3)*(Gastos!$B$2:$B$2500=$A27)*(Gastos!$D$2:$D$2500))</f>
        <v>0</v>
      </c>
      <c r="AK27" s="75">
        <f t="array" ref="AK27">SUM((YEAR(Gastos!$A$2:$A$2500)=AK$1)*(MONTH(Gastos!$A$2:$A$2500)=AK$3)*(Gastos!$B$2:$B$2500=$A27)*(Gastos!$D$2:$D$2500))</f>
        <v>0</v>
      </c>
      <c r="AL27" s="75">
        <f t="array" ref="AL27">SUM((YEAR(Gastos!$A$2:$A$2500)=AL$1)*(MONTH(Gastos!$A$2:$A$2500)=AL$3)*(Gastos!$B$2:$B$2500=$A27)*(Gastos!$D$2:$D$2500))</f>
        <v>0</v>
      </c>
      <c r="AM27" s="75">
        <f t="array" ref="AM27">SUM((YEAR(Gastos!$A$2:$A$2500)=AM$1)*(MONTH(Gastos!$A$2:$A$2500)=AM$3)*(Gastos!$B$2:$B$2500=$A27)*(Gastos!$D$2:$D$2500))</f>
        <v>0</v>
      </c>
      <c r="AN27" s="75">
        <f t="array" ref="AN27">SUM((YEAR(Gastos!$A$2:$A$2500)=AN$1)*(MONTH(Gastos!$A$2:$A$2500)=AN$3)*(Gastos!$B$2:$B$2500=$A27)*(Gastos!$D$2:$D$2500))</f>
        <v>0</v>
      </c>
      <c r="AO27" s="75">
        <f t="array" ref="AO27">SUM((YEAR(Gastos!$A$2:$A$2500)=AO$1)*(MONTH(Gastos!$A$2:$A$2500)=AO$3)*(Gastos!$B$2:$B$2500=$A27)*(Gastos!$D$2:$D$2500))</f>
        <v>0</v>
      </c>
      <c r="AP27" s="75">
        <f t="array" ref="AP27">SUM((YEAR(Gastos!$A$2:$A$2500)=AP$1)*(MONTH(Gastos!$A$2:$A$2500)=AP$3)*(Gastos!$B$2:$B$2500=$A27)*(Gastos!$D$2:$D$2500))</f>
        <v>0</v>
      </c>
      <c r="AQ27" s="75">
        <f t="array" ref="AQ27">SUM((YEAR(Gastos!$A$2:$A$2500)=AQ$1)*(MONTH(Gastos!$A$2:$A$2500)=AQ$3)*(Gastos!$B$2:$B$2500=$A27)*(Gastos!$D$2:$D$2500))</f>
        <v>0</v>
      </c>
      <c r="AR27" s="75">
        <f t="array" ref="AR27">SUM((YEAR(Gastos!$A$2:$A$2500)=AR$1)*(MONTH(Gastos!$A$2:$A$2500)=AR$3)*(Gastos!$B$2:$B$2500=$A27)*(Gastos!$D$2:$D$2500))</f>
        <v>0</v>
      </c>
      <c r="AS27" s="75">
        <f t="array" ref="AS27">SUM((YEAR(Gastos!$A$2:$A$2500)=AS$1)*(MONTH(Gastos!$A$2:$A$2500)=AS$3)*(Gastos!$B$2:$B$2500=$A27)*(Gastos!$D$2:$D$2500))</f>
        <v>0</v>
      </c>
      <c r="AT27" s="75">
        <f t="array" ref="AT27">SUM((YEAR(Gastos!$A$2:$A$2500)=AT$1)*(MONTH(Gastos!$A$2:$A$2500)=AT$3)*(Gastos!$B$2:$B$2500=$A27)*(Gastos!$D$2:$D$2500))</f>
        <v>0</v>
      </c>
      <c r="AU27" s="75">
        <f t="array" ref="AU27">SUM((YEAR(Gastos!$A$2:$A$2500)=AU$1)*(MONTH(Gastos!$A$2:$A$2500)=AU$3)*(Gastos!$B$2:$B$2500=$A27)*(Gastos!$D$2:$D$2500))</f>
        <v>0</v>
      </c>
      <c r="AV27" s="75">
        <f t="array" ref="AV27">SUM((YEAR(Gastos!$A$2:$A$2500)=AV$1)*(MONTH(Gastos!$A$2:$A$2500)=AV$3)*(Gastos!$B$2:$B$2500=$A27)*(Gastos!$D$2:$D$2500))</f>
        <v>0</v>
      </c>
      <c r="AW27" s="75">
        <f t="array" ref="AW27">SUM((YEAR(Gastos!$A$2:$A$2500)=AW$1)*(MONTH(Gastos!$A$2:$A$2500)=AW$3)*(Gastos!$B$2:$B$2500=$A27)*(Gastos!$D$2:$D$2500))</f>
        <v>0</v>
      </c>
      <c r="AX27" s="75">
        <f t="array" ref="AX27">SUM((YEAR(Gastos!$A$2:$A$2500)=AX$1)*(MONTH(Gastos!$A$2:$A$2500)=AX$3)*(Gastos!$B$2:$B$2500=$A27)*(Gastos!$D$2:$D$2500))</f>
        <v>0</v>
      </c>
      <c r="AY27" s="75">
        <f t="array" ref="AY27">SUM((YEAR(Gastos!$A$2:$A$2500)=AY$1)*(MONTH(Gastos!$A$2:$A$2500)=AY$3)*(Gastos!$B$2:$B$2500=$A27)*(Gastos!$D$2:$D$2500))</f>
        <v>0</v>
      </c>
      <c r="AZ27" s="75">
        <f t="array" ref="AZ27">SUM((YEAR(Gastos!$A$2:$A$2500)=AZ$1)*(MONTH(Gastos!$A$2:$A$2500)=AZ$3)*(Gastos!$B$2:$B$2500=$A27)*(Gastos!$D$2:$D$2500))</f>
        <v>0</v>
      </c>
      <c r="BA27" s="75">
        <f t="array" ref="BA27">SUM((YEAR(Gastos!$A$2:$A$2500)=BA$1)*(MONTH(Gastos!$A$2:$A$2500)=BA$3)*(Gastos!$B$2:$B$2500=$A27)*(Gastos!$D$2:$D$2500))</f>
        <v>0</v>
      </c>
      <c r="BB27" s="75">
        <f t="array" ref="BB27">SUM((YEAR(Gastos!$A$2:$A$2500)=BB$1)*(MONTH(Gastos!$A$2:$A$2500)=BB$3)*(Gastos!$B$2:$B$2500=$A27)*(Gastos!$D$2:$D$2500))</f>
        <v>0</v>
      </c>
      <c r="BC27" s="75">
        <f t="array" ref="BC27">SUM((YEAR(Gastos!$A$2:$A$2500)=BC$1)*(MONTH(Gastos!$A$2:$A$2500)=BC$3)*(Gastos!$B$2:$B$2500=$A27)*(Gastos!$D$2:$D$2500))</f>
        <v>0</v>
      </c>
      <c r="BD27" s="75">
        <f t="array" ref="BD27">SUM((YEAR(Gastos!$A$2:$A$2500)=BD$1)*(MONTH(Gastos!$A$2:$A$2500)=BD$3)*(Gastos!$B$2:$B$2500=$A27)*(Gastos!$D$2:$D$2500))</f>
        <v>0</v>
      </c>
      <c r="BE27" s="75">
        <f t="array" ref="BE27">SUM((YEAR(Gastos!$A$2:$A$2500)=BE$1)*(MONTH(Gastos!$A$2:$A$2500)=BE$3)*(Gastos!$B$2:$B$2500=$A27)*(Gastos!$D$2:$D$2500))</f>
        <v>0</v>
      </c>
      <c r="BF27" s="75">
        <f t="array" ref="BF27">SUM((YEAR(Gastos!$A$2:$A$2500)=BF$1)*(MONTH(Gastos!$A$2:$A$2500)=BF$3)*(Gastos!$B$2:$B$2500=$A27)*(Gastos!$D$2:$D$2500))</f>
        <v>0</v>
      </c>
      <c r="BG27" s="75">
        <f t="array" ref="BG27">SUM((YEAR(Gastos!$A$2:$A$2500)=BG$1)*(MONTH(Gastos!$A$2:$A$2500)=BG$3)*(Gastos!$B$2:$B$2500=$A27)*(Gastos!$D$2:$D$2500))</f>
        <v>0</v>
      </c>
      <c r="BH27" s="75">
        <f t="array" ref="BH27">SUM((YEAR(Gastos!$A$2:$A$2500)=BH$1)*(MONTH(Gastos!$A$2:$A$2500)=BH$3)*(Gastos!$B$2:$B$2500=$A27)*(Gastos!$D$2:$D$2500))</f>
        <v>0</v>
      </c>
      <c r="BI27" s="75">
        <f t="array" ref="BI27">SUM((YEAR(Gastos!$A$2:$A$2500)=BI$1)*(MONTH(Gastos!$A$2:$A$2500)=BI$3)*(Gastos!$B$2:$B$2500=$A27)*(Gastos!$D$2:$D$2500))</f>
        <v>0</v>
      </c>
      <c r="BJ27" s="75">
        <f t="array" ref="BJ27">SUM((YEAR(Gastos!$A$2:$A$2500)=BJ$1)*(MONTH(Gastos!$A$2:$A$2500)=BJ$3)*(Gastos!$B$2:$B$2500=$A27)*(Gastos!$D$2:$D$2500))</f>
        <v>0</v>
      </c>
      <c r="BK27" s="75">
        <f t="array" ref="BK27">SUM((YEAR(Gastos!$A$2:$A$2500)=BK$1)*(MONTH(Gastos!$A$2:$A$2500)=BK$3)*(Gastos!$B$2:$B$2500=$A27)*(Gastos!$D$2:$D$2500))</f>
        <v>0</v>
      </c>
      <c r="BL27" s="75">
        <f t="array" ref="BL27">SUM((YEAR(Gastos!$A$2:$A$2500)=BL$1)*(MONTH(Gastos!$A$2:$A$2500)=BL$3)*(Gastos!$B$2:$B$2500=$A27)*(Gastos!$D$2:$D$2500))</f>
        <v>0</v>
      </c>
      <c r="BM27" s="75">
        <f t="array" ref="BM27">SUM((YEAR(Gastos!$A$2:$A$2500)=BM$1)*(MONTH(Gastos!$A$2:$A$2500)=BM$3)*(Gastos!$B$2:$B$2500=$A27)*(Gastos!$D$2:$D$2500))</f>
        <v>678.60000000000014</v>
      </c>
      <c r="BN27" s="75">
        <f t="array" ref="BN27">SUM((YEAR(Gastos!$A$2:$A$2500)=BN$1)*(MONTH(Gastos!$A$2:$A$2500)=BN$3)*(Gastos!$B$2:$B$2500=$A27)*(Gastos!$D$2:$D$2500))</f>
        <v>0</v>
      </c>
      <c r="BO27" s="75">
        <f t="array" ref="BO27">SUM((YEAR(Gastos!$A$2:$A$2500)=BO$1)*(MONTH(Gastos!$A$2:$A$2500)=BO$3)*(Gastos!$B$2:$B$2500=$A27)*(Gastos!$D$2:$D$2500))</f>
        <v>0</v>
      </c>
      <c r="BP27" s="75">
        <f t="array" ref="BP27">SUM((YEAR(Gastos!$A$2:$A$2500)=BP$1)*(MONTH(Gastos!$A$2:$A$2500)=BP$3)*(Gastos!$B$2:$B$2500=$A27)*(Gastos!$D$2:$D$2500))</f>
        <v>0</v>
      </c>
      <c r="BQ27" s="75">
        <f t="array" ref="BQ27">SUM((YEAR(Gastos!$A$2:$A$2500)=BQ$1)*(MONTH(Gastos!$A$2:$A$2500)=BQ$3)*(Gastos!$B$2:$B$2500=$A27)*(Gastos!$D$2:$D$2500))</f>
        <v>0</v>
      </c>
      <c r="BR27" s="75">
        <f t="array" ref="BR27">SUM((YEAR(Gastos!$A$2:$A$2500)=BR$1)*(MONTH(Gastos!$A$2:$A$2500)=BR$3)*(Gastos!$B$2:$B$2500=$A27)*(Gastos!$D$2:$D$2500))</f>
        <v>0</v>
      </c>
      <c r="BS27" s="75">
        <f t="array" ref="BS27">SUM((YEAR(Gastos!$A$2:$A$2500)=BS$1)*(MONTH(Gastos!$A$2:$A$2500)=BS$3)*(Gastos!$B$2:$B$2500=$A27)*(Gastos!$D$2:$D$2500))</f>
        <v>0</v>
      </c>
      <c r="BT27" s="75">
        <f t="array" ref="BT27">SUM((YEAR(Gastos!$A$2:$A$2500)=BT$1)*(MONTH(Gastos!$A$2:$A$2500)=BT$3)*(Gastos!$B$2:$B$2500=$A27)*(Gastos!$D$2:$D$2500))</f>
        <v>0</v>
      </c>
      <c r="BU27" s="75">
        <f t="array" ref="BU27">SUM((YEAR(Gastos!$A$2:$A$2500)=BU$1)*(MONTH(Gastos!$A$2:$A$2500)=BU$3)*(Gastos!$B$2:$B$2500=$A27)*(Gastos!$D$2:$D$2500))</f>
        <v>0</v>
      </c>
      <c r="BV27" s="75">
        <f t="array" ref="BV27">SUM((YEAR(Gastos!$A$2:$A$2500)=BV$1)*(MONTH(Gastos!$A$2:$A$2500)=BV$3)*(Gastos!$B$2:$B$2500=$A27)*(Gastos!$D$2:$D$2500))</f>
        <v>0</v>
      </c>
      <c r="BW27" s="75">
        <f t="array" ref="BW27">SUM((YEAR(Gastos!$A$2:$A$2500)=BW$1)*(MONTH(Gastos!$A$2:$A$2500)=BW$3)*(Gastos!$B$2:$B$2500=$A27)*(Gastos!$D$2:$D$2500))</f>
        <v>0</v>
      </c>
      <c r="BX27" s="75">
        <f t="array" ref="BX27">SUM((YEAR(Gastos!$A$2:$A$2500)=BX$1)*(MONTH(Gastos!$A$2:$A$2500)=BX$3)*(Gastos!$B$2:$B$2500=$A27)*(Gastos!$D$2:$D$2500))</f>
        <v>0</v>
      </c>
      <c r="BY27" s="75">
        <f t="array" ref="BY27">SUM((YEAR(Gastos!$A$2:$A$2500)=BY$1)*(MONTH(Gastos!$A$2:$A$2500)=BY$3)*(Gastos!$B$2:$B$2500=$A27)*(Gastos!$D$2:$D$2500))</f>
        <v>0</v>
      </c>
      <c r="BZ27" s="75">
        <f t="array" ref="BZ27">SUM((YEAR(Gastos!$A$2:$A$2500)=BZ$1)*(MONTH(Gastos!$A$2:$A$2500)=BZ$3)*(Gastos!$B$2:$B$2500=$A27)*(Gastos!$D$2:$D$2500))</f>
        <v>0</v>
      </c>
      <c r="CA27" s="75">
        <f t="array" ref="CA27">SUM((YEAR(Gastos!$A$2:$A$2500)=CA$1)*(MONTH(Gastos!$A$2:$A$2500)=CA$3)*(Gastos!$B$2:$B$2500=$A27)*(Gastos!$D$2:$D$2500))</f>
        <v>0</v>
      </c>
      <c r="CB27" s="75">
        <f t="array" ref="CB27">SUM((YEAR(Gastos!$A$2:$A$2500)=CB$1)*(MONTH(Gastos!$A$2:$A$2500)=CB$3)*(Gastos!$B$2:$B$2500=$A27)*(Gastos!$D$2:$D$2500))</f>
        <v>0</v>
      </c>
      <c r="CC27" s="75">
        <f t="array" ref="CC27">SUM((YEAR(Gastos!$A$2:$A$2500)=CC$1)*(MONTH(Gastos!$A$2:$A$2500)=CC$3)*(Gastos!$B$2:$B$2500=$A27)*(Gastos!$D$2:$D$2500))</f>
        <v>0</v>
      </c>
      <c r="CD27" s="75">
        <f t="array" ref="CD27">SUM((YEAR(Gastos!$A$2:$A$2500)=CD$1)*(MONTH(Gastos!$A$2:$A$2500)=CD$3)*(Gastos!$B$2:$B$2500=$A27)*(Gastos!$D$2:$D$2500))</f>
        <v>0</v>
      </c>
      <c r="CE27" s="75">
        <f t="array" ref="CE27">SUM((YEAR(Gastos!$A$2:$A$2500)=CE$1)*(MONTH(Gastos!$A$2:$A$2500)=CE$3)*(Gastos!$B$2:$B$2500=$A27)*(Gastos!$D$2:$D$2500))</f>
        <v>45.24</v>
      </c>
      <c r="CF27" s="75">
        <f t="array" ref="CF27">SUM((YEAR(Gastos!$A$2:$A$2500)=CF$1)*(MONTH(Gastos!$A$2:$A$2500)=CF$3)*(Gastos!$B$2:$B$2500=$A27)*(Gastos!$D$2:$D$2500))</f>
        <v>0</v>
      </c>
      <c r="CG27" s="75">
        <f t="array" ref="CG27">SUM((YEAR(Gastos!$A$2:$A$2500)=CG$1)*(MONTH(Gastos!$A$2:$A$2500)=CG$3)*(Gastos!$B$2:$B$2500=$A27)*(Gastos!$D$2:$D$2500))</f>
        <v>0</v>
      </c>
      <c r="CH27" s="75">
        <f t="array" ref="CH27">SUM((YEAR(Gastos!$A$2:$A$2500)=CH$1)*(MONTH(Gastos!$A$2:$A$2500)=CH$3)*(Gastos!$B$2:$B$2500=$A27)*(Gastos!$D$2:$D$2500))</f>
        <v>0</v>
      </c>
      <c r="CI27" s="75">
        <f t="array" ref="CI27">SUM((YEAR(Gastos!$A$2:$A$2500)=CI$1)*(MONTH(Gastos!$A$2:$A$2500)=CI$3)*(Gastos!$B$2:$B$2500=$A27)*(Gastos!$D$2:$D$2500))</f>
        <v>0</v>
      </c>
      <c r="CJ27" s="75">
        <f t="array" ref="CJ27">SUM((YEAR(Gastos!$A$2:$A$2500)=CJ$1)*(MONTH(Gastos!$A$2:$A$2500)=CJ$3)*(Gastos!$B$2:$B$2500=$A27)*(Gastos!$D$2:$D$2500))</f>
        <v>0</v>
      </c>
      <c r="CK27" s="75">
        <f t="array" ref="CK27">SUM((YEAR(Gastos!$A$2:$A$2500)=CK$1)*(MONTH(Gastos!$A$2:$A$2500)=CK$3)*(Gastos!$B$2:$B$2500=$A27)*(Gastos!$D$2:$D$2500))</f>
        <v>0</v>
      </c>
      <c r="CL27" s="75">
        <f t="array" ref="CL27">SUM((YEAR(Gastos!$A$2:$A$2500)=CL$1)*(MONTH(Gastos!$A$2:$A$2500)=CL$3)*(Gastos!$B$2:$B$2500=$A27)*(Gastos!$D$2:$D$2500))</f>
        <v>0</v>
      </c>
      <c r="CM27" s="75">
        <f t="array" ref="CM27">SUM((YEAR(Gastos!$A$2:$A$2500)=CM$1)*(MONTH(Gastos!$A$2:$A$2500)=CM$3)*(Gastos!$B$2:$B$2500=$A27)*(Gastos!$D$2:$D$2500))</f>
        <v>0</v>
      </c>
      <c r="CN27" s="75">
        <f t="array" ref="CN27">SUM((YEAR(Gastos!$A$2:$A$2500)=CN$1)*(MONTH(Gastos!$A$2:$A$2500)=CN$3)*(Gastos!$B$2:$B$2500=$A27)*(Gastos!$D$2:$D$2500))</f>
        <v>0</v>
      </c>
      <c r="CO27" s="75">
        <f t="array" ref="CO27">SUM((YEAR(Gastos!$A$2:$A$2500)=CO$1)*(MONTH(Gastos!$A$2:$A$2500)=CO$3)*(Gastos!$B$2:$B$2500=$A27)*(Gastos!$D$2:$D$2500))</f>
        <v>0</v>
      </c>
      <c r="CP27" s="75">
        <f t="array" ref="CP27">SUM((YEAR(Gastos!$A$2:$A$2500)=CP$1)*(MONTH(Gastos!$A$2:$A$2500)=CP$3)*(Gastos!$B$2:$B$2500=$A27)*(Gastos!$D$2:$D$2500))</f>
        <v>0</v>
      </c>
      <c r="CQ27" s="75">
        <f t="array" ref="CQ27">SUM((YEAR(Gastos!$A$2:$A$2500)=CQ$1)*(MONTH(Gastos!$A$2:$A$2500)=CQ$3)*(Gastos!$B$2:$B$2500=$A27)*(Gastos!$D$2:$D$2500))</f>
        <v>0</v>
      </c>
      <c r="CR27" s="75">
        <f t="array" ref="CR27">SUM((YEAR(Gastos!$A$2:$A$2500)=CR$1)*(MONTH(Gastos!$A$2:$A$2500)=CR$3)*(Gastos!$B$2:$B$2500=$A27)*(Gastos!$D$2:$D$2500))</f>
        <v>0</v>
      </c>
      <c r="CS27" s="75">
        <f t="array" ref="CS27">SUM((YEAR(Gastos!$A$2:$A$2500)=CS$1)*(MONTH(Gastos!$A$2:$A$2500)=CS$3)*(Gastos!$B$2:$B$2500=$A27)*(Gastos!$D$2:$D$2500))</f>
        <v>0</v>
      </c>
      <c r="CT27" s="75">
        <f t="array" ref="CT27">SUM((YEAR(Gastos!$A$2:$A$2500)=CT$1)*(MONTH(Gastos!$A$2:$A$2500)=CT$3)*(Gastos!$B$2:$B$2500=$A27)*(Gastos!$D$2:$D$2500))</f>
        <v>0</v>
      </c>
      <c r="CU27" s="75">
        <f t="array" ref="CU27">SUM((YEAR(Gastos!$A$2:$A$2500)=CU$1)*(MONTH(Gastos!$A$2:$A$2500)=CU$3)*(Gastos!$B$2:$B$2500=$A27)*(Gastos!$D$2:$D$2500))</f>
        <v>0</v>
      </c>
      <c r="CV27" s="75">
        <f t="array" ref="CV27">SUM((YEAR(Gastos!$A$2:$A$2500)=CV$1)*(MONTH(Gastos!$A$2:$A$2500)=CV$3)*(Gastos!$B$2:$B$2500=$A27)*(Gastos!$D$2:$D$2500))</f>
        <v>0</v>
      </c>
      <c r="CW27" s="75">
        <f t="array" ref="CW27">SUM((YEAR(Gastos!$A$2:$A$2500)=CW$1)*(MONTH(Gastos!$A$2:$A$2500)=CW$3)*(Gastos!$B$2:$B$2500=$A27)*(Gastos!$D$2:$D$2500))</f>
        <v>0</v>
      </c>
      <c r="CX27" s="75">
        <f t="array" ref="CX27">SUM((YEAR(Gastos!$A$2:$A$2500)=CX$1)*(MONTH(Gastos!$A$2:$A$2500)=CX$3)*(Gastos!$B$2:$B$2500=$A27)*(Gastos!$D$2:$D$2500))</f>
        <v>0</v>
      </c>
      <c r="CY27" s="75">
        <f t="array" ref="CY27">SUM((YEAR(Gastos!$A$2:$A$2500)=CY$1)*(MONTH(Gastos!$A$2:$A$2500)=CY$3)*(Gastos!$B$2:$B$2500=$A27)*(Gastos!$D$2:$D$2500))</f>
        <v>0</v>
      </c>
      <c r="CZ27" s="75">
        <f t="array" ref="CZ27">SUM((YEAR(Gastos!$A$2:$A$2500)=CZ$1)*(MONTH(Gastos!$A$2:$A$2500)=CZ$3)*(Gastos!$B$2:$B$2500=$A27)*(Gastos!$D$2:$D$2500))</f>
        <v>0</v>
      </c>
      <c r="DA27" s="75">
        <f t="array" ref="DA27">SUM((YEAR(Gastos!$A$2:$A$2500)=DA$1)*(MONTH(Gastos!$A$2:$A$2500)=DA$3)*(Gastos!$B$2:$B$2500=$A27)*(Gastos!$D$2:$D$2500))</f>
        <v>0</v>
      </c>
      <c r="DB27" s="75">
        <f t="array" ref="DB27">SUM((YEAR(Gastos!$A$2:$A$2500)=DB$1)*(MONTH(Gastos!$A$2:$A$2500)=DB$3)*(Gastos!$B$2:$B$2500=$A27)*(Gastos!$D$2:$D$2500))</f>
        <v>0</v>
      </c>
      <c r="DC27" s="75">
        <f t="array" ref="DC27">SUM((YEAR(Gastos!$A$2:$A$2500)=DC$1)*(MONTH(Gastos!$A$2:$A$2500)=DC$3)*(Gastos!$B$2:$B$2500=$A27)*(Gastos!$D$2:$D$2500))</f>
        <v>0</v>
      </c>
      <c r="DD27" s="75">
        <f t="array" ref="DD27">SUM((YEAR(Gastos!$A$2:$A$2500)=DD$1)*(MONTH(Gastos!$A$2:$A$2500)=DD$3)*(Gastos!$B$2:$B$2500=$A27)*(Gastos!$D$2:$D$2500))</f>
        <v>0</v>
      </c>
      <c r="DE27" s="75">
        <f t="array" ref="DE27">SUM((YEAR(Gastos!$A$2:$A$2500)=DE$1)*(MONTH(Gastos!$A$2:$A$2500)=DE$3)*(Gastos!$B$2:$B$2500=$A27)*(Gastos!$D$2:$D$2500))</f>
        <v>0</v>
      </c>
      <c r="DF27" s="75">
        <f t="array" ref="DF27">SUM((YEAR(Gastos!$A$2:$A$2500)=DF$1)*(MONTH(Gastos!$A$2:$A$2500)=DF$3)*(Gastos!$B$2:$B$2500=$A27)*(Gastos!$D$2:$D$2500))</f>
        <v>0</v>
      </c>
      <c r="DG27" s="75">
        <f t="array" ref="DG27">SUM((YEAR(Gastos!$A$2:$A$2500)=DG$1)*(MONTH(Gastos!$A$2:$A$2500)=DG$3)*(Gastos!$B$2:$B$2500=$A27)*(Gastos!$D$2:$D$2500))</f>
        <v>0</v>
      </c>
      <c r="DH27" s="75">
        <f t="array" ref="DH27">SUM((YEAR(Gastos!$A$2:$A$2500)=DH$1)*(MONTH(Gastos!$A$2:$A$2500)=DH$3)*(Gastos!$B$2:$B$2500=$A27)*(Gastos!$D$2:$D$2500))</f>
        <v>0</v>
      </c>
      <c r="DI27" s="75">
        <f t="array" ref="DI27">SUM((YEAR(Gastos!$A$2:$A$2500)=DI$1)*(MONTH(Gastos!$A$2:$A$2500)=DI$3)*(Gastos!$B$2:$B$2500=$A27)*(Gastos!$D$2:$D$2500))</f>
        <v>0</v>
      </c>
      <c r="DJ27" s="75">
        <f t="array" ref="DJ27">SUM((YEAR(Gastos!$A$2:$A$2500)=DJ$1)*(MONTH(Gastos!$A$2:$A$2500)=DJ$3)*(Gastos!$B$2:$B$2500=$A27)*(Gastos!$D$2:$D$2500))</f>
        <v>0</v>
      </c>
      <c r="DK27" s="75">
        <f t="array" ref="DK27">SUM((YEAR(Gastos!$A$2:$A$2500)=DK$1)*(MONTH(Gastos!$A$2:$A$2500)=DK$3)*(Gastos!$B$2:$B$2500=$A27)*(Gastos!$D$2:$D$2500))</f>
        <v>0</v>
      </c>
      <c r="DL27" s="75">
        <f t="array" ref="DL27">SUM((YEAR(Gastos!$A$2:$A$2500)=DL$1)*(MONTH(Gastos!$A$2:$A$2500)=DL$3)*(Gastos!$B$2:$B$2500=$A27)*(Gastos!$D$2:$D$2500))</f>
        <v>0</v>
      </c>
      <c r="DM27" s="75">
        <f t="array" ref="DM27">SUM((YEAR(Gastos!$A$2:$A$2500)=DM$1)*(MONTH(Gastos!$A$2:$A$2500)=DM$3)*(Gastos!$B$2:$B$2500=$A27)*(Gastos!$D$2:$D$2500))</f>
        <v>0</v>
      </c>
      <c r="DN27" s="75">
        <f t="array" ref="DN27">SUM((YEAR(Gastos!$A$2:$A$2500)=DN$1)*(MONTH(Gastos!$A$2:$A$2500)=DN$3)*(Gastos!$B$2:$B$2500=$A27)*(Gastos!$D$2:$D$2500))</f>
        <v>0</v>
      </c>
      <c r="DO27" s="75">
        <f t="array" ref="DO27">SUM((YEAR(Gastos!$A$2:$A$2500)=DO$1)*(MONTH(Gastos!$A$2:$A$2500)=DO$3)*(Gastos!$B$2:$B$2500=$A27)*(Gastos!$D$2:$D$2500))</f>
        <v>0</v>
      </c>
      <c r="DP27" s="75">
        <f t="array" ref="DP27">SUM((YEAR(Gastos!$A$2:$A$2500)=DP$1)*(MONTH(Gastos!$A$2:$A$2500)=DP$3)*(Gastos!$B$2:$B$2500=$A27)*(Gastos!$D$2:$D$2500))</f>
        <v>0</v>
      </c>
      <c r="DQ27" s="75">
        <f t="array" ref="DQ27">SUM((YEAR(Gastos!$A$2:$A$2500)=DQ$1)*(MONTH(Gastos!$A$2:$A$2500)=DQ$3)*(Gastos!$B$2:$B$2500=$A27)*(Gastos!$D$2:$D$2500))</f>
        <v>0</v>
      </c>
      <c r="DR27" s="75">
        <f t="array" ref="DR27">SUM((YEAR(Gastos!$A$2:$A$2500)=DR$1)*(MONTH(Gastos!$A$2:$A$2500)=DR$3)*(Gastos!$B$2:$B$2500=$A27)*(Gastos!$D$2:$D$2500))</f>
        <v>0</v>
      </c>
      <c r="DS27" s="75">
        <f t="array" ref="DS27">SUM((YEAR(Gastos!$A$2:$A$2500)=DS$1)*(MONTH(Gastos!$A$2:$A$2500)=DS$3)*(Gastos!$B$2:$B$2500=$A27)*(Gastos!$D$2:$D$2500))</f>
        <v>0</v>
      </c>
      <c r="DT27" s="75">
        <f t="array" ref="DT27">SUM((YEAR(Gastos!$A$2:$A$2500)=DT$1)*(MONTH(Gastos!$A$2:$A$2500)=DT$3)*(Gastos!$B$2:$B$2500=$A27)*(Gastos!$D$2:$D$2500))</f>
        <v>0</v>
      </c>
      <c r="DU27" s="75">
        <f t="array" ref="DU27">SUM((YEAR(Gastos!$A$2:$A$2500)=DU$1)*(MONTH(Gastos!$A$2:$A$2500)=DU$3)*(Gastos!$B$2:$B$2500=$A27)*(Gastos!$D$2:$D$2500))</f>
        <v>0</v>
      </c>
      <c r="DV27" s="75">
        <f t="array" ref="DV27">SUM((YEAR(Gastos!$A$2:$A$2500)=DV$1)*(MONTH(Gastos!$A$2:$A$2500)=DV$3)*(Gastos!$B$2:$B$2500=$A27)*(Gastos!$D$2:$D$2500))</f>
        <v>0</v>
      </c>
      <c r="DW27" s="75">
        <f t="array" ref="DW27">SUM((YEAR(Gastos!$A$2:$A$2500)=DW$1)*(MONTH(Gastos!$A$2:$A$2500)=DW$3)*(Gastos!$B$2:$B$2500=$A27)*(Gastos!$D$2:$D$2500))</f>
        <v>0</v>
      </c>
      <c r="DX27" s="75">
        <f t="array" ref="DX27">SUM((YEAR(Gastos!$A$2:$A$2500)=DX$1)*(MONTH(Gastos!$A$2:$A$2500)=DX$3)*(Gastos!$B$2:$B$2500=$A27)*(Gastos!$D$2:$D$2500))</f>
        <v>0</v>
      </c>
      <c r="DY27" s="75">
        <f t="array" ref="DY27">SUM((YEAR(Gastos!$A$2:$A$2500)=DY$1)*(MONTH(Gastos!$A$2:$A$2500)=DY$3)*(Gastos!$B$2:$B$2500=$A27)*(Gastos!$D$2:$D$2500))</f>
        <v>0</v>
      </c>
      <c r="DZ27" s="75">
        <f t="array" ref="DZ27">SUM((YEAR(Gastos!$A$2:$A$2500)=DZ$1)*(MONTH(Gastos!$A$2:$A$2500)=DZ$3)*(Gastos!$B$2:$B$2500=$A27)*(Gastos!$D$2:$D$2500))</f>
        <v>0</v>
      </c>
      <c r="EA27" s="75">
        <f t="array" ref="EA27">SUM((YEAR(Gastos!$A$2:$A$2500)=EA$1)*(MONTH(Gastos!$A$2:$A$2500)=EA$3)*(Gastos!$B$2:$B$2500=$A27)*(Gastos!$D$2:$D$2500))</f>
        <v>0</v>
      </c>
      <c r="EB27" s="75">
        <f t="array" ref="EB27">SUM((YEAR(Gastos!$A$2:$A$2500)=EB$1)*(MONTH(Gastos!$A$2:$A$2500)=EB$3)*(Gastos!$B$2:$B$2500=$A27)*(Gastos!$D$2:$D$2500))</f>
        <v>0</v>
      </c>
      <c r="EC27" s="75">
        <f t="array" ref="EC27">SUM((YEAR(Gastos!$A$2:$A$2500)=EC$1)*(MONTH(Gastos!$A$2:$A$2500)=EC$3)*(Gastos!$B$2:$B$2500=$A27)*(Gastos!$D$2:$D$2500))</f>
        <v>0</v>
      </c>
      <c r="ED27" s="75">
        <f t="array" ref="ED27">SUM((YEAR(Gastos!$A$2:$A$2500)=ED$1)*(MONTH(Gastos!$A$2:$A$2500)=ED$3)*(Gastos!$B$2:$B$2500=$A27)*(Gastos!$D$2:$D$2500))</f>
        <v>0</v>
      </c>
      <c r="EE27" s="75">
        <f t="array" ref="EE27">SUM((YEAR(Gastos!$A$2:$A$2500)=EE$1)*(MONTH(Gastos!$A$2:$A$2500)=EE$3)*(Gastos!$B$2:$B$2500=$A27)*(Gastos!$D$2:$D$2500))</f>
        <v>0</v>
      </c>
      <c r="EF27" s="75">
        <f t="array" ref="EF27">SUM((YEAR(Gastos!$A$2:$A$2500)=EF$1)*(MONTH(Gastos!$A$2:$A$2500)=EF$3)*(Gastos!$B$2:$B$2500=$A27)*(Gastos!$D$2:$D$2500))</f>
        <v>0</v>
      </c>
      <c r="EG27" s="75">
        <f t="array" ref="EG27">SUM((YEAR(Gastos!$A$2:$A$2500)=EG$1)*(MONTH(Gastos!$A$2:$A$2500)=EG$3)*(Gastos!$B$2:$B$2500=$A27)*(Gastos!$D$2:$D$2500))</f>
        <v>0</v>
      </c>
      <c r="EH27" s="75">
        <f t="array" ref="EH27">SUM((YEAR(Gastos!$A$2:$A$2500)=EH$1)*(MONTH(Gastos!$A$2:$A$2500)=EH$3)*(Gastos!$B$2:$B$2500=$A27)*(Gastos!$D$2:$D$2500))</f>
        <v>0</v>
      </c>
      <c r="EI27" s="75">
        <f t="array" ref="EI27">SUM((YEAR(Gastos!$A$2:$A$2500)=EI$1)*(MONTH(Gastos!$A$2:$A$2500)=EI$3)*(Gastos!$B$2:$B$2500=$A27)*(Gastos!$D$2:$D$2500))</f>
        <v>0</v>
      </c>
      <c r="EJ27" s="75">
        <f t="array" ref="EJ27">SUM((YEAR(Gastos!$A$2:$A$2500)=EJ$1)*(MONTH(Gastos!$A$2:$A$2500)=EJ$3)*(Gastos!$B$2:$B$2500=$A27)*(Gastos!$D$2:$D$2500))</f>
        <v>0</v>
      </c>
      <c r="EK27" s="75">
        <f t="array" ref="EK27">SUM((YEAR(Gastos!$A$2:$A$2500)=EK$1)*(MONTH(Gastos!$A$2:$A$2500)=EK$3)*(Gastos!$B$2:$B$2500=$A27)*(Gastos!$D$2:$D$2500))</f>
        <v>0</v>
      </c>
      <c r="EL27" s="75">
        <f t="array" ref="EL27">SUM((YEAR(Gastos!$A$2:$A$2500)=EL$1)*(MONTH(Gastos!$A$2:$A$2500)=EL$3)*(Gastos!$B$2:$B$2500=$A27)*(Gastos!$D$2:$D$2500))</f>
        <v>0</v>
      </c>
      <c r="EM27" s="75">
        <f t="array" ref="EM27">SUM((YEAR(Gastos!$A$2:$A$2500)=EM$1)*(MONTH(Gastos!$A$2:$A$2500)=EM$3)*(Gastos!$B$2:$B$2500=$A27)*(Gastos!$D$2:$D$2500))</f>
        <v>0</v>
      </c>
      <c r="EN27" s="75">
        <f t="array" ref="EN27">SUM((YEAR(Gastos!$A$2:$A$2500)=EN$1)*(MONTH(Gastos!$A$2:$A$2500)=EN$3)*(Gastos!$B$2:$B$2500=$A27)*(Gastos!$D$2:$D$2500))</f>
        <v>0</v>
      </c>
      <c r="EO27" s="75">
        <f t="array" ref="EO27">SUM((YEAR(Gastos!$A$2:$A$2500)=EO$1)*(MONTH(Gastos!$A$2:$A$2500)=EO$3)*(Gastos!$B$2:$B$2500=$A27)*(Gastos!$D$2:$D$2500))</f>
        <v>0</v>
      </c>
      <c r="EP27" s="75">
        <f t="array" ref="EP27">SUM((YEAR(Gastos!$A$2:$A$2500)=EP$1)*(MONTH(Gastos!$A$2:$A$2500)=EP$3)*(Gastos!$B$2:$B$2500=$A27)*(Gastos!$D$2:$D$2500))</f>
        <v>0</v>
      </c>
      <c r="EQ27" s="75">
        <f t="array" ref="EQ27">SUM((YEAR(Gastos!$A$2:$A$2500)=EQ$1)*(MONTH(Gastos!$A$2:$A$2500)=EQ$3)*(Gastos!$B$2:$B$2500=$A27)*(Gastos!$D$2:$D$2500))</f>
        <v>0</v>
      </c>
      <c r="ER27" s="75">
        <f t="array" ref="ER27">SUM((YEAR(Gastos!$A$2:$A$2500)=ER$1)*(MONTH(Gastos!$A$2:$A$2500)=ER$3)*(Gastos!$B$2:$B$2500=$A27)*(Gastos!$D$2:$D$2500))</f>
        <v>0</v>
      </c>
      <c r="ES27" s="75">
        <f t="array" ref="ES27">SUM((YEAR(Gastos!$A$2:$A$2500)=ES$1)*(MONTH(Gastos!$A$2:$A$2500)=ES$3)*(Gastos!$B$2:$B$2500=$A27)*(Gastos!$D$2:$D$2500))</f>
        <v>0</v>
      </c>
      <c r="ET27" s="75">
        <f t="array" ref="ET27">SUM((YEAR(Gastos!$A$2:$A$2500)=ET$1)*(MONTH(Gastos!$A$2:$A$2500)=ET$3)*(Gastos!$B$2:$B$2500=$A27)*(Gastos!$D$2:$D$2500))</f>
        <v>0</v>
      </c>
      <c r="EU27" s="75">
        <f t="array" ref="EU27">SUM((YEAR(Gastos!$A$2:$A$2500)=EU$1)*(MONTH(Gastos!$A$2:$A$2500)=EU$3)*(Gastos!$B$2:$B$2500=$A27)*(Gastos!$D$2:$D$2500))</f>
        <v>0</v>
      </c>
      <c r="EV27" s="75">
        <f t="array" ref="EV27">SUM((YEAR(Gastos!$A$2:$A$2500)=EV$1)*(MONTH(Gastos!$A$2:$A$2500)=EV$3)*(Gastos!$B$2:$B$2500=$A27)*(Gastos!$D$2:$D$2500))</f>
        <v>0</v>
      </c>
      <c r="EW27" s="75">
        <f t="array" ref="EW27">SUM((YEAR(Gastos!$A$2:$A$2500)=EW$1)*(MONTH(Gastos!$A$2:$A$2500)=EW$3)*(Gastos!$B$2:$B$2500=$A27)*(Gastos!$D$2:$D$2500))</f>
        <v>0</v>
      </c>
      <c r="EX27" s="75">
        <f t="array" ref="EX27">SUM((YEAR(Gastos!$A$2:$A$2500)=EX$1)*(MONTH(Gastos!$A$2:$A$2500)=EX$3)*(Gastos!$B$2:$B$2500=$A27)*(Gastos!$D$2:$D$2500))</f>
        <v>0</v>
      </c>
      <c r="EY27" s="75">
        <f t="array" ref="EY27">SUM((YEAR(Gastos!$A$2:$A$2500)=EY$1)*(MONTH(Gastos!$A$2:$A$2500)=EY$3)*(Gastos!$B$2:$B$2500=$A27)*(Gastos!$D$2:$D$2500))</f>
        <v>0</v>
      </c>
      <c r="EZ27" s="75">
        <f t="array" ref="EZ27">SUM((YEAR(Gastos!$A$2:$A$2500)=EZ$1)*(MONTH(Gastos!$A$2:$A$2500)=EZ$3)*(Gastos!$B$2:$B$2500=$A27)*(Gastos!$D$2:$D$2500))</f>
        <v>0</v>
      </c>
      <c r="FA27" s="75">
        <f t="array" ref="FA27">SUM((YEAR(Gastos!$A$2:$A$2500)=FA$1)*(MONTH(Gastos!$A$2:$A$2500)=FA$3)*(Gastos!$B$2:$B$2500=$A27)*(Gastos!$D$2:$D$2500))</f>
        <v>0</v>
      </c>
      <c r="FB27" s="75">
        <f t="array" ref="FB27">SUM((YEAR(Gastos!$A$2:$A$2500)=FB$1)*(MONTH(Gastos!$A$2:$A$2500)=FB$3)*(Gastos!$B$2:$B$2500=$A27)*(Gastos!$D$2:$D$2500))</f>
        <v>0</v>
      </c>
      <c r="FC27" s="75">
        <f t="array" ref="FC27">SUM((YEAR(Gastos!$A$2:$A$2500)=FC$1)*(MONTH(Gastos!$A$2:$A$2500)=FC$3)*(Gastos!$B$2:$B$2500=$A27)*(Gastos!$D$2:$D$2500))</f>
        <v>0</v>
      </c>
      <c r="FD27" s="75">
        <f t="array" ref="FD27">SUM((YEAR(Gastos!$A$2:$A$2500)=FD$1)*(MONTH(Gastos!$A$2:$A$2500)=FD$3)*(Gastos!$B$2:$B$2500=$A27)*(Gastos!$D$2:$D$2500))</f>
        <v>0</v>
      </c>
      <c r="FE27" s="75">
        <f t="array" ref="FE27">SUM((YEAR(Gastos!$A$2:$A$2500)=FE$1)*(MONTH(Gastos!$A$2:$A$2500)=FE$3)*(Gastos!$B$2:$B$2500=$A27)*(Gastos!$D$2:$D$2500))</f>
        <v>0</v>
      </c>
      <c r="FF27" s="75">
        <f t="array" ref="FF27">SUM((YEAR(Gastos!$A$2:$A$2500)=FF$1)*(MONTH(Gastos!$A$2:$A$2500)=FF$3)*(Gastos!$B$2:$B$2500=$A27)*(Gastos!$D$2:$D$2500))</f>
        <v>0</v>
      </c>
      <c r="FG27" s="75">
        <f t="array" ref="FG27">SUM((YEAR(Gastos!$A$2:$A$2500)=FG$1)*(MONTH(Gastos!$A$2:$A$2500)=FG$3)*(Gastos!$B$2:$B$2500=$A27)*(Gastos!$D$2:$D$2500))</f>
        <v>0</v>
      </c>
      <c r="FH27" s="75">
        <f t="array" ref="FH27">SUM((YEAR(Gastos!$A$2:$A$2500)=FH$1)*(MONTH(Gastos!$A$2:$A$2500)=FH$3)*(Gastos!$B$2:$B$2500=$A27)*(Gastos!$D$2:$D$2500))</f>
        <v>0</v>
      </c>
      <c r="FI27" s="75">
        <f t="array" ref="FI27">SUM((YEAR(Gastos!$A$2:$A$2500)=FI$1)*(MONTH(Gastos!$A$2:$A$2500)=FI$3)*(Gastos!$B$2:$B$2500=$A27)*(Gastos!$D$2:$D$2500))</f>
        <v>0</v>
      </c>
      <c r="FJ27" s="75">
        <f t="array" ref="FJ27">SUM((YEAR(Gastos!$A$2:$A$2500)=FJ$1)*(MONTH(Gastos!$A$2:$A$2500)=FJ$3)*(Gastos!$B$2:$B$2500=$A27)*(Gastos!$D$2:$D$2500))</f>
        <v>0</v>
      </c>
      <c r="FK27" s="75">
        <f t="array" ref="FK27">SUM((YEAR(Gastos!$A$2:$A$2500)=FK$1)*(MONTH(Gastos!$A$2:$A$2500)=FK$3)*(Gastos!$B$2:$B$2500=$A27)*(Gastos!$D$2:$D$2500))</f>
        <v>0</v>
      </c>
      <c r="FL27" s="75">
        <f t="array" ref="FL27">SUM((YEAR(Gastos!$A$2:$A$2500)=FL$1)*(MONTH(Gastos!$A$2:$A$2500)=FL$3)*(Gastos!$B$2:$B$2500=$A27)*(Gastos!$D$2:$D$2500))</f>
        <v>0</v>
      </c>
      <c r="FM27" s="75">
        <f t="array" ref="FM27">SUM((YEAR(Gastos!$A$2:$A$2500)=FM$1)*(MONTH(Gastos!$A$2:$A$2500)=FM$3)*(Gastos!$B$2:$B$2500=$A27)*(Gastos!$D$2:$D$2500))</f>
        <v>0</v>
      </c>
      <c r="FN27" s="75">
        <f t="array" ref="FN27">SUM((YEAR(Gastos!$A$2:$A$2500)=FN$1)*(MONTH(Gastos!$A$2:$A$2500)=FN$3)*(Gastos!$B$2:$B$2500=$A27)*(Gastos!$D$2:$D$2500))</f>
        <v>0</v>
      </c>
      <c r="FO27" s="75">
        <f t="array" ref="FO27">SUM((YEAR(Gastos!$A$2:$A$2500)=FO$1)*(MONTH(Gastos!$A$2:$A$2500)=FO$3)*(Gastos!$B$2:$B$2500=$A27)*(Gastos!$D$2:$D$2500))</f>
        <v>0</v>
      </c>
      <c r="FP27" s="75">
        <f t="array" ref="FP27">SUM((YEAR(Gastos!$A$2:$A$2500)=FP$1)*(MONTH(Gastos!$A$2:$A$2500)=FP$3)*(Gastos!$B$2:$B$2500=$A27)*(Gastos!$D$2:$D$2500))</f>
        <v>0</v>
      </c>
      <c r="FQ27" s="75">
        <f t="array" ref="FQ27">SUM((YEAR(Gastos!$A$2:$A$2500)=FQ$1)*(MONTH(Gastos!$A$2:$A$2500)=FQ$3)*(Gastos!$B$2:$B$2500=$A27)*(Gastos!$D$2:$D$2500))</f>
        <v>0</v>
      </c>
      <c r="FR27" s="75">
        <f t="array" ref="FR27">SUM((YEAR(Gastos!$A$2:$A$2500)=FR$1)*(MONTH(Gastos!$A$2:$A$2500)=FR$3)*(Gastos!$B$2:$B$2500=$A27)*(Gastos!$D$2:$D$2500))</f>
        <v>0</v>
      </c>
      <c r="FS27" s="75">
        <f t="array" ref="FS27">SUM((YEAR(Gastos!$A$2:$A$2500)=FS$1)*(MONTH(Gastos!$A$2:$A$2500)=FS$3)*(Gastos!$B$2:$B$2500=$A27)*(Gastos!$D$2:$D$2500))</f>
        <v>0</v>
      </c>
      <c r="FT27" s="75">
        <f t="array" ref="FT27">SUM((YEAR(Gastos!$A$2:$A$2500)=FT$1)*(MONTH(Gastos!$A$2:$A$2500)=FT$3)*(Gastos!$B$2:$B$2500=$A27)*(Gastos!$D$2:$D$2500))</f>
        <v>0</v>
      </c>
      <c r="FU27" s="75">
        <f t="array" ref="FU27">SUM((YEAR(Gastos!$A$2:$A$2500)=FU$1)*(MONTH(Gastos!$A$2:$A$2500)=FU$3)*(Gastos!$B$2:$B$2500=$A27)*(Gastos!$D$2:$D$2500))</f>
        <v>0</v>
      </c>
      <c r="FV27" s="75">
        <f t="array" ref="FV27">SUM((YEAR(Gastos!$A$2:$A$2500)=FV$1)*(MONTH(Gastos!$A$2:$A$2500)=FV$3)*(Gastos!$B$2:$B$2500=$A27)*(Gastos!$D$2:$D$2500))</f>
        <v>0</v>
      </c>
      <c r="FW27" s="75">
        <f t="array" ref="FW27">SUM((YEAR(Gastos!$A$2:$A$2500)=FW$1)*(MONTH(Gastos!$A$2:$A$2500)=FW$3)*(Gastos!$B$2:$B$2500=$A27)*(Gastos!$D$2:$D$2500))</f>
        <v>0</v>
      </c>
      <c r="FX27" s="75">
        <f t="array" ref="FX27">SUM((YEAR(Gastos!$A$2:$A$2500)=FX$1)*(MONTH(Gastos!$A$2:$A$2500)=FX$3)*(Gastos!$B$2:$B$2500=$A27)*(Gastos!$D$2:$D$2500))</f>
        <v>0</v>
      </c>
      <c r="FY27" s="75">
        <f t="array" ref="FY27">SUM((YEAR(Gastos!$A$2:$A$2500)=FY$1)*(MONTH(Gastos!$A$2:$A$2500)=FY$3)*(Gastos!$B$2:$B$2500=$A27)*(Gastos!$D$2:$D$2500))</f>
        <v>0</v>
      </c>
      <c r="FZ27" s="76">
        <f t="shared" si="65"/>
        <v>723.84000000000015</v>
      </c>
      <c r="GA27" s="80"/>
      <c r="GB27" s="78">
        <f t="shared" si="66"/>
        <v>633.36000000000013</v>
      </c>
      <c r="GF27" s="79">
        <f t="array" ref="GF27">SUM(((Gastos!$A$2:$A$1647)&gt;=GD$3)*((Gastos!$A$2:$A$1647)&lt;=GF$3)*(Gastos!$B$2:$B$1647=$A27)*(Gastos!$D$2:$D$1647))</f>
        <v>678.60000000000014</v>
      </c>
      <c r="GI27" s="79">
        <f t="array" ref="GI27">SUM(((Gastos!$A$2:$A$1647)&gt;=GG$3)*((Gastos!$A$2:$A$1647)&lt;=GI$3)*(Gastos!$B$2:$B$1647=$A27)*(Gastos!$D$2:$D$1647))</f>
        <v>45.24</v>
      </c>
    </row>
    <row r="28" spans="1:191" ht="15" thickBot="1" x14ac:dyDescent="0.4">
      <c r="A28" s="74" t="str">
        <f>Gastos!AA26</f>
        <v>V. DESPACHO JURIDICO</v>
      </c>
      <c r="B28" s="75">
        <f t="array" ref="B28">SUM((YEAR(Gastos!$A$2:$A$2500)=B$1)*(MONTH(Gastos!$A$2:$A$2500)=B$3)*(Gastos!$B$2:$B$2500=$A28)*(Gastos!$D$2:$D$2500))</f>
        <v>0</v>
      </c>
      <c r="C28" s="75">
        <f t="array" ref="C28">SUM((YEAR(Gastos!$A$2:$A$2500)=C$1)*(MONTH(Gastos!$A$2:$A$2500)=C$3)*(Gastos!$B$2:$B$2500=$A28)*(Gastos!$D$2:$D$2500))</f>
        <v>0</v>
      </c>
      <c r="D28" s="75">
        <f t="array" ref="D28">SUM((YEAR(Gastos!$A$2:$A$2500)=D$1)*(MONTH(Gastos!$A$2:$A$2500)=D$3)*(Gastos!$B$2:$B$2500=$A28)*(Gastos!$D$2:$D$2500))</f>
        <v>0</v>
      </c>
      <c r="E28" s="75">
        <f t="array" ref="E28">SUM((YEAR(Gastos!$A$2:$A$2500)=E$1)*(MONTH(Gastos!$A$2:$A$2500)=E$3)*(Gastos!$B$2:$B$2500=$A28)*(Gastos!$D$2:$D$2500))</f>
        <v>0</v>
      </c>
      <c r="F28" s="75">
        <f t="array" ref="F28">SUM((YEAR(Gastos!$A$2:$A$2500)=F$1)*(MONTH(Gastos!$A$2:$A$2500)=F$3)*(Gastos!$B$2:$B$2500=$A28)*(Gastos!$D$2:$D$2500))</f>
        <v>0</v>
      </c>
      <c r="G28" s="75">
        <f t="array" ref="G28">SUM((YEAR(Gastos!$A$2:$A$2500)=G$1)*(MONTH(Gastos!$A$2:$A$2500)=G$3)*(Gastos!$B$2:$B$2500=$A28)*(Gastos!$D$2:$D$2500))</f>
        <v>0</v>
      </c>
      <c r="H28" s="75">
        <f t="array" ref="H28">SUM((YEAR(Gastos!$A$2:$A$2500)=H$1)*(MONTH(Gastos!$A$2:$A$2500)=H$3)*(Gastos!$B$2:$B$2500=$A28)*(Gastos!$D$2:$D$2500))</f>
        <v>0</v>
      </c>
      <c r="I28" s="75">
        <f t="array" ref="I28">SUM((YEAR(Gastos!$A$2:$A$2500)=I$1)*(MONTH(Gastos!$A$2:$A$2500)=I$3)*(Gastos!$B$2:$B$2500=$A28)*(Gastos!$D$2:$D$2500))</f>
        <v>0</v>
      </c>
      <c r="J28" s="75">
        <f t="array" ref="J28">SUM((YEAR(Gastos!$A$2:$A$2500)=J$1)*(MONTH(Gastos!$A$2:$A$2500)=J$3)*(Gastos!$B$2:$B$2500=$A28)*(Gastos!$D$2:$D$2500))</f>
        <v>0</v>
      </c>
      <c r="K28" s="75">
        <f t="array" ref="K28">SUM((YEAR(Gastos!$A$2:$A$2500)=K$1)*(MONTH(Gastos!$A$2:$A$2500)=K$3)*(Gastos!$B$2:$B$2500=$A28)*(Gastos!$D$2:$D$2500))</f>
        <v>0</v>
      </c>
      <c r="L28" s="75">
        <f t="array" ref="L28">SUM((YEAR(Gastos!$A$2:$A$2500)=L$1)*(MONTH(Gastos!$A$2:$A$2500)=L$3)*(Gastos!$B$2:$B$2500=$A28)*(Gastos!$D$2:$D$2500))</f>
        <v>0</v>
      </c>
      <c r="M28" s="75">
        <f t="array" ref="M28">SUM((YEAR(Gastos!$A$2:$A$2500)=M$1)*(MONTH(Gastos!$A$2:$A$2500)=M$3)*(Gastos!$B$2:$B$2500=$A28)*(Gastos!$D$2:$D$2500))</f>
        <v>0</v>
      </c>
      <c r="N28" s="75">
        <f t="array" ref="N28">SUM((YEAR(Gastos!$A$2:$A$2500)=N$1)*(MONTH(Gastos!$A$2:$A$2500)=N$3)*(Gastos!$B$2:$B$2500=$A28)*(Gastos!$D$2:$D$2500))</f>
        <v>0</v>
      </c>
      <c r="O28" s="75">
        <f t="array" ref="O28">SUM((YEAR(Gastos!$A$2:$A$2500)=O$1)*(MONTH(Gastos!$A$2:$A$2500)=O$3)*(Gastos!$B$2:$B$2500=$A28)*(Gastos!$D$2:$D$2500))</f>
        <v>0</v>
      </c>
      <c r="P28" s="75">
        <f t="array" ref="P28">SUM((YEAR(Gastos!$A$2:$A$2500)=P$1)*(MONTH(Gastos!$A$2:$A$2500)=P$3)*(Gastos!$B$2:$B$2500=$A28)*(Gastos!$D$2:$D$2500))</f>
        <v>0</v>
      </c>
      <c r="Q28" s="75">
        <f t="array" ref="Q28">SUM((YEAR(Gastos!$A$2:$A$2500)=Q$1)*(MONTH(Gastos!$A$2:$A$2500)=Q$3)*(Gastos!$B$2:$B$2500=$A28)*(Gastos!$D$2:$D$2500))</f>
        <v>0</v>
      </c>
      <c r="R28" s="75">
        <f t="array" ref="R28">SUM((YEAR(Gastos!$A$2:$A$2500)=R$1)*(MONTH(Gastos!$A$2:$A$2500)=R$3)*(Gastos!$B$2:$B$2500=$A28)*(Gastos!$D$2:$D$2500))</f>
        <v>0</v>
      </c>
      <c r="S28" s="75">
        <f t="array" ref="S28">SUM((YEAR(Gastos!$A$2:$A$2500)=S$1)*(MONTH(Gastos!$A$2:$A$2500)=S$3)*(Gastos!$B$2:$B$2500=$A28)*(Gastos!$D$2:$D$2500))</f>
        <v>0</v>
      </c>
      <c r="T28" s="75">
        <f t="array" ref="T28">SUM((YEAR(Gastos!$A$2:$A$2500)=T$1)*(MONTH(Gastos!$A$2:$A$2500)=T$3)*(Gastos!$B$2:$B$2500=$A28)*(Gastos!$D$2:$D$2500))</f>
        <v>0</v>
      </c>
      <c r="U28" s="75">
        <f t="array" ref="U28">SUM((YEAR(Gastos!$A$2:$A$2500)=U$1)*(MONTH(Gastos!$A$2:$A$2500)=U$3)*(Gastos!$B$2:$B$2500=$A28)*(Gastos!$D$2:$D$2500))</f>
        <v>0</v>
      </c>
      <c r="V28" s="75">
        <f t="array" ref="V28">SUM((YEAR(Gastos!$A$2:$A$2500)=V$1)*(MONTH(Gastos!$A$2:$A$2500)=V$3)*(Gastos!$B$2:$B$2500=$A28)*(Gastos!$D$2:$D$2500))</f>
        <v>0</v>
      </c>
      <c r="W28" s="75">
        <f t="array" ref="W28">SUM((YEAR(Gastos!$A$2:$A$2500)=W$1)*(MONTH(Gastos!$A$2:$A$2500)=W$3)*(Gastos!$B$2:$B$2500=$A28)*(Gastos!$D$2:$D$2500))</f>
        <v>0</v>
      </c>
      <c r="X28" s="75">
        <f t="array" ref="X28">SUM((YEAR(Gastos!$A$2:$A$2500)=X$1)*(MONTH(Gastos!$A$2:$A$2500)=X$3)*(Gastos!$B$2:$B$2500=$A28)*(Gastos!$D$2:$D$2500))</f>
        <v>0</v>
      </c>
      <c r="Y28" s="75">
        <f t="array" ref="Y28">SUM((YEAR(Gastos!$A$2:$A$2500)=Y$1)*(MONTH(Gastos!$A$2:$A$2500)=Y$3)*(Gastos!$B$2:$B$2500=$A28)*(Gastos!$D$2:$D$2500))</f>
        <v>0</v>
      </c>
      <c r="Z28" s="75">
        <f t="array" ref="Z28">SUM((YEAR(Gastos!$A$2:$A$2500)=Z$1)*(MONTH(Gastos!$A$2:$A$2500)=Z$3)*(Gastos!$B$2:$B$2500=$A28)*(Gastos!$D$2:$D$2500))</f>
        <v>0</v>
      </c>
      <c r="AA28" s="75">
        <f t="array" ref="AA28">SUM((YEAR(Gastos!$A$2:$A$2500)=AA$1)*(MONTH(Gastos!$A$2:$A$2500)=AA$3)*(Gastos!$B$2:$B$2500=$A28)*(Gastos!$D$2:$D$2500))</f>
        <v>0</v>
      </c>
      <c r="AB28" s="75">
        <f t="array" ref="AB28">SUM((YEAR(Gastos!$A$2:$A$2500)=AB$1)*(MONTH(Gastos!$A$2:$A$2500)=AB$3)*(Gastos!$B$2:$B$2500=$A28)*(Gastos!$D$2:$D$2500))</f>
        <v>0</v>
      </c>
      <c r="AC28" s="75">
        <f t="array" ref="AC28">SUM((YEAR(Gastos!$A$2:$A$2500)=AC$1)*(MONTH(Gastos!$A$2:$A$2500)=AC$3)*(Gastos!$B$2:$B$2500=$A28)*(Gastos!$D$2:$D$2500))</f>
        <v>0</v>
      </c>
      <c r="AD28" s="75">
        <f t="array" ref="AD28">SUM((YEAR(Gastos!$A$2:$A$2500)=AD$1)*(MONTH(Gastos!$A$2:$A$2500)=AD$3)*(Gastos!$B$2:$B$2500=$A28)*(Gastos!$D$2:$D$2500))</f>
        <v>0</v>
      </c>
      <c r="AE28" s="75">
        <f t="array" ref="AE28">SUM((YEAR(Gastos!$A$2:$A$2500)=AE$1)*(MONTH(Gastos!$A$2:$A$2500)=AE$3)*(Gastos!$B$2:$B$2500=$A28)*(Gastos!$D$2:$D$2500))</f>
        <v>0</v>
      </c>
      <c r="AF28" s="75">
        <f t="array" ref="AF28">SUM((YEAR(Gastos!$A$2:$A$2500)=AF$1)*(MONTH(Gastos!$A$2:$A$2500)=AF$3)*(Gastos!$B$2:$B$2500=$A28)*(Gastos!$D$2:$D$2500))</f>
        <v>0</v>
      </c>
      <c r="AG28" s="75">
        <f t="array" ref="AG28">SUM((YEAR(Gastos!$A$2:$A$2500)=AG$1)*(MONTH(Gastos!$A$2:$A$2500)=AG$3)*(Gastos!$B$2:$B$2500=$A28)*(Gastos!$D$2:$D$2500))</f>
        <v>0</v>
      </c>
      <c r="AH28" s="75">
        <f t="array" ref="AH28">SUM((YEAR(Gastos!$A$2:$A$2500)=AH$1)*(MONTH(Gastos!$A$2:$A$2500)=AH$3)*(Gastos!$B$2:$B$2500=$A28)*(Gastos!$D$2:$D$2500))</f>
        <v>0</v>
      </c>
      <c r="AI28" s="75">
        <f t="array" ref="AI28">SUM((YEAR(Gastos!$A$2:$A$2500)=AI$1)*(MONTH(Gastos!$A$2:$A$2500)=AI$3)*(Gastos!$B$2:$B$2500=$A28)*(Gastos!$D$2:$D$2500))</f>
        <v>0</v>
      </c>
      <c r="AJ28" s="75">
        <f t="array" ref="AJ28">SUM((YEAR(Gastos!$A$2:$A$2500)=AJ$1)*(MONTH(Gastos!$A$2:$A$2500)=AJ$3)*(Gastos!$B$2:$B$2500=$A28)*(Gastos!$D$2:$D$2500))</f>
        <v>0</v>
      </c>
      <c r="AK28" s="75">
        <f t="array" ref="AK28">SUM((YEAR(Gastos!$A$2:$A$2500)=AK$1)*(MONTH(Gastos!$A$2:$A$2500)=AK$3)*(Gastos!$B$2:$B$2500=$A28)*(Gastos!$D$2:$D$2500))</f>
        <v>0</v>
      </c>
      <c r="AL28" s="75">
        <f t="array" ref="AL28">SUM((YEAR(Gastos!$A$2:$A$2500)=AL$1)*(MONTH(Gastos!$A$2:$A$2500)=AL$3)*(Gastos!$B$2:$B$2500=$A28)*(Gastos!$D$2:$D$2500))</f>
        <v>0</v>
      </c>
      <c r="AM28" s="75">
        <f t="array" ref="AM28">SUM((YEAR(Gastos!$A$2:$A$2500)=AM$1)*(MONTH(Gastos!$A$2:$A$2500)=AM$3)*(Gastos!$B$2:$B$2500=$A28)*(Gastos!$D$2:$D$2500))</f>
        <v>0</v>
      </c>
      <c r="AN28" s="75">
        <f t="array" ref="AN28">SUM((YEAR(Gastos!$A$2:$A$2500)=AN$1)*(MONTH(Gastos!$A$2:$A$2500)=AN$3)*(Gastos!$B$2:$B$2500=$A28)*(Gastos!$D$2:$D$2500))</f>
        <v>0</v>
      </c>
      <c r="AO28" s="75">
        <f t="array" ref="AO28">SUM((YEAR(Gastos!$A$2:$A$2500)=AO$1)*(MONTH(Gastos!$A$2:$A$2500)=AO$3)*(Gastos!$B$2:$B$2500=$A28)*(Gastos!$D$2:$D$2500))</f>
        <v>0</v>
      </c>
      <c r="AP28" s="75">
        <f t="array" ref="AP28">SUM((YEAR(Gastos!$A$2:$A$2500)=AP$1)*(MONTH(Gastos!$A$2:$A$2500)=AP$3)*(Gastos!$B$2:$B$2500=$A28)*(Gastos!$D$2:$D$2500))</f>
        <v>0</v>
      </c>
      <c r="AQ28" s="75">
        <f t="array" ref="AQ28">SUM((YEAR(Gastos!$A$2:$A$2500)=AQ$1)*(MONTH(Gastos!$A$2:$A$2500)=AQ$3)*(Gastos!$B$2:$B$2500=$A28)*(Gastos!$D$2:$D$2500))</f>
        <v>0</v>
      </c>
      <c r="AR28" s="75">
        <f t="array" ref="AR28">SUM((YEAR(Gastos!$A$2:$A$2500)=AR$1)*(MONTH(Gastos!$A$2:$A$2500)=AR$3)*(Gastos!$B$2:$B$2500=$A28)*(Gastos!$D$2:$D$2500))</f>
        <v>0</v>
      </c>
      <c r="AS28" s="75">
        <f t="array" ref="AS28">SUM((YEAR(Gastos!$A$2:$A$2500)=AS$1)*(MONTH(Gastos!$A$2:$A$2500)=AS$3)*(Gastos!$B$2:$B$2500=$A28)*(Gastos!$D$2:$D$2500))</f>
        <v>0</v>
      </c>
      <c r="AT28" s="75">
        <f t="array" ref="AT28">SUM((YEAR(Gastos!$A$2:$A$2500)=AT$1)*(MONTH(Gastos!$A$2:$A$2500)=AT$3)*(Gastos!$B$2:$B$2500=$A28)*(Gastos!$D$2:$D$2500))</f>
        <v>0</v>
      </c>
      <c r="AU28" s="75">
        <f t="array" ref="AU28">SUM((YEAR(Gastos!$A$2:$A$2500)=AU$1)*(MONTH(Gastos!$A$2:$A$2500)=AU$3)*(Gastos!$B$2:$B$2500=$A28)*(Gastos!$D$2:$D$2500))</f>
        <v>0</v>
      </c>
      <c r="AV28" s="75">
        <f t="array" ref="AV28">SUM((YEAR(Gastos!$A$2:$A$2500)=AV$1)*(MONTH(Gastos!$A$2:$A$2500)=AV$3)*(Gastos!$B$2:$B$2500=$A28)*(Gastos!$D$2:$D$2500))</f>
        <v>0</v>
      </c>
      <c r="AW28" s="75">
        <f t="array" ref="AW28">SUM((YEAR(Gastos!$A$2:$A$2500)=AW$1)*(MONTH(Gastos!$A$2:$A$2500)=AW$3)*(Gastos!$B$2:$B$2500=$A28)*(Gastos!$D$2:$D$2500))</f>
        <v>0</v>
      </c>
      <c r="AX28" s="75">
        <f t="array" ref="AX28">SUM((YEAR(Gastos!$A$2:$A$2500)=AX$1)*(MONTH(Gastos!$A$2:$A$2500)=AX$3)*(Gastos!$B$2:$B$2500=$A28)*(Gastos!$D$2:$D$2500))</f>
        <v>0</v>
      </c>
      <c r="AY28" s="75">
        <f t="array" ref="AY28">SUM((YEAR(Gastos!$A$2:$A$2500)=AY$1)*(MONTH(Gastos!$A$2:$A$2500)=AY$3)*(Gastos!$B$2:$B$2500=$A28)*(Gastos!$D$2:$D$2500))</f>
        <v>0</v>
      </c>
      <c r="AZ28" s="75">
        <f t="array" ref="AZ28">SUM((YEAR(Gastos!$A$2:$A$2500)=AZ$1)*(MONTH(Gastos!$A$2:$A$2500)=AZ$3)*(Gastos!$B$2:$B$2500=$A28)*(Gastos!$D$2:$D$2500))</f>
        <v>0</v>
      </c>
      <c r="BA28" s="75">
        <f t="array" ref="BA28">SUM((YEAR(Gastos!$A$2:$A$2500)=BA$1)*(MONTH(Gastos!$A$2:$A$2500)=BA$3)*(Gastos!$B$2:$B$2500=$A28)*(Gastos!$D$2:$D$2500))</f>
        <v>0</v>
      </c>
      <c r="BB28" s="75">
        <f t="array" ref="BB28">SUM((YEAR(Gastos!$A$2:$A$2500)=BB$1)*(MONTH(Gastos!$A$2:$A$2500)=BB$3)*(Gastos!$B$2:$B$2500=$A28)*(Gastos!$D$2:$D$2500))</f>
        <v>0</v>
      </c>
      <c r="BC28" s="75">
        <f t="array" ref="BC28">SUM((YEAR(Gastos!$A$2:$A$2500)=BC$1)*(MONTH(Gastos!$A$2:$A$2500)=BC$3)*(Gastos!$B$2:$B$2500=$A28)*(Gastos!$D$2:$D$2500))</f>
        <v>0</v>
      </c>
      <c r="BD28" s="75">
        <f t="array" ref="BD28">SUM((YEAR(Gastos!$A$2:$A$2500)=BD$1)*(MONTH(Gastos!$A$2:$A$2500)=BD$3)*(Gastos!$B$2:$B$2500=$A28)*(Gastos!$D$2:$D$2500))</f>
        <v>0</v>
      </c>
      <c r="BE28" s="75">
        <f t="array" ref="BE28">SUM((YEAR(Gastos!$A$2:$A$2500)=BE$1)*(MONTH(Gastos!$A$2:$A$2500)=BE$3)*(Gastos!$B$2:$B$2500=$A28)*(Gastos!$D$2:$D$2500))</f>
        <v>0</v>
      </c>
      <c r="BF28" s="75">
        <f t="array" ref="BF28">SUM((YEAR(Gastos!$A$2:$A$2500)=BF$1)*(MONTH(Gastos!$A$2:$A$2500)=BF$3)*(Gastos!$B$2:$B$2500=$A28)*(Gastos!$D$2:$D$2500))</f>
        <v>0</v>
      </c>
      <c r="BG28" s="75">
        <f t="array" ref="BG28">SUM((YEAR(Gastos!$A$2:$A$2500)=BG$1)*(MONTH(Gastos!$A$2:$A$2500)=BG$3)*(Gastos!$B$2:$B$2500=$A28)*(Gastos!$D$2:$D$2500))</f>
        <v>0</v>
      </c>
      <c r="BH28" s="75">
        <f t="array" ref="BH28">SUM((YEAR(Gastos!$A$2:$A$2500)=BH$1)*(MONTH(Gastos!$A$2:$A$2500)=BH$3)*(Gastos!$B$2:$B$2500=$A28)*(Gastos!$D$2:$D$2500))</f>
        <v>0</v>
      </c>
      <c r="BI28" s="75">
        <f t="array" ref="BI28">SUM((YEAR(Gastos!$A$2:$A$2500)=BI$1)*(MONTH(Gastos!$A$2:$A$2500)=BI$3)*(Gastos!$B$2:$B$2500=$A28)*(Gastos!$D$2:$D$2500))</f>
        <v>0</v>
      </c>
      <c r="BJ28" s="75">
        <f t="array" ref="BJ28">SUM((YEAR(Gastos!$A$2:$A$2500)=BJ$1)*(MONTH(Gastos!$A$2:$A$2500)=BJ$3)*(Gastos!$B$2:$B$2500=$A28)*(Gastos!$D$2:$D$2500))</f>
        <v>0</v>
      </c>
      <c r="BK28" s="75">
        <f t="array" ref="BK28">SUM((YEAR(Gastos!$A$2:$A$2500)=BK$1)*(MONTH(Gastos!$A$2:$A$2500)=BK$3)*(Gastos!$B$2:$B$2500=$A28)*(Gastos!$D$2:$D$2500))</f>
        <v>0</v>
      </c>
      <c r="BL28" s="75">
        <f t="array" ref="BL28">SUM((YEAR(Gastos!$A$2:$A$2500)=BL$1)*(MONTH(Gastos!$A$2:$A$2500)=BL$3)*(Gastos!$B$2:$B$2500=$A28)*(Gastos!$D$2:$D$2500))</f>
        <v>0</v>
      </c>
      <c r="BM28" s="75">
        <f t="array" ref="BM28">SUM((YEAR(Gastos!$A$2:$A$2500)=BM$1)*(MONTH(Gastos!$A$2:$A$2500)=BM$3)*(Gastos!$B$2:$B$2500=$A28)*(Gastos!$D$2:$D$2500))</f>
        <v>0</v>
      </c>
      <c r="BN28" s="75">
        <f t="array" ref="BN28">SUM((YEAR(Gastos!$A$2:$A$2500)=BN$1)*(MONTH(Gastos!$A$2:$A$2500)=BN$3)*(Gastos!$B$2:$B$2500=$A28)*(Gastos!$D$2:$D$2500))</f>
        <v>0</v>
      </c>
      <c r="BO28" s="75">
        <f t="array" ref="BO28">SUM((YEAR(Gastos!$A$2:$A$2500)=BO$1)*(MONTH(Gastos!$A$2:$A$2500)=BO$3)*(Gastos!$B$2:$B$2500=$A28)*(Gastos!$D$2:$D$2500))</f>
        <v>0</v>
      </c>
      <c r="BP28" s="75">
        <f t="array" ref="BP28">SUM((YEAR(Gastos!$A$2:$A$2500)=BP$1)*(MONTH(Gastos!$A$2:$A$2500)=BP$3)*(Gastos!$B$2:$B$2500=$A28)*(Gastos!$D$2:$D$2500))</f>
        <v>0</v>
      </c>
      <c r="BQ28" s="75">
        <f t="array" ref="BQ28">SUM((YEAR(Gastos!$A$2:$A$2500)=BQ$1)*(MONTH(Gastos!$A$2:$A$2500)=BQ$3)*(Gastos!$B$2:$B$2500=$A28)*(Gastos!$D$2:$D$2500))</f>
        <v>0</v>
      </c>
      <c r="BR28" s="75">
        <f t="array" ref="BR28">SUM((YEAR(Gastos!$A$2:$A$2500)=BR$1)*(MONTH(Gastos!$A$2:$A$2500)=BR$3)*(Gastos!$B$2:$B$2500=$A28)*(Gastos!$D$2:$D$2500))</f>
        <v>0</v>
      </c>
      <c r="BS28" s="75">
        <f t="array" ref="BS28">SUM((YEAR(Gastos!$A$2:$A$2500)=BS$1)*(MONTH(Gastos!$A$2:$A$2500)=BS$3)*(Gastos!$B$2:$B$2500=$A28)*(Gastos!$D$2:$D$2500))</f>
        <v>0</v>
      </c>
      <c r="BT28" s="75">
        <f t="array" ref="BT28">SUM((YEAR(Gastos!$A$2:$A$2500)=BT$1)*(MONTH(Gastos!$A$2:$A$2500)=BT$3)*(Gastos!$B$2:$B$2500=$A28)*(Gastos!$D$2:$D$2500))</f>
        <v>0</v>
      </c>
      <c r="BU28" s="75">
        <f t="array" ref="BU28">SUM((YEAR(Gastos!$A$2:$A$2500)=BU$1)*(MONTH(Gastos!$A$2:$A$2500)=BU$3)*(Gastos!$B$2:$B$2500=$A28)*(Gastos!$D$2:$D$2500))</f>
        <v>0</v>
      </c>
      <c r="BV28" s="75">
        <f t="array" ref="BV28">SUM((YEAR(Gastos!$A$2:$A$2500)=BV$1)*(MONTH(Gastos!$A$2:$A$2500)=BV$3)*(Gastos!$B$2:$B$2500=$A28)*(Gastos!$D$2:$D$2500))</f>
        <v>0</v>
      </c>
      <c r="BW28" s="75">
        <f t="array" ref="BW28">SUM((YEAR(Gastos!$A$2:$A$2500)=BW$1)*(MONTH(Gastos!$A$2:$A$2500)=BW$3)*(Gastos!$B$2:$B$2500=$A28)*(Gastos!$D$2:$D$2500))</f>
        <v>0</v>
      </c>
      <c r="BX28" s="75">
        <f t="array" ref="BX28">SUM((YEAR(Gastos!$A$2:$A$2500)=BX$1)*(MONTH(Gastos!$A$2:$A$2500)=BX$3)*(Gastos!$B$2:$B$2500=$A28)*(Gastos!$D$2:$D$2500))</f>
        <v>0</v>
      </c>
      <c r="BY28" s="75">
        <f t="array" ref="BY28">SUM((YEAR(Gastos!$A$2:$A$2500)=BY$1)*(MONTH(Gastos!$A$2:$A$2500)=BY$3)*(Gastos!$B$2:$B$2500=$A28)*(Gastos!$D$2:$D$2500))</f>
        <v>0</v>
      </c>
      <c r="BZ28" s="75">
        <f t="array" ref="BZ28">SUM((YEAR(Gastos!$A$2:$A$2500)=BZ$1)*(MONTH(Gastos!$A$2:$A$2500)=BZ$3)*(Gastos!$B$2:$B$2500=$A28)*(Gastos!$D$2:$D$2500))</f>
        <v>0</v>
      </c>
      <c r="CA28" s="75">
        <f t="array" ref="CA28">SUM((YEAR(Gastos!$A$2:$A$2500)=CA$1)*(MONTH(Gastos!$A$2:$A$2500)=CA$3)*(Gastos!$B$2:$B$2500=$A28)*(Gastos!$D$2:$D$2500))</f>
        <v>0</v>
      </c>
      <c r="CB28" s="75">
        <f t="array" ref="CB28">SUM((YEAR(Gastos!$A$2:$A$2500)=CB$1)*(MONTH(Gastos!$A$2:$A$2500)=CB$3)*(Gastos!$B$2:$B$2500=$A28)*(Gastos!$D$2:$D$2500))</f>
        <v>0</v>
      </c>
      <c r="CC28" s="75">
        <f t="array" ref="CC28">SUM((YEAR(Gastos!$A$2:$A$2500)=CC$1)*(MONTH(Gastos!$A$2:$A$2500)=CC$3)*(Gastos!$B$2:$B$2500=$A28)*(Gastos!$D$2:$D$2500))</f>
        <v>12000</v>
      </c>
      <c r="CD28" s="75">
        <f t="array" ref="CD28">SUM((YEAR(Gastos!$A$2:$A$2500)=CD$1)*(MONTH(Gastos!$A$2:$A$2500)=CD$3)*(Gastos!$B$2:$B$2500=$A28)*(Gastos!$D$2:$D$2500))</f>
        <v>0</v>
      </c>
      <c r="CE28" s="75">
        <f t="array" ref="CE28">SUM((YEAR(Gastos!$A$2:$A$2500)=CE$1)*(MONTH(Gastos!$A$2:$A$2500)=CE$3)*(Gastos!$B$2:$B$2500=$A28)*(Gastos!$D$2:$D$2500))</f>
        <v>0</v>
      </c>
      <c r="CF28" s="75">
        <f t="array" ref="CF28">SUM((YEAR(Gastos!$A$2:$A$2500)=CF$1)*(MONTH(Gastos!$A$2:$A$2500)=CF$3)*(Gastos!$B$2:$B$2500=$A28)*(Gastos!$D$2:$D$2500))</f>
        <v>0</v>
      </c>
      <c r="CG28" s="75">
        <f t="array" ref="CG28">SUM((YEAR(Gastos!$A$2:$A$2500)=CG$1)*(MONTH(Gastos!$A$2:$A$2500)=CG$3)*(Gastos!$B$2:$B$2500=$A28)*(Gastos!$D$2:$D$2500))</f>
        <v>0</v>
      </c>
      <c r="CH28" s="75">
        <f t="array" ref="CH28">SUM((YEAR(Gastos!$A$2:$A$2500)=CH$1)*(MONTH(Gastos!$A$2:$A$2500)=CH$3)*(Gastos!$B$2:$B$2500=$A28)*(Gastos!$D$2:$D$2500))</f>
        <v>4799.99</v>
      </c>
      <c r="CI28" s="75">
        <f t="array" ref="CI28">SUM((YEAR(Gastos!$A$2:$A$2500)=CI$1)*(MONTH(Gastos!$A$2:$A$2500)=CI$3)*(Gastos!$B$2:$B$2500=$A28)*(Gastos!$D$2:$D$2500))</f>
        <v>0</v>
      </c>
      <c r="CJ28" s="75">
        <f t="array" ref="CJ28">SUM((YEAR(Gastos!$A$2:$A$2500)=CJ$1)*(MONTH(Gastos!$A$2:$A$2500)=CJ$3)*(Gastos!$B$2:$B$2500=$A28)*(Gastos!$D$2:$D$2500))</f>
        <v>1800.01</v>
      </c>
      <c r="CK28" s="75">
        <f t="array" ref="CK28">SUM((YEAR(Gastos!$A$2:$A$2500)=CK$1)*(MONTH(Gastos!$A$2:$A$2500)=CK$3)*(Gastos!$B$2:$B$2500=$A28)*(Gastos!$D$2:$D$2500))</f>
        <v>12650.249999999998</v>
      </c>
      <c r="CL28" s="75">
        <f t="array" ref="CL28">SUM((YEAR(Gastos!$A$2:$A$2500)=CL$1)*(MONTH(Gastos!$A$2:$A$2500)=CL$3)*(Gastos!$B$2:$B$2500=$A28)*(Gastos!$D$2:$D$2500))</f>
        <v>900</v>
      </c>
      <c r="CM28" s="75">
        <f t="array" ref="CM28">SUM((YEAR(Gastos!$A$2:$A$2500)=CM$1)*(MONTH(Gastos!$A$2:$A$2500)=CM$3)*(Gastos!$B$2:$B$2500=$A28)*(Gastos!$D$2:$D$2500))</f>
        <v>900</v>
      </c>
      <c r="CN28" s="75">
        <f t="array" ref="CN28">SUM((YEAR(Gastos!$A$2:$A$2500)=CN$1)*(MONTH(Gastos!$A$2:$A$2500)=CN$3)*(Gastos!$B$2:$B$2500=$A28)*(Gastos!$D$2:$D$2500))</f>
        <v>2139.33</v>
      </c>
      <c r="CO28" s="75">
        <f t="array" ref="CO28">SUM((YEAR(Gastos!$A$2:$A$2500)=CO$1)*(MONTH(Gastos!$A$2:$A$2500)=CO$3)*(Gastos!$B$2:$B$2500=$A28)*(Gastos!$D$2:$D$2500))</f>
        <v>900</v>
      </c>
      <c r="CP28" s="75">
        <f t="array" ref="CP28">SUM((YEAR(Gastos!$A$2:$A$2500)=CP$1)*(MONTH(Gastos!$A$2:$A$2500)=CP$3)*(Gastos!$B$2:$B$2500=$A28)*(Gastos!$D$2:$D$2500))</f>
        <v>900</v>
      </c>
      <c r="CQ28" s="75">
        <f t="array" ref="CQ28">SUM((YEAR(Gastos!$A$2:$A$2500)=CQ$1)*(MONTH(Gastos!$A$2:$A$2500)=CQ$3)*(Gastos!$B$2:$B$2500=$A28)*(Gastos!$D$2:$D$2500))</f>
        <v>0</v>
      </c>
      <c r="CR28" s="75">
        <f t="array" ref="CR28">SUM((YEAR(Gastos!$A$2:$A$2500)=CR$1)*(MONTH(Gastos!$A$2:$A$2500)=CR$3)*(Gastos!$B$2:$B$2500=$A28)*(Gastos!$D$2:$D$2500))</f>
        <v>0</v>
      </c>
      <c r="CS28" s="75">
        <f t="array" ref="CS28">SUM((YEAR(Gastos!$A$2:$A$2500)=CS$1)*(MONTH(Gastos!$A$2:$A$2500)=CS$3)*(Gastos!$B$2:$B$2500=$A28)*(Gastos!$D$2:$D$2500))</f>
        <v>7593.01</v>
      </c>
      <c r="CT28" s="75">
        <f t="array" ref="CT28">SUM((YEAR(Gastos!$A$2:$A$2500)=CT$1)*(MONTH(Gastos!$A$2:$A$2500)=CT$3)*(Gastos!$B$2:$B$2500=$A28)*(Gastos!$D$2:$D$2500))</f>
        <v>0</v>
      </c>
      <c r="CU28" s="75">
        <f t="array" ref="CU28">SUM((YEAR(Gastos!$A$2:$A$2500)=CU$1)*(MONTH(Gastos!$A$2:$A$2500)=CU$3)*(Gastos!$B$2:$B$2500=$A28)*(Gastos!$D$2:$D$2500))</f>
        <v>0</v>
      </c>
      <c r="CV28" s="75">
        <f t="array" ref="CV28">SUM((YEAR(Gastos!$A$2:$A$2500)=CV$1)*(MONTH(Gastos!$A$2:$A$2500)=CV$3)*(Gastos!$B$2:$B$2500=$A28)*(Gastos!$D$2:$D$2500))</f>
        <v>0</v>
      </c>
      <c r="CW28" s="75">
        <f t="array" ref="CW28">SUM((YEAR(Gastos!$A$2:$A$2500)=CW$1)*(MONTH(Gastos!$A$2:$A$2500)=CW$3)*(Gastos!$B$2:$B$2500=$A28)*(Gastos!$D$2:$D$2500))</f>
        <v>0</v>
      </c>
      <c r="CX28" s="75">
        <f t="array" ref="CX28">SUM((YEAR(Gastos!$A$2:$A$2500)=CX$1)*(MONTH(Gastos!$A$2:$A$2500)=CX$3)*(Gastos!$B$2:$B$2500=$A28)*(Gastos!$D$2:$D$2500))</f>
        <v>0</v>
      </c>
      <c r="CY28" s="75">
        <f t="array" ref="CY28">SUM((YEAR(Gastos!$A$2:$A$2500)=CY$1)*(MONTH(Gastos!$A$2:$A$2500)=CY$3)*(Gastos!$B$2:$B$2500=$A28)*(Gastos!$D$2:$D$2500))</f>
        <v>0</v>
      </c>
      <c r="CZ28" s="75">
        <f t="array" ref="CZ28">SUM((YEAR(Gastos!$A$2:$A$2500)=CZ$1)*(MONTH(Gastos!$A$2:$A$2500)=CZ$3)*(Gastos!$B$2:$B$2500=$A28)*(Gastos!$D$2:$D$2500))</f>
        <v>0</v>
      </c>
      <c r="DA28" s="75">
        <f t="array" ref="DA28">SUM((YEAR(Gastos!$A$2:$A$2500)=DA$1)*(MONTH(Gastos!$A$2:$A$2500)=DA$3)*(Gastos!$B$2:$B$2500=$A28)*(Gastos!$D$2:$D$2500))</f>
        <v>0</v>
      </c>
      <c r="DB28" s="75">
        <f t="array" ref="DB28">SUM((YEAR(Gastos!$A$2:$A$2500)=DB$1)*(MONTH(Gastos!$A$2:$A$2500)=DB$3)*(Gastos!$B$2:$B$2500=$A28)*(Gastos!$D$2:$D$2500))</f>
        <v>0</v>
      </c>
      <c r="DC28" s="75">
        <f t="array" ref="DC28">SUM((YEAR(Gastos!$A$2:$A$2500)=DC$1)*(MONTH(Gastos!$A$2:$A$2500)=DC$3)*(Gastos!$B$2:$B$2500=$A28)*(Gastos!$D$2:$D$2500))</f>
        <v>0</v>
      </c>
      <c r="DD28" s="75">
        <f t="array" ref="DD28">SUM((YEAR(Gastos!$A$2:$A$2500)=DD$1)*(MONTH(Gastos!$A$2:$A$2500)=DD$3)*(Gastos!$B$2:$B$2500=$A28)*(Gastos!$D$2:$D$2500))</f>
        <v>0</v>
      </c>
      <c r="DE28" s="75">
        <f t="array" ref="DE28">SUM((YEAR(Gastos!$A$2:$A$2500)=DE$1)*(MONTH(Gastos!$A$2:$A$2500)=DE$3)*(Gastos!$B$2:$B$2500=$A28)*(Gastos!$D$2:$D$2500))</f>
        <v>0</v>
      </c>
      <c r="DF28" s="75">
        <f t="array" ref="DF28">SUM((YEAR(Gastos!$A$2:$A$2500)=DF$1)*(MONTH(Gastos!$A$2:$A$2500)=DF$3)*(Gastos!$B$2:$B$2500=$A28)*(Gastos!$D$2:$D$2500))</f>
        <v>0</v>
      </c>
      <c r="DG28" s="75">
        <f t="array" ref="DG28">SUM((YEAR(Gastos!$A$2:$A$2500)=DG$1)*(MONTH(Gastos!$A$2:$A$2500)=DG$3)*(Gastos!$B$2:$B$2500=$A28)*(Gastos!$D$2:$D$2500))</f>
        <v>0</v>
      </c>
      <c r="DH28" s="75">
        <f t="array" ref="DH28">SUM((YEAR(Gastos!$A$2:$A$2500)=DH$1)*(MONTH(Gastos!$A$2:$A$2500)=DH$3)*(Gastos!$B$2:$B$2500=$A28)*(Gastos!$D$2:$D$2500))</f>
        <v>0</v>
      </c>
      <c r="DI28" s="75">
        <f t="array" ref="DI28">SUM((YEAR(Gastos!$A$2:$A$2500)=DI$1)*(MONTH(Gastos!$A$2:$A$2500)=DI$3)*(Gastos!$B$2:$B$2500=$A28)*(Gastos!$D$2:$D$2500))</f>
        <v>0</v>
      </c>
      <c r="DJ28" s="75">
        <f t="array" ref="DJ28">SUM((YEAR(Gastos!$A$2:$A$2500)=DJ$1)*(MONTH(Gastos!$A$2:$A$2500)=DJ$3)*(Gastos!$B$2:$B$2500=$A28)*(Gastos!$D$2:$D$2500))</f>
        <v>0</v>
      </c>
      <c r="DK28" s="75">
        <f t="array" ref="DK28">SUM((YEAR(Gastos!$A$2:$A$2500)=DK$1)*(MONTH(Gastos!$A$2:$A$2500)=DK$3)*(Gastos!$B$2:$B$2500=$A28)*(Gastos!$D$2:$D$2500))</f>
        <v>0</v>
      </c>
      <c r="DL28" s="75">
        <f t="array" ref="DL28">SUM((YEAR(Gastos!$A$2:$A$2500)=DL$1)*(MONTH(Gastos!$A$2:$A$2500)=DL$3)*(Gastos!$B$2:$B$2500=$A28)*(Gastos!$D$2:$D$2500))</f>
        <v>0</v>
      </c>
      <c r="DM28" s="75">
        <f t="array" ref="DM28">SUM((YEAR(Gastos!$A$2:$A$2500)=DM$1)*(MONTH(Gastos!$A$2:$A$2500)=DM$3)*(Gastos!$B$2:$B$2500=$A28)*(Gastos!$D$2:$D$2500))</f>
        <v>0</v>
      </c>
      <c r="DN28" s="75">
        <f t="array" ref="DN28">SUM((YEAR(Gastos!$A$2:$A$2500)=DN$1)*(MONTH(Gastos!$A$2:$A$2500)=DN$3)*(Gastos!$B$2:$B$2500=$A28)*(Gastos!$D$2:$D$2500))</f>
        <v>0</v>
      </c>
      <c r="DO28" s="75">
        <f t="array" ref="DO28">SUM((YEAR(Gastos!$A$2:$A$2500)=DO$1)*(MONTH(Gastos!$A$2:$A$2500)=DO$3)*(Gastos!$B$2:$B$2500=$A28)*(Gastos!$D$2:$D$2500))</f>
        <v>0</v>
      </c>
      <c r="DP28" s="75">
        <f t="array" ref="DP28">SUM((YEAR(Gastos!$A$2:$A$2500)=DP$1)*(MONTH(Gastos!$A$2:$A$2500)=DP$3)*(Gastos!$B$2:$B$2500=$A28)*(Gastos!$D$2:$D$2500))</f>
        <v>0</v>
      </c>
      <c r="DQ28" s="75">
        <f t="array" ref="DQ28">SUM((YEAR(Gastos!$A$2:$A$2500)=DQ$1)*(MONTH(Gastos!$A$2:$A$2500)=DQ$3)*(Gastos!$B$2:$B$2500=$A28)*(Gastos!$D$2:$D$2500))</f>
        <v>0</v>
      </c>
      <c r="DR28" s="75">
        <f t="array" ref="DR28">SUM((YEAR(Gastos!$A$2:$A$2500)=DR$1)*(MONTH(Gastos!$A$2:$A$2500)=DR$3)*(Gastos!$B$2:$B$2500=$A28)*(Gastos!$D$2:$D$2500))</f>
        <v>0</v>
      </c>
      <c r="DS28" s="75">
        <f t="array" ref="DS28">SUM((YEAR(Gastos!$A$2:$A$2500)=DS$1)*(MONTH(Gastos!$A$2:$A$2500)=DS$3)*(Gastos!$B$2:$B$2500=$A28)*(Gastos!$D$2:$D$2500))</f>
        <v>0</v>
      </c>
      <c r="DT28" s="75">
        <f t="array" ref="DT28">SUM((YEAR(Gastos!$A$2:$A$2500)=DT$1)*(MONTH(Gastos!$A$2:$A$2500)=DT$3)*(Gastos!$B$2:$B$2500=$A28)*(Gastos!$D$2:$D$2500))</f>
        <v>0</v>
      </c>
      <c r="DU28" s="75">
        <f t="array" ref="DU28">SUM((YEAR(Gastos!$A$2:$A$2500)=DU$1)*(MONTH(Gastos!$A$2:$A$2500)=DU$3)*(Gastos!$B$2:$B$2500=$A28)*(Gastos!$D$2:$D$2500))</f>
        <v>0</v>
      </c>
      <c r="DV28" s="75">
        <f t="array" ref="DV28">SUM((YEAR(Gastos!$A$2:$A$2500)=DV$1)*(MONTH(Gastos!$A$2:$A$2500)=DV$3)*(Gastos!$B$2:$B$2500=$A28)*(Gastos!$D$2:$D$2500))</f>
        <v>0</v>
      </c>
      <c r="DW28" s="75">
        <f t="array" ref="DW28">SUM((YEAR(Gastos!$A$2:$A$2500)=DW$1)*(MONTH(Gastos!$A$2:$A$2500)=DW$3)*(Gastos!$B$2:$B$2500=$A28)*(Gastos!$D$2:$D$2500))</f>
        <v>0</v>
      </c>
      <c r="DX28" s="75">
        <f t="array" ref="DX28">SUM((YEAR(Gastos!$A$2:$A$2500)=DX$1)*(MONTH(Gastos!$A$2:$A$2500)=DX$3)*(Gastos!$B$2:$B$2500=$A28)*(Gastos!$D$2:$D$2500))</f>
        <v>0</v>
      </c>
      <c r="DY28" s="75">
        <f t="array" ref="DY28">SUM((YEAR(Gastos!$A$2:$A$2500)=DY$1)*(MONTH(Gastos!$A$2:$A$2500)=DY$3)*(Gastos!$B$2:$B$2500=$A28)*(Gastos!$D$2:$D$2500))</f>
        <v>0</v>
      </c>
      <c r="DZ28" s="75">
        <f t="array" ref="DZ28">SUM((YEAR(Gastos!$A$2:$A$2500)=DZ$1)*(MONTH(Gastos!$A$2:$A$2500)=DZ$3)*(Gastos!$B$2:$B$2500=$A28)*(Gastos!$D$2:$D$2500))</f>
        <v>0</v>
      </c>
      <c r="EA28" s="75">
        <f t="array" ref="EA28">SUM((YEAR(Gastos!$A$2:$A$2500)=EA$1)*(MONTH(Gastos!$A$2:$A$2500)=EA$3)*(Gastos!$B$2:$B$2500=$A28)*(Gastos!$D$2:$D$2500))</f>
        <v>0</v>
      </c>
      <c r="EB28" s="75">
        <f t="array" ref="EB28">SUM((YEAR(Gastos!$A$2:$A$2500)=EB$1)*(MONTH(Gastos!$A$2:$A$2500)=EB$3)*(Gastos!$B$2:$B$2500=$A28)*(Gastos!$D$2:$D$2500))</f>
        <v>0</v>
      </c>
      <c r="EC28" s="75">
        <f t="array" ref="EC28">SUM((YEAR(Gastos!$A$2:$A$2500)=EC$1)*(MONTH(Gastos!$A$2:$A$2500)=EC$3)*(Gastos!$B$2:$B$2500=$A28)*(Gastos!$D$2:$D$2500))</f>
        <v>0</v>
      </c>
      <c r="ED28" s="75">
        <f t="array" ref="ED28">SUM((YEAR(Gastos!$A$2:$A$2500)=ED$1)*(MONTH(Gastos!$A$2:$A$2500)=ED$3)*(Gastos!$B$2:$B$2500=$A28)*(Gastos!$D$2:$D$2500))</f>
        <v>0</v>
      </c>
      <c r="EE28" s="75">
        <f t="array" ref="EE28">SUM((YEAR(Gastos!$A$2:$A$2500)=EE$1)*(MONTH(Gastos!$A$2:$A$2500)=EE$3)*(Gastos!$B$2:$B$2500=$A28)*(Gastos!$D$2:$D$2500))</f>
        <v>0</v>
      </c>
      <c r="EF28" s="75">
        <f t="array" ref="EF28">SUM((YEAR(Gastos!$A$2:$A$2500)=EF$1)*(MONTH(Gastos!$A$2:$A$2500)=EF$3)*(Gastos!$B$2:$B$2500=$A28)*(Gastos!$D$2:$D$2500))</f>
        <v>0</v>
      </c>
      <c r="EG28" s="75">
        <f t="array" ref="EG28">SUM((YEAR(Gastos!$A$2:$A$2500)=EG$1)*(MONTH(Gastos!$A$2:$A$2500)=EG$3)*(Gastos!$B$2:$B$2500=$A28)*(Gastos!$D$2:$D$2500))</f>
        <v>0</v>
      </c>
      <c r="EH28" s="75">
        <f t="array" ref="EH28">SUM((YEAR(Gastos!$A$2:$A$2500)=EH$1)*(MONTH(Gastos!$A$2:$A$2500)=EH$3)*(Gastos!$B$2:$B$2500=$A28)*(Gastos!$D$2:$D$2500))</f>
        <v>0</v>
      </c>
      <c r="EI28" s="75">
        <f t="array" ref="EI28">SUM((YEAR(Gastos!$A$2:$A$2500)=EI$1)*(MONTH(Gastos!$A$2:$A$2500)=EI$3)*(Gastos!$B$2:$B$2500=$A28)*(Gastos!$D$2:$D$2500))</f>
        <v>0</v>
      </c>
      <c r="EJ28" s="75">
        <f t="array" ref="EJ28">SUM((YEAR(Gastos!$A$2:$A$2500)=EJ$1)*(MONTH(Gastos!$A$2:$A$2500)=EJ$3)*(Gastos!$B$2:$B$2500=$A28)*(Gastos!$D$2:$D$2500))</f>
        <v>0</v>
      </c>
      <c r="EK28" s="75">
        <f t="array" ref="EK28">SUM((YEAR(Gastos!$A$2:$A$2500)=EK$1)*(MONTH(Gastos!$A$2:$A$2500)=EK$3)*(Gastos!$B$2:$B$2500=$A28)*(Gastos!$D$2:$D$2500))</f>
        <v>0</v>
      </c>
      <c r="EL28" s="75">
        <f t="array" ref="EL28">SUM((YEAR(Gastos!$A$2:$A$2500)=EL$1)*(MONTH(Gastos!$A$2:$A$2500)=EL$3)*(Gastos!$B$2:$B$2500=$A28)*(Gastos!$D$2:$D$2500))</f>
        <v>0</v>
      </c>
      <c r="EM28" s="75">
        <f t="array" ref="EM28">SUM((YEAR(Gastos!$A$2:$A$2500)=EM$1)*(MONTH(Gastos!$A$2:$A$2500)=EM$3)*(Gastos!$B$2:$B$2500=$A28)*(Gastos!$D$2:$D$2500))</f>
        <v>0</v>
      </c>
      <c r="EN28" s="75">
        <f t="array" ref="EN28">SUM((YEAR(Gastos!$A$2:$A$2500)=EN$1)*(MONTH(Gastos!$A$2:$A$2500)=EN$3)*(Gastos!$B$2:$B$2500=$A28)*(Gastos!$D$2:$D$2500))</f>
        <v>0</v>
      </c>
      <c r="EO28" s="75">
        <f t="array" ref="EO28">SUM((YEAR(Gastos!$A$2:$A$2500)=EO$1)*(MONTH(Gastos!$A$2:$A$2500)=EO$3)*(Gastos!$B$2:$B$2500=$A28)*(Gastos!$D$2:$D$2500))</f>
        <v>0</v>
      </c>
      <c r="EP28" s="75">
        <f t="array" ref="EP28">SUM((YEAR(Gastos!$A$2:$A$2500)=EP$1)*(MONTH(Gastos!$A$2:$A$2500)=EP$3)*(Gastos!$B$2:$B$2500=$A28)*(Gastos!$D$2:$D$2500))</f>
        <v>0</v>
      </c>
      <c r="EQ28" s="75">
        <f t="array" ref="EQ28">SUM((YEAR(Gastos!$A$2:$A$2500)=EQ$1)*(MONTH(Gastos!$A$2:$A$2500)=EQ$3)*(Gastos!$B$2:$B$2500=$A28)*(Gastos!$D$2:$D$2500))</f>
        <v>0</v>
      </c>
      <c r="ER28" s="75">
        <f t="array" ref="ER28">SUM((YEAR(Gastos!$A$2:$A$2500)=ER$1)*(MONTH(Gastos!$A$2:$A$2500)=ER$3)*(Gastos!$B$2:$B$2500=$A28)*(Gastos!$D$2:$D$2500))</f>
        <v>0</v>
      </c>
      <c r="ES28" s="75">
        <f t="array" ref="ES28">SUM((YEAR(Gastos!$A$2:$A$2500)=ES$1)*(MONTH(Gastos!$A$2:$A$2500)=ES$3)*(Gastos!$B$2:$B$2500=$A28)*(Gastos!$D$2:$D$2500))</f>
        <v>0</v>
      </c>
      <c r="ET28" s="75">
        <f t="array" ref="ET28">SUM((YEAR(Gastos!$A$2:$A$2500)=ET$1)*(MONTH(Gastos!$A$2:$A$2500)=ET$3)*(Gastos!$B$2:$B$2500=$A28)*(Gastos!$D$2:$D$2500))</f>
        <v>0</v>
      </c>
      <c r="EU28" s="75">
        <f t="array" ref="EU28">SUM((YEAR(Gastos!$A$2:$A$2500)=EU$1)*(MONTH(Gastos!$A$2:$A$2500)=EU$3)*(Gastos!$B$2:$B$2500=$A28)*(Gastos!$D$2:$D$2500))</f>
        <v>0</v>
      </c>
      <c r="EV28" s="75">
        <f t="array" ref="EV28">SUM((YEAR(Gastos!$A$2:$A$2500)=EV$1)*(MONTH(Gastos!$A$2:$A$2500)=EV$3)*(Gastos!$B$2:$B$2500=$A28)*(Gastos!$D$2:$D$2500))</f>
        <v>0</v>
      </c>
      <c r="EW28" s="75">
        <f t="array" ref="EW28">SUM((YEAR(Gastos!$A$2:$A$2500)=EW$1)*(MONTH(Gastos!$A$2:$A$2500)=EW$3)*(Gastos!$B$2:$B$2500=$A28)*(Gastos!$D$2:$D$2500))</f>
        <v>0</v>
      </c>
      <c r="EX28" s="75">
        <f t="array" ref="EX28">SUM((YEAR(Gastos!$A$2:$A$2500)=EX$1)*(MONTH(Gastos!$A$2:$A$2500)=EX$3)*(Gastos!$B$2:$B$2500=$A28)*(Gastos!$D$2:$D$2500))</f>
        <v>0</v>
      </c>
      <c r="EY28" s="75">
        <f t="array" ref="EY28">SUM((YEAR(Gastos!$A$2:$A$2500)=EY$1)*(MONTH(Gastos!$A$2:$A$2500)=EY$3)*(Gastos!$B$2:$B$2500=$A28)*(Gastos!$D$2:$D$2500))</f>
        <v>0</v>
      </c>
      <c r="EZ28" s="75">
        <f t="array" ref="EZ28">SUM((YEAR(Gastos!$A$2:$A$2500)=EZ$1)*(MONTH(Gastos!$A$2:$A$2500)=EZ$3)*(Gastos!$B$2:$B$2500=$A28)*(Gastos!$D$2:$D$2500))</f>
        <v>0</v>
      </c>
      <c r="FA28" s="75">
        <f t="array" ref="FA28">SUM((YEAR(Gastos!$A$2:$A$2500)=FA$1)*(MONTH(Gastos!$A$2:$A$2500)=FA$3)*(Gastos!$B$2:$B$2500=$A28)*(Gastos!$D$2:$D$2500))</f>
        <v>0</v>
      </c>
      <c r="FB28" s="75">
        <f t="array" ref="FB28">SUM((YEAR(Gastos!$A$2:$A$2500)=FB$1)*(MONTH(Gastos!$A$2:$A$2500)=FB$3)*(Gastos!$B$2:$B$2500=$A28)*(Gastos!$D$2:$D$2500))</f>
        <v>0</v>
      </c>
      <c r="FC28" s="75">
        <f t="array" ref="FC28">SUM((YEAR(Gastos!$A$2:$A$2500)=FC$1)*(MONTH(Gastos!$A$2:$A$2500)=FC$3)*(Gastos!$B$2:$B$2500=$A28)*(Gastos!$D$2:$D$2500))</f>
        <v>0</v>
      </c>
      <c r="FD28" s="75">
        <f t="array" ref="FD28">SUM((YEAR(Gastos!$A$2:$A$2500)=FD$1)*(MONTH(Gastos!$A$2:$A$2500)=FD$3)*(Gastos!$B$2:$B$2500=$A28)*(Gastos!$D$2:$D$2500))</f>
        <v>0</v>
      </c>
      <c r="FE28" s="75">
        <f t="array" ref="FE28">SUM((YEAR(Gastos!$A$2:$A$2500)=FE$1)*(MONTH(Gastos!$A$2:$A$2500)=FE$3)*(Gastos!$B$2:$B$2500=$A28)*(Gastos!$D$2:$D$2500))</f>
        <v>0</v>
      </c>
      <c r="FF28" s="75">
        <f t="array" ref="FF28">SUM((YEAR(Gastos!$A$2:$A$2500)=FF$1)*(MONTH(Gastos!$A$2:$A$2500)=FF$3)*(Gastos!$B$2:$B$2500=$A28)*(Gastos!$D$2:$D$2500))</f>
        <v>0</v>
      </c>
      <c r="FG28" s="75">
        <f t="array" ref="FG28">SUM((YEAR(Gastos!$A$2:$A$2500)=FG$1)*(MONTH(Gastos!$A$2:$A$2500)=FG$3)*(Gastos!$B$2:$B$2500=$A28)*(Gastos!$D$2:$D$2500))</f>
        <v>0</v>
      </c>
      <c r="FH28" s="75">
        <f t="array" ref="FH28">SUM((YEAR(Gastos!$A$2:$A$2500)=FH$1)*(MONTH(Gastos!$A$2:$A$2500)=FH$3)*(Gastos!$B$2:$B$2500=$A28)*(Gastos!$D$2:$D$2500))</f>
        <v>0</v>
      </c>
      <c r="FI28" s="75">
        <f t="array" ref="FI28">SUM((YEAR(Gastos!$A$2:$A$2500)=FI$1)*(MONTH(Gastos!$A$2:$A$2500)=FI$3)*(Gastos!$B$2:$B$2500=$A28)*(Gastos!$D$2:$D$2500))</f>
        <v>0</v>
      </c>
      <c r="FJ28" s="75">
        <f t="array" ref="FJ28">SUM((YEAR(Gastos!$A$2:$A$2500)=FJ$1)*(MONTH(Gastos!$A$2:$A$2500)=FJ$3)*(Gastos!$B$2:$B$2500=$A28)*(Gastos!$D$2:$D$2500))</f>
        <v>0</v>
      </c>
      <c r="FK28" s="75">
        <f t="array" ref="FK28">SUM((YEAR(Gastos!$A$2:$A$2500)=FK$1)*(MONTH(Gastos!$A$2:$A$2500)=FK$3)*(Gastos!$B$2:$B$2500=$A28)*(Gastos!$D$2:$D$2500))</f>
        <v>0</v>
      </c>
      <c r="FL28" s="75">
        <f t="array" ref="FL28">SUM((YEAR(Gastos!$A$2:$A$2500)=FL$1)*(MONTH(Gastos!$A$2:$A$2500)=FL$3)*(Gastos!$B$2:$B$2500=$A28)*(Gastos!$D$2:$D$2500))</f>
        <v>0</v>
      </c>
      <c r="FM28" s="75">
        <f t="array" ref="FM28">SUM((YEAR(Gastos!$A$2:$A$2500)=FM$1)*(MONTH(Gastos!$A$2:$A$2500)=FM$3)*(Gastos!$B$2:$B$2500=$A28)*(Gastos!$D$2:$D$2500))</f>
        <v>0</v>
      </c>
      <c r="FN28" s="75">
        <f t="array" ref="FN28">SUM((YEAR(Gastos!$A$2:$A$2500)=FN$1)*(MONTH(Gastos!$A$2:$A$2500)=FN$3)*(Gastos!$B$2:$B$2500=$A28)*(Gastos!$D$2:$D$2500))</f>
        <v>0</v>
      </c>
      <c r="FO28" s="75">
        <f t="array" ref="FO28">SUM((YEAR(Gastos!$A$2:$A$2500)=FO$1)*(MONTH(Gastos!$A$2:$A$2500)=FO$3)*(Gastos!$B$2:$B$2500=$A28)*(Gastos!$D$2:$D$2500))</f>
        <v>0</v>
      </c>
      <c r="FP28" s="75">
        <f t="array" ref="FP28">SUM((YEAR(Gastos!$A$2:$A$2500)=FP$1)*(MONTH(Gastos!$A$2:$A$2500)=FP$3)*(Gastos!$B$2:$B$2500=$A28)*(Gastos!$D$2:$D$2500))</f>
        <v>0</v>
      </c>
      <c r="FQ28" s="75">
        <f t="array" ref="FQ28">SUM((YEAR(Gastos!$A$2:$A$2500)=FQ$1)*(MONTH(Gastos!$A$2:$A$2500)=FQ$3)*(Gastos!$B$2:$B$2500=$A28)*(Gastos!$D$2:$D$2500))</f>
        <v>0</v>
      </c>
      <c r="FR28" s="75">
        <f t="array" ref="FR28">SUM((YEAR(Gastos!$A$2:$A$2500)=FR$1)*(MONTH(Gastos!$A$2:$A$2500)=FR$3)*(Gastos!$B$2:$B$2500=$A28)*(Gastos!$D$2:$D$2500))</f>
        <v>0</v>
      </c>
      <c r="FS28" s="75">
        <f t="array" ref="FS28">SUM((YEAR(Gastos!$A$2:$A$2500)=FS$1)*(MONTH(Gastos!$A$2:$A$2500)=FS$3)*(Gastos!$B$2:$B$2500=$A28)*(Gastos!$D$2:$D$2500))</f>
        <v>0</v>
      </c>
      <c r="FT28" s="75">
        <f t="array" ref="FT28">SUM((YEAR(Gastos!$A$2:$A$2500)=FT$1)*(MONTH(Gastos!$A$2:$A$2500)=FT$3)*(Gastos!$B$2:$B$2500=$A28)*(Gastos!$D$2:$D$2500))</f>
        <v>0</v>
      </c>
      <c r="FU28" s="75">
        <f t="array" ref="FU28">SUM((YEAR(Gastos!$A$2:$A$2500)=FU$1)*(MONTH(Gastos!$A$2:$A$2500)=FU$3)*(Gastos!$B$2:$B$2500=$A28)*(Gastos!$D$2:$D$2500))</f>
        <v>0</v>
      </c>
      <c r="FV28" s="75">
        <f t="array" ref="FV28">SUM((YEAR(Gastos!$A$2:$A$2500)=FV$1)*(MONTH(Gastos!$A$2:$A$2500)=FV$3)*(Gastos!$B$2:$B$2500=$A28)*(Gastos!$D$2:$D$2500))</f>
        <v>0</v>
      </c>
      <c r="FW28" s="75">
        <f t="array" ref="FW28">SUM((YEAR(Gastos!$A$2:$A$2500)=FW$1)*(MONTH(Gastos!$A$2:$A$2500)=FW$3)*(Gastos!$B$2:$B$2500=$A28)*(Gastos!$D$2:$D$2500))</f>
        <v>0</v>
      </c>
      <c r="FX28" s="75">
        <f t="array" ref="FX28">SUM((YEAR(Gastos!$A$2:$A$2500)=FX$1)*(MONTH(Gastos!$A$2:$A$2500)=FX$3)*(Gastos!$B$2:$B$2500=$A28)*(Gastos!$D$2:$D$2500))</f>
        <v>0</v>
      </c>
      <c r="FY28" s="75">
        <f t="array" ref="FY28">SUM((YEAR(Gastos!$A$2:$A$2500)=FY$1)*(MONTH(Gastos!$A$2:$A$2500)=FY$3)*(Gastos!$B$2:$B$2500=$A28)*(Gastos!$D$2:$D$2500))</f>
        <v>0</v>
      </c>
      <c r="FZ28" s="76">
        <f t="shared" si="65"/>
        <v>44582.59</v>
      </c>
      <c r="GA28" s="80"/>
      <c r="GB28" s="78">
        <f t="shared" si="66"/>
        <v>-12000</v>
      </c>
      <c r="GF28" s="79">
        <f t="array" ref="GF28">SUM(((Gastos!$A$2:$A$1647)&gt;=GD$3)*((Gastos!$A$2:$A$1647)&lt;=GF$3)*(Gastos!$B$2:$B$1647=$A28)*(Gastos!$D$2:$D$1647))</f>
        <v>0</v>
      </c>
      <c r="GI28" s="79">
        <f t="array" ref="GI28">SUM(((Gastos!$A$2:$A$1647)&gt;=GG$3)*((Gastos!$A$2:$A$1647)&lt;=GI$3)*(Gastos!$B$2:$B$1647=$A28)*(Gastos!$D$2:$D$1647))</f>
        <v>12000</v>
      </c>
    </row>
    <row r="29" spans="1:191" ht="15" thickBot="1" x14ac:dyDescent="0.4">
      <c r="A29" s="74" t="str">
        <f>Gastos!AA27</f>
        <v>V. DEVOLUCION DE DINERO DE PROVEEDORES</v>
      </c>
      <c r="B29" s="75">
        <f t="array" ref="B29">SUM((YEAR(Gastos!$A$2:$A$2500)=B$1)*(MONTH(Gastos!$A$2:$A$2500)=B$3)*(Gastos!$B$2:$B$2500=$A29)*(Gastos!$D$2:$D$2500))</f>
        <v>0</v>
      </c>
      <c r="C29" s="75">
        <f t="array" ref="C29">SUM((YEAR(Gastos!$A$2:$A$2500)=C$1)*(MONTH(Gastos!$A$2:$A$2500)=C$3)*(Gastos!$B$2:$B$2500=$A29)*(Gastos!$D$2:$D$2500))</f>
        <v>0</v>
      </c>
      <c r="D29" s="75">
        <f t="array" ref="D29">SUM((YEAR(Gastos!$A$2:$A$2500)=D$1)*(MONTH(Gastos!$A$2:$A$2500)=D$3)*(Gastos!$B$2:$B$2500=$A29)*(Gastos!$D$2:$D$2500))</f>
        <v>0</v>
      </c>
      <c r="E29" s="75">
        <f t="array" ref="E29">SUM((YEAR(Gastos!$A$2:$A$2500)=E$1)*(MONTH(Gastos!$A$2:$A$2500)=E$3)*(Gastos!$B$2:$B$2500=$A29)*(Gastos!$D$2:$D$2500))</f>
        <v>0</v>
      </c>
      <c r="F29" s="75">
        <f t="array" ref="F29">SUM((YEAR(Gastos!$A$2:$A$2500)=F$1)*(MONTH(Gastos!$A$2:$A$2500)=F$3)*(Gastos!$B$2:$B$2500=$A29)*(Gastos!$D$2:$D$2500))</f>
        <v>0</v>
      </c>
      <c r="G29" s="75">
        <f t="array" ref="G29">SUM((YEAR(Gastos!$A$2:$A$2500)=G$1)*(MONTH(Gastos!$A$2:$A$2500)=G$3)*(Gastos!$B$2:$B$2500=$A29)*(Gastos!$D$2:$D$2500))</f>
        <v>0</v>
      </c>
      <c r="H29" s="75">
        <f t="array" ref="H29">SUM((YEAR(Gastos!$A$2:$A$2500)=H$1)*(MONTH(Gastos!$A$2:$A$2500)=H$3)*(Gastos!$B$2:$B$2500=$A29)*(Gastos!$D$2:$D$2500))</f>
        <v>0</v>
      </c>
      <c r="I29" s="75">
        <f t="array" ref="I29">SUM((YEAR(Gastos!$A$2:$A$2500)=I$1)*(MONTH(Gastos!$A$2:$A$2500)=I$3)*(Gastos!$B$2:$B$2500=$A29)*(Gastos!$D$2:$D$2500))</f>
        <v>0</v>
      </c>
      <c r="J29" s="75">
        <f t="array" ref="J29">SUM((YEAR(Gastos!$A$2:$A$2500)=J$1)*(MONTH(Gastos!$A$2:$A$2500)=J$3)*(Gastos!$B$2:$B$2500=$A29)*(Gastos!$D$2:$D$2500))</f>
        <v>0</v>
      </c>
      <c r="K29" s="75">
        <f t="array" ref="K29">SUM((YEAR(Gastos!$A$2:$A$2500)=K$1)*(MONTH(Gastos!$A$2:$A$2500)=K$3)*(Gastos!$B$2:$B$2500=$A29)*(Gastos!$D$2:$D$2500))</f>
        <v>0</v>
      </c>
      <c r="L29" s="75">
        <f t="array" ref="L29">SUM((YEAR(Gastos!$A$2:$A$2500)=L$1)*(MONTH(Gastos!$A$2:$A$2500)=L$3)*(Gastos!$B$2:$B$2500=$A29)*(Gastos!$D$2:$D$2500))</f>
        <v>0</v>
      </c>
      <c r="M29" s="75">
        <f t="array" ref="M29">SUM((YEAR(Gastos!$A$2:$A$2500)=M$1)*(MONTH(Gastos!$A$2:$A$2500)=M$3)*(Gastos!$B$2:$B$2500=$A29)*(Gastos!$D$2:$D$2500))</f>
        <v>0</v>
      </c>
      <c r="N29" s="75">
        <f t="array" ref="N29">SUM((YEAR(Gastos!$A$2:$A$2500)=N$1)*(MONTH(Gastos!$A$2:$A$2500)=N$3)*(Gastos!$B$2:$B$2500=$A29)*(Gastos!$D$2:$D$2500))</f>
        <v>0</v>
      </c>
      <c r="O29" s="75">
        <f t="array" ref="O29">SUM((YEAR(Gastos!$A$2:$A$2500)=O$1)*(MONTH(Gastos!$A$2:$A$2500)=O$3)*(Gastos!$B$2:$B$2500=$A29)*(Gastos!$D$2:$D$2500))</f>
        <v>0</v>
      </c>
      <c r="P29" s="75">
        <f t="array" ref="P29">SUM((YEAR(Gastos!$A$2:$A$2500)=P$1)*(MONTH(Gastos!$A$2:$A$2500)=P$3)*(Gastos!$B$2:$B$2500=$A29)*(Gastos!$D$2:$D$2500))</f>
        <v>0</v>
      </c>
      <c r="Q29" s="75">
        <f t="array" ref="Q29">SUM((YEAR(Gastos!$A$2:$A$2500)=Q$1)*(MONTH(Gastos!$A$2:$A$2500)=Q$3)*(Gastos!$B$2:$B$2500=$A29)*(Gastos!$D$2:$D$2500))</f>
        <v>0</v>
      </c>
      <c r="R29" s="75">
        <f t="array" ref="R29">SUM((YEAR(Gastos!$A$2:$A$2500)=R$1)*(MONTH(Gastos!$A$2:$A$2500)=R$3)*(Gastos!$B$2:$B$2500=$A29)*(Gastos!$D$2:$D$2500))</f>
        <v>0</v>
      </c>
      <c r="S29" s="75">
        <f t="array" ref="S29">SUM((YEAR(Gastos!$A$2:$A$2500)=S$1)*(MONTH(Gastos!$A$2:$A$2500)=S$3)*(Gastos!$B$2:$B$2500=$A29)*(Gastos!$D$2:$D$2500))</f>
        <v>0</v>
      </c>
      <c r="T29" s="75">
        <f t="array" ref="T29">SUM((YEAR(Gastos!$A$2:$A$2500)=T$1)*(MONTH(Gastos!$A$2:$A$2500)=T$3)*(Gastos!$B$2:$B$2500=$A29)*(Gastos!$D$2:$D$2500))</f>
        <v>0</v>
      </c>
      <c r="U29" s="75">
        <f t="array" ref="U29">SUM((YEAR(Gastos!$A$2:$A$2500)=U$1)*(MONTH(Gastos!$A$2:$A$2500)=U$3)*(Gastos!$B$2:$B$2500=$A29)*(Gastos!$D$2:$D$2500))</f>
        <v>0</v>
      </c>
      <c r="V29" s="75">
        <f t="array" ref="V29">SUM((YEAR(Gastos!$A$2:$A$2500)=V$1)*(MONTH(Gastos!$A$2:$A$2500)=V$3)*(Gastos!$B$2:$B$2500=$A29)*(Gastos!$D$2:$D$2500))</f>
        <v>0</v>
      </c>
      <c r="W29" s="75">
        <f t="array" ref="W29">SUM((YEAR(Gastos!$A$2:$A$2500)=W$1)*(MONTH(Gastos!$A$2:$A$2500)=W$3)*(Gastos!$B$2:$B$2500=$A29)*(Gastos!$D$2:$D$2500))</f>
        <v>0</v>
      </c>
      <c r="X29" s="75">
        <f t="array" ref="X29">SUM((YEAR(Gastos!$A$2:$A$2500)=X$1)*(MONTH(Gastos!$A$2:$A$2500)=X$3)*(Gastos!$B$2:$B$2500=$A29)*(Gastos!$D$2:$D$2500))</f>
        <v>0</v>
      </c>
      <c r="Y29" s="75">
        <f t="array" ref="Y29">SUM((YEAR(Gastos!$A$2:$A$2500)=Y$1)*(MONTH(Gastos!$A$2:$A$2500)=Y$3)*(Gastos!$B$2:$B$2500=$A29)*(Gastos!$D$2:$D$2500))</f>
        <v>0</v>
      </c>
      <c r="Z29" s="75">
        <f t="array" ref="Z29">SUM((YEAR(Gastos!$A$2:$A$2500)=Z$1)*(MONTH(Gastos!$A$2:$A$2500)=Z$3)*(Gastos!$B$2:$B$2500=$A29)*(Gastos!$D$2:$D$2500))</f>
        <v>0</v>
      </c>
      <c r="AA29" s="75">
        <f t="array" ref="AA29">SUM((YEAR(Gastos!$A$2:$A$2500)=AA$1)*(MONTH(Gastos!$A$2:$A$2500)=AA$3)*(Gastos!$B$2:$B$2500=$A29)*(Gastos!$D$2:$D$2500))</f>
        <v>0</v>
      </c>
      <c r="AB29" s="75">
        <f t="array" ref="AB29">SUM((YEAR(Gastos!$A$2:$A$2500)=AB$1)*(MONTH(Gastos!$A$2:$A$2500)=AB$3)*(Gastos!$B$2:$B$2500=$A29)*(Gastos!$D$2:$D$2500))</f>
        <v>0</v>
      </c>
      <c r="AC29" s="75">
        <f t="array" ref="AC29">SUM((YEAR(Gastos!$A$2:$A$2500)=AC$1)*(MONTH(Gastos!$A$2:$A$2500)=AC$3)*(Gastos!$B$2:$B$2500=$A29)*(Gastos!$D$2:$D$2500))</f>
        <v>0</v>
      </c>
      <c r="AD29" s="75">
        <f t="array" ref="AD29">SUM((YEAR(Gastos!$A$2:$A$2500)=AD$1)*(MONTH(Gastos!$A$2:$A$2500)=AD$3)*(Gastos!$B$2:$B$2500=$A29)*(Gastos!$D$2:$D$2500))</f>
        <v>0</v>
      </c>
      <c r="AE29" s="75">
        <f t="array" ref="AE29">SUM((YEAR(Gastos!$A$2:$A$2500)=AE$1)*(MONTH(Gastos!$A$2:$A$2500)=AE$3)*(Gastos!$B$2:$B$2500=$A29)*(Gastos!$D$2:$D$2500))</f>
        <v>0</v>
      </c>
      <c r="AF29" s="75">
        <f t="array" ref="AF29">SUM((YEAR(Gastos!$A$2:$A$2500)=AF$1)*(MONTH(Gastos!$A$2:$A$2500)=AF$3)*(Gastos!$B$2:$B$2500=$A29)*(Gastos!$D$2:$D$2500))</f>
        <v>0</v>
      </c>
      <c r="AG29" s="75">
        <f t="array" ref="AG29">SUM((YEAR(Gastos!$A$2:$A$2500)=AG$1)*(MONTH(Gastos!$A$2:$A$2500)=AG$3)*(Gastos!$B$2:$B$2500=$A29)*(Gastos!$D$2:$D$2500))</f>
        <v>0</v>
      </c>
      <c r="AH29" s="75">
        <f t="array" ref="AH29">SUM((YEAR(Gastos!$A$2:$A$2500)=AH$1)*(MONTH(Gastos!$A$2:$A$2500)=AH$3)*(Gastos!$B$2:$B$2500=$A29)*(Gastos!$D$2:$D$2500))</f>
        <v>0</v>
      </c>
      <c r="AI29" s="75">
        <f t="array" ref="AI29">SUM((YEAR(Gastos!$A$2:$A$2500)=AI$1)*(MONTH(Gastos!$A$2:$A$2500)=AI$3)*(Gastos!$B$2:$B$2500=$A29)*(Gastos!$D$2:$D$2500))</f>
        <v>0</v>
      </c>
      <c r="AJ29" s="75">
        <f t="array" ref="AJ29">SUM((YEAR(Gastos!$A$2:$A$2500)=AJ$1)*(MONTH(Gastos!$A$2:$A$2500)=AJ$3)*(Gastos!$B$2:$B$2500=$A29)*(Gastos!$D$2:$D$2500))</f>
        <v>0</v>
      </c>
      <c r="AK29" s="75">
        <f t="array" ref="AK29">SUM((YEAR(Gastos!$A$2:$A$2500)=AK$1)*(MONTH(Gastos!$A$2:$A$2500)=AK$3)*(Gastos!$B$2:$B$2500=$A29)*(Gastos!$D$2:$D$2500))</f>
        <v>0</v>
      </c>
      <c r="AL29" s="75">
        <f t="array" ref="AL29">SUM((YEAR(Gastos!$A$2:$A$2500)=AL$1)*(MONTH(Gastos!$A$2:$A$2500)=AL$3)*(Gastos!$B$2:$B$2500=$A29)*(Gastos!$D$2:$D$2500))</f>
        <v>0</v>
      </c>
      <c r="AM29" s="75">
        <f t="array" ref="AM29">SUM((YEAR(Gastos!$A$2:$A$2500)=AM$1)*(MONTH(Gastos!$A$2:$A$2500)=AM$3)*(Gastos!$B$2:$B$2500=$A29)*(Gastos!$D$2:$D$2500))</f>
        <v>0</v>
      </c>
      <c r="AN29" s="75">
        <f t="array" ref="AN29">SUM((YEAR(Gastos!$A$2:$A$2500)=AN$1)*(MONTH(Gastos!$A$2:$A$2500)=AN$3)*(Gastos!$B$2:$B$2500=$A29)*(Gastos!$D$2:$D$2500))</f>
        <v>0</v>
      </c>
      <c r="AO29" s="75">
        <f t="array" ref="AO29">SUM((YEAR(Gastos!$A$2:$A$2500)=AO$1)*(MONTH(Gastos!$A$2:$A$2500)=AO$3)*(Gastos!$B$2:$B$2500=$A29)*(Gastos!$D$2:$D$2500))</f>
        <v>0</v>
      </c>
      <c r="AP29" s="75">
        <f t="array" ref="AP29">SUM((YEAR(Gastos!$A$2:$A$2500)=AP$1)*(MONTH(Gastos!$A$2:$A$2500)=AP$3)*(Gastos!$B$2:$B$2500=$A29)*(Gastos!$D$2:$D$2500))</f>
        <v>0</v>
      </c>
      <c r="AQ29" s="75">
        <f t="array" ref="AQ29">SUM((YEAR(Gastos!$A$2:$A$2500)=AQ$1)*(MONTH(Gastos!$A$2:$A$2500)=AQ$3)*(Gastos!$B$2:$B$2500=$A29)*(Gastos!$D$2:$D$2500))</f>
        <v>0</v>
      </c>
      <c r="AR29" s="75">
        <f t="array" ref="AR29">SUM((YEAR(Gastos!$A$2:$A$2500)=AR$1)*(MONTH(Gastos!$A$2:$A$2500)=AR$3)*(Gastos!$B$2:$B$2500=$A29)*(Gastos!$D$2:$D$2500))</f>
        <v>0</v>
      </c>
      <c r="AS29" s="75">
        <f t="array" ref="AS29">SUM((YEAR(Gastos!$A$2:$A$2500)=AS$1)*(MONTH(Gastos!$A$2:$A$2500)=AS$3)*(Gastos!$B$2:$B$2500=$A29)*(Gastos!$D$2:$D$2500))</f>
        <v>0</v>
      </c>
      <c r="AT29" s="75">
        <f t="array" ref="AT29">SUM((YEAR(Gastos!$A$2:$A$2500)=AT$1)*(MONTH(Gastos!$A$2:$A$2500)=AT$3)*(Gastos!$B$2:$B$2500=$A29)*(Gastos!$D$2:$D$2500))</f>
        <v>0</v>
      </c>
      <c r="AU29" s="75">
        <f t="array" ref="AU29">SUM((YEAR(Gastos!$A$2:$A$2500)=AU$1)*(MONTH(Gastos!$A$2:$A$2500)=AU$3)*(Gastos!$B$2:$B$2500=$A29)*(Gastos!$D$2:$D$2500))</f>
        <v>0</v>
      </c>
      <c r="AV29" s="75">
        <f t="array" ref="AV29">SUM((YEAR(Gastos!$A$2:$A$2500)=AV$1)*(MONTH(Gastos!$A$2:$A$2500)=AV$3)*(Gastos!$B$2:$B$2500=$A29)*(Gastos!$D$2:$D$2500))</f>
        <v>0</v>
      </c>
      <c r="AW29" s="75">
        <f t="array" ref="AW29">SUM((YEAR(Gastos!$A$2:$A$2500)=AW$1)*(MONTH(Gastos!$A$2:$A$2500)=AW$3)*(Gastos!$B$2:$B$2500=$A29)*(Gastos!$D$2:$D$2500))</f>
        <v>0</v>
      </c>
      <c r="AX29" s="75">
        <f t="array" ref="AX29">SUM((YEAR(Gastos!$A$2:$A$2500)=AX$1)*(MONTH(Gastos!$A$2:$A$2500)=AX$3)*(Gastos!$B$2:$B$2500=$A29)*(Gastos!$D$2:$D$2500))</f>
        <v>0</v>
      </c>
      <c r="AY29" s="75">
        <f t="array" ref="AY29">SUM((YEAR(Gastos!$A$2:$A$2500)=AY$1)*(MONTH(Gastos!$A$2:$A$2500)=AY$3)*(Gastos!$B$2:$B$2500=$A29)*(Gastos!$D$2:$D$2500))</f>
        <v>0</v>
      </c>
      <c r="AZ29" s="75">
        <f t="array" ref="AZ29">SUM((YEAR(Gastos!$A$2:$A$2500)=AZ$1)*(MONTH(Gastos!$A$2:$A$2500)=AZ$3)*(Gastos!$B$2:$B$2500=$A29)*(Gastos!$D$2:$D$2500))</f>
        <v>0</v>
      </c>
      <c r="BA29" s="75">
        <f t="array" ref="BA29">SUM((YEAR(Gastos!$A$2:$A$2500)=BA$1)*(MONTH(Gastos!$A$2:$A$2500)=BA$3)*(Gastos!$B$2:$B$2500=$A29)*(Gastos!$D$2:$D$2500))</f>
        <v>0</v>
      </c>
      <c r="BB29" s="75">
        <f t="array" ref="BB29">SUM((YEAR(Gastos!$A$2:$A$2500)=BB$1)*(MONTH(Gastos!$A$2:$A$2500)=BB$3)*(Gastos!$B$2:$B$2500=$A29)*(Gastos!$D$2:$D$2500))</f>
        <v>0</v>
      </c>
      <c r="BC29" s="75">
        <f t="array" ref="BC29">SUM((YEAR(Gastos!$A$2:$A$2500)=BC$1)*(MONTH(Gastos!$A$2:$A$2500)=BC$3)*(Gastos!$B$2:$B$2500=$A29)*(Gastos!$D$2:$D$2500))</f>
        <v>0</v>
      </c>
      <c r="BD29" s="75">
        <f t="array" ref="BD29">SUM((YEAR(Gastos!$A$2:$A$2500)=BD$1)*(MONTH(Gastos!$A$2:$A$2500)=BD$3)*(Gastos!$B$2:$B$2500=$A29)*(Gastos!$D$2:$D$2500))</f>
        <v>0</v>
      </c>
      <c r="BE29" s="75">
        <f t="array" ref="BE29">SUM((YEAR(Gastos!$A$2:$A$2500)=BE$1)*(MONTH(Gastos!$A$2:$A$2500)=BE$3)*(Gastos!$B$2:$B$2500=$A29)*(Gastos!$D$2:$D$2500))</f>
        <v>0</v>
      </c>
      <c r="BF29" s="75">
        <f t="array" ref="BF29">SUM((YEAR(Gastos!$A$2:$A$2500)=BF$1)*(MONTH(Gastos!$A$2:$A$2500)=BF$3)*(Gastos!$B$2:$B$2500=$A29)*(Gastos!$D$2:$D$2500))</f>
        <v>0</v>
      </c>
      <c r="BG29" s="75">
        <f t="array" ref="BG29">SUM((YEAR(Gastos!$A$2:$A$2500)=BG$1)*(MONTH(Gastos!$A$2:$A$2500)=BG$3)*(Gastos!$B$2:$B$2500=$A29)*(Gastos!$D$2:$D$2500))</f>
        <v>0</v>
      </c>
      <c r="BH29" s="75">
        <f t="array" ref="BH29">SUM((YEAR(Gastos!$A$2:$A$2500)=BH$1)*(MONTH(Gastos!$A$2:$A$2500)=BH$3)*(Gastos!$B$2:$B$2500=$A29)*(Gastos!$D$2:$D$2500))</f>
        <v>0</v>
      </c>
      <c r="BI29" s="75">
        <f t="array" ref="BI29">SUM((YEAR(Gastos!$A$2:$A$2500)=BI$1)*(MONTH(Gastos!$A$2:$A$2500)=BI$3)*(Gastos!$B$2:$B$2500=$A29)*(Gastos!$D$2:$D$2500))</f>
        <v>0</v>
      </c>
      <c r="BJ29" s="75">
        <f t="array" ref="BJ29">SUM((YEAR(Gastos!$A$2:$A$2500)=BJ$1)*(MONTH(Gastos!$A$2:$A$2500)=BJ$3)*(Gastos!$B$2:$B$2500=$A29)*(Gastos!$D$2:$D$2500))</f>
        <v>0</v>
      </c>
      <c r="BK29" s="75">
        <f t="array" ref="BK29">SUM((YEAR(Gastos!$A$2:$A$2500)=BK$1)*(MONTH(Gastos!$A$2:$A$2500)=BK$3)*(Gastos!$B$2:$B$2500=$A29)*(Gastos!$D$2:$D$2500))</f>
        <v>0</v>
      </c>
      <c r="BL29" s="75">
        <f t="array" ref="BL29">SUM((YEAR(Gastos!$A$2:$A$2500)=BL$1)*(MONTH(Gastos!$A$2:$A$2500)=BL$3)*(Gastos!$B$2:$B$2500=$A29)*(Gastos!$D$2:$D$2500))</f>
        <v>0</v>
      </c>
      <c r="BM29" s="75">
        <f t="array" ref="BM29">SUM((YEAR(Gastos!$A$2:$A$2500)=BM$1)*(MONTH(Gastos!$A$2:$A$2500)=BM$3)*(Gastos!$B$2:$B$2500=$A29)*(Gastos!$D$2:$D$2500))</f>
        <v>0</v>
      </c>
      <c r="BN29" s="75">
        <f t="array" ref="BN29">SUM((YEAR(Gastos!$A$2:$A$2500)=BN$1)*(MONTH(Gastos!$A$2:$A$2500)=BN$3)*(Gastos!$B$2:$B$2500=$A29)*(Gastos!$D$2:$D$2500))</f>
        <v>0</v>
      </c>
      <c r="BO29" s="75">
        <f t="array" ref="BO29">SUM((YEAR(Gastos!$A$2:$A$2500)=BO$1)*(MONTH(Gastos!$A$2:$A$2500)=BO$3)*(Gastos!$B$2:$B$2500=$A29)*(Gastos!$D$2:$D$2500))</f>
        <v>0</v>
      </c>
      <c r="BP29" s="75">
        <f t="array" ref="BP29">SUM((YEAR(Gastos!$A$2:$A$2500)=BP$1)*(MONTH(Gastos!$A$2:$A$2500)=BP$3)*(Gastos!$B$2:$B$2500=$A29)*(Gastos!$D$2:$D$2500))</f>
        <v>0</v>
      </c>
      <c r="BQ29" s="75">
        <f t="array" ref="BQ29">SUM((YEAR(Gastos!$A$2:$A$2500)=BQ$1)*(MONTH(Gastos!$A$2:$A$2500)=BQ$3)*(Gastos!$B$2:$B$2500=$A29)*(Gastos!$D$2:$D$2500))</f>
        <v>0</v>
      </c>
      <c r="BR29" s="75">
        <f t="array" ref="BR29">SUM((YEAR(Gastos!$A$2:$A$2500)=BR$1)*(MONTH(Gastos!$A$2:$A$2500)=BR$3)*(Gastos!$B$2:$B$2500=$A29)*(Gastos!$D$2:$D$2500))</f>
        <v>0</v>
      </c>
      <c r="BS29" s="75">
        <f t="array" ref="BS29">SUM((YEAR(Gastos!$A$2:$A$2500)=BS$1)*(MONTH(Gastos!$A$2:$A$2500)=BS$3)*(Gastos!$B$2:$B$2500=$A29)*(Gastos!$D$2:$D$2500))</f>
        <v>0</v>
      </c>
      <c r="BT29" s="75">
        <f t="array" ref="BT29">SUM((YEAR(Gastos!$A$2:$A$2500)=BT$1)*(MONTH(Gastos!$A$2:$A$2500)=BT$3)*(Gastos!$B$2:$B$2500=$A29)*(Gastos!$D$2:$D$2500))</f>
        <v>0</v>
      </c>
      <c r="BU29" s="75">
        <f t="array" ref="BU29">SUM((YEAR(Gastos!$A$2:$A$2500)=BU$1)*(MONTH(Gastos!$A$2:$A$2500)=BU$3)*(Gastos!$B$2:$B$2500=$A29)*(Gastos!$D$2:$D$2500))</f>
        <v>0</v>
      </c>
      <c r="BV29" s="75">
        <f t="array" ref="BV29">SUM((YEAR(Gastos!$A$2:$A$2500)=BV$1)*(MONTH(Gastos!$A$2:$A$2500)=BV$3)*(Gastos!$B$2:$B$2500=$A29)*(Gastos!$D$2:$D$2500))</f>
        <v>0</v>
      </c>
      <c r="BW29" s="75">
        <f t="array" ref="BW29">SUM((YEAR(Gastos!$A$2:$A$2500)=BW$1)*(MONTH(Gastos!$A$2:$A$2500)=BW$3)*(Gastos!$B$2:$B$2500=$A29)*(Gastos!$D$2:$D$2500))</f>
        <v>0</v>
      </c>
      <c r="BX29" s="75">
        <f t="array" ref="BX29">SUM((YEAR(Gastos!$A$2:$A$2500)=BX$1)*(MONTH(Gastos!$A$2:$A$2500)=BX$3)*(Gastos!$B$2:$B$2500=$A29)*(Gastos!$D$2:$D$2500))</f>
        <v>0</v>
      </c>
      <c r="BY29" s="75">
        <f t="array" ref="BY29">SUM((YEAR(Gastos!$A$2:$A$2500)=BY$1)*(MONTH(Gastos!$A$2:$A$2500)=BY$3)*(Gastos!$B$2:$B$2500=$A29)*(Gastos!$D$2:$D$2500))</f>
        <v>0</v>
      </c>
      <c r="BZ29" s="75">
        <f t="array" ref="BZ29">SUM((YEAR(Gastos!$A$2:$A$2500)=BZ$1)*(MONTH(Gastos!$A$2:$A$2500)=BZ$3)*(Gastos!$B$2:$B$2500=$A29)*(Gastos!$D$2:$D$2500))</f>
        <v>0</v>
      </c>
      <c r="CA29" s="75">
        <f t="array" ref="CA29">SUM((YEAR(Gastos!$A$2:$A$2500)=CA$1)*(MONTH(Gastos!$A$2:$A$2500)=CA$3)*(Gastos!$B$2:$B$2500=$A29)*(Gastos!$D$2:$D$2500))</f>
        <v>0</v>
      </c>
      <c r="CB29" s="75">
        <f t="array" ref="CB29">SUM((YEAR(Gastos!$A$2:$A$2500)=CB$1)*(MONTH(Gastos!$A$2:$A$2500)=CB$3)*(Gastos!$B$2:$B$2500=$A29)*(Gastos!$D$2:$D$2500))</f>
        <v>0</v>
      </c>
      <c r="CC29" s="75">
        <f t="array" ref="CC29">SUM((YEAR(Gastos!$A$2:$A$2500)=CC$1)*(MONTH(Gastos!$A$2:$A$2500)=CC$3)*(Gastos!$B$2:$B$2500=$A29)*(Gastos!$D$2:$D$2500))</f>
        <v>0</v>
      </c>
      <c r="CD29" s="75">
        <f t="array" ref="CD29">SUM((YEAR(Gastos!$A$2:$A$2500)=CD$1)*(MONTH(Gastos!$A$2:$A$2500)=CD$3)*(Gastos!$B$2:$B$2500=$A29)*(Gastos!$D$2:$D$2500))</f>
        <v>0</v>
      </c>
      <c r="CE29" s="75">
        <f t="array" ref="CE29">SUM((YEAR(Gastos!$A$2:$A$2500)=CE$1)*(MONTH(Gastos!$A$2:$A$2500)=CE$3)*(Gastos!$B$2:$B$2500=$A29)*(Gastos!$D$2:$D$2500))</f>
        <v>0</v>
      </c>
      <c r="CF29" s="75">
        <f t="array" ref="CF29">SUM((YEAR(Gastos!$A$2:$A$2500)=CF$1)*(MONTH(Gastos!$A$2:$A$2500)=CF$3)*(Gastos!$B$2:$B$2500=$A29)*(Gastos!$D$2:$D$2500))</f>
        <v>0</v>
      </c>
      <c r="CG29" s="75">
        <f t="array" ref="CG29">SUM((YEAR(Gastos!$A$2:$A$2500)=CG$1)*(MONTH(Gastos!$A$2:$A$2500)=CG$3)*(Gastos!$B$2:$B$2500=$A29)*(Gastos!$D$2:$D$2500))</f>
        <v>0</v>
      </c>
      <c r="CH29" s="75">
        <f t="array" ref="CH29">SUM((YEAR(Gastos!$A$2:$A$2500)=CH$1)*(MONTH(Gastos!$A$2:$A$2500)=CH$3)*(Gastos!$B$2:$B$2500=$A29)*(Gastos!$D$2:$D$2500))</f>
        <v>0</v>
      </c>
      <c r="CI29" s="75">
        <f t="array" ref="CI29">SUM((YEAR(Gastos!$A$2:$A$2500)=CI$1)*(MONTH(Gastos!$A$2:$A$2500)=CI$3)*(Gastos!$B$2:$B$2500=$A29)*(Gastos!$D$2:$D$2500))</f>
        <v>0</v>
      </c>
      <c r="CJ29" s="75">
        <f t="array" ref="CJ29">SUM((YEAR(Gastos!$A$2:$A$2500)=CJ$1)*(MONTH(Gastos!$A$2:$A$2500)=CJ$3)*(Gastos!$B$2:$B$2500=$A29)*(Gastos!$D$2:$D$2500))</f>
        <v>0</v>
      </c>
      <c r="CK29" s="75">
        <f t="array" ref="CK29">SUM((YEAR(Gastos!$A$2:$A$2500)=CK$1)*(MONTH(Gastos!$A$2:$A$2500)=CK$3)*(Gastos!$B$2:$B$2500=$A29)*(Gastos!$D$2:$D$2500))</f>
        <v>0</v>
      </c>
      <c r="CL29" s="75">
        <f t="array" ref="CL29">SUM((YEAR(Gastos!$A$2:$A$2500)=CL$1)*(MONTH(Gastos!$A$2:$A$2500)=CL$3)*(Gastos!$B$2:$B$2500=$A29)*(Gastos!$D$2:$D$2500))</f>
        <v>0</v>
      </c>
      <c r="CM29" s="75">
        <f t="array" ref="CM29">SUM((YEAR(Gastos!$A$2:$A$2500)=CM$1)*(MONTH(Gastos!$A$2:$A$2500)=CM$3)*(Gastos!$B$2:$B$2500=$A29)*(Gastos!$D$2:$D$2500))</f>
        <v>0</v>
      </c>
      <c r="CN29" s="75">
        <f t="array" ref="CN29">SUM((YEAR(Gastos!$A$2:$A$2500)=CN$1)*(MONTH(Gastos!$A$2:$A$2500)=CN$3)*(Gastos!$B$2:$B$2500=$A29)*(Gastos!$D$2:$D$2500))</f>
        <v>0</v>
      </c>
      <c r="CO29" s="75">
        <f t="array" ref="CO29">SUM((YEAR(Gastos!$A$2:$A$2500)=CO$1)*(MONTH(Gastos!$A$2:$A$2500)=CO$3)*(Gastos!$B$2:$B$2500=$A29)*(Gastos!$D$2:$D$2500))</f>
        <v>0</v>
      </c>
      <c r="CP29" s="75">
        <f t="array" ref="CP29">SUM((YEAR(Gastos!$A$2:$A$2500)=CP$1)*(MONTH(Gastos!$A$2:$A$2500)=CP$3)*(Gastos!$B$2:$B$2500=$A29)*(Gastos!$D$2:$D$2500))</f>
        <v>0</v>
      </c>
      <c r="CQ29" s="75">
        <f t="array" ref="CQ29">SUM((YEAR(Gastos!$A$2:$A$2500)=CQ$1)*(MONTH(Gastos!$A$2:$A$2500)=CQ$3)*(Gastos!$B$2:$B$2500=$A29)*(Gastos!$D$2:$D$2500))</f>
        <v>0</v>
      </c>
      <c r="CR29" s="75">
        <f t="array" ref="CR29">SUM((YEAR(Gastos!$A$2:$A$2500)=CR$1)*(MONTH(Gastos!$A$2:$A$2500)=CR$3)*(Gastos!$B$2:$B$2500=$A29)*(Gastos!$D$2:$D$2500))</f>
        <v>0</v>
      </c>
      <c r="CS29" s="75">
        <f t="array" ref="CS29">SUM((YEAR(Gastos!$A$2:$A$2500)=CS$1)*(MONTH(Gastos!$A$2:$A$2500)=CS$3)*(Gastos!$B$2:$B$2500=$A29)*(Gastos!$D$2:$D$2500))</f>
        <v>0</v>
      </c>
      <c r="CT29" s="75">
        <f t="array" ref="CT29">SUM((YEAR(Gastos!$A$2:$A$2500)=CT$1)*(MONTH(Gastos!$A$2:$A$2500)=CT$3)*(Gastos!$B$2:$B$2500=$A29)*(Gastos!$D$2:$D$2500))</f>
        <v>0</v>
      </c>
      <c r="CU29" s="75">
        <f t="array" ref="CU29">SUM((YEAR(Gastos!$A$2:$A$2500)=CU$1)*(MONTH(Gastos!$A$2:$A$2500)=CU$3)*(Gastos!$B$2:$B$2500=$A29)*(Gastos!$D$2:$D$2500))</f>
        <v>0</v>
      </c>
      <c r="CV29" s="75">
        <f t="array" ref="CV29">SUM((YEAR(Gastos!$A$2:$A$2500)=CV$1)*(MONTH(Gastos!$A$2:$A$2500)=CV$3)*(Gastos!$B$2:$B$2500=$A29)*(Gastos!$D$2:$D$2500))</f>
        <v>0</v>
      </c>
      <c r="CW29" s="75">
        <f t="array" ref="CW29">SUM((YEAR(Gastos!$A$2:$A$2500)=CW$1)*(MONTH(Gastos!$A$2:$A$2500)=CW$3)*(Gastos!$B$2:$B$2500=$A29)*(Gastos!$D$2:$D$2500))</f>
        <v>0</v>
      </c>
      <c r="CX29" s="75">
        <f t="array" ref="CX29">SUM((YEAR(Gastos!$A$2:$A$2500)=CX$1)*(MONTH(Gastos!$A$2:$A$2500)=CX$3)*(Gastos!$B$2:$B$2500=$A29)*(Gastos!$D$2:$D$2500))</f>
        <v>0</v>
      </c>
      <c r="CY29" s="75">
        <f t="array" ref="CY29">SUM((YEAR(Gastos!$A$2:$A$2500)=CY$1)*(MONTH(Gastos!$A$2:$A$2500)=CY$3)*(Gastos!$B$2:$B$2500=$A29)*(Gastos!$D$2:$D$2500))</f>
        <v>0</v>
      </c>
      <c r="CZ29" s="75">
        <f t="array" ref="CZ29">SUM((YEAR(Gastos!$A$2:$A$2500)=CZ$1)*(MONTH(Gastos!$A$2:$A$2500)=CZ$3)*(Gastos!$B$2:$B$2500=$A29)*(Gastos!$D$2:$D$2500))</f>
        <v>0</v>
      </c>
      <c r="DA29" s="75">
        <f t="array" ref="DA29">SUM((YEAR(Gastos!$A$2:$A$2500)=DA$1)*(MONTH(Gastos!$A$2:$A$2500)=DA$3)*(Gastos!$B$2:$B$2500=$A29)*(Gastos!$D$2:$D$2500))</f>
        <v>31915</v>
      </c>
      <c r="DB29" s="75">
        <f t="array" ref="DB29">SUM((YEAR(Gastos!$A$2:$A$2500)=DB$1)*(MONTH(Gastos!$A$2:$A$2500)=DB$3)*(Gastos!$B$2:$B$2500=$A29)*(Gastos!$D$2:$D$2500))</f>
        <v>0</v>
      </c>
      <c r="DC29" s="75">
        <f t="array" ref="DC29">SUM((YEAR(Gastos!$A$2:$A$2500)=DC$1)*(MONTH(Gastos!$A$2:$A$2500)=DC$3)*(Gastos!$B$2:$B$2500=$A29)*(Gastos!$D$2:$D$2500))</f>
        <v>0</v>
      </c>
      <c r="DD29" s="75">
        <f t="array" ref="DD29">SUM((YEAR(Gastos!$A$2:$A$2500)=DD$1)*(MONTH(Gastos!$A$2:$A$2500)=DD$3)*(Gastos!$B$2:$B$2500=$A29)*(Gastos!$D$2:$D$2500))</f>
        <v>0</v>
      </c>
      <c r="DE29" s="75">
        <f t="array" ref="DE29">SUM((YEAR(Gastos!$A$2:$A$2500)=DE$1)*(MONTH(Gastos!$A$2:$A$2500)=DE$3)*(Gastos!$B$2:$B$2500=$A29)*(Gastos!$D$2:$D$2500))</f>
        <v>0</v>
      </c>
      <c r="DF29" s="75">
        <f t="array" ref="DF29">SUM((YEAR(Gastos!$A$2:$A$2500)=DF$1)*(MONTH(Gastos!$A$2:$A$2500)=DF$3)*(Gastos!$B$2:$B$2500=$A29)*(Gastos!$D$2:$D$2500))</f>
        <v>0</v>
      </c>
      <c r="DG29" s="75">
        <f t="array" ref="DG29">SUM((YEAR(Gastos!$A$2:$A$2500)=DG$1)*(MONTH(Gastos!$A$2:$A$2500)=DG$3)*(Gastos!$B$2:$B$2500=$A29)*(Gastos!$D$2:$D$2500))</f>
        <v>0</v>
      </c>
      <c r="DH29" s="75">
        <f t="array" ref="DH29">SUM((YEAR(Gastos!$A$2:$A$2500)=DH$1)*(MONTH(Gastos!$A$2:$A$2500)=DH$3)*(Gastos!$B$2:$B$2500=$A29)*(Gastos!$D$2:$D$2500))</f>
        <v>0</v>
      </c>
      <c r="DI29" s="75">
        <f t="array" ref="DI29">SUM((YEAR(Gastos!$A$2:$A$2500)=DI$1)*(MONTH(Gastos!$A$2:$A$2500)=DI$3)*(Gastos!$B$2:$B$2500=$A29)*(Gastos!$D$2:$D$2500))</f>
        <v>0</v>
      </c>
      <c r="DJ29" s="75">
        <f t="array" ref="DJ29">SUM((YEAR(Gastos!$A$2:$A$2500)=DJ$1)*(MONTH(Gastos!$A$2:$A$2500)=DJ$3)*(Gastos!$B$2:$B$2500=$A29)*(Gastos!$D$2:$D$2500))</f>
        <v>0</v>
      </c>
      <c r="DK29" s="75">
        <f t="array" ref="DK29">SUM((YEAR(Gastos!$A$2:$A$2500)=DK$1)*(MONTH(Gastos!$A$2:$A$2500)=DK$3)*(Gastos!$B$2:$B$2500=$A29)*(Gastos!$D$2:$D$2500))</f>
        <v>0</v>
      </c>
      <c r="DL29" s="75">
        <f t="array" ref="DL29">SUM((YEAR(Gastos!$A$2:$A$2500)=DL$1)*(MONTH(Gastos!$A$2:$A$2500)=DL$3)*(Gastos!$B$2:$B$2500=$A29)*(Gastos!$D$2:$D$2500))</f>
        <v>0</v>
      </c>
      <c r="DM29" s="75">
        <f t="array" ref="DM29">SUM((YEAR(Gastos!$A$2:$A$2500)=DM$1)*(MONTH(Gastos!$A$2:$A$2500)=DM$3)*(Gastos!$B$2:$B$2500=$A29)*(Gastos!$D$2:$D$2500))</f>
        <v>0</v>
      </c>
      <c r="DN29" s="75">
        <f t="array" ref="DN29">SUM((YEAR(Gastos!$A$2:$A$2500)=DN$1)*(MONTH(Gastos!$A$2:$A$2500)=DN$3)*(Gastos!$B$2:$B$2500=$A29)*(Gastos!$D$2:$D$2500))</f>
        <v>0</v>
      </c>
      <c r="DO29" s="75">
        <f t="array" ref="DO29">SUM((YEAR(Gastos!$A$2:$A$2500)=DO$1)*(MONTH(Gastos!$A$2:$A$2500)=DO$3)*(Gastos!$B$2:$B$2500=$A29)*(Gastos!$D$2:$D$2500))</f>
        <v>0</v>
      </c>
      <c r="DP29" s="75">
        <f t="array" ref="DP29">SUM((YEAR(Gastos!$A$2:$A$2500)=DP$1)*(MONTH(Gastos!$A$2:$A$2500)=DP$3)*(Gastos!$B$2:$B$2500=$A29)*(Gastos!$D$2:$D$2500))</f>
        <v>0</v>
      </c>
      <c r="DQ29" s="75">
        <f t="array" ref="DQ29">SUM((YEAR(Gastos!$A$2:$A$2500)=DQ$1)*(MONTH(Gastos!$A$2:$A$2500)=DQ$3)*(Gastos!$B$2:$B$2500=$A29)*(Gastos!$D$2:$D$2500))</f>
        <v>0</v>
      </c>
      <c r="DR29" s="75">
        <f t="array" ref="DR29">SUM((YEAR(Gastos!$A$2:$A$2500)=DR$1)*(MONTH(Gastos!$A$2:$A$2500)=DR$3)*(Gastos!$B$2:$B$2500=$A29)*(Gastos!$D$2:$D$2500))</f>
        <v>0</v>
      </c>
      <c r="DS29" s="75">
        <f t="array" ref="DS29">SUM((YEAR(Gastos!$A$2:$A$2500)=DS$1)*(MONTH(Gastos!$A$2:$A$2500)=DS$3)*(Gastos!$B$2:$B$2500=$A29)*(Gastos!$D$2:$D$2500))</f>
        <v>0</v>
      </c>
      <c r="DT29" s="75">
        <f t="array" ref="DT29">SUM((YEAR(Gastos!$A$2:$A$2500)=DT$1)*(MONTH(Gastos!$A$2:$A$2500)=DT$3)*(Gastos!$B$2:$B$2500=$A29)*(Gastos!$D$2:$D$2500))</f>
        <v>0</v>
      </c>
      <c r="DU29" s="75">
        <f t="array" ref="DU29">SUM((YEAR(Gastos!$A$2:$A$2500)=DU$1)*(MONTH(Gastos!$A$2:$A$2500)=DU$3)*(Gastos!$B$2:$B$2500=$A29)*(Gastos!$D$2:$D$2500))</f>
        <v>0</v>
      </c>
      <c r="DV29" s="75">
        <f t="array" ref="DV29">SUM((YEAR(Gastos!$A$2:$A$2500)=DV$1)*(MONTH(Gastos!$A$2:$A$2500)=DV$3)*(Gastos!$B$2:$B$2500=$A29)*(Gastos!$D$2:$D$2500))</f>
        <v>0</v>
      </c>
      <c r="DW29" s="75">
        <f t="array" ref="DW29">SUM((YEAR(Gastos!$A$2:$A$2500)=DW$1)*(MONTH(Gastos!$A$2:$A$2500)=DW$3)*(Gastos!$B$2:$B$2500=$A29)*(Gastos!$D$2:$D$2500))</f>
        <v>0</v>
      </c>
      <c r="DX29" s="75">
        <f t="array" ref="DX29">SUM((YEAR(Gastos!$A$2:$A$2500)=DX$1)*(MONTH(Gastos!$A$2:$A$2500)=DX$3)*(Gastos!$B$2:$B$2500=$A29)*(Gastos!$D$2:$D$2500))</f>
        <v>0</v>
      </c>
      <c r="DY29" s="75">
        <f t="array" ref="DY29">SUM((YEAR(Gastos!$A$2:$A$2500)=DY$1)*(MONTH(Gastos!$A$2:$A$2500)=DY$3)*(Gastos!$B$2:$B$2500=$A29)*(Gastos!$D$2:$D$2500))</f>
        <v>0</v>
      </c>
      <c r="DZ29" s="75">
        <f t="array" ref="DZ29">SUM((YEAR(Gastos!$A$2:$A$2500)=DZ$1)*(MONTH(Gastos!$A$2:$A$2500)=DZ$3)*(Gastos!$B$2:$B$2500=$A29)*(Gastos!$D$2:$D$2500))</f>
        <v>0</v>
      </c>
      <c r="EA29" s="75">
        <f t="array" ref="EA29">SUM((YEAR(Gastos!$A$2:$A$2500)=EA$1)*(MONTH(Gastos!$A$2:$A$2500)=EA$3)*(Gastos!$B$2:$B$2500=$A29)*(Gastos!$D$2:$D$2500))</f>
        <v>0</v>
      </c>
      <c r="EB29" s="75">
        <f t="array" ref="EB29">SUM((YEAR(Gastos!$A$2:$A$2500)=EB$1)*(MONTH(Gastos!$A$2:$A$2500)=EB$3)*(Gastos!$B$2:$B$2500=$A29)*(Gastos!$D$2:$D$2500))</f>
        <v>0</v>
      </c>
      <c r="EC29" s="75">
        <f t="array" ref="EC29">SUM((YEAR(Gastos!$A$2:$A$2500)=EC$1)*(MONTH(Gastos!$A$2:$A$2500)=EC$3)*(Gastos!$B$2:$B$2500=$A29)*(Gastos!$D$2:$D$2500))</f>
        <v>0</v>
      </c>
      <c r="ED29" s="75">
        <f t="array" ref="ED29">SUM((YEAR(Gastos!$A$2:$A$2500)=ED$1)*(MONTH(Gastos!$A$2:$A$2500)=ED$3)*(Gastos!$B$2:$B$2500=$A29)*(Gastos!$D$2:$D$2500))</f>
        <v>0</v>
      </c>
      <c r="EE29" s="75">
        <f t="array" ref="EE29">SUM((YEAR(Gastos!$A$2:$A$2500)=EE$1)*(MONTH(Gastos!$A$2:$A$2500)=EE$3)*(Gastos!$B$2:$B$2500=$A29)*(Gastos!$D$2:$D$2500))</f>
        <v>0</v>
      </c>
      <c r="EF29" s="75">
        <f t="array" ref="EF29">SUM((YEAR(Gastos!$A$2:$A$2500)=EF$1)*(MONTH(Gastos!$A$2:$A$2500)=EF$3)*(Gastos!$B$2:$B$2500=$A29)*(Gastos!$D$2:$D$2500))</f>
        <v>0</v>
      </c>
      <c r="EG29" s="75">
        <f t="array" ref="EG29">SUM((YEAR(Gastos!$A$2:$A$2500)=EG$1)*(MONTH(Gastos!$A$2:$A$2500)=EG$3)*(Gastos!$B$2:$B$2500=$A29)*(Gastos!$D$2:$D$2500))</f>
        <v>0</v>
      </c>
      <c r="EH29" s="75">
        <f t="array" ref="EH29">SUM((YEAR(Gastos!$A$2:$A$2500)=EH$1)*(MONTH(Gastos!$A$2:$A$2500)=EH$3)*(Gastos!$B$2:$B$2500=$A29)*(Gastos!$D$2:$D$2500))</f>
        <v>0</v>
      </c>
      <c r="EI29" s="75">
        <f t="array" ref="EI29">SUM((YEAR(Gastos!$A$2:$A$2500)=EI$1)*(MONTH(Gastos!$A$2:$A$2500)=EI$3)*(Gastos!$B$2:$B$2500=$A29)*(Gastos!$D$2:$D$2500))</f>
        <v>0</v>
      </c>
      <c r="EJ29" s="75">
        <f t="array" ref="EJ29">SUM((YEAR(Gastos!$A$2:$A$2500)=EJ$1)*(MONTH(Gastos!$A$2:$A$2500)=EJ$3)*(Gastos!$B$2:$B$2500=$A29)*(Gastos!$D$2:$D$2500))</f>
        <v>0</v>
      </c>
      <c r="EK29" s="75">
        <f t="array" ref="EK29">SUM((YEAR(Gastos!$A$2:$A$2500)=EK$1)*(MONTH(Gastos!$A$2:$A$2500)=EK$3)*(Gastos!$B$2:$B$2500=$A29)*(Gastos!$D$2:$D$2500))</f>
        <v>0</v>
      </c>
      <c r="EL29" s="75">
        <f t="array" ref="EL29">SUM((YEAR(Gastos!$A$2:$A$2500)=EL$1)*(MONTH(Gastos!$A$2:$A$2500)=EL$3)*(Gastos!$B$2:$B$2500=$A29)*(Gastos!$D$2:$D$2500))</f>
        <v>0</v>
      </c>
      <c r="EM29" s="75">
        <f t="array" ref="EM29">SUM((YEAR(Gastos!$A$2:$A$2500)=EM$1)*(MONTH(Gastos!$A$2:$A$2500)=EM$3)*(Gastos!$B$2:$B$2500=$A29)*(Gastos!$D$2:$D$2500))</f>
        <v>0</v>
      </c>
      <c r="EN29" s="75">
        <f t="array" ref="EN29">SUM((YEAR(Gastos!$A$2:$A$2500)=EN$1)*(MONTH(Gastos!$A$2:$A$2500)=EN$3)*(Gastos!$B$2:$B$2500=$A29)*(Gastos!$D$2:$D$2500))</f>
        <v>0</v>
      </c>
      <c r="EO29" s="75">
        <f t="array" ref="EO29">SUM((YEAR(Gastos!$A$2:$A$2500)=EO$1)*(MONTH(Gastos!$A$2:$A$2500)=EO$3)*(Gastos!$B$2:$B$2500=$A29)*(Gastos!$D$2:$D$2500))</f>
        <v>0</v>
      </c>
      <c r="EP29" s="75">
        <f t="array" ref="EP29">SUM((YEAR(Gastos!$A$2:$A$2500)=EP$1)*(MONTH(Gastos!$A$2:$A$2500)=EP$3)*(Gastos!$B$2:$B$2500=$A29)*(Gastos!$D$2:$D$2500))</f>
        <v>0</v>
      </c>
      <c r="EQ29" s="75">
        <f t="array" ref="EQ29">SUM((YEAR(Gastos!$A$2:$A$2500)=EQ$1)*(MONTH(Gastos!$A$2:$A$2500)=EQ$3)*(Gastos!$B$2:$B$2500=$A29)*(Gastos!$D$2:$D$2500))</f>
        <v>0</v>
      </c>
      <c r="ER29" s="75">
        <f t="array" ref="ER29">SUM((YEAR(Gastos!$A$2:$A$2500)=ER$1)*(MONTH(Gastos!$A$2:$A$2500)=ER$3)*(Gastos!$B$2:$B$2500=$A29)*(Gastos!$D$2:$D$2500))</f>
        <v>0</v>
      </c>
      <c r="ES29" s="75">
        <f t="array" ref="ES29">SUM((YEAR(Gastos!$A$2:$A$2500)=ES$1)*(MONTH(Gastos!$A$2:$A$2500)=ES$3)*(Gastos!$B$2:$B$2500=$A29)*(Gastos!$D$2:$D$2500))</f>
        <v>0</v>
      </c>
      <c r="ET29" s="75">
        <f t="array" ref="ET29">SUM((YEAR(Gastos!$A$2:$A$2500)=ET$1)*(MONTH(Gastos!$A$2:$A$2500)=ET$3)*(Gastos!$B$2:$B$2500=$A29)*(Gastos!$D$2:$D$2500))</f>
        <v>0</v>
      </c>
      <c r="EU29" s="75">
        <f t="array" ref="EU29">SUM((YEAR(Gastos!$A$2:$A$2500)=EU$1)*(MONTH(Gastos!$A$2:$A$2500)=EU$3)*(Gastos!$B$2:$B$2500=$A29)*(Gastos!$D$2:$D$2500))</f>
        <v>0</v>
      </c>
      <c r="EV29" s="75">
        <f t="array" ref="EV29">SUM((YEAR(Gastos!$A$2:$A$2500)=EV$1)*(MONTH(Gastos!$A$2:$A$2500)=EV$3)*(Gastos!$B$2:$B$2500=$A29)*(Gastos!$D$2:$D$2500))</f>
        <v>0</v>
      </c>
      <c r="EW29" s="75">
        <f t="array" ref="EW29">SUM((YEAR(Gastos!$A$2:$A$2500)=EW$1)*(MONTH(Gastos!$A$2:$A$2500)=EW$3)*(Gastos!$B$2:$B$2500=$A29)*(Gastos!$D$2:$D$2500))</f>
        <v>0</v>
      </c>
      <c r="EX29" s="75">
        <f t="array" ref="EX29">SUM((YEAR(Gastos!$A$2:$A$2500)=EX$1)*(MONTH(Gastos!$A$2:$A$2500)=EX$3)*(Gastos!$B$2:$B$2500=$A29)*(Gastos!$D$2:$D$2500))</f>
        <v>0</v>
      </c>
      <c r="EY29" s="75">
        <f t="array" ref="EY29">SUM((YEAR(Gastos!$A$2:$A$2500)=EY$1)*(MONTH(Gastos!$A$2:$A$2500)=EY$3)*(Gastos!$B$2:$B$2500=$A29)*(Gastos!$D$2:$D$2500))</f>
        <v>0</v>
      </c>
      <c r="EZ29" s="75">
        <f t="array" ref="EZ29">SUM((YEAR(Gastos!$A$2:$A$2500)=EZ$1)*(MONTH(Gastos!$A$2:$A$2500)=EZ$3)*(Gastos!$B$2:$B$2500=$A29)*(Gastos!$D$2:$D$2500))</f>
        <v>0</v>
      </c>
      <c r="FA29" s="75">
        <f t="array" ref="FA29">SUM((YEAR(Gastos!$A$2:$A$2500)=FA$1)*(MONTH(Gastos!$A$2:$A$2500)=FA$3)*(Gastos!$B$2:$B$2500=$A29)*(Gastos!$D$2:$D$2500))</f>
        <v>0</v>
      </c>
      <c r="FB29" s="75">
        <f t="array" ref="FB29">SUM((YEAR(Gastos!$A$2:$A$2500)=FB$1)*(MONTH(Gastos!$A$2:$A$2500)=FB$3)*(Gastos!$B$2:$B$2500=$A29)*(Gastos!$D$2:$D$2500))</f>
        <v>0</v>
      </c>
      <c r="FC29" s="75">
        <f t="array" ref="FC29">SUM((YEAR(Gastos!$A$2:$A$2500)=FC$1)*(MONTH(Gastos!$A$2:$A$2500)=FC$3)*(Gastos!$B$2:$B$2500=$A29)*(Gastos!$D$2:$D$2500))</f>
        <v>0</v>
      </c>
      <c r="FD29" s="75">
        <f t="array" ref="FD29">SUM((YEAR(Gastos!$A$2:$A$2500)=FD$1)*(MONTH(Gastos!$A$2:$A$2500)=FD$3)*(Gastos!$B$2:$B$2500=$A29)*(Gastos!$D$2:$D$2500))</f>
        <v>0</v>
      </c>
      <c r="FE29" s="75">
        <f t="array" ref="FE29">SUM((YEAR(Gastos!$A$2:$A$2500)=FE$1)*(MONTH(Gastos!$A$2:$A$2500)=FE$3)*(Gastos!$B$2:$B$2500=$A29)*(Gastos!$D$2:$D$2500))</f>
        <v>0</v>
      </c>
      <c r="FF29" s="75">
        <f t="array" ref="FF29">SUM((YEAR(Gastos!$A$2:$A$2500)=FF$1)*(MONTH(Gastos!$A$2:$A$2500)=FF$3)*(Gastos!$B$2:$B$2500=$A29)*(Gastos!$D$2:$D$2500))</f>
        <v>0</v>
      </c>
      <c r="FG29" s="75">
        <f t="array" ref="FG29">SUM((YEAR(Gastos!$A$2:$A$2500)=FG$1)*(MONTH(Gastos!$A$2:$A$2500)=FG$3)*(Gastos!$B$2:$B$2500=$A29)*(Gastos!$D$2:$D$2500))</f>
        <v>0</v>
      </c>
      <c r="FH29" s="75">
        <f t="array" ref="FH29">SUM((YEAR(Gastos!$A$2:$A$2500)=FH$1)*(MONTH(Gastos!$A$2:$A$2500)=FH$3)*(Gastos!$B$2:$B$2500=$A29)*(Gastos!$D$2:$D$2500))</f>
        <v>0</v>
      </c>
      <c r="FI29" s="75">
        <f t="array" ref="FI29">SUM((YEAR(Gastos!$A$2:$A$2500)=FI$1)*(MONTH(Gastos!$A$2:$A$2500)=FI$3)*(Gastos!$B$2:$B$2500=$A29)*(Gastos!$D$2:$D$2500))</f>
        <v>0</v>
      </c>
      <c r="FJ29" s="75">
        <f t="array" ref="FJ29">SUM((YEAR(Gastos!$A$2:$A$2500)=FJ$1)*(MONTH(Gastos!$A$2:$A$2500)=FJ$3)*(Gastos!$B$2:$B$2500=$A29)*(Gastos!$D$2:$D$2500))</f>
        <v>0</v>
      </c>
      <c r="FK29" s="75">
        <f t="array" ref="FK29">SUM((YEAR(Gastos!$A$2:$A$2500)=FK$1)*(MONTH(Gastos!$A$2:$A$2500)=FK$3)*(Gastos!$B$2:$B$2500=$A29)*(Gastos!$D$2:$D$2500))</f>
        <v>0</v>
      </c>
      <c r="FL29" s="75">
        <f t="array" ref="FL29">SUM((YEAR(Gastos!$A$2:$A$2500)=FL$1)*(MONTH(Gastos!$A$2:$A$2500)=FL$3)*(Gastos!$B$2:$B$2500=$A29)*(Gastos!$D$2:$D$2500))</f>
        <v>0</v>
      </c>
      <c r="FM29" s="75">
        <f t="array" ref="FM29">SUM((YEAR(Gastos!$A$2:$A$2500)=FM$1)*(MONTH(Gastos!$A$2:$A$2500)=FM$3)*(Gastos!$B$2:$B$2500=$A29)*(Gastos!$D$2:$D$2500))</f>
        <v>0</v>
      </c>
      <c r="FN29" s="75">
        <f t="array" ref="FN29">SUM((YEAR(Gastos!$A$2:$A$2500)=FN$1)*(MONTH(Gastos!$A$2:$A$2500)=FN$3)*(Gastos!$B$2:$B$2500=$A29)*(Gastos!$D$2:$D$2500))</f>
        <v>0</v>
      </c>
      <c r="FO29" s="75">
        <f t="array" ref="FO29">SUM((YEAR(Gastos!$A$2:$A$2500)=FO$1)*(MONTH(Gastos!$A$2:$A$2500)=FO$3)*(Gastos!$B$2:$B$2500=$A29)*(Gastos!$D$2:$D$2500))</f>
        <v>0</v>
      </c>
      <c r="FP29" s="75">
        <f t="array" ref="FP29">SUM((YEAR(Gastos!$A$2:$A$2500)=FP$1)*(MONTH(Gastos!$A$2:$A$2500)=FP$3)*(Gastos!$B$2:$B$2500=$A29)*(Gastos!$D$2:$D$2500))</f>
        <v>0</v>
      </c>
      <c r="FQ29" s="75">
        <f t="array" ref="FQ29">SUM((YEAR(Gastos!$A$2:$A$2500)=FQ$1)*(MONTH(Gastos!$A$2:$A$2500)=FQ$3)*(Gastos!$B$2:$B$2500=$A29)*(Gastos!$D$2:$D$2500))</f>
        <v>0</v>
      </c>
      <c r="FR29" s="75">
        <f t="array" ref="FR29">SUM((YEAR(Gastos!$A$2:$A$2500)=FR$1)*(MONTH(Gastos!$A$2:$A$2500)=FR$3)*(Gastos!$B$2:$B$2500=$A29)*(Gastos!$D$2:$D$2500))</f>
        <v>0</v>
      </c>
      <c r="FS29" s="75">
        <f t="array" ref="FS29">SUM((YEAR(Gastos!$A$2:$A$2500)=FS$1)*(MONTH(Gastos!$A$2:$A$2500)=FS$3)*(Gastos!$B$2:$B$2500=$A29)*(Gastos!$D$2:$D$2500))</f>
        <v>0</v>
      </c>
      <c r="FT29" s="75">
        <f t="array" ref="FT29">SUM((YEAR(Gastos!$A$2:$A$2500)=FT$1)*(MONTH(Gastos!$A$2:$A$2500)=FT$3)*(Gastos!$B$2:$B$2500=$A29)*(Gastos!$D$2:$D$2500))</f>
        <v>0</v>
      </c>
      <c r="FU29" s="75">
        <f t="array" ref="FU29">SUM((YEAR(Gastos!$A$2:$A$2500)=FU$1)*(MONTH(Gastos!$A$2:$A$2500)=FU$3)*(Gastos!$B$2:$B$2500=$A29)*(Gastos!$D$2:$D$2500))</f>
        <v>0</v>
      </c>
      <c r="FV29" s="75">
        <f t="array" ref="FV29">SUM((YEAR(Gastos!$A$2:$A$2500)=FV$1)*(MONTH(Gastos!$A$2:$A$2500)=FV$3)*(Gastos!$B$2:$B$2500=$A29)*(Gastos!$D$2:$D$2500))</f>
        <v>0</v>
      </c>
      <c r="FW29" s="75">
        <f t="array" ref="FW29">SUM((YEAR(Gastos!$A$2:$A$2500)=FW$1)*(MONTH(Gastos!$A$2:$A$2500)=FW$3)*(Gastos!$B$2:$B$2500=$A29)*(Gastos!$D$2:$D$2500))</f>
        <v>0</v>
      </c>
      <c r="FX29" s="75">
        <f t="array" ref="FX29">SUM((YEAR(Gastos!$A$2:$A$2500)=FX$1)*(MONTH(Gastos!$A$2:$A$2500)=FX$3)*(Gastos!$B$2:$B$2500=$A29)*(Gastos!$D$2:$D$2500))</f>
        <v>0</v>
      </c>
      <c r="FY29" s="75">
        <f t="array" ref="FY29">SUM((YEAR(Gastos!$A$2:$A$2500)=FY$1)*(MONTH(Gastos!$A$2:$A$2500)=FY$3)*(Gastos!$B$2:$B$2500=$A29)*(Gastos!$D$2:$D$2500))</f>
        <v>0</v>
      </c>
      <c r="FZ29" s="76">
        <f t="shared" si="65"/>
        <v>31915</v>
      </c>
      <c r="GA29" s="80"/>
      <c r="GB29" s="78">
        <f t="shared" si="66"/>
        <v>0</v>
      </c>
      <c r="GF29" s="79">
        <f t="array" ref="GF29">SUM(((Gastos!$A$2:$A$1647)&gt;=GD$3)*((Gastos!$A$2:$A$1647)&lt;=GF$3)*(Gastos!$B$2:$B$1647=$A29)*(Gastos!$D$2:$D$1647))</f>
        <v>0</v>
      </c>
      <c r="GI29" s="79">
        <f t="array" ref="GI29">SUM(((Gastos!$A$2:$A$1647)&gt;=GG$3)*((Gastos!$A$2:$A$1647)&lt;=GI$3)*(Gastos!$B$2:$B$1647=$A29)*(Gastos!$D$2:$D$1647))</f>
        <v>0</v>
      </c>
    </row>
    <row r="30" spans="1:191" ht="15" thickBot="1" x14ac:dyDescent="0.4">
      <c r="A30" s="74" t="str">
        <f>Gastos!AA28</f>
        <v>V. DEVOLUCION DE GARANTIA DE CONSTRUCCION</v>
      </c>
      <c r="B30" s="75">
        <f t="array" ref="B30">SUM((YEAR(Gastos!$A$2:$A$2500)=B$1)*(MONTH(Gastos!$A$2:$A$2500)=B$3)*(Gastos!$B$2:$B$2500=$A30)*(Gastos!$D$2:$D$2500))</f>
        <v>0</v>
      </c>
      <c r="C30" s="75">
        <f t="array" ref="C30">SUM((YEAR(Gastos!$A$2:$A$2500)=C$1)*(MONTH(Gastos!$A$2:$A$2500)=C$3)*(Gastos!$B$2:$B$2500=$A30)*(Gastos!$D$2:$D$2500))</f>
        <v>0</v>
      </c>
      <c r="D30" s="75">
        <f t="array" ref="D30">SUM((YEAR(Gastos!$A$2:$A$2500)=D$1)*(MONTH(Gastos!$A$2:$A$2500)=D$3)*(Gastos!$B$2:$B$2500=$A30)*(Gastos!$D$2:$D$2500))</f>
        <v>0</v>
      </c>
      <c r="E30" s="75">
        <f t="array" ref="E30">SUM((YEAR(Gastos!$A$2:$A$2500)=E$1)*(MONTH(Gastos!$A$2:$A$2500)=E$3)*(Gastos!$B$2:$B$2500=$A30)*(Gastos!$D$2:$D$2500))</f>
        <v>0</v>
      </c>
      <c r="F30" s="75">
        <f t="array" ref="F30">SUM((YEAR(Gastos!$A$2:$A$2500)=F$1)*(MONTH(Gastos!$A$2:$A$2500)=F$3)*(Gastos!$B$2:$B$2500=$A30)*(Gastos!$D$2:$D$2500))</f>
        <v>0</v>
      </c>
      <c r="G30" s="75">
        <f t="array" ref="G30">SUM((YEAR(Gastos!$A$2:$A$2500)=G$1)*(MONTH(Gastos!$A$2:$A$2500)=G$3)*(Gastos!$B$2:$B$2500=$A30)*(Gastos!$D$2:$D$2500))</f>
        <v>0</v>
      </c>
      <c r="H30" s="75">
        <f t="array" ref="H30">SUM((YEAR(Gastos!$A$2:$A$2500)=H$1)*(MONTH(Gastos!$A$2:$A$2500)=H$3)*(Gastos!$B$2:$B$2500=$A30)*(Gastos!$D$2:$D$2500))</f>
        <v>0</v>
      </c>
      <c r="I30" s="75">
        <f t="array" ref="I30">SUM((YEAR(Gastos!$A$2:$A$2500)=I$1)*(MONTH(Gastos!$A$2:$A$2500)=I$3)*(Gastos!$B$2:$B$2500=$A30)*(Gastos!$D$2:$D$2500))</f>
        <v>0</v>
      </c>
      <c r="J30" s="75">
        <f t="array" ref="J30">SUM((YEAR(Gastos!$A$2:$A$2500)=J$1)*(MONTH(Gastos!$A$2:$A$2500)=J$3)*(Gastos!$B$2:$B$2500=$A30)*(Gastos!$D$2:$D$2500))</f>
        <v>0</v>
      </c>
      <c r="K30" s="75">
        <f t="array" ref="K30">SUM((YEAR(Gastos!$A$2:$A$2500)=K$1)*(MONTH(Gastos!$A$2:$A$2500)=K$3)*(Gastos!$B$2:$B$2500=$A30)*(Gastos!$D$2:$D$2500))</f>
        <v>0</v>
      </c>
      <c r="L30" s="75">
        <f t="array" ref="L30">SUM((YEAR(Gastos!$A$2:$A$2500)=L$1)*(MONTH(Gastos!$A$2:$A$2500)=L$3)*(Gastos!$B$2:$B$2500=$A30)*(Gastos!$D$2:$D$2500))</f>
        <v>0</v>
      </c>
      <c r="M30" s="75">
        <f t="array" ref="M30">SUM((YEAR(Gastos!$A$2:$A$2500)=M$1)*(MONTH(Gastos!$A$2:$A$2500)=M$3)*(Gastos!$B$2:$B$2500=$A30)*(Gastos!$D$2:$D$2500))</f>
        <v>0</v>
      </c>
      <c r="N30" s="75">
        <f t="array" ref="N30">SUM((YEAR(Gastos!$A$2:$A$2500)=N$1)*(MONTH(Gastos!$A$2:$A$2500)=N$3)*(Gastos!$B$2:$B$2500=$A30)*(Gastos!$D$2:$D$2500))</f>
        <v>0</v>
      </c>
      <c r="O30" s="75">
        <f t="array" ref="O30">SUM((YEAR(Gastos!$A$2:$A$2500)=O$1)*(MONTH(Gastos!$A$2:$A$2500)=O$3)*(Gastos!$B$2:$B$2500=$A30)*(Gastos!$D$2:$D$2500))</f>
        <v>0</v>
      </c>
      <c r="P30" s="75">
        <f t="array" ref="P30">SUM((YEAR(Gastos!$A$2:$A$2500)=P$1)*(MONTH(Gastos!$A$2:$A$2500)=P$3)*(Gastos!$B$2:$B$2500=$A30)*(Gastos!$D$2:$D$2500))</f>
        <v>0</v>
      </c>
      <c r="Q30" s="75">
        <f t="array" ref="Q30">SUM((YEAR(Gastos!$A$2:$A$2500)=Q$1)*(MONTH(Gastos!$A$2:$A$2500)=Q$3)*(Gastos!$B$2:$B$2500=$A30)*(Gastos!$D$2:$D$2500))</f>
        <v>0</v>
      </c>
      <c r="R30" s="75">
        <f t="array" ref="R30">SUM((YEAR(Gastos!$A$2:$A$2500)=R$1)*(MONTH(Gastos!$A$2:$A$2500)=R$3)*(Gastos!$B$2:$B$2500=$A30)*(Gastos!$D$2:$D$2500))</f>
        <v>0</v>
      </c>
      <c r="S30" s="75">
        <f t="array" ref="S30">SUM((YEAR(Gastos!$A$2:$A$2500)=S$1)*(MONTH(Gastos!$A$2:$A$2500)=S$3)*(Gastos!$B$2:$B$2500=$A30)*(Gastos!$D$2:$D$2500))</f>
        <v>0</v>
      </c>
      <c r="T30" s="75">
        <f t="array" ref="T30">SUM((YEAR(Gastos!$A$2:$A$2500)=T$1)*(MONTH(Gastos!$A$2:$A$2500)=T$3)*(Gastos!$B$2:$B$2500=$A30)*(Gastos!$D$2:$D$2500))</f>
        <v>0</v>
      </c>
      <c r="U30" s="75">
        <f t="array" ref="U30">SUM((YEAR(Gastos!$A$2:$A$2500)=U$1)*(MONTH(Gastos!$A$2:$A$2500)=U$3)*(Gastos!$B$2:$B$2500=$A30)*(Gastos!$D$2:$D$2500))</f>
        <v>0</v>
      </c>
      <c r="V30" s="75">
        <f t="array" ref="V30">SUM((YEAR(Gastos!$A$2:$A$2500)=V$1)*(MONTH(Gastos!$A$2:$A$2500)=V$3)*(Gastos!$B$2:$B$2500=$A30)*(Gastos!$D$2:$D$2500))</f>
        <v>0</v>
      </c>
      <c r="W30" s="75">
        <f t="array" ref="W30">SUM((YEAR(Gastos!$A$2:$A$2500)=W$1)*(MONTH(Gastos!$A$2:$A$2500)=W$3)*(Gastos!$B$2:$B$2500=$A30)*(Gastos!$D$2:$D$2500))</f>
        <v>0</v>
      </c>
      <c r="X30" s="75">
        <f t="array" ref="X30">SUM((YEAR(Gastos!$A$2:$A$2500)=X$1)*(MONTH(Gastos!$A$2:$A$2500)=X$3)*(Gastos!$B$2:$B$2500=$A30)*(Gastos!$D$2:$D$2500))</f>
        <v>0</v>
      </c>
      <c r="Y30" s="75">
        <f t="array" ref="Y30">SUM((YEAR(Gastos!$A$2:$A$2500)=Y$1)*(MONTH(Gastos!$A$2:$A$2500)=Y$3)*(Gastos!$B$2:$B$2500=$A30)*(Gastos!$D$2:$D$2500))</f>
        <v>0</v>
      </c>
      <c r="Z30" s="75">
        <f t="array" ref="Z30">SUM((YEAR(Gastos!$A$2:$A$2500)=Z$1)*(MONTH(Gastos!$A$2:$A$2500)=Z$3)*(Gastos!$B$2:$B$2500=$A30)*(Gastos!$D$2:$D$2500))</f>
        <v>0</v>
      </c>
      <c r="AA30" s="75">
        <f t="array" ref="AA30">SUM((YEAR(Gastos!$A$2:$A$2500)=AA$1)*(MONTH(Gastos!$A$2:$A$2500)=AA$3)*(Gastos!$B$2:$B$2500=$A30)*(Gastos!$D$2:$D$2500))</f>
        <v>0</v>
      </c>
      <c r="AB30" s="75">
        <f t="array" ref="AB30">SUM((YEAR(Gastos!$A$2:$A$2500)=AB$1)*(MONTH(Gastos!$A$2:$A$2500)=AB$3)*(Gastos!$B$2:$B$2500=$A30)*(Gastos!$D$2:$D$2500))</f>
        <v>0</v>
      </c>
      <c r="AC30" s="75">
        <f t="array" ref="AC30">SUM((YEAR(Gastos!$A$2:$A$2500)=AC$1)*(MONTH(Gastos!$A$2:$A$2500)=AC$3)*(Gastos!$B$2:$B$2500=$A30)*(Gastos!$D$2:$D$2500))</f>
        <v>0</v>
      </c>
      <c r="AD30" s="75">
        <f t="array" ref="AD30">SUM((YEAR(Gastos!$A$2:$A$2500)=AD$1)*(MONTH(Gastos!$A$2:$A$2500)=AD$3)*(Gastos!$B$2:$B$2500=$A30)*(Gastos!$D$2:$D$2500))</f>
        <v>0</v>
      </c>
      <c r="AE30" s="75">
        <f t="array" ref="AE30">SUM((YEAR(Gastos!$A$2:$A$2500)=AE$1)*(MONTH(Gastos!$A$2:$A$2500)=AE$3)*(Gastos!$B$2:$B$2500=$A30)*(Gastos!$D$2:$D$2500))</f>
        <v>0</v>
      </c>
      <c r="AF30" s="75">
        <f t="array" ref="AF30">SUM((YEAR(Gastos!$A$2:$A$2500)=AF$1)*(MONTH(Gastos!$A$2:$A$2500)=AF$3)*(Gastos!$B$2:$B$2500=$A30)*(Gastos!$D$2:$D$2500))</f>
        <v>0</v>
      </c>
      <c r="AG30" s="75">
        <f t="array" ref="AG30">SUM((YEAR(Gastos!$A$2:$A$2500)=AG$1)*(MONTH(Gastos!$A$2:$A$2500)=AG$3)*(Gastos!$B$2:$B$2500=$A30)*(Gastos!$D$2:$D$2500))</f>
        <v>0</v>
      </c>
      <c r="AH30" s="75">
        <f t="array" ref="AH30">SUM((YEAR(Gastos!$A$2:$A$2500)=AH$1)*(MONTH(Gastos!$A$2:$A$2500)=AH$3)*(Gastos!$B$2:$B$2500=$A30)*(Gastos!$D$2:$D$2500))</f>
        <v>0</v>
      </c>
      <c r="AI30" s="75">
        <f t="array" ref="AI30">SUM((YEAR(Gastos!$A$2:$A$2500)=AI$1)*(MONTH(Gastos!$A$2:$A$2500)=AI$3)*(Gastos!$B$2:$B$2500=$A30)*(Gastos!$D$2:$D$2500))</f>
        <v>0</v>
      </c>
      <c r="AJ30" s="75">
        <f t="array" ref="AJ30">SUM((YEAR(Gastos!$A$2:$A$2500)=AJ$1)*(MONTH(Gastos!$A$2:$A$2500)=AJ$3)*(Gastos!$B$2:$B$2500=$A30)*(Gastos!$D$2:$D$2500))</f>
        <v>0</v>
      </c>
      <c r="AK30" s="75">
        <f t="array" ref="AK30">SUM((YEAR(Gastos!$A$2:$A$2500)=AK$1)*(MONTH(Gastos!$A$2:$A$2500)=AK$3)*(Gastos!$B$2:$B$2500=$A30)*(Gastos!$D$2:$D$2500))</f>
        <v>0</v>
      </c>
      <c r="AL30" s="75">
        <f t="array" ref="AL30">SUM((YEAR(Gastos!$A$2:$A$2500)=AL$1)*(MONTH(Gastos!$A$2:$A$2500)=AL$3)*(Gastos!$B$2:$B$2500=$A30)*(Gastos!$D$2:$D$2500))</f>
        <v>0</v>
      </c>
      <c r="AM30" s="75">
        <f t="array" ref="AM30">SUM((YEAR(Gastos!$A$2:$A$2500)=AM$1)*(MONTH(Gastos!$A$2:$A$2500)=AM$3)*(Gastos!$B$2:$B$2500=$A30)*(Gastos!$D$2:$D$2500))</f>
        <v>0</v>
      </c>
      <c r="AN30" s="75">
        <f t="array" ref="AN30">SUM((YEAR(Gastos!$A$2:$A$2500)=AN$1)*(MONTH(Gastos!$A$2:$A$2500)=AN$3)*(Gastos!$B$2:$B$2500=$A30)*(Gastos!$D$2:$D$2500))</f>
        <v>0</v>
      </c>
      <c r="AO30" s="75">
        <f t="array" ref="AO30">SUM((YEAR(Gastos!$A$2:$A$2500)=AO$1)*(MONTH(Gastos!$A$2:$A$2500)=AO$3)*(Gastos!$B$2:$B$2500=$A30)*(Gastos!$D$2:$D$2500))</f>
        <v>0</v>
      </c>
      <c r="AP30" s="75">
        <f t="array" ref="AP30">SUM((YEAR(Gastos!$A$2:$A$2500)=AP$1)*(MONTH(Gastos!$A$2:$A$2500)=AP$3)*(Gastos!$B$2:$B$2500=$A30)*(Gastos!$D$2:$D$2500))</f>
        <v>0</v>
      </c>
      <c r="AQ30" s="75">
        <f t="array" ref="AQ30">SUM((YEAR(Gastos!$A$2:$A$2500)=AQ$1)*(MONTH(Gastos!$A$2:$A$2500)=AQ$3)*(Gastos!$B$2:$B$2500=$A30)*(Gastos!$D$2:$D$2500))</f>
        <v>0</v>
      </c>
      <c r="AR30" s="75">
        <f t="array" ref="AR30">SUM((YEAR(Gastos!$A$2:$A$2500)=AR$1)*(MONTH(Gastos!$A$2:$A$2500)=AR$3)*(Gastos!$B$2:$B$2500=$A30)*(Gastos!$D$2:$D$2500))</f>
        <v>0</v>
      </c>
      <c r="AS30" s="75">
        <f t="array" ref="AS30">SUM((YEAR(Gastos!$A$2:$A$2500)=AS$1)*(MONTH(Gastos!$A$2:$A$2500)=AS$3)*(Gastos!$B$2:$B$2500=$A30)*(Gastos!$D$2:$D$2500))</f>
        <v>0</v>
      </c>
      <c r="AT30" s="75">
        <f t="array" ref="AT30">SUM((YEAR(Gastos!$A$2:$A$2500)=AT$1)*(MONTH(Gastos!$A$2:$A$2500)=AT$3)*(Gastos!$B$2:$B$2500=$A30)*(Gastos!$D$2:$D$2500))</f>
        <v>0</v>
      </c>
      <c r="AU30" s="75">
        <f t="array" ref="AU30">SUM((YEAR(Gastos!$A$2:$A$2500)=AU$1)*(MONTH(Gastos!$A$2:$A$2500)=AU$3)*(Gastos!$B$2:$B$2500=$A30)*(Gastos!$D$2:$D$2500))</f>
        <v>0</v>
      </c>
      <c r="AV30" s="75">
        <f t="array" ref="AV30">SUM((YEAR(Gastos!$A$2:$A$2500)=AV$1)*(MONTH(Gastos!$A$2:$A$2500)=AV$3)*(Gastos!$B$2:$B$2500=$A30)*(Gastos!$D$2:$D$2500))</f>
        <v>0</v>
      </c>
      <c r="AW30" s="75">
        <f t="array" ref="AW30">SUM((YEAR(Gastos!$A$2:$A$2500)=AW$1)*(MONTH(Gastos!$A$2:$A$2500)=AW$3)*(Gastos!$B$2:$B$2500=$A30)*(Gastos!$D$2:$D$2500))</f>
        <v>0</v>
      </c>
      <c r="AX30" s="75">
        <f t="array" ref="AX30">SUM((YEAR(Gastos!$A$2:$A$2500)=AX$1)*(MONTH(Gastos!$A$2:$A$2500)=AX$3)*(Gastos!$B$2:$B$2500=$A30)*(Gastos!$D$2:$D$2500))</f>
        <v>0</v>
      </c>
      <c r="AY30" s="75">
        <f t="array" ref="AY30">SUM((YEAR(Gastos!$A$2:$A$2500)=AY$1)*(MONTH(Gastos!$A$2:$A$2500)=AY$3)*(Gastos!$B$2:$B$2500=$A30)*(Gastos!$D$2:$D$2500))</f>
        <v>0</v>
      </c>
      <c r="AZ30" s="75">
        <f t="array" ref="AZ30">SUM((YEAR(Gastos!$A$2:$A$2500)=AZ$1)*(MONTH(Gastos!$A$2:$A$2500)=AZ$3)*(Gastos!$B$2:$B$2500=$A30)*(Gastos!$D$2:$D$2500))</f>
        <v>0</v>
      </c>
      <c r="BA30" s="75">
        <f t="array" ref="BA30">SUM((YEAR(Gastos!$A$2:$A$2500)=BA$1)*(MONTH(Gastos!$A$2:$A$2500)=BA$3)*(Gastos!$B$2:$B$2500=$A30)*(Gastos!$D$2:$D$2500))</f>
        <v>0</v>
      </c>
      <c r="BB30" s="75">
        <f t="array" ref="BB30">SUM((YEAR(Gastos!$A$2:$A$2500)=BB$1)*(MONTH(Gastos!$A$2:$A$2500)=BB$3)*(Gastos!$B$2:$B$2500=$A30)*(Gastos!$D$2:$D$2500))</f>
        <v>0</v>
      </c>
      <c r="BC30" s="75">
        <f t="array" ref="BC30">SUM((YEAR(Gastos!$A$2:$A$2500)=BC$1)*(MONTH(Gastos!$A$2:$A$2500)=BC$3)*(Gastos!$B$2:$B$2500=$A30)*(Gastos!$D$2:$D$2500))</f>
        <v>0</v>
      </c>
      <c r="BD30" s="75">
        <f t="array" ref="BD30">SUM((YEAR(Gastos!$A$2:$A$2500)=BD$1)*(MONTH(Gastos!$A$2:$A$2500)=BD$3)*(Gastos!$B$2:$B$2500=$A30)*(Gastos!$D$2:$D$2500))</f>
        <v>0</v>
      </c>
      <c r="BE30" s="75">
        <f t="array" ref="BE30">SUM((YEAR(Gastos!$A$2:$A$2500)=BE$1)*(MONTH(Gastos!$A$2:$A$2500)=BE$3)*(Gastos!$B$2:$B$2500=$A30)*(Gastos!$D$2:$D$2500))</f>
        <v>0</v>
      </c>
      <c r="BF30" s="75">
        <f t="array" ref="BF30">SUM((YEAR(Gastos!$A$2:$A$2500)=BF$1)*(MONTH(Gastos!$A$2:$A$2500)=BF$3)*(Gastos!$B$2:$B$2500=$A30)*(Gastos!$D$2:$D$2500))</f>
        <v>0</v>
      </c>
      <c r="BG30" s="75">
        <f t="array" ref="BG30">SUM((YEAR(Gastos!$A$2:$A$2500)=BG$1)*(MONTH(Gastos!$A$2:$A$2500)=BG$3)*(Gastos!$B$2:$B$2500=$A30)*(Gastos!$D$2:$D$2500))</f>
        <v>0</v>
      </c>
      <c r="BH30" s="75">
        <f t="array" ref="BH30">SUM((YEAR(Gastos!$A$2:$A$2500)=BH$1)*(MONTH(Gastos!$A$2:$A$2500)=BH$3)*(Gastos!$B$2:$B$2500=$A30)*(Gastos!$D$2:$D$2500))</f>
        <v>0</v>
      </c>
      <c r="BI30" s="75">
        <f t="array" ref="BI30">SUM((YEAR(Gastos!$A$2:$A$2500)=BI$1)*(MONTH(Gastos!$A$2:$A$2500)=BI$3)*(Gastos!$B$2:$B$2500=$A30)*(Gastos!$D$2:$D$2500))</f>
        <v>0</v>
      </c>
      <c r="BJ30" s="75">
        <f t="array" ref="BJ30">SUM((YEAR(Gastos!$A$2:$A$2500)=BJ$1)*(MONTH(Gastos!$A$2:$A$2500)=BJ$3)*(Gastos!$B$2:$B$2500=$A30)*(Gastos!$D$2:$D$2500))</f>
        <v>0</v>
      </c>
      <c r="BK30" s="75">
        <f t="array" ref="BK30">SUM((YEAR(Gastos!$A$2:$A$2500)=BK$1)*(MONTH(Gastos!$A$2:$A$2500)=BK$3)*(Gastos!$B$2:$B$2500=$A30)*(Gastos!$D$2:$D$2500))</f>
        <v>0</v>
      </c>
      <c r="BL30" s="75">
        <f t="array" ref="BL30">SUM((YEAR(Gastos!$A$2:$A$2500)=BL$1)*(MONTH(Gastos!$A$2:$A$2500)=BL$3)*(Gastos!$B$2:$B$2500=$A30)*(Gastos!$D$2:$D$2500))</f>
        <v>0</v>
      </c>
      <c r="BM30" s="75">
        <f t="array" ref="BM30">SUM((YEAR(Gastos!$A$2:$A$2500)=BM$1)*(MONTH(Gastos!$A$2:$A$2500)=BM$3)*(Gastos!$B$2:$B$2500=$A30)*(Gastos!$D$2:$D$2500))</f>
        <v>0</v>
      </c>
      <c r="BN30" s="75">
        <f t="array" ref="BN30">SUM((YEAR(Gastos!$A$2:$A$2500)=BN$1)*(MONTH(Gastos!$A$2:$A$2500)=BN$3)*(Gastos!$B$2:$B$2500=$A30)*(Gastos!$D$2:$D$2500))</f>
        <v>0</v>
      </c>
      <c r="BO30" s="75">
        <f t="array" ref="BO30">SUM((YEAR(Gastos!$A$2:$A$2500)=BO$1)*(MONTH(Gastos!$A$2:$A$2500)=BO$3)*(Gastos!$B$2:$B$2500=$A30)*(Gastos!$D$2:$D$2500))</f>
        <v>0</v>
      </c>
      <c r="BP30" s="75">
        <f t="array" ref="BP30">SUM((YEAR(Gastos!$A$2:$A$2500)=BP$1)*(MONTH(Gastos!$A$2:$A$2500)=BP$3)*(Gastos!$B$2:$B$2500=$A30)*(Gastos!$D$2:$D$2500))</f>
        <v>0</v>
      </c>
      <c r="BQ30" s="75">
        <f t="array" ref="BQ30">SUM((YEAR(Gastos!$A$2:$A$2500)=BQ$1)*(MONTH(Gastos!$A$2:$A$2500)=BQ$3)*(Gastos!$B$2:$B$2500=$A30)*(Gastos!$D$2:$D$2500))</f>
        <v>0</v>
      </c>
      <c r="BR30" s="75">
        <f t="array" ref="BR30">SUM((YEAR(Gastos!$A$2:$A$2500)=BR$1)*(MONTH(Gastos!$A$2:$A$2500)=BR$3)*(Gastos!$B$2:$B$2500=$A30)*(Gastos!$D$2:$D$2500))</f>
        <v>0</v>
      </c>
      <c r="BS30" s="75">
        <f t="array" ref="BS30">SUM((YEAR(Gastos!$A$2:$A$2500)=BS$1)*(MONTH(Gastos!$A$2:$A$2500)=BS$3)*(Gastos!$B$2:$B$2500=$A30)*(Gastos!$D$2:$D$2500))</f>
        <v>0</v>
      </c>
      <c r="BT30" s="75">
        <f t="array" ref="BT30">SUM((YEAR(Gastos!$A$2:$A$2500)=BT$1)*(MONTH(Gastos!$A$2:$A$2500)=BT$3)*(Gastos!$B$2:$B$2500=$A30)*(Gastos!$D$2:$D$2500))</f>
        <v>0</v>
      </c>
      <c r="BU30" s="75">
        <f t="array" ref="BU30">SUM((YEAR(Gastos!$A$2:$A$2500)=BU$1)*(MONTH(Gastos!$A$2:$A$2500)=BU$3)*(Gastos!$B$2:$B$2500=$A30)*(Gastos!$D$2:$D$2500))</f>
        <v>0</v>
      </c>
      <c r="BV30" s="75">
        <f t="array" ref="BV30">SUM((YEAR(Gastos!$A$2:$A$2500)=BV$1)*(MONTH(Gastos!$A$2:$A$2500)=BV$3)*(Gastos!$B$2:$B$2500=$A30)*(Gastos!$D$2:$D$2500))</f>
        <v>0</v>
      </c>
      <c r="BW30" s="75">
        <f t="array" ref="BW30">SUM((YEAR(Gastos!$A$2:$A$2500)=BW$1)*(MONTH(Gastos!$A$2:$A$2500)=BW$3)*(Gastos!$B$2:$B$2500=$A30)*(Gastos!$D$2:$D$2500))</f>
        <v>0</v>
      </c>
      <c r="BX30" s="75">
        <f t="array" ref="BX30">SUM((YEAR(Gastos!$A$2:$A$2500)=BX$1)*(MONTH(Gastos!$A$2:$A$2500)=BX$3)*(Gastos!$B$2:$B$2500=$A30)*(Gastos!$D$2:$D$2500))</f>
        <v>0</v>
      </c>
      <c r="BY30" s="75">
        <f t="array" ref="BY30">SUM((YEAR(Gastos!$A$2:$A$2500)=BY$1)*(MONTH(Gastos!$A$2:$A$2500)=BY$3)*(Gastos!$B$2:$B$2500=$A30)*(Gastos!$D$2:$D$2500))</f>
        <v>0</v>
      </c>
      <c r="BZ30" s="75">
        <f t="array" ref="BZ30">SUM((YEAR(Gastos!$A$2:$A$2500)=BZ$1)*(MONTH(Gastos!$A$2:$A$2500)=BZ$3)*(Gastos!$B$2:$B$2500=$A30)*(Gastos!$D$2:$D$2500))</f>
        <v>0</v>
      </c>
      <c r="CA30" s="75">
        <f t="array" ref="CA30">SUM((YEAR(Gastos!$A$2:$A$2500)=CA$1)*(MONTH(Gastos!$A$2:$A$2500)=CA$3)*(Gastos!$B$2:$B$2500=$A30)*(Gastos!$D$2:$D$2500))</f>
        <v>0</v>
      </c>
      <c r="CB30" s="75">
        <f t="array" ref="CB30">SUM((YEAR(Gastos!$A$2:$A$2500)=CB$1)*(MONTH(Gastos!$A$2:$A$2500)=CB$3)*(Gastos!$B$2:$B$2500=$A30)*(Gastos!$D$2:$D$2500))</f>
        <v>6530.66</v>
      </c>
      <c r="CC30" s="75">
        <f t="array" ref="CC30">SUM((YEAR(Gastos!$A$2:$A$2500)=CC$1)*(MONTH(Gastos!$A$2:$A$2500)=CC$3)*(Gastos!$B$2:$B$2500=$A30)*(Gastos!$D$2:$D$2500))</f>
        <v>0</v>
      </c>
      <c r="CD30" s="75">
        <f t="array" ref="CD30">SUM((YEAR(Gastos!$A$2:$A$2500)=CD$1)*(MONTH(Gastos!$A$2:$A$2500)=CD$3)*(Gastos!$B$2:$B$2500=$A30)*(Gastos!$D$2:$D$2500))</f>
        <v>0</v>
      </c>
      <c r="CE30" s="75">
        <f t="array" ref="CE30">SUM((YEAR(Gastos!$A$2:$A$2500)=CE$1)*(MONTH(Gastos!$A$2:$A$2500)=CE$3)*(Gastos!$B$2:$B$2500=$A30)*(Gastos!$D$2:$D$2500))</f>
        <v>0</v>
      </c>
      <c r="CF30" s="75">
        <f t="array" ref="CF30">SUM((YEAR(Gastos!$A$2:$A$2500)=CF$1)*(MONTH(Gastos!$A$2:$A$2500)=CF$3)*(Gastos!$B$2:$B$2500=$A30)*(Gastos!$D$2:$D$2500))</f>
        <v>0</v>
      </c>
      <c r="CG30" s="75">
        <f t="array" ref="CG30">SUM((YEAR(Gastos!$A$2:$A$2500)=CG$1)*(MONTH(Gastos!$A$2:$A$2500)=CG$3)*(Gastos!$B$2:$B$2500=$A30)*(Gastos!$D$2:$D$2500))</f>
        <v>0</v>
      </c>
      <c r="CH30" s="75">
        <f t="array" ref="CH30">SUM((YEAR(Gastos!$A$2:$A$2500)=CH$1)*(MONTH(Gastos!$A$2:$A$2500)=CH$3)*(Gastos!$B$2:$B$2500=$A30)*(Gastos!$D$2:$D$2500))</f>
        <v>0</v>
      </c>
      <c r="CI30" s="75">
        <f t="array" ref="CI30">SUM((YEAR(Gastos!$A$2:$A$2500)=CI$1)*(MONTH(Gastos!$A$2:$A$2500)=CI$3)*(Gastos!$B$2:$B$2500=$A30)*(Gastos!$D$2:$D$2500))</f>
        <v>0</v>
      </c>
      <c r="CJ30" s="75">
        <f t="array" ref="CJ30">SUM((YEAR(Gastos!$A$2:$A$2500)=CJ$1)*(MONTH(Gastos!$A$2:$A$2500)=CJ$3)*(Gastos!$B$2:$B$2500=$A30)*(Gastos!$D$2:$D$2500))</f>
        <v>0</v>
      </c>
      <c r="CK30" s="75">
        <f t="array" ref="CK30">SUM((YEAR(Gastos!$A$2:$A$2500)=CK$1)*(MONTH(Gastos!$A$2:$A$2500)=CK$3)*(Gastos!$B$2:$B$2500=$A30)*(Gastos!$D$2:$D$2500))</f>
        <v>0</v>
      </c>
      <c r="CL30" s="75">
        <f t="array" ref="CL30">SUM((YEAR(Gastos!$A$2:$A$2500)=CL$1)*(MONTH(Gastos!$A$2:$A$2500)=CL$3)*(Gastos!$B$2:$B$2500=$A30)*(Gastos!$D$2:$D$2500))</f>
        <v>0</v>
      </c>
      <c r="CM30" s="75">
        <f t="array" ref="CM30">SUM((YEAR(Gastos!$A$2:$A$2500)=CM$1)*(MONTH(Gastos!$A$2:$A$2500)=CM$3)*(Gastos!$B$2:$B$2500=$A30)*(Gastos!$D$2:$D$2500))</f>
        <v>0</v>
      </c>
      <c r="CN30" s="75">
        <f t="array" ref="CN30">SUM((YEAR(Gastos!$A$2:$A$2500)=CN$1)*(MONTH(Gastos!$A$2:$A$2500)=CN$3)*(Gastos!$B$2:$B$2500=$A30)*(Gastos!$D$2:$D$2500))</f>
        <v>0</v>
      </c>
      <c r="CO30" s="75">
        <f t="array" ref="CO30">SUM((YEAR(Gastos!$A$2:$A$2500)=CO$1)*(MONTH(Gastos!$A$2:$A$2500)=CO$3)*(Gastos!$B$2:$B$2500=$A30)*(Gastos!$D$2:$D$2500))</f>
        <v>0</v>
      </c>
      <c r="CP30" s="75">
        <f t="array" ref="CP30">SUM((YEAR(Gastos!$A$2:$A$2500)=CP$1)*(MONTH(Gastos!$A$2:$A$2500)=CP$3)*(Gastos!$B$2:$B$2500=$A30)*(Gastos!$D$2:$D$2500))</f>
        <v>0</v>
      </c>
      <c r="CQ30" s="75">
        <f t="array" ref="CQ30">SUM((YEAR(Gastos!$A$2:$A$2500)=CQ$1)*(MONTH(Gastos!$A$2:$A$2500)=CQ$3)*(Gastos!$B$2:$B$2500=$A30)*(Gastos!$D$2:$D$2500))</f>
        <v>0</v>
      </c>
      <c r="CR30" s="75">
        <f t="array" ref="CR30">SUM((YEAR(Gastos!$A$2:$A$2500)=CR$1)*(MONTH(Gastos!$A$2:$A$2500)=CR$3)*(Gastos!$B$2:$B$2500=$A30)*(Gastos!$D$2:$D$2500))</f>
        <v>0</v>
      </c>
      <c r="CS30" s="75">
        <f t="array" ref="CS30">SUM((YEAR(Gastos!$A$2:$A$2500)=CS$1)*(MONTH(Gastos!$A$2:$A$2500)=CS$3)*(Gastos!$B$2:$B$2500=$A30)*(Gastos!$D$2:$D$2500))</f>
        <v>0</v>
      </c>
      <c r="CT30" s="75">
        <f t="array" ref="CT30">SUM((YEAR(Gastos!$A$2:$A$2500)=CT$1)*(MONTH(Gastos!$A$2:$A$2500)=CT$3)*(Gastos!$B$2:$B$2500=$A30)*(Gastos!$D$2:$D$2500))</f>
        <v>0</v>
      </c>
      <c r="CU30" s="75">
        <f t="array" ref="CU30">SUM((YEAR(Gastos!$A$2:$A$2500)=CU$1)*(MONTH(Gastos!$A$2:$A$2500)=CU$3)*(Gastos!$B$2:$B$2500=$A30)*(Gastos!$D$2:$D$2500))</f>
        <v>0</v>
      </c>
      <c r="CV30" s="75">
        <f t="array" ref="CV30">SUM((YEAR(Gastos!$A$2:$A$2500)=CV$1)*(MONTH(Gastos!$A$2:$A$2500)=CV$3)*(Gastos!$B$2:$B$2500=$A30)*(Gastos!$D$2:$D$2500))</f>
        <v>0</v>
      </c>
      <c r="CW30" s="75">
        <f t="array" ref="CW30">SUM((YEAR(Gastos!$A$2:$A$2500)=CW$1)*(MONTH(Gastos!$A$2:$A$2500)=CW$3)*(Gastos!$B$2:$B$2500=$A30)*(Gastos!$D$2:$D$2500))</f>
        <v>0</v>
      </c>
      <c r="CX30" s="75">
        <f t="array" ref="CX30">SUM((YEAR(Gastos!$A$2:$A$2500)=CX$1)*(MONTH(Gastos!$A$2:$A$2500)=CX$3)*(Gastos!$B$2:$B$2500=$A30)*(Gastos!$D$2:$D$2500))</f>
        <v>0</v>
      </c>
      <c r="CY30" s="75">
        <f t="array" ref="CY30">SUM((YEAR(Gastos!$A$2:$A$2500)=CY$1)*(MONTH(Gastos!$A$2:$A$2500)=CY$3)*(Gastos!$B$2:$B$2500=$A30)*(Gastos!$D$2:$D$2500))</f>
        <v>0</v>
      </c>
      <c r="CZ30" s="75">
        <f t="array" ref="CZ30">SUM((YEAR(Gastos!$A$2:$A$2500)=CZ$1)*(MONTH(Gastos!$A$2:$A$2500)=CZ$3)*(Gastos!$B$2:$B$2500=$A30)*(Gastos!$D$2:$D$2500))</f>
        <v>0</v>
      </c>
      <c r="DA30" s="75">
        <f t="array" ref="DA30">SUM((YEAR(Gastos!$A$2:$A$2500)=DA$1)*(MONTH(Gastos!$A$2:$A$2500)=DA$3)*(Gastos!$B$2:$B$2500=$A30)*(Gastos!$D$2:$D$2500))</f>
        <v>0</v>
      </c>
      <c r="DB30" s="75">
        <f t="array" ref="DB30">SUM((YEAR(Gastos!$A$2:$A$2500)=DB$1)*(MONTH(Gastos!$A$2:$A$2500)=DB$3)*(Gastos!$B$2:$B$2500=$A30)*(Gastos!$D$2:$D$2500))</f>
        <v>0</v>
      </c>
      <c r="DC30" s="75">
        <f t="array" ref="DC30">SUM((YEAR(Gastos!$A$2:$A$2500)=DC$1)*(MONTH(Gastos!$A$2:$A$2500)=DC$3)*(Gastos!$B$2:$B$2500=$A30)*(Gastos!$D$2:$D$2500))</f>
        <v>0</v>
      </c>
      <c r="DD30" s="75">
        <f t="array" ref="DD30">SUM((YEAR(Gastos!$A$2:$A$2500)=DD$1)*(MONTH(Gastos!$A$2:$A$2500)=DD$3)*(Gastos!$B$2:$B$2500=$A30)*(Gastos!$D$2:$D$2500))</f>
        <v>0</v>
      </c>
      <c r="DE30" s="75">
        <f t="array" ref="DE30">SUM((YEAR(Gastos!$A$2:$A$2500)=DE$1)*(MONTH(Gastos!$A$2:$A$2500)=DE$3)*(Gastos!$B$2:$B$2500=$A30)*(Gastos!$D$2:$D$2500))</f>
        <v>0</v>
      </c>
      <c r="DF30" s="75">
        <f t="array" ref="DF30">SUM((YEAR(Gastos!$A$2:$A$2500)=DF$1)*(MONTH(Gastos!$A$2:$A$2500)=DF$3)*(Gastos!$B$2:$B$2500=$A30)*(Gastos!$D$2:$D$2500))</f>
        <v>0</v>
      </c>
      <c r="DG30" s="75">
        <f t="array" ref="DG30">SUM((YEAR(Gastos!$A$2:$A$2500)=DG$1)*(MONTH(Gastos!$A$2:$A$2500)=DG$3)*(Gastos!$B$2:$B$2500=$A30)*(Gastos!$D$2:$D$2500))</f>
        <v>0</v>
      </c>
      <c r="DH30" s="75">
        <f t="array" ref="DH30">SUM((YEAR(Gastos!$A$2:$A$2500)=DH$1)*(MONTH(Gastos!$A$2:$A$2500)=DH$3)*(Gastos!$B$2:$B$2500=$A30)*(Gastos!$D$2:$D$2500))</f>
        <v>0</v>
      </c>
      <c r="DI30" s="75">
        <f t="array" ref="DI30">SUM((YEAR(Gastos!$A$2:$A$2500)=DI$1)*(MONTH(Gastos!$A$2:$A$2500)=DI$3)*(Gastos!$B$2:$B$2500=$A30)*(Gastos!$D$2:$D$2500))</f>
        <v>0</v>
      </c>
      <c r="DJ30" s="75">
        <f t="array" ref="DJ30">SUM((YEAR(Gastos!$A$2:$A$2500)=DJ$1)*(MONTH(Gastos!$A$2:$A$2500)=DJ$3)*(Gastos!$B$2:$B$2500=$A30)*(Gastos!$D$2:$D$2500))</f>
        <v>0</v>
      </c>
      <c r="DK30" s="75">
        <f t="array" ref="DK30">SUM((YEAR(Gastos!$A$2:$A$2500)=DK$1)*(MONTH(Gastos!$A$2:$A$2500)=DK$3)*(Gastos!$B$2:$B$2500=$A30)*(Gastos!$D$2:$D$2500))</f>
        <v>0</v>
      </c>
      <c r="DL30" s="75">
        <f t="array" ref="DL30">SUM((YEAR(Gastos!$A$2:$A$2500)=DL$1)*(MONTH(Gastos!$A$2:$A$2500)=DL$3)*(Gastos!$B$2:$B$2500=$A30)*(Gastos!$D$2:$D$2500))</f>
        <v>0</v>
      </c>
      <c r="DM30" s="75">
        <f t="array" ref="DM30">SUM((YEAR(Gastos!$A$2:$A$2500)=DM$1)*(MONTH(Gastos!$A$2:$A$2500)=DM$3)*(Gastos!$B$2:$B$2500=$A30)*(Gastos!$D$2:$D$2500))</f>
        <v>0</v>
      </c>
      <c r="DN30" s="75">
        <f t="array" ref="DN30">SUM((YEAR(Gastos!$A$2:$A$2500)=DN$1)*(MONTH(Gastos!$A$2:$A$2500)=DN$3)*(Gastos!$B$2:$B$2500=$A30)*(Gastos!$D$2:$D$2500))</f>
        <v>0</v>
      </c>
      <c r="DO30" s="75">
        <f t="array" ref="DO30">SUM((YEAR(Gastos!$A$2:$A$2500)=DO$1)*(MONTH(Gastos!$A$2:$A$2500)=DO$3)*(Gastos!$B$2:$B$2500=$A30)*(Gastos!$D$2:$D$2500))</f>
        <v>0</v>
      </c>
      <c r="DP30" s="75">
        <f t="array" ref="DP30">SUM((YEAR(Gastos!$A$2:$A$2500)=DP$1)*(MONTH(Gastos!$A$2:$A$2500)=DP$3)*(Gastos!$B$2:$B$2500=$A30)*(Gastos!$D$2:$D$2500))</f>
        <v>0</v>
      </c>
      <c r="DQ30" s="75">
        <f t="array" ref="DQ30">SUM((YEAR(Gastos!$A$2:$A$2500)=DQ$1)*(MONTH(Gastos!$A$2:$A$2500)=DQ$3)*(Gastos!$B$2:$B$2500=$A30)*(Gastos!$D$2:$D$2500))</f>
        <v>0</v>
      </c>
      <c r="DR30" s="75">
        <f t="array" ref="DR30">SUM((YEAR(Gastos!$A$2:$A$2500)=DR$1)*(MONTH(Gastos!$A$2:$A$2500)=DR$3)*(Gastos!$B$2:$B$2500=$A30)*(Gastos!$D$2:$D$2500))</f>
        <v>0</v>
      </c>
      <c r="DS30" s="75">
        <f t="array" ref="DS30">SUM((YEAR(Gastos!$A$2:$A$2500)=DS$1)*(MONTH(Gastos!$A$2:$A$2500)=DS$3)*(Gastos!$B$2:$B$2500=$A30)*(Gastos!$D$2:$D$2500))</f>
        <v>0</v>
      </c>
      <c r="DT30" s="75">
        <f t="array" ref="DT30">SUM((YEAR(Gastos!$A$2:$A$2500)=DT$1)*(MONTH(Gastos!$A$2:$A$2500)=DT$3)*(Gastos!$B$2:$B$2500=$A30)*(Gastos!$D$2:$D$2500))</f>
        <v>0</v>
      </c>
      <c r="DU30" s="75">
        <f t="array" ref="DU30">SUM((YEAR(Gastos!$A$2:$A$2500)=DU$1)*(MONTH(Gastos!$A$2:$A$2500)=DU$3)*(Gastos!$B$2:$B$2500=$A30)*(Gastos!$D$2:$D$2500))</f>
        <v>0</v>
      </c>
      <c r="DV30" s="75">
        <f t="array" ref="DV30">SUM((YEAR(Gastos!$A$2:$A$2500)=DV$1)*(MONTH(Gastos!$A$2:$A$2500)=DV$3)*(Gastos!$B$2:$B$2500=$A30)*(Gastos!$D$2:$D$2500))</f>
        <v>0</v>
      </c>
      <c r="DW30" s="75">
        <f t="array" ref="DW30">SUM((YEAR(Gastos!$A$2:$A$2500)=DW$1)*(MONTH(Gastos!$A$2:$A$2500)=DW$3)*(Gastos!$B$2:$B$2500=$A30)*(Gastos!$D$2:$D$2500))</f>
        <v>0</v>
      </c>
      <c r="DX30" s="75">
        <f t="array" ref="DX30">SUM((YEAR(Gastos!$A$2:$A$2500)=DX$1)*(MONTH(Gastos!$A$2:$A$2500)=DX$3)*(Gastos!$B$2:$B$2500=$A30)*(Gastos!$D$2:$D$2500))</f>
        <v>0</v>
      </c>
      <c r="DY30" s="75">
        <f t="array" ref="DY30">SUM((YEAR(Gastos!$A$2:$A$2500)=DY$1)*(MONTH(Gastos!$A$2:$A$2500)=DY$3)*(Gastos!$B$2:$B$2500=$A30)*(Gastos!$D$2:$D$2500))</f>
        <v>6530.66</v>
      </c>
      <c r="DZ30" s="75">
        <f t="array" ref="DZ30">SUM((YEAR(Gastos!$A$2:$A$2500)=DZ$1)*(MONTH(Gastos!$A$2:$A$2500)=DZ$3)*(Gastos!$B$2:$B$2500=$A30)*(Gastos!$D$2:$D$2500))</f>
        <v>0</v>
      </c>
      <c r="EA30" s="75">
        <f t="array" ref="EA30">SUM((YEAR(Gastos!$A$2:$A$2500)=EA$1)*(MONTH(Gastos!$A$2:$A$2500)=EA$3)*(Gastos!$B$2:$B$2500=$A30)*(Gastos!$D$2:$D$2500))</f>
        <v>0</v>
      </c>
      <c r="EB30" s="75">
        <f t="array" ref="EB30">SUM((YEAR(Gastos!$A$2:$A$2500)=EB$1)*(MONTH(Gastos!$A$2:$A$2500)=EB$3)*(Gastos!$B$2:$B$2500=$A30)*(Gastos!$D$2:$D$2500))</f>
        <v>0</v>
      </c>
      <c r="EC30" s="75">
        <f t="array" ref="EC30">SUM((YEAR(Gastos!$A$2:$A$2500)=EC$1)*(MONTH(Gastos!$A$2:$A$2500)=EC$3)*(Gastos!$B$2:$B$2500=$A30)*(Gastos!$D$2:$D$2500))</f>
        <v>0</v>
      </c>
      <c r="ED30" s="75">
        <f t="array" ref="ED30">SUM((YEAR(Gastos!$A$2:$A$2500)=ED$1)*(MONTH(Gastos!$A$2:$A$2500)=ED$3)*(Gastos!$B$2:$B$2500=$A30)*(Gastos!$D$2:$D$2500))</f>
        <v>0</v>
      </c>
      <c r="EE30" s="75">
        <f t="array" ref="EE30">SUM((YEAR(Gastos!$A$2:$A$2500)=EE$1)*(MONTH(Gastos!$A$2:$A$2500)=EE$3)*(Gastos!$B$2:$B$2500=$A30)*(Gastos!$D$2:$D$2500))</f>
        <v>0</v>
      </c>
      <c r="EF30" s="75">
        <f t="array" ref="EF30">SUM((YEAR(Gastos!$A$2:$A$2500)=EF$1)*(MONTH(Gastos!$A$2:$A$2500)=EF$3)*(Gastos!$B$2:$B$2500=$A30)*(Gastos!$D$2:$D$2500))</f>
        <v>0</v>
      </c>
      <c r="EG30" s="75">
        <f t="array" ref="EG30">SUM((YEAR(Gastos!$A$2:$A$2500)=EG$1)*(MONTH(Gastos!$A$2:$A$2500)=EG$3)*(Gastos!$B$2:$B$2500=$A30)*(Gastos!$D$2:$D$2500))</f>
        <v>0</v>
      </c>
      <c r="EH30" s="75">
        <f t="array" ref="EH30">SUM((YEAR(Gastos!$A$2:$A$2500)=EH$1)*(MONTH(Gastos!$A$2:$A$2500)=EH$3)*(Gastos!$B$2:$B$2500=$A30)*(Gastos!$D$2:$D$2500))</f>
        <v>0</v>
      </c>
      <c r="EI30" s="75">
        <f t="array" ref="EI30">SUM((YEAR(Gastos!$A$2:$A$2500)=EI$1)*(MONTH(Gastos!$A$2:$A$2500)=EI$3)*(Gastos!$B$2:$B$2500=$A30)*(Gastos!$D$2:$D$2500))</f>
        <v>0</v>
      </c>
      <c r="EJ30" s="75">
        <f t="array" ref="EJ30">SUM((YEAR(Gastos!$A$2:$A$2500)=EJ$1)*(MONTH(Gastos!$A$2:$A$2500)=EJ$3)*(Gastos!$B$2:$B$2500=$A30)*(Gastos!$D$2:$D$2500))</f>
        <v>0</v>
      </c>
      <c r="EK30" s="75">
        <f t="array" ref="EK30">SUM((YEAR(Gastos!$A$2:$A$2500)=EK$1)*(MONTH(Gastos!$A$2:$A$2500)=EK$3)*(Gastos!$B$2:$B$2500=$A30)*(Gastos!$D$2:$D$2500))</f>
        <v>0</v>
      </c>
      <c r="EL30" s="75">
        <f t="array" ref="EL30">SUM((YEAR(Gastos!$A$2:$A$2500)=EL$1)*(MONTH(Gastos!$A$2:$A$2500)=EL$3)*(Gastos!$B$2:$B$2500=$A30)*(Gastos!$D$2:$D$2500))</f>
        <v>0</v>
      </c>
      <c r="EM30" s="75">
        <f t="array" ref="EM30">SUM((YEAR(Gastos!$A$2:$A$2500)=EM$1)*(MONTH(Gastos!$A$2:$A$2500)=EM$3)*(Gastos!$B$2:$B$2500=$A30)*(Gastos!$D$2:$D$2500))</f>
        <v>0</v>
      </c>
      <c r="EN30" s="75">
        <f t="array" ref="EN30">SUM((YEAR(Gastos!$A$2:$A$2500)=EN$1)*(MONTH(Gastos!$A$2:$A$2500)=EN$3)*(Gastos!$B$2:$B$2500=$A30)*(Gastos!$D$2:$D$2500))</f>
        <v>0</v>
      </c>
      <c r="EO30" s="75">
        <f t="array" ref="EO30">SUM((YEAR(Gastos!$A$2:$A$2500)=EO$1)*(MONTH(Gastos!$A$2:$A$2500)=EO$3)*(Gastos!$B$2:$B$2500=$A30)*(Gastos!$D$2:$D$2500))</f>
        <v>0</v>
      </c>
      <c r="EP30" s="75">
        <f t="array" ref="EP30">SUM((YEAR(Gastos!$A$2:$A$2500)=EP$1)*(MONTH(Gastos!$A$2:$A$2500)=EP$3)*(Gastos!$B$2:$B$2500=$A30)*(Gastos!$D$2:$D$2500))</f>
        <v>0</v>
      </c>
      <c r="EQ30" s="75">
        <f t="array" ref="EQ30">SUM((YEAR(Gastos!$A$2:$A$2500)=EQ$1)*(MONTH(Gastos!$A$2:$A$2500)=EQ$3)*(Gastos!$B$2:$B$2500=$A30)*(Gastos!$D$2:$D$2500))</f>
        <v>0</v>
      </c>
      <c r="ER30" s="75">
        <f t="array" ref="ER30">SUM((YEAR(Gastos!$A$2:$A$2500)=ER$1)*(MONTH(Gastos!$A$2:$A$2500)=ER$3)*(Gastos!$B$2:$B$2500=$A30)*(Gastos!$D$2:$D$2500))</f>
        <v>0</v>
      </c>
      <c r="ES30" s="75">
        <f t="array" ref="ES30">SUM((YEAR(Gastos!$A$2:$A$2500)=ES$1)*(MONTH(Gastos!$A$2:$A$2500)=ES$3)*(Gastos!$B$2:$B$2500=$A30)*(Gastos!$D$2:$D$2500))</f>
        <v>0</v>
      </c>
      <c r="ET30" s="75">
        <f t="array" ref="ET30">SUM((YEAR(Gastos!$A$2:$A$2500)=ET$1)*(MONTH(Gastos!$A$2:$A$2500)=ET$3)*(Gastos!$B$2:$B$2500=$A30)*(Gastos!$D$2:$D$2500))</f>
        <v>0</v>
      </c>
      <c r="EU30" s="75">
        <f t="array" ref="EU30">SUM((YEAR(Gastos!$A$2:$A$2500)=EU$1)*(MONTH(Gastos!$A$2:$A$2500)=EU$3)*(Gastos!$B$2:$B$2500=$A30)*(Gastos!$D$2:$D$2500))</f>
        <v>0</v>
      </c>
      <c r="EV30" s="75">
        <f t="array" ref="EV30">SUM((YEAR(Gastos!$A$2:$A$2500)=EV$1)*(MONTH(Gastos!$A$2:$A$2500)=EV$3)*(Gastos!$B$2:$B$2500=$A30)*(Gastos!$D$2:$D$2500))</f>
        <v>0</v>
      </c>
      <c r="EW30" s="75">
        <f t="array" ref="EW30">SUM((YEAR(Gastos!$A$2:$A$2500)=EW$1)*(MONTH(Gastos!$A$2:$A$2500)=EW$3)*(Gastos!$B$2:$B$2500=$A30)*(Gastos!$D$2:$D$2500))</f>
        <v>0</v>
      </c>
      <c r="EX30" s="75">
        <f t="array" ref="EX30">SUM((YEAR(Gastos!$A$2:$A$2500)=EX$1)*(MONTH(Gastos!$A$2:$A$2500)=EX$3)*(Gastos!$B$2:$B$2500=$A30)*(Gastos!$D$2:$D$2500))</f>
        <v>0</v>
      </c>
      <c r="EY30" s="75">
        <f t="array" ref="EY30">SUM((YEAR(Gastos!$A$2:$A$2500)=EY$1)*(MONTH(Gastos!$A$2:$A$2500)=EY$3)*(Gastos!$B$2:$B$2500=$A30)*(Gastos!$D$2:$D$2500))</f>
        <v>0</v>
      </c>
      <c r="EZ30" s="75">
        <f t="array" ref="EZ30">SUM((YEAR(Gastos!$A$2:$A$2500)=EZ$1)*(MONTH(Gastos!$A$2:$A$2500)=EZ$3)*(Gastos!$B$2:$B$2500=$A30)*(Gastos!$D$2:$D$2500))</f>
        <v>0</v>
      </c>
      <c r="FA30" s="75">
        <f t="array" ref="FA30">SUM((YEAR(Gastos!$A$2:$A$2500)=FA$1)*(MONTH(Gastos!$A$2:$A$2500)=FA$3)*(Gastos!$B$2:$B$2500=$A30)*(Gastos!$D$2:$D$2500))</f>
        <v>0</v>
      </c>
      <c r="FB30" s="75">
        <f t="array" ref="FB30">SUM((YEAR(Gastos!$A$2:$A$2500)=FB$1)*(MONTH(Gastos!$A$2:$A$2500)=FB$3)*(Gastos!$B$2:$B$2500=$A30)*(Gastos!$D$2:$D$2500))</f>
        <v>0</v>
      </c>
      <c r="FC30" s="75">
        <f t="array" ref="FC30">SUM((YEAR(Gastos!$A$2:$A$2500)=FC$1)*(MONTH(Gastos!$A$2:$A$2500)=FC$3)*(Gastos!$B$2:$B$2500=$A30)*(Gastos!$D$2:$D$2500))</f>
        <v>0</v>
      </c>
      <c r="FD30" s="75">
        <f t="array" ref="FD30">SUM((YEAR(Gastos!$A$2:$A$2500)=FD$1)*(MONTH(Gastos!$A$2:$A$2500)=FD$3)*(Gastos!$B$2:$B$2500=$A30)*(Gastos!$D$2:$D$2500))</f>
        <v>0</v>
      </c>
      <c r="FE30" s="75">
        <f t="array" ref="FE30">SUM((YEAR(Gastos!$A$2:$A$2500)=FE$1)*(MONTH(Gastos!$A$2:$A$2500)=FE$3)*(Gastos!$B$2:$B$2500=$A30)*(Gastos!$D$2:$D$2500))</f>
        <v>0</v>
      </c>
      <c r="FF30" s="75">
        <f t="array" ref="FF30">SUM((YEAR(Gastos!$A$2:$A$2500)=FF$1)*(MONTH(Gastos!$A$2:$A$2500)=FF$3)*(Gastos!$B$2:$B$2500=$A30)*(Gastos!$D$2:$D$2500))</f>
        <v>0</v>
      </c>
      <c r="FG30" s="75">
        <f t="array" ref="FG30">SUM((YEAR(Gastos!$A$2:$A$2500)=FG$1)*(MONTH(Gastos!$A$2:$A$2500)=FG$3)*(Gastos!$B$2:$B$2500=$A30)*(Gastos!$D$2:$D$2500))</f>
        <v>0</v>
      </c>
      <c r="FH30" s="75">
        <f t="array" ref="FH30">SUM((YEAR(Gastos!$A$2:$A$2500)=FH$1)*(MONTH(Gastos!$A$2:$A$2500)=FH$3)*(Gastos!$B$2:$B$2500=$A30)*(Gastos!$D$2:$D$2500))</f>
        <v>0</v>
      </c>
      <c r="FI30" s="75">
        <f t="array" ref="FI30">SUM((YEAR(Gastos!$A$2:$A$2500)=FI$1)*(MONTH(Gastos!$A$2:$A$2500)=FI$3)*(Gastos!$B$2:$B$2500=$A30)*(Gastos!$D$2:$D$2500))</f>
        <v>0</v>
      </c>
      <c r="FJ30" s="75">
        <f t="array" ref="FJ30">SUM((YEAR(Gastos!$A$2:$A$2500)=FJ$1)*(MONTH(Gastos!$A$2:$A$2500)=FJ$3)*(Gastos!$B$2:$B$2500=$A30)*(Gastos!$D$2:$D$2500))</f>
        <v>0</v>
      </c>
      <c r="FK30" s="75">
        <f t="array" ref="FK30">SUM((YEAR(Gastos!$A$2:$A$2500)=FK$1)*(MONTH(Gastos!$A$2:$A$2500)=FK$3)*(Gastos!$B$2:$B$2500=$A30)*(Gastos!$D$2:$D$2500))</f>
        <v>0</v>
      </c>
      <c r="FL30" s="75">
        <f t="array" ref="FL30">SUM((YEAR(Gastos!$A$2:$A$2500)=FL$1)*(MONTH(Gastos!$A$2:$A$2500)=FL$3)*(Gastos!$B$2:$B$2500=$A30)*(Gastos!$D$2:$D$2500))</f>
        <v>0</v>
      </c>
      <c r="FM30" s="75">
        <f t="array" ref="FM30">SUM((YEAR(Gastos!$A$2:$A$2500)=FM$1)*(MONTH(Gastos!$A$2:$A$2500)=FM$3)*(Gastos!$B$2:$B$2500=$A30)*(Gastos!$D$2:$D$2500))</f>
        <v>0</v>
      </c>
      <c r="FN30" s="75">
        <f t="array" ref="FN30">SUM((YEAR(Gastos!$A$2:$A$2500)=FN$1)*(MONTH(Gastos!$A$2:$A$2500)=FN$3)*(Gastos!$B$2:$B$2500=$A30)*(Gastos!$D$2:$D$2500))</f>
        <v>0</v>
      </c>
      <c r="FO30" s="75">
        <f t="array" ref="FO30">SUM((YEAR(Gastos!$A$2:$A$2500)=FO$1)*(MONTH(Gastos!$A$2:$A$2500)=FO$3)*(Gastos!$B$2:$B$2500=$A30)*(Gastos!$D$2:$D$2500))</f>
        <v>0</v>
      </c>
      <c r="FP30" s="75">
        <f t="array" ref="FP30">SUM((YEAR(Gastos!$A$2:$A$2500)=FP$1)*(MONTH(Gastos!$A$2:$A$2500)=FP$3)*(Gastos!$B$2:$B$2500=$A30)*(Gastos!$D$2:$D$2500))</f>
        <v>0</v>
      </c>
      <c r="FQ30" s="75">
        <f t="array" ref="FQ30">SUM((YEAR(Gastos!$A$2:$A$2500)=FQ$1)*(MONTH(Gastos!$A$2:$A$2500)=FQ$3)*(Gastos!$B$2:$B$2500=$A30)*(Gastos!$D$2:$D$2500))</f>
        <v>0</v>
      </c>
      <c r="FR30" s="75">
        <f t="array" ref="FR30">SUM((YEAR(Gastos!$A$2:$A$2500)=FR$1)*(MONTH(Gastos!$A$2:$A$2500)=FR$3)*(Gastos!$B$2:$B$2500=$A30)*(Gastos!$D$2:$D$2500))</f>
        <v>0</v>
      </c>
      <c r="FS30" s="75">
        <f t="array" ref="FS30">SUM((YEAR(Gastos!$A$2:$A$2500)=FS$1)*(MONTH(Gastos!$A$2:$A$2500)=FS$3)*(Gastos!$B$2:$B$2500=$A30)*(Gastos!$D$2:$D$2500))</f>
        <v>0</v>
      </c>
      <c r="FT30" s="75">
        <f t="array" ref="FT30">SUM((YEAR(Gastos!$A$2:$A$2500)=FT$1)*(MONTH(Gastos!$A$2:$A$2500)=FT$3)*(Gastos!$B$2:$B$2500=$A30)*(Gastos!$D$2:$D$2500))</f>
        <v>0</v>
      </c>
      <c r="FU30" s="75">
        <f t="array" ref="FU30">SUM((YEAR(Gastos!$A$2:$A$2500)=FU$1)*(MONTH(Gastos!$A$2:$A$2500)=FU$3)*(Gastos!$B$2:$B$2500=$A30)*(Gastos!$D$2:$D$2500))</f>
        <v>0</v>
      </c>
      <c r="FV30" s="75">
        <f t="array" ref="FV30">SUM((YEAR(Gastos!$A$2:$A$2500)=FV$1)*(MONTH(Gastos!$A$2:$A$2500)=FV$3)*(Gastos!$B$2:$B$2500=$A30)*(Gastos!$D$2:$D$2500))</f>
        <v>0</v>
      </c>
      <c r="FW30" s="75">
        <f t="array" ref="FW30">SUM((YEAR(Gastos!$A$2:$A$2500)=FW$1)*(MONTH(Gastos!$A$2:$A$2500)=FW$3)*(Gastos!$B$2:$B$2500=$A30)*(Gastos!$D$2:$D$2500))</f>
        <v>0</v>
      </c>
      <c r="FX30" s="75">
        <f t="array" ref="FX30">SUM((YEAR(Gastos!$A$2:$A$2500)=FX$1)*(MONTH(Gastos!$A$2:$A$2500)=FX$3)*(Gastos!$B$2:$B$2500=$A30)*(Gastos!$D$2:$D$2500))</f>
        <v>0</v>
      </c>
      <c r="FY30" s="75">
        <f t="array" ref="FY30">SUM((YEAR(Gastos!$A$2:$A$2500)=FY$1)*(MONTH(Gastos!$A$2:$A$2500)=FY$3)*(Gastos!$B$2:$B$2500=$A30)*(Gastos!$D$2:$D$2500))</f>
        <v>0</v>
      </c>
      <c r="FZ30" s="76">
        <f t="shared" si="65"/>
        <v>13061.32</v>
      </c>
      <c r="GA30" s="80"/>
      <c r="GB30" s="78">
        <f t="shared" si="66"/>
        <v>-6530.66</v>
      </c>
      <c r="GF30" s="79">
        <f t="array" ref="GF30">SUM(((Gastos!$A$2:$A$1647)&gt;=GD$3)*((Gastos!$A$2:$A$1647)&lt;=GF$3)*(Gastos!$B$2:$B$1647=$A30)*(Gastos!$D$2:$D$1647))</f>
        <v>0</v>
      </c>
      <c r="GI30" s="79">
        <f t="array" ref="GI30">SUM(((Gastos!$A$2:$A$1647)&gt;=GG$3)*((Gastos!$A$2:$A$1647)&lt;=GI$3)*(Gastos!$B$2:$B$1647=$A30)*(Gastos!$D$2:$D$1647))</f>
        <v>6530.66</v>
      </c>
    </row>
    <row r="31" spans="1:191" ht="15" thickBot="1" x14ac:dyDescent="0.4">
      <c r="A31" s="74" t="str">
        <f>Gastos!AA29</f>
        <v>V. FERRETERIA</v>
      </c>
      <c r="B31" s="75">
        <f t="array" ref="B31">SUM((YEAR(Gastos!$A$2:$A$2500)=B$1)*(MONTH(Gastos!$A$2:$A$2500)=B$3)*(Gastos!$B$2:$B$2500=$A31)*(Gastos!$D$2:$D$2500))</f>
        <v>0</v>
      </c>
      <c r="C31" s="75">
        <f t="array" ref="C31">SUM((YEAR(Gastos!$A$2:$A$2500)=C$1)*(MONTH(Gastos!$A$2:$A$2500)=C$3)*(Gastos!$B$2:$B$2500=$A31)*(Gastos!$D$2:$D$2500))</f>
        <v>0</v>
      </c>
      <c r="D31" s="75">
        <f t="array" ref="D31">SUM((YEAR(Gastos!$A$2:$A$2500)=D$1)*(MONTH(Gastos!$A$2:$A$2500)=D$3)*(Gastos!$B$2:$B$2500=$A31)*(Gastos!$D$2:$D$2500))</f>
        <v>0</v>
      </c>
      <c r="E31" s="75">
        <f t="array" ref="E31">SUM((YEAR(Gastos!$A$2:$A$2500)=E$1)*(MONTH(Gastos!$A$2:$A$2500)=E$3)*(Gastos!$B$2:$B$2500=$A31)*(Gastos!$D$2:$D$2500))</f>
        <v>0</v>
      </c>
      <c r="F31" s="75">
        <f t="array" ref="F31">SUM((YEAR(Gastos!$A$2:$A$2500)=F$1)*(MONTH(Gastos!$A$2:$A$2500)=F$3)*(Gastos!$B$2:$B$2500=$A31)*(Gastos!$D$2:$D$2500))</f>
        <v>0</v>
      </c>
      <c r="G31" s="75">
        <f t="array" ref="G31">SUM((YEAR(Gastos!$A$2:$A$2500)=G$1)*(MONTH(Gastos!$A$2:$A$2500)=G$3)*(Gastos!$B$2:$B$2500=$A31)*(Gastos!$D$2:$D$2500))</f>
        <v>0</v>
      </c>
      <c r="H31" s="75">
        <f t="array" ref="H31">SUM((YEAR(Gastos!$A$2:$A$2500)=H$1)*(MONTH(Gastos!$A$2:$A$2500)=H$3)*(Gastos!$B$2:$B$2500=$A31)*(Gastos!$D$2:$D$2500))</f>
        <v>0</v>
      </c>
      <c r="I31" s="75">
        <f t="array" ref="I31">SUM((YEAR(Gastos!$A$2:$A$2500)=I$1)*(MONTH(Gastos!$A$2:$A$2500)=I$3)*(Gastos!$B$2:$B$2500=$A31)*(Gastos!$D$2:$D$2500))</f>
        <v>0</v>
      </c>
      <c r="J31" s="75">
        <f t="array" ref="J31">SUM((YEAR(Gastos!$A$2:$A$2500)=J$1)*(MONTH(Gastos!$A$2:$A$2500)=J$3)*(Gastos!$B$2:$B$2500=$A31)*(Gastos!$D$2:$D$2500))</f>
        <v>0</v>
      </c>
      <c r="K31" s="75">
        <f t="array" ref="K31">SUM((YEAR(Gastos!$A$2:$A$2500)=K$1)*(MONTH(Gastos!$A$2:$A$2500)=K$3)*(Gastos!$B$2:$B$2500=$A31)*(Gastos!$D$2:$D$2500))</f>
        <v>0</v>
      </c>
      <c r="L31" s="75">
        <f t="array" ref="L31">SUM((YEAR(Gastos!$A$2:$A$2500)=L$1)*(MONTH(Gastos!$A$2:$A$2500)=L$3)*(Gastos!$B$2:$B$2500=$A31)*(Gastos!$D$2:$D$2500))</f>
        <v>0</v>
      </c>
      <c r="M31" s="75">
        <f t="array" ref="M31">SUM((YEAR(Gastos!$A$2:$A$2500)=M$1)*(MONTH(Gastos!$A$2:$A$2500)=M$3)*(Gastos!$B$2:$B$2500=$A31)*(Gastos!$D$2:$D$2500))</f>
        <v>0</v>
      </c>
      <c r="N31" s="75">
        <f t="array" ref="N31">SUM((YEAR(Gastos!$A$2:$A$2500)=N$1)*(MONTH(Gastos!$A$2:$A$2500)=N$3)*(Gastos!$B$2:$B$2500=$A31)*(Gastos!$D$2:$D$2500))</f>
        <v>0</v>
      </c>
      <c r="O31" s="75">
        <f t="array" ref="O31">SUM((YEAR(Gastos!$A$2:$A$2500)=O$1)*(MONTH(Gastos!$A$2:$A$2500)=O$3)*(Gastos!$B$2:$B$2500=$A31)*(Gastos!$D$2:$D$2500))</f>
        <v>0</v>
      </c>
      <c r="P31" s="75">
        <f t="array" ref="P31">SUM((YEAR(Gastos!$A$2:$A$2500)=P$1)*(MONTH(Gastos!$A$2:$A$2500)=P$3)*(Gastos!$B$2:$B$2500=$A31)*(Gastos!$D$2:$D$2500))</f>
        <v>0</v>
      </c>
      <c r="Q31" s="75">
        <f t="array" ref="Q31">SUM((YEAR(Gastos!$A$2:$A$2500)=Q$1)*(MONTH(Gastos!$A$2:$A$2500)=Q$3)*(Gastos!$B$2:$B$2500=$A31)*(Gastos!$D$2:$D$2500))</f>
        <v>0</v>
      </c>
      <c r="R31" s="75">
        <f t="array" ref="R31">SUM((YEAR(Gastos!$A$2:$A$2500)=R$1)*(MONTH(Gastos!$A$2:$A$2500)=R$3)*(Gastos!$B$2:$B$2500=$A31)*(Gastos!$D$2:$D$2500))</f>
        <v>0</v>
      </c>
      <c r="S31" s="75">
        <f t="array" ref="S31">SUM((YEAR(Gastos!$A$2:$A$2500)=S$1)*(MONTH(Gastos!$A$2:$A$2500)=S$3)*(Gastos!$B$2:$B$2500=$A31)*(Gastos!$D$2:$D$2500))</f>
        <v>0</v>
      </c>
      <c r="T31" s="75">
        <f t="array" ref="T31">SUM((YEAR(Gastos!$A$2:$A$2500)=T$1)*(MONTH(Gastos!$A$2:$A$2500)=T$3)*(Gastos!$B$2:$B$2500=$A31)*(Gastos!$D$2:$D$2500))</f>
        <v>0</v>
      </c>
      <c r="U31" s="75">
        <f t="array" ref="U31">SUM((YEAR(Gastos!$A$2:$A$2500)=U$1)*(MONTH(Gastos!$A$2:$A$2500)=U$3)*(Gastos!$B$2:$B$2500=$A31)*(Gastos!$D$2:$D$2500))</f>
        <v>0</v>
      </c>
      <c r="V31" s="75">
        <f t="array" ref="V31">SUM((YEAR(Gastos!$A$2:$A$2500)=V$1)*(MONTH(Gastos!$A$2:$A$2500)=V$3)*(Gastos!$B$2:$B$2500=$A31)*(Gastos!$D$2:$D$2500))</f>
        <v>0</v>
      </c>
      <c r="W31" s="75">
        <f t="array" ref="W31">SUM((YEAR(Gastos!$A$2:$A$2500)=W$1)*(MONTH(Gastos!$A$2:$A$2500)=W$3)*(Gastos!$B$2:$B$2500=$A31)*(Gastos!$D$2:$D$2500))</f>
        <v>0</v>
      </c>
      <c r="X31" s="75">
        <f t="array" ref="X31">SUM((YEAR(Gastos!$A$2:$A$2500)=X$1)*(MONTH(Gastos!$A$2:$A$2500)=X$3)*(Gastos!$B$2:$B$2500=$A31)*(Gastos!$D$2:$D$2500))</f>
        <v>0</v>
      </c>
      <c r="Y31" s="75">
        <f t="array" ref="Y31">SUM((YEAR(Gastos!$A$2:$A$2500)=Y$1)*(MONTH(Gastos!$A$2:$A$2500)=Y$3)*(Gastos!$B$2:$B$2500=$A31)*(Gastos!$D$2:$D$2500))</f>
        <v>0</v>
      </c>
      <c r="Z31" s="75">
        <f t="array" ref="Z31">SUM((YEAR(Gastos!$A$2:$A$2500)=Z$1)*(MONTH(Gastos!$A$2:$A$2500)=Z$3)*(Gastos!$B$2:$B$2500=$A31)*(Gastos!$D$2:$D$2500))</f>
        <v>0</v>
      </c>
      <c r="AA31" s="75">
        <f t="array" ref="AA31">SUM((YEAR(Gastos!$A$2:$A$2500)=AA$1)*(MONTH(Gastos!$A$2:$A$2500)=AA$3)*(Gastos!$B$2:$B$2500=$A31)*(Gastos!$D$2:$D$2500))</f>
        <v>0</v>
      </c>
      <c r="AB31" s="75">
        <f t="array" ref="AB31">SUM((YEAR(Gastos!$A$2:$A$2500)=AB$1)*(MONTH(Gastos!$A$2:$A$2500)=AB$3)*(Gastos!$B$2:$B$2500=$A31)*(Gastos!$D$2:$D$2500))</f>
        <v>0</v>
      </c>
      <c r="AC31" s="75">
        <f t="array" ref="AC31">SUM((YEAR(Gastos!$A$2:$A$2500)=AC$1)*(MONTH(Gastos!$A$2:$A$2500)=AC$3)*(Gastos!$B$2:$B$2500=$A31)*(Gastos!$D$2:$D$2500))</f>
        <v>0</v>
      </c>
      <c r="AD31" s="75">
        <f t="array" ref="AD31">SUM((YEAR(Gastos!$A$2:$A$2500)=AD$1)*(MONTH(Gastos!$A$2:$A$2500)=AD$3)*(Gastos!$B$2:$B$2500=$A31)*(Gastos!$D$2:$D$2500))</f>
        <v>0</v>
      </c>
      <c r="AE31" s="75">
        <f t="array" ref="AE31">SUM((YEAR(Gastos!$A$2:$A$2500)=AE$1)*(MONTH(Gastos!$A$2:$A$2500)=AE$3)*(Gastos!$B$2:$B$2500=$A31)*(Gastos!$D$2:$D$2500))</f>
        <v>0</v>
      </c>
      <c r="AF31" s="75">
        <f t="array" ref="AF31">SUM((YEAR(Gastos!$A$2:$A$2500)=AF$1)*(MONTH(Gastos!$A$2:$A$2500)=AF$3)*(Gastos!$B$2:$B$2500=$A31)*(Gastos!$D$2:$D$2500))</f>
        <v>0</v>
      </c>
      <c r="AG31" s="75">
        <f t="array" ref="AG31">SUM((YEAR(Gastos!$A$2:$A$2500)=AG$1)*(MONTH(Gastos!$A$2:$A$2500)=AG$3)*(Gastos!$B$2:$B$2500=$A31)*(Gastos!$D$2:$D$2500))</f>
        <v>0</v>
      </c>
      <c r="AH31" s="75">
        <f t="array" ref="AH31">SUM((YEAR(Gastos!$A$2:$A$2500)=AH$1)*(MONTH(Gastos!$A$2:$A$2500)=AH$3)*(Gastos!$B$2:$B$2500=$A31)*(Gastos!$D$2:$D$2500))</f>
        <v>0</v>
      </c>
      <c r="AI31" s="75">
        <f t="array" ref="AI31">SUM((YEAR(Gastos!$A$2:$A$2500)=AI$1)*(MONTH(Gastos!$A$2:$A$2500)=AI$3)*(Gastos!$B$2:$B$2500=$A31)*(Gastos!$D$2:$D$2500))</f>
        <v>0</v>
      </c>
      <c r="AJ31" s="75">
        <f t="array" ref="AJ31">SUM((YEAR(Gastos!$A$2:$A$2500)=AJ$1)*(MONTH(Gastos!$A$2:$A$2500)=AJ$3)*(Gastos!$B$2:$B$2500=$A31)*(Gastos!$D$2:$D$2500))</f>
        <v>0</v>
      </c>
      <c r="AK31" s="75">
        <f t="array" ref="AK31">SUM((YEAR(Gastos!$A$2:$A$2500)=AK$1)*(MONTH(Gastos!$A$2:$A$2500)=AK$3)*(Gastos!$B$2:$B$2500=$A31)*(Gastos!$D$2:$D$2500))</f>
        <v>0</v>
      </c>
      <c r="AL31" s="75">
        <f t="array" ref="AL31">SUM((YEAR(Gastos!$A$2:$A$2500)=AL$1)*(MONTH(Gastos!$A$2:$A$2500)=AL$3)*(Gastos!$B$2:$B$2500=$A31)*(Gastos!$D$2:$D$2500))</f>
        <v>0</v>
      </c>
      <c r="AM31" s="75">
        <f t="array" ref="AM31">SUM((YEAR(Gastos!$A$2:$A$2500)=AM$1)*(MONTH(Gastos!$A$2:$A$2500)=AM$3)*(Gastos!$B$2:$B$2500=$A31)*(Gastos!$D$2:$D$2500))</f>
        <v>0</v>
      </c>
      <c r="AN31" s="75">
        <f t="array" ref="AN31">SUM((YEAR(Gastos!$A$2:$A$2500)=AN$1)*(MONTH(Gastos!$A$2:$A$2500)=AN$3)*(Gastos!$B$2:$B$2500=$A31)*(Gastos!$D$2:$D$2500))</f>
        <v>0</v>
      </c>
      <c r="AO31" s="75">
        <f t="array" ref="AO31">SUM((YEAR(Gastos!$A$2:$A$2500)=AO$1)*(MONTH(Gastos!$A$2:$A$2500)=AO$3)*(Gastos!$B$2:$B$2500=$A31)*(Gastos!$D$2:$D$2500))</f>
        <v>0</v>
      </c>
      <c r="AP31" s="75">
        <f t="array" ref="AP31">SUM((YEAR(Gastos!$A$2:$A$2500)=AP$1)*(MONTH(Gastos!$A$2:$A$2500)=AP$3)*(Gastos!$B$2:$B$2500=$A31)*(Gastos!$D$2:$D$2500))</f>
        <v>0</v>
      </c>
      <c r="AQ31" s="75">
        <f t="array" ref="AQ31">SUM((YEAR(Gastos!$A$2:$A$2500)=AQ$1)*(MONTH(Gastos!$A$2:$A$2500)=AQ$3)*(Gastos!$B$2:$B$2500=$A31)*(Gastos!$D$2:$D$2500))</f>
        <v>0</v>
      </c>
      <c r="AR31" s="75">
        <f t="array" ref="AR31">SUM((YEAR(Gastos!$A$2:$A$2500)=AR$1)*(MONTH(Gastos!$A$2:$A$2500)=AR$3)*(Gastos!$B$2:$B$2500=$A31)*(Gastos!$D$2:$D$2500))</f>
        <v>0</v>
      </c>
      <c r="AS31" s="75">
        <f t="array" ref="AS31">SUM((YEAR(Gastos!$A$2:$A$2500)=AS$1)*(MONTH(Gastos!$A$2:$A$2500)=AS$3)*(Gastos!$B$2:$B$2500=$A31)*(Gastos!$D$2:$D$2500))</f>
        <v>0</v>
      </c>
      <c r="AT31" s="75">
        <f t="array" ref="AT31">SUM((YEAR(Gastos!$A$2:$A$2500)=AT$1)*(MONTH(Gastos!$A$2:$A$2500)=AT$3)*(Gastos!$B$2:$B$2500=$A31)*(Gastos!$D$2:$D$2500))</f>
        <v>0</v>
      </c>
      <c r="AU31" s="75">
        <f t="array" ref="AU31">SUM((YEAR(Gastos!$A$2:$A$2500)=AU$1)*(MONTH(Gastos!$A$2:$A$2500)=AU$3)*(Gastos!$B$2:$B$2500=$A31)*(Gastos!$D$2:$D$2500))</f>
        <v>0</v>
      </c>
      <c r="AV31" s="75">
        <f t="array" ref="AV31">SUM((YEAR(Gastos!$A$2:$A$2500)=AV$1)*(MONTH(Gastos!$A$2:$A$2500)=AV$3)*(Gastos!$B$2:$B$2500=$A31)*(Gastos!$D$2:$D$2500))</f>
        <v>0</v>
      </c>
      <c r="AW31" s="75">
        <f t="array" ref="AW31">SUM((YEAR(Gastos!$A$2:$A$2500)=AW$1)*(MONTH(Gastos!$A$2:$A$2500)=AW$3)*(Gastos!$B$2:$B$2500=$A31)*(Gastos!$D$2:$D$2500))</f>
        <v>0</v>
      </c>
      <c r="AX31" s="75">
        <f t="array" ref="AX31">SUM((YEAR(Gastos!$A$2:$A$2500)=AX$1)*(MONTH(Gastos!$A$2:$A$2500)=AX$3)*(Gastos!$B$2:$B$2500=$A31)*(Gastos!$D$2:$D$2500))</f>
        <v>0</v>
      </c>
      <c r="AY31" s="75">
        <f t="array" ref="AY31">SUM((YEAR(Gastos!$A$2:$A$2500)=AY$1)*(MONTH(Gastos!$A$2:$A$2500)=AY$3)*(Gastos!$B$2:$B$2500=$A31)*(Gastos!$D$2:$D$2500))</f>
        <v>0</v>
      </c>
      <c r="AZ31" s="75">
        <f t="array" ref="AZ31">SUM((YEAR(Gastos!$A$2:$A$2500)=AZ$1)*(MONTH(Gastos!$A$2:$A$2500)=AZ$3)*(Gastos!$B$2:$B$2500=$A31)*(Gastos!$D$2:$D$2500))</f>
        <v>0</v>
      </c>
      <c r="BA31" s="75">
        <f t="array" ref="BA31">SUM((YEAR(Gastos!$A$2:$A$2500)=BA$1)*(MONTH(Gastos!$A$2:$A$2500)=BA$3)*(Gastos!$B$2:$B$2500=$A31)*(Gastos!$D$2:$D$2500))</f>
        <v>0</v>
      </c>
      <c r="BB31" s="75">
        <f t="array" ref="BB31">SUM((YEAR(Gastos!$A$2:$A$2500)=BB$1)*(MONTH(Gastos!$A$2:$A$2500)=BB$3)*(Gastos!$B$2:$B$2500=$A31)*(Gastos!$D$2:$D$2500))</f>
        <v>0</v>
      </c>
      <c r="BC31" s="75">
        <f t="array" ref="BC31">SUM((YEAR(Gastos!$A$2:$A$2500)=BC$1)*(MONTH(Gastos!$A$2:$A$2500)=BC$3)*(Gastos!$B$2:$B$2500=$A31)*(Gastos!$D$2:$D$2500))</f>
        <v>0</v>
      </c>
      <c r="BD31" s="75">
        <f t="array" ref="BD31">SUM((YEAR(Gastos!$A$2:$A$2500)=BD$1)*(MONTH(Gastos!$A$2:$A$2500)=BD$3)*(Gastos!$B$2:$B$2500=$A31)*(Gastos!$D$2:$D$2500))</f>
        <v>0</v>
      </c>
      <c r="BE31" s="75">
        <f t="array" ref="BE31">SUM((YEAR(Gastos!$A$2:$A$2500)=BE$1)*(MONTH(Gastos!$A$2:$A$2500)=BE$3)*(Gastos!$B$2:$B$2500=$A31)*(Gastos!$D$2:$D$2500))</f>
        <v>0</v>
      </c>
      <c r="BF31" s="75">
        <f t="array" ref="BF31">SUM((YEAR(Gastos!$A$2:$A$2500)=BF$1)*(MONTH(Gastos!$A$2:$A$2500)=BF$3)*(Gastos!$B$2:$B$2500=$A31)*(Gastos!$D$2:$D$2500))</f>
        <v>0</v>
      </c>
      <c r="BG31" s="75">
        <f t="array" ref="BG31">SUM((YEAR(Gastos!$A$2:$A$2500)=BG$1)*(MONTH(Gastos!$A$2:$A$2500)=BG$3)*(Gastos!$B$2:$B$2500=$A31)*(Gastos!$D$2:$D$2500))</f>
        <v>0</v>
      </c>
      <c r="BH31" s="75">
        <f t="array" ref="BH31">SUM((YEAR(Gastos!$A$2:$A$2500)=BH$1)*(MONTH(Gastos!$A$2:$A$2500)=BH$3)*(Gastos!$B$2:$B$2500=$A31)*(Gastos!$D$2:$D$2500))</f>
        <v>0</v>
      </c>
      <c r="BI31" s="75">
        <f t="array" ref="BI31">SUM((YEAR(Gastos!$A$2:$A$2500)=BI$1)*(MONTH(Gastos!$A$2:$A$2500)=BI$3)*(Gastos!$B$2:$B$2500=$A31)*(Gastos!$D$2:$D$2500))</f>
        <v>0</v>
      </c>
      <c r="BJ31" s="75">
        <f t="array" ref="BJ31">SUM((YEAR(Gastos!$A$2:$A$2500)=BJ$1)*(MONTH(Gastos!$A$2:$A$2500)=BJ$3)*(Gastos!$B$2:$B$2500=$A31)*(Gastos!$D$2:$D$2500))</f>
        <v>0</v>
      </c>
      <c r="BK31" s="75">
        <f t="array" ref="BK31">SUM((YEAR(Gastos!$A$2:$A$2500)=BK$1)*(MONTH(Gastos!$A$2:$A$2500)=BK$3)*(Gastos!$B$2:$B$2500=$A31)*(Gastos!$D$2:$D$2500))</f>
        <v>0</v>
      </c>
      <c r="BL31" s="75">
        <f t="array" ref="BL31">SUM((YEAR(Gastos!$A$2:$A$2500)=BL$1)*(MONTH(Gastos!$A$2:$A$2500)=BL$3)*(Gastos!$B$2:$B$2500=$A31)*(Gastos!$D$2:$D$2500))</f>
        <v>0</v>
      </c>
      <c r="BM31" s="75">
        <f t="array" ref="BM31">SUM((YEAR(Gastos!$A$2:$A$2500)=BM$1)*(MONTH(Gastos!$A$2:$A$2500)=BM$3)*(Gastos!$B$2:$B$2500=$A31)*(Gastos!$D$2:$D$2500))</f>
        <v>0</v>
      </c>
      <c r="BN31" s="75">
        <f t="array" ref="BN31">SUM((YEAR(Gastos!$A$2:$A$2500)=BN$1)*(MONTH(Gastos!$A$2:$A$2500)=BN$3)*(Gastos!$B$2:$B$2500=$A31)*(Gastos!$D$2:$D$2500))</f>
        <v>0</v>
      </c>
      <c r="BO31" s="75">
        <f t="array" ref="BO31">SUM((YEAR(Gastos!$A$2:$A$2500)=BO$1)*(MONTH(Gastos!$A$2:$A$2500)=BO$3)*(Gastos!$B$2:$B$2500=$A31)*(Gastos!$D$2:$D$2500))</f>
        <v>0</v>
      </c>
      <c r="BP31" s="75">
        <f t="array" ref="BP31">SUM((YEAR(Gastos!$A$2:$A$2500)=BP$1)*(MONTH(Gastos!$A$2:$A$2500)=BP$3)*(Gastos!$B$2:$B$2500=$A31)*(Gastos!$D$2:$D$2500))</f>
        <v>0</v>
      </c>
      <c r="BQ31" s="75">
        <f t="array" ref="BQ31">SUM((YEAR(Gastos!$A$2:$A$2500)=BQ$1)*(MONTH(Gastos!$A$2:$A$2500)=BQ$3)*(Gastos!$B$2:$B$2500=$A31)*(Gastos!$D$2:$D$2500))</f>
        <v>0</v>
      </c>
      <c r="BR31" s="75">
        <f t="array" ref="BR31">SUM((YEAR(Gastos!$A$2:$A$2500)=BR$1)*(MONTH(Gastos!$A$2:$A$2500)=BR$3)*(Gastos!$B$2:$B$2500=$A31)*(Gastos!$D$2:$D$2500))</f>
        <v>0</v>
      </c>
      <c r="BS31" s="75">
        <f t="array" ref="BS31">SUM((YEAR(Gastos!$A$2:$A$2500)=BS$1)*(MONTH(Gastos!$A$2:$A$2500)=BS$3)*(Gastos!$B$2:$B$2500=$A31)*(Gastos!$D$2:$D$2500))</f>
        <v>0</v>
      </c>
      <c r="BT31" s="75">
        <f t="array" ref="BT31">SUM((YEAR(Gastos!$A$2:$A$2500)=BT$1)*(MONTH(Gastos!$A$2:$A$2500)=BT$3)*(Gastos!$B$2:$B$2500=$A31)*(Gastos!$D$2:$D$2500))</f>
        <v>0</v>
      </c>
      <c r="BU31" s="75">
        <f t="array" ref="BU31">SUM((YEAR(Gastos!$A$2:$A$2500)=BU$1)*(MONTH(Gastos!$A$2:$A$2500)=BU$3)*(Gastos!$B$2:$B$2500=$A31)*(Gastos!$D$2:$D$2500))</f>
        <v>0</v>
      </c>
      <c r="BV31" s="75">
        <f t="array" ref="BV31">SUM((YEAR(Gastos!$A$2:$A$2500)=BV$1)*(MONTH(Gastos!$A$2:$A$2500)=BV$3)*(Gastos!$B$2:$B$2500=$A31)*(Gastos!$D$2:$D$2500))</f>
        <v>0</v>
      </c>
      <c r="BW31" s="75">
        <f t="array" ref="BW31">SUM((YEAR(Gastos!$A$2:$A$2500)=BW$1)*(MONTH(Gastos!$A$2:$A$2500)=BW$3)*(Gastos!$B$2:$B$2500=$A31)*(Gastos!$D$2:$D$2500))</f>
        <v>0</v>
      </c>
      <c r="BX31" s="75">
        <f t="array" ref="BX31">SUM((YEAR(Gastos!$A$2:$A$2500)=BX$1)*(MONTH(Gastos!$A$2:$A$2500)=BX$3)*(Gastos!$B$2:$B$2500=$A31)*(Gastos!$D$2:$D$2500))</f>
        <v>0</v>
      </c>
      <c r="BY31" s="75">
        <f t="array" ref="BY31">SUM((YEAR(Gastos!$A$2:$A$2500)=BY$1)*(MONTH(Gastos!$A$2:$A$2500)=BY$3)*(Gastos!$B$2:$B$2500=$A31)*(Gastos!$D$2:$D$2500))</f>
        <v>0</v>
      </c>
      <c r="BZ31" s="75">
        <f t="array" ref="BZ31">SUM((YEAR(Gastos!$A$2:$A$2500)=BZ$1)*(MONTH(Gastos!$A$2:$A$2500)=BZ$3)*(Gastos!$B$2:$B$2500=$A31)*(Gastos!$D$2:$D$2500))</f>
        <v>0</v>
      </c>
      <c r="CA31" s="75">
        <f t="array" ref="CA31">SUM((YEAR(Gastos!$A$2:$A$2500)=CA$1)*(MONTH(Gastos!$A$2:$A$2500)=CA$3)*(Gastos!$B$2:$B$2500=$A31)*(Gastos!$D$2:$D$2500))</f>
        <v>0</v>
      </c>
      <c r="CB31" s="75">
        <f t="array" ref="CB31">SUM((YEAR(Gastos!$A$2:$A$2500)=CB$1)*(MONTH(Gastos!$A$2:$A$2500)=CB$3)*(Gastos!$B$2:$B$2500=$A31)*(Gastos!$D$2:$D$2500))</f>
        <v>0</v>
      </c>
      <c r="CC31" s="75">
        <f t="array" ref="CC31">SUM((YEAR(Gastos!$A$2:$A$2500)=CC$1)*(MONTH(Gastos!$A$2:$A$2500)=CC$3)*(Gastos!$B$2:$B$2500=$A31)*(Gastos!$D$2:$D$2500))</f>
        <v>0</v>
      </c>
      <c r="CD31" s="75">
        <f t="array" ref="CD31">SUM((YEAR(Gastos!$A$2:$A$2500)=CD$1)*(MONTH(Gastos!$A$2:$A$2500)=CD$3)*(Gastos!$B$2:$B$2500=$A31)*(Gastos!$D$2:$D$2500))</f>
        <v>0</v>
      </c>
      <c r="CE31" s="75">
        <f t="array" ref="CE31">SUM((YEAR(Gastos!$A$2:$A$2500)=CE$1)*(MONTH(Gastos!$A$2:$A$2500)=CE$3)*(Gastos!$B$2:$B$2500=$A31)*(Gastos!$D$2:$D$2500))</f>
        <v>0</v>
      </c>
      <c r="CF31" s="75">
        <f t="array" ref="CF31">SUM((YEAR(Gastos!$A$2:$A$2500)=CF$1)*(MONTH(Gastos!$A$2:$A$2500)=CF$3)*(Gastos!$B$2:$B$2500=$A31)*(Gastos!$D$2:$D$2500))</f>
        <v>0</v>
      </c>
      <c r="CG31" s="75">
        <f t="array" ref="CG31">SUM((YEAR(Gastos!$A$2:$A$2500)=CG$1)*(MONTH(Gastos!$A$2:$A$2500)=CG$3)*(Gastos!$B$2:$B$2500=$A31)*(Gastos!$D$2:$D$2500))</f>
        <v>0</v>
      </c>
      <c r="CH31" s="75">
        <f t="array" ref="CH31">SUM((YEAR(Gastos!$A$2:$A$2500)=CH$1)*(MONTH(Gastos!$A$2:$A$2500)=CH$3)*(Gastos!$B$2:$B$2500=$A31)*(Gastos!$D$2:$D$2500))</f>
        <v>0</v>
      </c>
      <c r="CI31" s="75">
        <f t="array" ref="CI31">SUM((YEAR(Gastos!$A$2:$A$2500)=CI$1)*(MONTH(Gastos!$A$2:$A$2500)=CI$3)*(Gastos!$B$2:$B$2500=$A31)*(Gastos!$D$2:$D$2500))</f>
        <v>0</v>
      </c>
      <c r="CJ31" s="75">
        <f t="array" ref="CJ31">SUM((YEAR(Gastos!$A$2:$A$2500)=CJ$1)*(MONTH(Gastos!$A$2:$A$2500)=CJ$3)*(Gastos!$B$2:$B$2500=$A31)*(Gastos!$D$2:$D$2500))</f>
        <v>0</v>
      </c>
      <c r="CK31" s="75">
        <f t="array" ref="CK31">SUM((YEAR(Gastos!$A$2:$A$2500)=CK$1)*(MONTH(Gastos!$A$2:$A$2500)=CK$3)*(Gastos!$B$2:$B$2500=$A31)*(Gastos!$D$2:$D$2500))</f>
        <v>0</v>
      </c>
      <c r="CL31" s="75">
        <f t="array" ref="CL31">SUM((YEAR(Gastos!$A$2:$A$2500)=CL$1)*(MONTH(Gastos!$A$2:$A$2500)=CL$3)*(Gastos!$B$2:$B$2500=$A31)*(Gastos!$D$2:$D$2500))</f>
        <v>0</v>
      </c>
      <c r="CM31" s="75">
        <f t="array" ref="CM31">SUM((YEAR(Gastos!$A$2:$A$2500)=CM$1)*(MONTH(Gastos!$A$2:$A$2500)=CM$3)*(Gastos!$B$2:$B$2500=$A31)*(Gastos!$D$2:$D$2500))</f>
        <v>0</v>
      </c>
      <c r="CN31" s="75">
        <f t="array" ref="CN31">SUM((YEAR(Gastos!$A$2:$A$2500)=CN$1)*(MONTH(Gastos!$A$2:$A$2500)=CN$3)*(Gastos!$B$2:$B$2500=$A31)*(Gastos!$D$2:$D$2500))</f>
        <v>0</v>
      </c>
      <c r="CO31" s="75">
        <f t="array" ref="CO31">SUM((YEAR(Gastos!$A$2:$A$2500)=CO$1)*(MONTH(Gastos!$A$2:$A$2500)=CO$3)*(Gastos!$B$2:$B$2500=$A31)*(Gastos!$D$2:$D$2500))</f>
        <v>0</v>
      </c>
      <c r="CP31" s="75">
        <f t="array" ref="CP31">SUM((YEAR(Gastos!$A$2:$A$2500)=CP$1)*(MONTH(Gastos!$A$2:$A$2500)=CP$3)*(Gastos!$B$2:$B$2500=$A31)*(Gastos!$D$2:$D$2500))</f>
        <v>0</v>
      </c>
      <c r="CQ31" s="75">
        <f t="array" ref="CQ31">SUM((YEAR(Gastos!$A$2:$A$2500)=CQ$1)*(MONTH(Gastos!$A$2:$A$2500)=CQ$3)*(Gastos!$B$2:$B$2500=$A31)*(Gastos!$D$2:$D$2500))</f>
        <v>0</v>
      </c>
      <c r="CR31" s="75">
        <f t="array" ref="CR31">SUM((YEAR(Gastos!$A$2:$A$2500)=CR$1)*(MONTH(Gastos!$A$2:$A$2500)=CR$3)*(Gastos!$B$2:$B$2500=$A31)*(Gastos!$D$2:$D$2500))</f>
        <v>0</v>
      </c>
      <c r="CS31" s="75">
        <f t="array" ref="CS31">SUM((YEAR(Gastos!$A$2:$A$2500)=CS$1)*(MONTH(Gastos!$A$2:$A$2500)=CS$3)*(Gastos!$B$2:$B$2500=$A31)*(Gastos!$D$2:$D$2500))</f>
        <v>0</v>
      </c>
      <c r="CT31" s="75">
        <f t="array" ref="CT31">SUM((YEAR(Gastos!$A$2:$A$2500)=CT$1)*(MONTH(Gastos!$A$2:$A$2500)=CT$3)*(Gastos!$B$2:$B$2500=$A31)*(Gastos!$D$2:$D$2500))</f>
        <v>0</v>
      </c>
      <c r="CU31" s="75">
        <f t="array" ref="CU31">SUM((YEAR(Gastos!$A$2:$A$2500)=CU$1)*(MONTH(Gastos!$A$2:$A$2500)=CU$3)*(Gastos!$B$2:$B$2500=$A31)*(Gastos!$D$2:$D$2500))</f>
        <v>0</v>
      </c>
      <c r="CV31" s="75">
        <f t="array" ref="CV31">SUM((YEAR(Gastos!$A$2:$A$2500)=CV$1)*(MONTH(Gastos!$A$2:$A$2500)=CV$3)*(Gastos!$B$2:$B$2500=$A31)*(Gastos!$D$2:$D$2500))</f>
        <v>0</v>
      </c>
      <c r="CW31" s="75">
        <f t="array" ref="CW31">SUM((YEAR(Gastos!$A$2:$A$2500)=CW$1)*(MONTH(Gastos!$A$2:$A$2500)=CW$3)*(Gastos!$B$2:$B$2500=$A31)*(Gastos!$D$2:$D$2500))</f>
        <v>0</v>
      </c>
      <c r="CX31" s="75">
        <f t="array" ref="CX31">SUM((YEAR(Gastos!$A$2:$A$2500)=CX$1)*(MONTH(Gastos!$A$2:$A$2500)=CX$3)*(Gastos!$B$2:$B$2500=$A31)*(Gastos!$D$2:$D$2500))</f>
        <v>0</v>
      </c>
      <c r="CY31" s="75">
        <f t="array" ref="CY31">SUM((YEAR(Gastos!$A$2:$A$2500)=CY$1)*(MONTH(Gastos!$A$2:$A$2500)=CY$3)*(Gastos!$B$2:$B$2500=$A31)*(Gastos!$D$2:$D$2500))</f>
        <v>0</v>
      </c>
      <c r="CZ31" s="75">
        <f t="array" ref="CZ31">SUM((YEAR(Gastos!$A$2:$A$2500)=CZ$1)*(MONTH(Gastos!$A$2:$A$2500)=CZ$3)*(Gastos!$B$2:$B$2500=$A31)*(Gastos!$D$2:$D$2500))</f>
        <v>0</v>
      </c>
      <c r="DA31" s="75">
        <f t="array" ref="DA31">SUM((YEAR(Gastos!$A$2:$A$2500)=DA$1)*(MONTH(Gastos!$A$2:$A$2500)=DA$3)*(Gastos!$B$2:$B$2500=$A31)*(Gastos!$D$2:$D$2500))</f>
        <v>0</v>
      </c>
      <c r="DB31" s="75">
        <f t="array" ref="DB31">SUM((YEAR(Gastos!$A$2:$A$2500)=DB$1)*(MONTH(Gastos!$A$2:$A$2500)=DB$3)*(Gastos!$B$2:$B$2500=$A31)*(Gastos!$D$2:$D$2500))</f>
        <v>0</v>
      </c>
      <c r="DC31" s="75">
        <f t="array" ref="DC31">SUM((YEAR(Gastos!$A$2:$A$2500)=DC$1)*(MONTH(Gastos!$A$2:$A$2500)=DC$3)*(Gastos!$B$2:$B$2500=$A31)*(Gastos!$D$2:$D$2500))</f>
        <v>0</v>
      </c>
      <c r="DD31" s="75">
        <f t="array" ref="DD31">SUM((YEAR(Gastos!$A$2:$A$2500)=DD$1)*(MONTH(Gastos!$A$2:$A$2500)=DD$3)*(Gastos!$B$2:$B$2500=$A31)*(Gastos!$D$2:$D$2500))</f>
        <v>0</v>
      </c>
      <c r="DE31" s="75">
        <f t="array" ref="DE31">SUM((YEAR(Gastos!$A$2:$A$2500)=DE$1)*(MONTH(Gastos!$A$2:$A$2500)=DE$3)*(Gastos!$B$2:$B$2500=$A31)*(Gastos!$D$2:$D$2500))</f>
        <v>0</v>
      </c>
      <c r="DF31" s="75">
        <f t="array" ref="DF31">SUM((YEAR(Gastos!$A$2:$A$2500)=DF$1)*(MONTH(Gastos!$A$2:$A$2500)=DF$3)*(Gastos!$B$2:$B$2500=$A31)*(Gastos!$D$2:$D$2500))</f>
        <v>0</v>
      </c>
      <c r="DG31" s="75">
        <f t="array" ref="DG31">SUM((YEAR(Gastos!$A$2:$A$2500)=DG$1)*(MONTH(Gastos!$A$2:$A$2500)=DG$3)*(Gastos!$B$2:$B$2500=$A31)*(Gastos!$D$2:$D$2500))</f>
        <v>0</v>
      </c>
      <c r="DH31" s="75">
        <f t="array" ref="DH31">SUM((YEAR(Gastos!$A$2:$A$2500)=DH$1)*(MONTH(Gastos!$A$2:$A$2500)=DH$3)*(Gastos!$B$2:$B$2500=$A31)*(Gastos!$D$2:$D$2500))</f>
        <v>0</v>
      </c>
      <c r="DI31" s="75">
        <f t="array" ref="DI31">SUM((YEAR(Gastos!$A$2:$A$2500)=DI$1)*(MONTH(Gastos!$A$2:$A$2500)=DI$3)*(Gastos!$B$2:$B$2500=$A31)*(Gastos!$D$2:$D$2500))</f>
        <v>0</v>
      </c>
      <c r="DJ31" s="75">
        <f t="array" ref="DJ31">SUM((YEAR(Gastos!$A$2:$A$2500)=DJ$1)*(MONTH(Gastos!$A$2:$A$2500)=DJ$3)*(Gastos!$B$2:$B$2500=$A31)*(Gastos!$D$2:$D$2500))</f>
        <v>0</v>
      </c>
      <c r="DK31" s="75">
        <f t="array" ref="DK31">SUM((YEAR(Gastos!$A$2:$A$2500)=DK$1)*(MONTH(Gastos!$A$2:$A$2500)=DK$3)*(Gastos!$B$2:$B$2500=$A31)*(Gastos!$D$2:$D$2500))</f>
        <v>0</v>
      </c>
      <c r="DL31" s="75">
        <f t="array" ref="DL31">SUM((YEAR(Gastos!$A$2:$A$2500)=DL$1)*(MONTH(Gastos!$A$2:$A$2500)=DL$3)*(Gastos!$B$2:$B$2500=$A31)*(Gastos!$D$2:$D$2500))</f>
        <v>0</v>
      </c>
      <c r="DM31" s="75">
        <f t="array" ref="DM31">SUM((YEAR(Gastos!$A$2:$A$2500)=DM$1)*(MONTH(Gastos!$A$2:$A$2500)=DM$3)*(Gastos!$B$2:$B$2500=$A31)*(Gastos!$D$2:$D$2500))</f>
        <v>0</v>
      </c>
      <c r="DN31" s="75">
        <f t="array" ref="DN31">SUM((YEAR(Gastos!$A$2:$A$2500)=DN$1)*(MONTH(Gastos!$A$2:$A$2500)=DN$3)*(Gastos!$B$2:$B$2500=$A31)*(Gastos!$D$2:$D$2500))</f>
        <v>0</v>
      </c>
      <c r="DO31" s="75">
        <f t="array" ref="DO31">SUM((YEAR(Gastos!$A$2:$A$2500)=DO$1)*(MONTH(Gastos!$A$2:$A$2500)=DO$3)*(Gastos!$B$2:$B$2500=$A31)*(Gastos!$D$2:$D$2500))</f>
        <v>0</v>
      </c>
      <c r="DP31" s="75">
        <f t="array" ref="DP31">SUM((YEAR(Gastos!$A$2:$A$2500)=DP$1)*(MONTH(Gastos!$A$2:$A$2500)=DP$3)*(Gastos!$B$2:$B$2500=$A31)*(Gastos!$D$2:$D$2500))</f>
        <v>0</v>
      </c>
      <c r="DQ31" s="75">
        <f t="array" ref="DQ31">SUM((YEAR(Gastos!$A$2:$A$2500)=DQ$1)*(MONTH(Gastos!$A$2:$A$2500)=DQ$3)*(Gastos!$B$2:$B$2500=$A31)*(Gastos!$D$2:$D$2500))</f>
        <v>0</v>
      </c>
      <c r="DR31" s="75">
        <f t="array" ref="DR31">SUM((YEAR(Gastos!$A$2:$A$2500)=DR$1)*(MONTH(Gastos!$A$2:$A$2500)=DR$3)*(Gastos!$B$2:$B$2500=$A31)*(Gastos!$D$2:$D$2500))</f>
        <v>0</v>
      </c>
      <c r="DS31" s="75">
        <f t="array" ref="DS31">SUM((YEAR(Gastos!$A$2:$A$2500)=DS$1)*(MONTH(Gastos!$A$2:$A$2500)=DS$3)*(Gastos!$B$2:$B$2500=$A31)*(Gastos!$D$2:$D$2500))</f>
        <v>0</v>
      </c>
      <c r="DT31" s="75">
        <f t="array" ref="DT31">SUM((YEAR(Gastos!$A$2:$A$2500)=DT$1)*(MONTH(Gastos!$A$2:$A$2500)=DT$3)*(Gastos!$B$2:$B$2500=$A31)*(Gastos!$D$2:$D$2500))</f>
        <v>0</v>
      </c>
      <c r="DU31" s="75">
        <f t="array" ref="DU31">SUM((YEAR(Gastos!$A$2:$A$2500)=DU$1)*(MONTH(Gastos!$A$2:$A$2500)=DU$3)*(Gastos!$B$2:$B$2500=$A31)*(Gastos!$D$2:$D$2500))</f>
        <v>0</v>
      </c>
      <c r="DV31" s="75">
        <f t="array" ref="DV31">SUM((YEAR(Gastos!$A$2:$A$2500)=DV$1)*(MONTH(Gastos!$A$2:$A$2500)=DV$3)*(Gastos!$B$2:$B$2500=$A31)*(Gastos!$D$2:$D$2500))</f>
        <v>0</v>
      </c>
      <c r="DW31" s="75">
        <f t="array" ref="DW31">SUM((YEAR(Gastos!$A$2:$A$2500)=DW$1)*(MONTH(Gastos!$A$2:$A$2500)=DW$3)*(Gastos!$B$2:$B$2500=$A31)*(Gastos!$D$2:$D$2500))</f>
        <v>0</v>
      </c>
      <c r="DX31" s="75">
        <f t="array" ref="DX31">SUM((YEAR(Gastos!$A$2:$A$2500)=DX$1)*(MONTH(Gastos!$A$2:$A$2500)=DX$3)*(Gastos!$B$2:$B$2500=$A31)*(Gastos!$D$2:$D$2500))</f>
        <v>0</v>
      </c>
      <c r="DY31" s="75">
        <f t="array" ref="DY31">SUM((YEAR(Gastos!$A$2:$A$2500)=DY$1)*(MONTH(Gastos!$A$2:$A$2500)=DY$3)*(Gastos!$B$2:$B$2500=$A31)*(Gastos!$D$2:$D$2500))</f>
        <v>0</v>
      </c>
      <c r="DZ31" s="75">
        <f t="array" ref="DZ31">SUM((YEAR(Gastos!$A$2:$A$2500)=DZ$1)*(MONTH(Gastos!$A$2:$A$2500)=DZ$3)*(Gastos!$B$2:$B$2500=$A31)*(Gastos!$D$2:$D$2500))</f>
        <v>0</v>
      </c>
      <c r="EA31" s="75">
        <f t="array" ref="EA31">SUM((YEAR(Gastos!$A$2:$A$2500)=EA$1)*(MONTH(Gastos!$A$2:$A$2500)=EA$3)*(Gastos!$B$2:$B$2500=$A31)*(Gastos!$D$2:$D$2500))</f>
        <v>0</v>
      </c>
      <c r="EB31" s="75">
        <f t="array" ref="EB31">SUM((YEAR(Gastos!$A$2:$A$2500)=EB$1)*(MONTH(Gastos!$A$2:$A$2500)=EB$3)*(Gastos!$B$2:$B$2500=$A31)*(Gastos!$D$2:$D$2500))</f>
        <v>0</v>
      </c>
      <c r="EC31" s="75">
        <f t="array" ref="EC31">SUM((YEAR(Gastos!$A$2:$A$2500)=EC$1)*(MONTH(Gastos!$A$2:$A$2500)=EC$3)*(Gastos!$B$2:$B$2500=$A31)*(Gastos!$D$2:$D$2500))</f>
        <v>0</v>
      </c>
      <c r="ED31" s="75">
        <f t="array" ref="ED31">SUM((YEAR(Gastos!$A$2:$A$2500)=ED$1)*(MONTH(Gastos!$A$2:$A$2500)=ED$3)*(Gastos!$B$2:$B$2500=$A31)*(Gastos!$D$2:$D$2500))</f>
        <v>0</v>
      </c>
      <c r="EE31" s="75">
        <f t="array" ref="EE31">SUM((YEAR(Gastos!$A$2:$A$2500)=EE$1)*(MONTH(Gastos!$A$2:$A$2500)=EE$3)*(Gastos!$B$2:$B$2500=$A31)*(Gastos!$D$2:$D$2500))</f>
        <v>0</v>
      </c>
      <c r="EF31" s="75">
        <f t="array" ref="EF31">SUM((YEAR(Gastos!$A$2:$A$2500)=EF$1)*(MONTH(Gastos!$A$2:$A$2500)=EF$3)*(Gastos!$B$2:$B$2500=$A31)*(Gastos!$D$2:$D$2500))</f>
        <v>0</v>
      </c>
      <c r="EG31" s="75">
        <f t="array" ref="EG31">SUM((YEAR(Gastos!$A$2:$A$2500)=EG$1)*(MONTH(Gastos!$A$2:$A$2500)=EG$3)*(Gastos!$B$2:$B$2500=$A31)*(Gastos!$D$2:$D$2500))</f>
        <v>0</v>
      </c>
      <c r="EH31" s="75">
        <f t="array" ref="EH31">SUM((YEAR(Gastos!$A$2:$A$2500)=EH$1)*(MONTH(Gastos!$A$2:$A$2500)=EH$3)*(Gastos!$B$2:$B$2500=$A31)*(Gastos!$D$2:$D$2500))</f>
        <v>0</v>
      </c>
      <c r="EI31" s="75">
        <f t="array" ref="EI31">SUM((YEAR(Gastos!$A$2:$A$2500)=EI$1)*(MONTH(Gastos!$A$2:$A$2500)=EI$3)*(Gastos!$B$2:$B$2500=$A31)*(Gastos!$D$2:$D$2500))</f>
        <v>0</v>
      </c>
      <c r="EJ31" s="75">
        <f t="array" ref="EJ31">SUM((YEAR(Gastos!$A$2:$A$2500)=EJ$1)*(MONTH(Gastos!$A$2:$A$2500)=EJ$3)*(Gastos!$B$2:$B$2500=$A31)*(Gastos!$D$2:$D$2500))</f>
        <v>0</v>
      </c>
      <c r="EK31" s="75">
        <f t="array" ref="EK31">SUM((YEAR(Gastos!$A$2:$A$2500)=EK$1)*(MONTH(Gastos!$A$2:$A$2500)=EK$3)*(Gastos!$B$2:$B$2500=$A31)*(Gastos!$D$2:$D$2500))</f>
        <v>0</v>
      </c>
      <c r="EL31" s="75">
        <f t="array" ref="EL31">SUM((YEAR(Gastos!$A$2:$A$2500)=EL$1)*(MONTH(Gastos!$A$2:$A$2500)=EL$3)*(Gastos!$B$2:$B$2500=$A31)*(Gastos!$D$2:$D$2500))</f>
        <v>0</v>
      </c>
      <c r="EM31" s="75">
        <f t="array" ref="EM31">SUM((YEAR(Gastos!$A$2:$A$2500)=EM$1)*(MONTH(Gastos!$A$2:$A$2500)=EM$3)*(Gastos!$B$2:$B$2500=$A31)*(Gastos!$D$2:$D$2500))</f>
        <v>404.75</v>
      </c>
      <c r="EN31" s="75">
        <f t="array" ref="EN31">SUM((YEAR(Gastos!$A$2:$A$2500)=EN$1)*(MONTH(Gastos!$A$2:$A$2500)=EN$3)*(Gastos!$B$2:$B$2500=$A31)*(Gastos!$D$2:$D$2500))</f>
        <v>0</v>
      </c>
      <c r="EO31" s="75">
        <f t="array" ref="EO31">SUM((YEAR(Gastos!$A$2:$A$2500)=EO$1)*(MONTH(Gastos!$A$2:$A$2500)=EO$3)*(Gastos!$B$2:$B$2500=$A31)*(Gastos!$D$2:$D$2500))</f>
        <v>0</v>
      </c>
      <c r="EP31" s="75">
        <f t="array" ref="EP31">SUM((YEAR(Gastos!$A$2:$A$2500)=EP$1)*(MONTH(Gastos!$A$2:$A$2500)=EP$3)*(Gastos!$B$2:$B$2500=$A31)*(Gastos!$D$2:$D$2500))</f>
        <v>0</v>
      </c>
      <c r="EQ31" s="75">
        <f t="array" ref="EQ31">SUM((YEAR(Gastos!$A$2:$A$2500)=EQ$1)*(MONTH(Gastos!$A$2:$A$2500)=EQ$3)*(Gastos!$B$2:$B$2500=$A31)*(Gastos!$D$2:$D$2500))</f>
        <v>0</v>
      </c>
      <c r="ER31" s="75">
        <f t="array" ref="ER31">SUM((YEAR(Gastos!$A$2:$A$2500)=ER$1)*(MONTH(Gastos!$A$2:$A$2500)=ER$3)*(Gastos!$B$2:$B$2500=$A31)*(Gastos!$D$2:$D$2500))</f>
        <v>0</v>
      </c>
      <c r="ES31" s="75">
        <f t="array" ref="ES31">SUM((YEAR(Gastos!$A$2:$A$2500)=ES$1)*(MONTH(Gastos!$A$2:$A$2500)=ES$3)*(Gastos!$B$2:$B$2500=$A31)*(Gastos!$D$2:$D$2500))</f>
        <v>0</v>
      </c>
      <c r="ET31" s="75">
        <f t="array" ref="ET31">SUM((YEAR(Gastos!$A$2:$A$2500)=ET$1)*(MONTH(Gastos!$A$2:$A$2500)=ET$3)*(Gastos!$B$2:$B$2500=$A31)*(Gastos!$D$2:$D$2500))</f>
        <v>0</v>
      </c>
      <c r="EU31" s="75">
        <f t="array" ref="EU31">SUM((YEAR(Gastos!$A$2:$A$2500)=EU$1)*(MONTH(Gastos!$A$2:$A$2500)=EU$3)*(Gastos!$B$2:$B$2500=$A31)*(Gastos!$D$2:$D$2500))</f>
        <v>0</v>
      </c>
      <c r="EV31" s="75">
        <f t="array" ref="EV31">SUM((YEAR(Gastos!$A$2:$A$2500)=EV$1)*(MONTH(Gastos!$A$2:$A$2500)=EV$3)*(Gastos!$B$2:$B$2500=$A31)*(Gastos!$D$2:$D$2500))</f>
        <v>0</v>
      </c>
      <c r="EW31" s="75">
        <f t="array" ref="EW31">SUM((YEAR(Gastos!$A$2:$A$2500)=EW$1)*(MONTH(Gastos!$A$2:$A$2500)=EW$3)*(Gastos!$B$2:$B$2500=$A31)*(Gastos!$D$2:$D$2500))</f>
        <v>0</v>
      </c>
      <c r="EX31" s="75">
        <f t="array" ref="EX31">SUM((YEAR(Gastos!$A$2:$A$2500)=EX$1)*(MONTH(Gastos!$A$2:$A$2500)=EX$3)*(Gastos!$B$2:$B$2500=$A31)*(Gastos!$D$2:$D$2500))</f>
        <v>0</v>
      </c>
      <c r="EY31" s="75">
        <f t="array" ref="EY31">SUM((YEAR(Gastos!$A$2:$A$2500)=EY$1)*(MONTH(Gastos!$A$2:$A$2500)=EY$3)*(Gastos!$B$2:$B$2500=$A31)*(Gastos!$D$2:$D$2500))</f>
        <v>0</v>
      </c>
      <c r="EZ31" s="75">
        <f t="array" ref="EZ31">SUM((YEAR(Gastos!$A$2:$A$2500)=EZ$1)*(MONTH(Gastos!$A$2:$A$2500)=EZ$3)*(Gastos!$B$2:$B$2500=$A31)*(Gastos!$D$2:$D$2500))</f>
        <v>0</v>
      </c>
      <c r="FA31" s="75">
        <f t="array" ref="FA31">SUM((YEAR(Gastos!$A$2:$A$2500)=FA$1)*(MONTH(Gastos!$A$2:$A$2500)=FA$3)*(Gastos!$B$2:$B$2500=$A31)*(Gastos!$D$2:$D$2500))</f>
        <v>0</v>
      </c>
      <c r="FB31" s="75">
        <f t="array" ref="FB31">SUM((YEAR(Gastos!$A$2:$A$2500)=FB$1)*(MONTH(Gastos!$A$2:$A$2500)=FB$3)*(Gastos!$B$2:$B$2500=$A31)*(Gastos!$D$2:$D$2500))</f>
        <v>0</v>
      </c>
      <c r="FC31" s="75">
        <f t="array" ref="FC31">SUM((YEAR(Gastos!$A$2:$A$2500)=FC$1)*(MONTH(Gastos!$A$2:$A$2500)=FC$3)*(Gastos!$B$2:$B$2500=$A31)*(Gastos!$D$2:$D$2500))</f>
        <v>0</v>
      </c>
      <c r="FD31" s="75">
        <f t="array" ref="FD31">SUM((YEAR(Gastos!$A$2:$A$2500)=FD$1)*(MONTH(Gastos!$A$2:$A$2500)=FD$3)*(Gastos!$B$2:$B$2500=$A31)*(Gastos!$D$2:$D$2500))</f>
        <v>0</v>
      </c>
      <c r="FE31" s="75">
        <f t="array" ref="FE31">SUM((YEAR(Gastos!$A$2:$A$2500)=FE$1)*(MONTH(Gastos!$A$2:$A$2500)=FE$3)*(Gastos!$B$2:$B$2500=$A31)*(Gastos!$D$2:$D$2500))</f>
        <v>0</v>
      </c>
      <c r="FF31" s="75">
        <f t="array" ref="FF31">SUM((YEAR(Gastos!$A$2:$A$2500)=FF$1)*(MONTH(Gastos!$A$2:$A$2500)=FF$3)*(Gastos!$B$2:$B$2500=$A31)*(Gastos!$D$2:$D$2500))</f>
        <v>0</v>
      </c>
      <c r="FG31" s="75">
        <f t="array" ref="FG31">SUM((YEAR(Gastos!$A$2:$A$2500)=FG$1)*(MONTH(Gastos!$A$2:$A$2500)=FG$3)*(Gastos!$B$2:$B$2500=$A31)*(Gastos!$D$2:$D$2500))</f>
        <v>0</v>
      </c>
      <c r="FH31" s="75">
        <f t="array" ref="FH31">SUM((YEAR(Gastos!$A$2:$A$2500)=FH$1)*(MONTH(Gastos!$A$2:$A$2500)=FH$3)*(Gastos!$B$2:$B$2500=$A31)*(Gastos!$D$2:$D$2500))</f>
        <v>0</v>
      </c>
      <c r="FI31" s="75">
        <f t="array" ref="FI31">SUM((YEAR(Gastos!$A$2:$A$2500)=FI$1)*(MONTH(Gastos!$A$2:$A$2500)=FI$3)*(Gastos!$B$2:$B$2500=$A31)*(Gastos!$D$2:$D$2500))</f>
        <v>0</v>
      </c>
      <c r="FJ31" s="75">
        <f t="array" ref="FJ31">SUM((YEAR(Gastos!$A$2:$A$2500)=FJ$1)*(MONTH(Gastos!$A$2:$A$2500)=FJ$3)*(Gastos!$B$2:$B$2500=$A31)*(Gastos!$D$2:$D$2500))</f>
        <v>0</v>
      </c>
      <c r="FK31" s="75">
        <f t="array" ref="FK31">SUM((YEAR(Gastos!$A$2:$A$2500)=FK$1)*(MONTH(Gastos!$A$2:$A$2500)=FK$3)*(Gastos!$B$2:$B$2500=$A31)*(Gastos!$D$2:$D$2500))</f>
        <v>0</v>
      </c>
      <c r="FL31" s="75">
        <f t="array" ref="FL31">SUM((YEAR(Gastos!$A$2:$A$2500)=FL$1)*(MONTH(Gastos!$A$2:$A$2500)=FL$3)*(Gastos!$B$2:$B$2500=$A31)*(Gastos!$D$2:$D$2500))</f>
        <v>0</v>
      </c>
      <c r="FM31" s="75">
        <f t="array" ref="FM31">SUM((YEAR(Gastos!$A$2:$A$2500)=FM$1)*(MONTH(Gastos!$A$2:$A$2500)=FM$3)*(Gastos!$B$2:$B$2500=$A31)*(Gastos!$D$2:$D$2500))</f>
        <v>0</v>
      </c>
      <c r="FN31" s="75">
        <f t="array" ref="FN31">SUM((YEAR(Gastos!$A$2:$A$2500)=FN$1)*(MONTH(Gastos!$A$2:$A$2500)=FN$3)*(Gastos!$B$2:$B$2500=$A31)*(Gastos!$D$2:$D$2500))</f>
        <v>0</v>
      </c>
      <c r="FO31" s="75">
        <f t="array" ref="FO31">SUM((YEAR(Gastos!$A$2:$A$2500)=FO$1)*(MONTH(Gastos!$A$2:$A$2500)=FO$3)*(Gastos!$B$2:$B$2500=$A31)*(Gastos!$D$2:$D$2500))</f>
        <v>0</v>
      </c>
      <c r="FP31" s="75">
        <f t="array" ref="FP31">SUM((YEAR(Gastos!$A$2:$A$2500)=FP$1)*(MONTH(Gastos!$A$2:$A$2500)=FP$3)*(Gastos!$B$2:$B$2500=$A31)*(Gastos!$D$2:$D$2500))</f>
        <v>0</v>
      </c>
      <c r="FQ31" s="75">
        <f t="array" ref="FQ31">SUM((YEAR(Gastos!$A$2:$A$2500)=FQ$1)*(MONTH(Gastos!$A$2:$A$2500)=FQ$3)*(Gastos!$B$2:$B$2500=$A31)*(Gastos!$D$2:$D$2500))</f>
        <v>0</v>
      </c>
      <c r="FR31" s="75">
        <f t="array" ref="FR31">SUM((YEAR(Gastos!$A$2:$A$2500)=FR$1)*(MONTH(Gastos!$A$2:$A$2500)=FR$3)*(Gastos!$B$2:$B$2500=$A31)*(Gastos!$D$2:$D$2500))</f>
        <v>0</v>
      </c>
      <c r="FS31" s="75">
        <f t="array" ref="FS31">SUM((YEAR(Gastos!$A$2:$A$2500)=FS$1)*(MONTH(Gastos!$A$2:$A$2500)=FS$3)*(Gastos!$B$2:$B$2500=$A31)*(Gastos!$D$2:$D$2500))</f>
        <v>0</v>
      </c>
      <c r="FT31" s="75">
        <f t="array" ref="FT31">SUM((YEAR(Gastos!$A$2:$A$2500)=FT$1)*(MONTH(Gastos!$A$2:$A$2500)=FT$3)*(Gastos!$B$2:$B$2500=$A31)*(Gastos!$D$2:$D$2500))</f>
        <v>0</v>
      </c>
      <c r="FU31" s="75">
        <f t="array" ref="FU31">SUM((YEAR(Gastos!$A$2:$A$2500)=FU$1)*(MONTH(Gastos!$A$2:$A$2500)=FU$3)*(Gastos!$B$2:$B$2500=$A31)*(Gastos!$D$2:$D$2500))</f>
        <v>0</v>
      </c>
      <c r="FV31" s="75">
        <f t="array" ref="FV31">SUM((YEAR(Gastos!$A$2:$A$2500)=FV$1)*(MONTH(Gastos!$A$2:$A$2500)=FV$3)*(Gastos!$B$2:$B$2500=$A31)*(Gastos!$D$2:$D$2500))</f>
        <v>0</v>
      </c>
      <c r="FW31" s="75">
        <f t="array" ref="FW31">SUM((YEAR(Gastos!$A$2:$A$2500)=FW$1)*(MONTH(Gastos!$A$2:$A$2500)=FW$3)*(Gastos!$B$2:$B$2500=$A31)*(Gastos!$D$2:$D$2500))</f>
        <v>0</v>
      </c>
      <c r="FX31" s="75">
        <f t="array" ref="FX31">SUM((YEAR(Gastos!$A$2:$A$2500)=FX$1)*(MONTH(Gastos!$A$2:$A$2500)=FX$3)*(Gastos!$B$2:$B$2500=$A31)*(Gastos!$D$2:$D$2500))</f>
        <v>0</v>
      </c>
      <c r="FY31" s="75">
        <f t="array" ref="FY31">SUM((YEAR(Gastos!$A$2:$A$2500)=FY$1)*(MONTH(Gastos!$A$2:$A$2500)=FY$3)*(Gastos!$B$2:$B$2500=$A31)*(Gastos!$D$2:$D$2500))</f>
        <v>0</v>
      </c>
      <c r="FZ31" s="76">
        <f t="shared" si="65"/>
        <v>404.75</v>
      </c>
      <c r="GA31" s="80"/>
      <c r="GB31" s="78">
        <f t="shared" si="66"/>
        <v>0</v>
      </c>
      <c r="GF31" s="79">
        <f t="array" ref="GF31">SUM(((Gastos!$A$2:$A$1647)&gt;=GD$3)*((Gastos!$A$2:$A$1647)&lt;=GF$3)*(Gastos!$B$2:$B$1647=$A31)*(Gastos!$D$2:$D$1647))</f>
        <v>0</v>
      </c>
      <c r="GI31" s="79">
        <f t="array" ref="GI31">SUM(((Gastos!$A$2:$A$1647)&gt;=GG$3)*((Gastos!$A$2:$A$1647)&lt;=GI$3)*(Gastos!$B$2:$B$1647=$A31)*(Gastos!$D$2:$D$1647))</f>
        <v>0</v>
      </c>
    </row>
    <row r="32" spans="1:191" ht="15" thickBot="1" x14ac:dyDescent="0.4">
      <c r="A32" s="74" t="str">
        <f>Gastos!AA30</f>
        <v>V. FUMIGACION</v>
      </c>
      <c r="B32" s="75">
        <f t="array" ref="B32">SUM((YEAR(Gastos!$A$2:$A$2500)=B$1)*(MONTH(Gastos!$A$2:$A$2500)=B$3)*(Gastos!$B$2:$B$2500=$A32)*(Gastos!$D$2:$D$2500))</f>
        <v>0</v>
      </c>
      <c r="C32" s="75">
        <f t="array" ref="C32">SUM((YEAR(Gastos!$A$2:$A$2500)=C$1)*(MONTH(Gastos!$A$2:$A$2500)=C$3)*(Gastos!$B$2:$B$2500=$A32)*(Gastos!$D$2:$D$2500))</f>
        <v>0</v>
      </c>
      <c r="D32" s="75">
        <f t="array" ref="D32">SUM((YEAR(Gastos!$A$2:$A$2500)=D$1)*(MONTH(Gastos!$A$2:$A$2500)=D$3)*(Gastos!$B$2:$B$2500=$A32)*(Gastos!$D$2:$D$2500))</f>
        <v>0</v>
      </c>
      <c r="E32" s="75">
        <f t="array" ref="E32">SUM((YEAR(Gastos!$A$2:$A$2500)=E$1)*(MONTH(Gastos!$A$2:$A$2500)=E$3)*(Gastos!$B$2:$B$2500=$A32)*(Gastos!$D$2:$D$2500))</f>
        <v>0</v>
      </c>
      <c r="F32" s="75">
        <f t="array" ref="F32">SUM((YEAR(Gastos!$A$2:$A$2500)=F$1)*(MONTH(Gastos!$A$2:$A$2500)=F$3)*(Gastos!$B$2:$B$2500=$A32)*(Gastos!$D$2:$D$2500))</f>
        <v>0</v>
      </c>
      <c r="G32" s="75">
        <f t="array" ref="G32">SUM((YEAR(Gastos!$A$2:$A$2500)=G$1)*(MONTH(Gastos!$A$2:$A$2500)=G$3)*(Gastos!$B$2:$B$2500=$A32)*(Gastos!$D$2:$D$2500))</f>
        <v>0</v>
      </c>
      <c r="H32" s="75">
        <f t="array" ref="H32">SUM((YEAR(Gastos!$A$2:$A$2500)=H$1)*(MONTH(Gastos!$A$2:$A$2500)=H$3)*(Gastos!$B$2:$B$2500=$A32)*(Gastos!$D$2:$D$2500))</f>
        <v>0</v>
      </c>
      <c r="I32" s="75">
        <f t="array" ref="I32">SUM((YEAR(Gastos!$A$2:$A$2500)=I$1)*(MONTH(Gastos!$A$2:$A$2500)=I$3)*(Gastos!$B$2:$B$2500=$A32)*(Gastos!$D$2:$D$2500))</f>
        <v>0</v>
      </c>
      <c r="J32" s="75">
        <f t="array" ref="J32">SUM((YEAR(Gastos!$A$2:$A$2500)=J$1)*(MONTH(Gastos!$A$2:$A$2500)=J$3)*(Gastos!$B$2:$B$2500=$A32)*(Gastos!$D$2:$D$2500))</f>
        <v>0</v>
      </c>
      <c r="K32" s="75">
        <f t="array" ref="K32">SUM((YEAR(Gastos!$A$2:$A$2500)=K$1)*(MONTH(Gastos!$A$2:$A$2500)=K$3)*(Gastos!$B$2:$B$2500=$A32)*(Gastos!$D$2:$D$2500))</f>
        <v>0</v>
      </c>
      <c r="L32" s="75">
        <f t="array" ref="L32">SUM((YEAR(Gastos!$A$2:$A$2500)=L$1)*(MONTH(Gastos!$A$2:$A$2500)=L$3)*(Gastos!$B$2:$B$2500=$A32)*(Gastos!$D$2:$D$2500))</f>
        <v>0</v>
      </c>
      <c r="M32" s="75">
        <f t="array" ref="M32">SUM((YEAR(Gastos!$A$2:$A$2500)=M$1)*(MONTH(Gastos!$A$2:$A$2500)=M$3)*(Gastos!$B$2:$B$2500=$A32)*(Gastos!$D$2:$D$2500))</f>
        <v>0</v>
      </c>
      <c r="N32" s="75">
        <f t="array" ref="N32">SUM((YEAR(Gastos!$A$2:$A$2500)=N$1)*(MONTH(Gastos!$A$2:$A$2500)=N$3)*(Gastos!$B$2:$B$2500=$A32)*(Gastos!$D$2:$D$2500))</f>
        <v>0</v>
      </c>
      <c r="O32" s="75">
        <f t="array" ref="O32">SUM((YEAR(Gastos!$A$2:$A$2500)=O$1)*(MONTH(Gastos!$A$2:$A$2500)=O$3)*(Gastos!$B$2:$B$2500=$A32)*(Gastos!$D$2:$D$2500))</f>
        <v>0</v>
      </c>
      <c r="P32" s="75">
        <f t="array" ref="P32">SUM((YEAR(Gastos!$A$2:$A$2500)=P$1)*(MONTH(Gastos!$A$2:$A$2500)=P$3)*(Gastos!$B$2:$B$2500=$A32)*(Gastos!$D$2:$D$2500))</f>
        <v>0</v>
      </c>
      <c r="Q32" s="75">
        <f t="array" ref="Q32">SUM((YEAR(Gastos!$A$2:$A$2500)=Q$1)*(MONTH(Gastos!$A$2:$A$2500)=Q$3)*(Gastos!$B$2:$B$2500=$A32)*(Gastos!$D$2:$D$2500))</f>
        <v>0</v>
      </c>
      <c r="R32" s="75">
        <f t="array" ref="R32">SUM((YEAR(Gastos!$A$2:$A$2500)=R$1)*(MONTH(Gastos!$A$2:$A$2500)=R$3)*(Gastos!$B$2:$B$2500=$A32)*(Gastos!$D$2:$D$2500))</f>
        <v>0</v>
      </c>
      <c r="S32" s="75">
        <f t="array" ref="S32">SUM((YEAR(Gastos!$A$2:$A$2500)=S$1)*(MONTH(Gastos!$A$2:$A$2500)=S$3)*(Gastos!$B$2:$B$2500=$A32)*(Gastos!$D$2:$D$2500))</f>
        <v>0</v>
      </c>
      <c r="T32" s="75">
        <f t="array" ref="T32">SUM((YEAR(Gastos!$A$2:$A$2500)=T$1)*(MONTH(Gastos!$A$2:$A$2500)=T$3)*(Gastos!$B$2:$B$2500=$A32)*(Gastos!$D$2:$D$2500))</f>
        <v>0</v>
      </c>
      <c r="U32" s="75">
        <f t="array" ref="U32">SUM((YEAR(Gastos!$A$2:$A$2500)=U$1)*(MONTH(Gastos!$A$2:$A$2500)=U$3)*(Gastos!$B$2:$B$2500=$A32)*(Gastos!$D$2:$D$2500))</f>
        <v>0</v>
      </c>
      <c r="V32" s="75">
        <f t="array" ref="V32">SUM((YEAR(Gastos!$A$2:$A$2500)=V$1)*(MONTH(Gastos!$A$2:$A$2500)=V$3)*(Gastos!$B$2:$B$2500=$A32)*(Gastos!$D$2:$D$2500))</f>
        <v>0</v>
      </c>
      <c r="W32" s="75">
        <f t="array" ref="W32">SUM((YEAR(Gastos!$A$2:$A$2500)=W$1)*(MONTH(Gastos!$A$2:$A$2500)=W$3)*(Gastos!$B$2:$B$2500=$A32)*(Gastos!$D$2:$D$2500))</f>
        <v>0</v>
      </c>
      <c r="X32" s="75">
        <f t="array" ref="X32">SUM((YEAR(Gastos!$A$2:$A$2500)=X$1)*(MONTH(Gastos!$A$2:$A$2500)=X$3)*(Gastos!$B$2:$B$2500=$A32)*(Gastos!$D$2:$D$2500))</f>
        <v>0</v>
      </c>
      <c r="Y32" s="75">
        <f t="array" ref="Y32">SUM((YEAR(Gastos!$A$2:$A$2500)=Y$1)*(MONTH(Gastos!$A$2:$A$2500)=Y$3)*(Gastos!$B$2:$B$2500=$A32)*(Gastos!$D$2:$D$2500))</f>
        <v>0</v>
      </c>
      <c r="Z32" s="75">
        <f t="array" ref="Z32">SUM((YEAR(Gastos!$A$2:$A$2500)=Z$1)*(MONTH(Gastos!$A$2:$A$2500)=Z$3)*(Gastos!$B$2:$B$2500=$A32)*(Gastos!$D$2:$D$2500))</f>
        <v>0</v>
      </c>
      <c r="AA32" s="75">
        <f t="array" ref="AA32">SUM((YEAR(Gastos!$A$2:$A$2500)=AA$1)*(MONTH(Gastos!$A$2:$A$2500)=AA$3)*(Gastos!$B$2:$B$2500=$A32)*(Gastos!$D$2:$D$2500))</f>
        <v>0</v>
      </c>
      <c r="AB32" s="75">
        <f t="array" ref="AB32">SUM((YEAR(Gastos!$A$2:$A$2500)=AB$1)*(MONTH(Gastos!$A$2:$A$2500)=AB$3)*(Gastos!$B$2:$B$2500=$A32)*(Gastos!$D$2:$D$2500))</f>
        <v>0</v>
      </c>
      <c r="AC32" s="75">
        <f t="array" ref="AC32">SUM((YEAR(Gastos!$A$2:$A$2500)=AC$1)*(MONTH(Gastos!$A$2:$A$2500)=AC$3)*(Gastos!$B$2:$B$2500=$A32)*(Gastos!$D$2:$D$2500))</f>
        <v>0</v>
      </c>
      <c r="AD32" s="75">
        <f t="array" ref="AD32">SUM((YEAR(Gastos!$A$2:$A$2500)=AD$1)*(MONTH(Gastos!$A$2:$A$2500)=AD$3)*(Gastos!$B$2:$B$2500=$A32)*(Gastos!$D$2:$D$2500))</f>
        <v>0</v>
      </c>
      <c r="AE32" s="75">
        <f t="array" ref="AE32">SUM((YEAR(Gastos!$A$2:$A$2500)=AE$1)*(MONTH(Gastos!$A$2:$A$2500)=AE$3)*(Gastos!$B$2:$B$2500=$A32)*(Gastos!$D$2:$D$2500))</f>
        <v>0</v>
      </c>
      <c r="AF32" s="75">
        <f t="array" ref="AF32">SUM((YEAR(Gastos!$A$2:$A$2500)=AF$1)*(MONTH(Gastos!$A$2:$A$2500)=AF$3)*(Gastos!$B$2:$B$2500=$A32)*(Gastos!$D$2:$D$2500))</f>
        <v>0</v>
      </c>
      <c r="AG32" s="75">
        <f t="array" ref="AG32">SUM((YEAR(Gastos!$A$2:$A$2500)=AG$1)*(MONTH(Gastos!$A$2:$A$2500)=AG$3)*(Gastos!$B$2:$B$2500=$A32)*(Gastos!$D$2:$D$2500))</f>
        <v>0</v>
      </c>
      <c r="AH32" s="75">
        <f t="array" ref="AH32">SUM((YEAR(Gastos!$A$2:$A$2500)=AH$1)*(MONTH(Gastos!$A$2:$A$2500)=AH$3)*(Gastos!$B$2:$B$2500=$A32)*(Gastos!$D$2:$D$2500))</f>
        <v>0</v>
      </c>
      <c r="AI32" s="75">
        <f t="array" ref="AI32">SUM((YEAR(Gastos!$A$2:$A$2500)=AI$1)*(MONTH(Gastos!$A$2:$A$2500)=AI$3)*(Gastos!$B$2:$B$2500=$A32)*(Gastos!$D$2:$D$2500))</f>
        <v>0</v>
      </c>
      <c r="AJ32" s="75">
        <f t="array" ref="AJ32">SUM((YEAR(Gastos!$A$2:$A$2500)=AJ$1)*(MONTH(Gastos!$A$2:$A$2500)=AJ$3)*(Gastos!$B$2:$B$2500=$A32)*(Gastos!$D$2:$D$2500))</f>
        <v>0</v>
      </c>
      <c r="AK32" s="75">
        <f t="array" ref="AK32">SUM((YEAR(Gastos!$A$2:$A$2500)=AK$1)*(MONTH(Gastos!$A$2:$A$2500)=AK$3)*(Gastos!$B$2:$B$2500=$A32)*(Gastos!$D$2:$D$2500))</f>
        <v>0</v>
      </c>
      <c r="AL32" s="75">
        <f t="array" ref="AL32">SUM((YEAR(Gastos!$A$2:$A$2500)=AL$1)*(MONTH(Gastos!$A$2:$A$2500)=AL$3)*(Gastos!$B$2:$B$2500=$A32)*(Gastos!$D$2:$D$2500))</f>
        <v>0</v>
      </c>
      <c r="AM32" s="75">
        <f t="array" ref="AM32">SUM((YEAR(Gastos!$A$2:$A$2500)=AM$1)*(MONTH(Gastos!$A$2:$A$2500)=AM$3)*(Gastos!$B$2:$B$2500=$A32)*(Gastos!$D$2:$D$2500))</f>
        <v>0</v>
      </c>
      <c r="AN32" s="75">
        <f t="array" ref="AN32">SUM((YEAR(Gastos!$A$2:$A$2500)=AN$1)*(MONTH(Gastos!$A$2:$A$2500)=AN$3)*(Gastos!$B$2:$B$2500=$A32)*(Gastos!$D$2:$D$2500))</f>
        <v>0</v>
      </c>
      <c r="AO32" s="75">
        <f t="array" ref="AO32">SUM((YEAR(Gastos!$A$2:$A$2500)=AO$1)*(MONTH(Gastos!$A$2:$A$2500)=AO$3)*(Gastos!$B$2:$B$2500=$A32)*(Gastos!$D$2:$D$2500))</f>
        <v>0</v>
      </c>
      <c r="AP32" s="75">
        <f t="array" ref="AP32">SUM((YEAR(Gastos!$A$2:$A$2500)=AP$1)*(MONTH(Gastos!$A$2:$A$2500)=AP$3)*(Gastos!$B$2:$B$2500=$A32)*(Gastos!$D$2:$D$2500))</f>
        <v>0</v>
      </c>
      <c r="AQ32" s="75">
        <f t="array" ref="AQ32">SUM((YEAR(Gastos!$A$2:$A$2500)=AQ$1)*(MONTH(Gastos!$A$2:$A$2500)=AQ$3)*(Gastos!$B$2:$B$2500=$A32)*(Gastos!$D$2:$D$2500))</f>
        <v>0</v>
      </c>
      <c r="AR32" s="75">
        <f t="array" ref="AR32">SUM((YEAR(Gastos!$A$2:$A$2500)=AR$1)*(MONTH(Gastos!$A$2:$A$2500)=AR$3)*(Gastos!$B$2:$B$2500=$A32)*(Gastos!$D$2:$D$2500))</f>
        <v>0</v>
      </c>
      <c r="AS32" s="75">
        <f t="array" ref="AS32">SUM((YEAR(Gastos!$A$2:$A$2500)=AS$1)*(MONTH(Gastos!$A$2:$A$2500)=AS$3)*(Gastos!$B$2:$B$2500=$A32)*(Gastos!$D$2:$D$2500))</f>
        <v>0</v>
      </c>
      <c r="AT32" s="75">
        <f t="array" ref="AT32">SUM((YEAR(Gastos!$A$2:$A$2500)=AT$1)*(MONTH(Gastos!$A$2:$A$2500)=AT$3)*(Gastos!$B$2:$B$2500=$A32)*(Gastos!$D$2:$D$2500))</f>
        <v>0</v>
      </c>
      <c r="AU32" s="75">
        <f t="array" ref="AU32">SUM((YEAR(Gastos!$A$2:$A$2500)=AU$1)*(MONTH(Gastos!$A$2:$A$2500)=AU$3)*(Gastos!$B$2:$B$2500=$A32)*(Gastos!$D$2:$D$2500))</f>
        <v>0</v>
      </c>
      <c r="AV32" s="75">
        <f t="array" ref="AV32">SUM((YEAR(Gastos!$A$2:$A$2500)=AV$1)*(MONTH(Gastos!$A$2:$A$2500)=AV$3)*(Gastos!$B$2:$B$2500=$A32)*(Gastos!$D$2:$D$2500))</f>
        <v>0</v>
      </c>
      <c r="AW32" s="75">
        <f t="array" ref="AW32">SUM((YEAR(Gastos!$A$2:$A$2500)=AW$1)*(MONTH(Gastos!$A$2:$A$2500)=AW$3)*(Gastos!$B$2:$B$2500=$A32)*(Gastos!$D$2:$D$2500))</f>
        <v>0</v>
      </c>
      <c r="AX32" s="75">
        <f t="array" ref="AX32">SUM((YEAR(Gastos!$A$2:$A$2500)=AX$1)*(MONTH(Gastos!$A$2:$A$2500)=AX$3)*(Gastos!$B$2:$B$2500=$A32)*(Gastos!$D$2:$D$2500))</f>
        <v>0</v>
      </c>
      <c r="AY32" s="75">
        <f t="array" ref="AY32">SUM((YEAR(Gastos!$A$2:$A$2500)=AY$1)*(MONTH(Gastos!$A$2:$A$2500)=AY$3)*(Gastos!$B$2:$B$2500=$A32)*(Gastos!$D$2:$D$2500))</f>
        <v>0</v>
      </c>
      <c r="AZ32" s="75">
        <f t="array" ref="AZ32">SUM((YEAR(Gastos!$A$2:$A$2500)=AZ$1)*(MONTH(Gastos!$A$2:$A$2500)=AZ$3)*(Gastos!$B$2:$B$2500=$A32)*(Gastos!$D$2:$D$2500))</f>
        <v>0</v>
      </c>
      <c r="BA32" s="75">
        <f t="array" ref="BA32">SUM((YEAR(Gastos!$A$2:$A$2500)=BA$1)*(MONTH(Gastos!$A$2:$A$2500)=BA$3)*(Gastos!$B$2:$B$2500=$A32)*(Gastos!$D$2:$D$2500))</f>
        <v>0</v>
      </c>
      <c r="BB32" s="75">
        <f t="array" ref="BB32">SUM((YEAR(Gastos!$A$2:$A$2500)=BB$1)*(MONTH(Gastos!$A$2:$A$2500)=BB$3)*(Gastos!$B$2:$B$2500=$A32)*(Gastos!$D$2:$D$2500))</f>
        <v>0</v>
      </c>
      <c r="BC32" s="75">
        <f t="array" ref="BC32">SUM((YEAR(Gastos!$A$2:$A$2500)=BC$1)*(MONTH(Gastos!$A$2:$A$2500)=BC$3)*(Gastos!$B$2:$B$2500=$A32)*(Gastos!$D$2:$D$2500))</f>
        <v>0</v>
      </c>
      <c r="BD32" s="75">
        <f t="array" ref="BD32">SUM((YEAR(Gastos!$A$2:$A$2500)=BD$1)*(MONTH(Gastos!$A$2:$A$2500)=BD$3)*(Gastos!$B$2:$B$2500=$A32)*(Gastos!$D$2:$D$2500))</f>
        <v>0</v>
      </c>
      <c r="BE32" s="75">
        <f t="array" ref="BE32">SUM((YEAR(Gastos!$A$2:$A$2500)=BE$1)*(MONTH(Gastos!$A$2:$A$2500)=BE$3)*(Gastos!$B$2:$B$2500=$A32)*(Gastos!$D$2:$D$2500))</f>
        <v>0</v>
      </c>
      <c r="BF32" s="75">
        <f t="array" ref="BF32">SUM((YEAR(Gastos!$A$2:$A$2500)=BF$1)*(MONTH(Gastos!$A$2:$A$2500)=BF$3)*(Gastos!$B$2:$B$2500=$A32)*(Gastos!$D$2:$D$2500))</f>
        <v>0</v>
      </c>
      <c r="BG32" s="75">
        <f t="array" ref="BG32">SUM((YEAR(Gastos!$A$2:$A$2500)=BG$1)*(MONTH(Gastos!$A$2:$A$2500)=BG$3)*(Gastos!$B$2:$B$2500=$A32)*(Gastos!$D$2:$D$2500))</f>
        <v>0</v>
      </c>
      <c r="BH32" s="75">
        <f t="array" ref="BH32">SUM((YEAR(Gastos!$A$2:$A$2500)=BH$1)*(MONTH(Gastos!$A$2:$A$2500)=BH$3)*(Gastos!$B$2:$B$2500=$A32)*(Gastos!$D$2:$D$2500))</f>
        <v>0</v>
      </c>
      <c r="BI32" s="75">
        <f t="array" ref="BI32">SUM((YEAR(Gastos!$A$2:$A$2500)=BI$1)*(MONTH(Gastos!$A$2:$A$2500)=BI$3)*(Gastos!$B$2:$B$2500=$A32)*(Gastos!$D$2:$D$2500))</f>
        <v>0</v>
      </c>
      <c r="BJ32" s="75">
        <f t="array" ref="BJ32">SUM((YEAR(Gastos!$A$2:$A$2500)=BJ$1)*(MONTH(Gastos!$A$2:$A$2500)=BJ$3)*(Gastos!$B$2:$B$2500=$A32)*(Gastos!$D$2:$D$2500))</f>
        <v>0</v>
      </c>
      <c r="BK32" s="75">
        <f t="array" ref="BK32">SUM((YEAR(Gastos!$A$2:$A$2500)=BK$1)*(MONTH(Gastos!$A$2:$A$2500)=BK$3)*(Gastos!$B$2:$B$2500=$A32)*(Gastos!$D$2:$D$2500))</f>
        <v>0</v>
      </c>
      <c r="BL32" s="75">
        <f t="array" ref="BL32">SUM((YEAR(Gastos!$A$2:$A$2500)=BL$1)*(MONTH(Gastos!$A$2:$A$2500)=BL$3)*(Gastos!$B$2:$B$2500=$A32)*(Gastos!$D$2:$D$2500))</f>
        <v>0</v>
      </c>
      <c r="BM32" s="75">
        <f t="array" ref="BM32">SUM((YEAR(Gastos!$A$2:$A$2500)=BM$1)*(MONTH(Gastos!$A$2:$A$2500)=BM$3)*(Gastos!$B$2:$B$2500=$A32)*(Gastos!$D$2:$D$2500))</f>
        <v>0</v>
      </c>
      <c r="BN32" s="75">
        <f t="array" ref="BN32">SUM((YEAR(Gastos!$A$2:$A$2500)=BN$1)*(MONTH(Gastos!$A$2:$A$2500)=BN$3)*(Gastos!$B$2:$B$2500=$A32)*(Gastos!$D$2:$D$2500))</f>
        <v>0</v>
      </c>
      <c r="BO32" s="75">
        <f t="array" ref="BO32">SUM((YEAR(Gastos!$A$2:$A$2500)=BO$1)*(MONTH(Gastos!$A$2:$A$2500)=BO$3)*(Gastos!$B$2:$B$2500=$A32)*(Gastos!$D$2:$D$2500))</f>
        <v>0</v>
      </c>
      <c r="BP32" s="75">
        <f t="array" ref="BP32">SUM((YEAR(Gastos!$A$2:$A$2500)=BP$1)*(MONTH(Gastos!$A$2:$A$2500)=BP$3)*(Gastos!$B$2:$B$2500=$A32)*(Gastos!$D$2:$D$2500))</f>
        <v>0</v>
      </c>
      <c r="BQ32" s="75">
        <f t="array" ref="BQ32">SUM((YEAR(Gastos!$A$2:$A$2500)=BQ$1)*(MONTH(Gastos!$A$2:$A$2500)=BQ$3)*(Gastos!$B$2:$B$2500=$A32)*(Gastos!$D$2:$D$2500))</f>
        <v>0</v>
      </c>
      <c r="BR32" s="75">
        <f t="array" ref="BR32">SUM((YEAR(Gastos!$A$2:$A$2500)=BR$1)*(MONTH(Gastos!$A$2:$A$2500)=BR$3)*(Gastos!$B$2:$B$2500=$A32)*(Gastos!$D$2:$D$2500))</f>
        <v>0</v>
      </c>
      <c r="BS32" s="75">
        <f t="array" ref="BS32">SUM((YEAR(Gastos!$A$2:$A$2500)=BS$1)*(MONTH(Gastos!$A$2:$A$2500)=BS$3)*(Gastos!$B$2:$B$2500=$A32)*(Gastos!$D$2:$D$2500))</f>
        <v>0</v>
      </c>
      <c r="BT32" s="75">
        <f t="array" ref="BT32">SUM((YEAR(Gastos!$A$2:$A$2500)=BT$1)*(MONTH(Gastos!$A$2:$A$2500)=BT$3)*(Gastos!$B$2:$B$2500=$A32)*(Gastos!$D$2:$D$2500))</f>
        <v>0</v>
      </c>
      <c r="BU32" s="75">
        <f t="array" ref="BU32">SUM((YEAR(Gastos!$A$2:$A$2500)=BU$1)*(MONTH(Gastos!$A$2:$A$2500)=BU$3)*(Gastos!$B$2:$B$2500=$A32)*(Gastos!$D$2:$D$2500))</f>
        <v>0</v>
      </c>
      <c r="BV32" s="75">
        <f t="array" ref="BV32">SUM((YEAR(Gastos!$A$2:$A$2500)=BV$1)*(MONTH(Gastos!$A$2:$A$2500)=BV$3)*(Gastos!$B$2:$B$2500=$A32)*(Gastos!$D$2:$D$2500))</f>
        <v>0</v>
      </c>
      <c r="BW32" s="75">
        <f t="array" ref="BW32">SUM((YEAR(Gastos!$A$2:$A$2500)=BW$1)*(MONTH(Gastos!$A$2:$A$2500)=BW$3)*(Gastos!$B$2:$B$2500=$A32)*(Gastos!$D$2:$D$2500))</f>
        <v>0</v>
      </c>
      <c r="BX32" s="75">
        <f t="array" ref="BX32">SUM((YEAR(Gastos!$A$2:$A$2500)=BX$1)*(MONTH(Gastos!$A$2:$A$2500)=BX$3)*(Gastos!$B$2:$B$2500=$A32)*(Gastos!$D$2:$D$2500))</f>
        <v>0</v>
      </c>
      <c r="BY32" s="75">
        <f t="array" ref="BY32">SUM((YEAR(Gastos!$A$2:$A$2500)=BY$1)*(MONTH(Gastos!$A$2:$A$2500)=BY$3)*(Gastos!$B$2:$B$2500=$A32)*(Gastos!$D$2:$D$2500))</f>
        <v>0</v>
      </c>
      <c r="BZ32" s="75">
        <f t="array" ref="BZ32">SUM((YEAR(Gastos!$A$2:$A$2500)=BZ$1)*(MONTH(Gastos!$A$2:$A$2500)=BZ$3)*(Gastos!$B$2:$B$2500=$A32)*(Gastos!$D$2:$D$2500))</f>
        <v>0</v>
      </c>
      <c r="CA32" s="75">
        <f t="array" ref="CA32">SUM((YEAR(Gastos!$A$2:$A$2500)=CA$1)*(MONTH(Gastos!$A$2:$A$2500)=CA$3)*(Gastos!$B$2:$B$2500=$A32)*(Gastos!$D$2:$D$2500))</f>
        <v>0</v>
      </c>
      <c r="CB32" s="75">
        <f t="array" ref="CB32">SUM((YEAR(Gastos!$A$2:$A$2500)=CB$1)*(MONTH(Gastos!$A$2:$A$2500)=CB$3)*(Gastos!$B$2:$B$2500=$A32)*(Gastos!$D$2:$D$2500))</f>
        <v>0</v>
      </c>
      <c r="CC32" s="75">
        <f t="array" ref="CC32">SUM((YEAR(Gastos!$A$2:$A$2500)=CC$1)*(MONTH(Gastos!$A$2:$A$2500)=CC$3)*(Gastos!$B$2:$B$2500=$A32)*(Gastos!$D$2:$D$2500))</f>
        <v>0</v>
      </c>
      <c r="CD32" s="75">
        <f t="array" ref="CD32">SUM((YEAR(Gastos!$A$2:$A$2500)=CD$1)*(MONTH(Gastos!$A$2:$A$2500)=CD$3)*(Gastos!$B$2:$B$2500=$A32)*(Gastos!$D$2:$D$2500))</f>
        <v>0</v>
      </c>
      <c r="CE32" s="75">
        <f t="array" ref="CE32">SUM((YEAR(Gastos!$A$2:$A$2500)=CE$1)*(MONTH(Gastos!$A$2:$A$2500)=CE$3)*(Gastos!$B$2:$B$2500=$A32)*(Gastos!$D$2:$D$2500))</f>
        <v>0</v>
      </c>
      <c r="CF32" s="75">
        <f t="array" ref="CF32">SUM((YEAR(Gastos!$A$2:$A$2500)=CF$1)*(MONTH(Gastos!$A$2:$A$2500)=CF$3)*(Gastos!$B$2:$B$2500=$A32)*(Gastos!$D$2:$D$2500))</f>
        <v>0</v>
      </c>
      <c r="CG32" s="75">
        <f t="array" ref="CG32">SUM((YEAR(Gastos!$A$2:$A$2500)=CG$1)*(MONTH(Gastos!$A$2:$A$2500)=CG$3)*(Gastos!$B$2:$B$2500=$A32)*(Gastos!$D$2:$D$2500))</f>
        <v>0</v>
      </c>
      <c r="CH32" s="75">
        <f t="array" ref="CH32">SUM((YEAR(Gastos!$A$2:$A$2500)=CH$1)*(MONTH(Gastos!$A$2:$A$2500)=CH$3)*(Gastos!$B$2:$B$2500=$A32)*(Gastos!$D$2:$D$2500))</f>
        <v>0</v>
      </c>
      <c r="CI32" s="75">
        <f t="array" ref="CI32">SUM((YEAR(Gastos!$A$2:$A$2500)=CI$1)*(MONTH(Gastos!$A$2:$A$2500)=CI$3)*(Gastos!$B$2:$B$2500=$A32)*(Gastos!$D$2:$D$2500))</f>
        <v>0</v>
      </c>
      <c r="CJ32" s="75">
        <f t="array" ref="CJ32">SUM((YEAR(Gastos!$A$2:$A$2500)=CJ$1)*(MONTH(Gastos!$A$2:$A$2500)=CJ$3)*(Gastos!$B$2:$B$2500=$A32)*(Gastos!$D$2:$D$2500))</f>
        <v>0</v>
      </c>
      <c r="CK32" s="75">
        <f t="array" ref="CK32">SUM((YEAR(Gastos!$A$2:$A$2500)=CK$1)*(MONTH(Gastos!$A$2:$A$2500)=CK$3)*(Gastos!$B$2:$B$2500=$A32)*(Gastos!$D$2:$D$2500))</f>
        <v>0</v>
      </c>
      <c r="CL32" s="75">
        <f t="array" ref="CL32">SUM((YEAR(Gastos!$A$2:$A$2500)=CL$1)*(MONTH(Gastos!$A$2:$A$2500)=CL$3)*(Gastos!$B$2:$B$2500=$A32)*(Gastos!$D$2:$D$2500))</f>
        <v>0</v>
      </c>
      <c r="CM32" s="75">
        <f t="array" ref="CM32">SUM((YEAR(Gastos!$A$2:$A$2500)=CM$1)*(MONTH(Gastos!$A$2:$A$2500)=CM$3)*(Gastos!$B$2:$B$2500=$A32)*(Gastos!$D$2:$D$2500))</f>
        <v>0</v>
      </c>
      <c r="CN32" s="75">
        <f t="array" ref="CN32">SUM((YEAR(Gastos!$A$2:$A$2500)=CN$1)*(MONTH(Gastos!$A$2:$A$2500)=CN$3)*(Gastos!$B$2:$B$2500=$A32)*(Gastos!$D$2:$D$2500))</f>
        <v>0</v>
      </c>
      <c r="CO32" s="75">
        <f t="array" ref="CO32">SUM((YEAR(Gastos!$A$2:$A$2500)=CO$1)*(MONTH(Gastos!$A$2:$A$2500)=CO$3)*(Gastos!$B$2:$B$2500=$A32)*(Gastos!$D$2:$D$2500))</f>
        <v>0</v>
      </c>
      <c r="CP32" s="75">
        <f t="array" ref="CP32">SUM((YEAR(Gastos!$A$2:$A$2500)=CP$1)*(MONTH(Gastos!$A$2:$A$2500)=CP$3)*(Gastos!$B$2:$B$2500=$A32)*(Gastos!$D$2:$D$2500))</f>
        <v>464</v>
      </c>
      <c r="CQ32" s="75">
        <f t="array" ref="CQ32">SUM((YEAR(Gastos!$A$2:$A$2500)=CQ$1)*(MONTH(Gastos!$A$2:$A$2500)=CQ$3)*(Gastos!$B$2:$B$2500=$A32)*(Gastos!$D$2:$D$2500))</f>
        <v>0</v>
      </c>
      <c r="CR32" s="75">
        <f t="array" ref="CR32">SUM((YEAR(Gastos!$A$2:$A$2500)=CR$1)*(MONTH(Gastos!$A$2:$A$2500)=CR$3)*(Gastos!$B$2:$B$2500=$A32)*(Gastos!$D$2:$D$2500))</f>
        <v>0</v>
      </c>
      <c r="CS32" s="75">
        <f t="array" ref="CS32">SUM((YEAR(Gastos!$A$2:$A$2500)=CS$1)*(MONTH(Gastos!$A$2:$A$2500)=CS$3)*(Gastos!$B$2:$B$2500=$A32)*(Gastos!$D$2:$D$2500))</f>
        <v>0</v>
      </c>
      <c r="CT32" s="75">
        <f t="array" ref="CT32">SUM((YEAR(Gastos!$A$2:$A$2500)=CT$1)*(MONTH(Gastos!$A$2:$A$2500)=CT$3)*(Gastos!$B$2:$B$2500=$A32)*(Gastos!$D$2:$D$2500))</f>
        <v>0</v>
      </c>
      <c r="CU32" s="75">
        <f t="array" ref="CU32">SUM((YEAR(Gastos!$A$2:$A$2500)=CU$1)*(MONTH(Gastos!$A$2:$A$2500)=CU$3)*(Gastos!$B$2:$B$2500=$A32)*(Gastos!$D$2:$D$2500))</f>
        <v>0</v>
      </c>
      <c r="CV32" s="75">
        <f t="array" ref="CV32">SUM((YEAR(Gastos!$A$2:$A$2500)=CV$1)*(MONTH(Gastos!$A$2:$A$2500)=CV$3)*(Gastos!$B$2:$B$2500=$A32)*(Gastos!$D$2:$D$2500))</f>
        <v>0</v>
      </c>
      <c r="CW32" s="75">
        <f t="array" ref="CW32">SUM((YEAR(Gastos!$A$2:$A$2500)=CW$1)*(MONTH(Gastos!$A$2:$A$2500)=CW$3)*(Gastos!$B$2:$B$2500=$A32)*(Gastos!$D$2:$D$2500))</f>
        <v>0</v>
      </c>
      <c r="CX32" s="75">
        <f t="array" ref="CX32">SUM((YEAR(Gastos!$A$2:$A$2500)=CX$1)*(MONTH(Gastos!$A$2:$A$2500)=CX$3)*(Gastos!$B$2:$B$2500=$A32)*(Gastos!$D$2:$D$2500))</f>
        <v>0</v>
      </c>
      <c r="CY32" s="75">
        <f t="array" ref="CY32">SUM((YEAR(Gastos!$A$2:$A$2500)=CY$1)*(MONTH(Gastos!$A$2:$A$2500)=CY$3)*(Gastos!$B$2:$B$2500=$A32)*(Gastos!$D$2:$D$2500))</f>
        <v>0</v>
      </c>
      <c r="CZ32" s="75">
        <f t="array" ref="CZ32">SUM((YEAR(Gastos!$A$2:$A$2500)=CZ$1)*(MONTH(Gastos!$A$2:$A$2500)=CZ$3)*(Gastos!$B$2:$B$2500=$A32)*(Gastos!$D$2:$D$2500))</f>
        <v>0</v>
      </c>
      <c r="DA32" s="75">
        <f t="array" ref="DA32">SUM((YEAR(Gastos!$A$2:$A$2500)=DA$1)*(MONTH(Gastos!$A$2:$A$2500)=DA$3)*(Gastos!$B$2:$B$2500=$A32)*(Gastos!$D$2:$D$2500))</f>
        <v>0</v>
      </c>
      <c r="DB32" s="75">
        <f t="array" ref="DB32">SUM((YEAR(Gastos!$A$2:$A$2500)=DB$1)*(MONTH(Gastos!$A$2:$A$2500)=DB$3)*(Gastos!$B$2:$B$2500=$A32)*(Gastos!$D$2:$D$2500))</f>
        <v>0</v>
      </c>
      <c r="DC32" s="75">
        <f t="array" ref="DC32">SUM((YEAR(Gastos!$A$2:$A$2500)=DC$1)*(MONTH(Gastos!$A$2:$A$2500)=DC$3)*(Gastos!$B$2:$B$2500=$A32)*(Gastos!$D$2:$D$2500))</f>
        <v>0</v>
      </c>
      <c r="DD32" s="75">
        <f t="array" ref="DD32">SUM((YEAR(Gastos!$A$2:$A$2500)=DD$1)*(MONTH(Gastos!$A$2:$A$2500)=DD$3)*(Gastos!$B$2:$B$2500=$A32)*(Gastos!$D$2:$D$2500))</f>
        <v>0</v>
      </c>
      <c r="DE32" s="75">
        <f t="array" ref="DE32">SUM((YEAR(Gastos!$A$2:$A$2500)=DE$1)*(MONTH(Gastos!$A$2:$A$2500)=DE$3)*(Gastos!$B$2:$B$2500=$A32)*(Gastos!$D$2:$D$2500))</f>
        <v>0</v>
      </c>
      <c r="DF32" s="75">
        <f t="array" ref="DF32">SUM((YEAR(Gastos!$A$2:$A$2500)=DF$1)*(MONTH(Gastos!$A$2:$A$2500)=DF$3)*(Gastos!$B$2:$B$2500=$A32)*(Gastos!$D$2:$D$2500))</f>
        <v>0</v>
      </c>
      <c r="DG32" s="75">
        <f t="array" ref="DG32">SUM((YEAR(Gastos!$A$2:$A$2500)=DG$1)*(MONTH(Gastos!$A$2:$A$2500)=DG$3)*(Gastos!$B$2:$B$2500=$A32)*(Gastos!$D$2:$D$2500))</f>
        <v>0</v>
      </c>
      <c r="DH32" s="75">
        <f t="array" ref="DH32">SUM((YEAR(Gastos!$A$2:$A$2500)=DH$1)*(MONTH(Gastos!$A$2:$A$2500)=DH$3)*(Gastos!$B$2:$B$2500=$A32)*(Gastos!$D$2:$D$2500))</f>
        <v>0</v>
      </c>
      <c r="DI32" s="75">
        <f t="array" ref="DI32">SUM((YEAR(Gastos!$A$2:$A$2500)=DI$1)*(MONTH(Gastos!$A$2:$A$2500)=DI$3)*(Gastos!$B$2:$B$2500=$A32)*(Gastos!$D$2:$D$2500))</f>
        <v>0</v>
      </c>
      <c r="DJ32" s="75">
        <f t="array" ref="DJ32">SUM((YEAR(Gastos!$A$2:$A$2500)=DJ$1)*(MONTH(Gastos!$A$2:$A$2500)=DJ$3)*(Gastos!$B$2:$B$2500=$A32)*(Gastos!$D$2:$D$2500))</f>
        <v>0</v>
      </c>
      <c r="DK32" s="75">
        <f t="array" ref="DK32">SUM((YEAR(Gastos!$A$2:$A$2500)=DK$1)*(MONTH(Gastos!$A$2:$A$2500)=DK$3)*(Gastos!$B$2:$B$2500=$A32)*(Gastos!$D$2:$D$2500))</f>
        <v>0</v>
      </c>
      <c r="DL32" s="75">
        <f t="array" ref="DL32">SUM((YEAR(Gastos!$A$2:$A$2500)=DL$1)*(MONTH(Gastos!$A$2:$A$2500)=DL$3)*(Gastos!$B$2:$B$2500=$A32)*(Gastos!$D$2:$D$2500))</f>
        <v>0</v>
      </c>
      <c r="DM32" s="75">
        <f t="array" ref="DM32">SUM((YEAR(Gastos!$A$2:$A$2500)=DM$1)*(MONTH(Gastos!$A$2:$A$2500)=DM$3)*(Gastos!$B$2:$B$2500=$A32)*(Gastos!$D$2:$D$2500))</f>
        <v>0</v>
      </c>
      <c r="DN32" s="75">
        <f t="array" ref="DN32">SUM((YEAR(Gastos!$A$2:$A$2500)=DN$1)*(MONTH(Gastos!$A$2:$A$2500)=DN$3)*(Gastos!$B$2:$B$2500=$A32)*(Gastos!$D$2:$D$2500))</f>
        <v>0</v>
      </c>
      <c r="DO32" s="75">
        <f t="array" ref="DO32">SUM((YEAR(Gastos!$A$2:$A$2500)=DO$1)*(MONTH(Gastos!$A$2:$A$2500)=DO$3)*(Gastos!$B$2:$B$2500=$A32)*(Gastos!$D$2:$D$2500))</f>
        <v>0</v>
      </c>
      <c r="DP32" s="75">
        <f t="array" ref="DP32">SUM((YEAR(Gastos!$A$2:$A$2500)=DP$1)*(MONTH(Gastos!$A$2:$A$2500)=DP$3)*(Gastos!$B$2:$B$2500=$A32)*(Gastos!$D$2:$D$2500))</f>
        <v>0</v>
      </c>
      <c r="DQ32" s="75">
        <f t="array" ref="DQ32">SUM((YEAR(Gastos!$A$2:$A$2500)=DQ$1)*(MONTH(Gastos!$A$2:$A$2500)=DQ$3)*(Gastos!$B$2:$B$2500=$A32)*(Gastos!$D$2:$D$2500))</f>
        <v>0</v>
      </c>
      <c r="DR32" s="75">
        <f t="array" ref="DR32">SUM((YEAR(Gastos!$A$2:$A$2500)=DR$1)*(MONTH(Gastos!$A$2:$A$2500)=DR$3)*(Gastos!$B$2:$B$2500=$A32)*(Gastos!$D$2:$D$2500))</f>
        <v>0</v>
      </c>
      <c r="DS32" s="75">
        <f t="array" ref="DS32">SUM((YEAR(Gastos!$A$2:$A$2500)=DS$1)*(MONTH(Gastos!$A$2:$A$2500)=DS$3)*(Gastos!$B$2:$B$2500=$A32)*(Gastos!$D$2:$D$2500))</f>
        <v>0</v>
      </c>
      <c r="DT32" s="75">
        <f t="array" ref="DT32">SUM((YEAR(Gastos!$A$2:$A$2500)=DT$1)*(MONTH(Gastos!$A$2:$A$2500)=DT$3)*(Gastos!$B$2:$B$2500=$A32)*(Gastos!$D$2:$D$2500))</f>
        <v>0</v>
      </c>
      <c r="DU32" s="75">
        <f t="array" ref="DU32">SUM((YEAR(Gastos!$A$2:$A$2500)=DU$1)*(MONTH(Gastos!$A$2:$A$2500)=DU$3)*(Gastos!$B$2:$B$2500=$A32)*(Gastos!$D$2:$D$2500))</f>
        <v>0</v>
      </c>
      <c r="DV32" s="75">
        <f t="array" ref="DV32">SUM((YEAR(Gastos!$A$2:$A$2500)=DV$1)*(MONTH(Gastos!$A$2:$A$2500)=DV$3)*(Gastos!$B$2:$B$2500=$A32)*(Gastos!$D$2:$D$2500))</f>
        <v>0</v>
      </c>
      <c r="DW32" s="75">
        <f t="array" ref="DW32">SUM((YEAR(Gastos!$A$2:$A$2500)=DW$1)*(MONTH(Gastos!$A$2:$A$2500)=DW$3)*(Gastos!$B$2:$B$2500=$A32)*(Gastos!$D$2:$D$2500))</f>
        <v>0</v>
      </c>
      <c r="DX32" s="75">
        <f t="array" ref="DX32">SUM((YEAR(Gastos!$A$2:$A$2500)=DX$1)*(MONTH(Gastos!$A$2:$A$2500)=DX$3)*(Gastos!$B$2:$B$2500=$A32)*(Gastos!$D$2:$D$2500))</f>
        <v>0</v>
      </c>
      <c r="DY32" s="75">
        <f t="array" ref="DY32">SUM((YEAR(Gastos!$A$2:$A$2500)=DY$1)*(MONTH(Gastos!$A$2:$A$2500)=DY$3)*(Gastos!$B$2:$B$2500=$A32)*(Gastos!$D$2:$D$2500))</f>
        <v>0</v>
      </c>
      <c r="DZ32" s="75">
        <f t="array" ref="DZ32">SUM((YEAR(Gastos!$A$2:$A$2500)=DZ$1)*(MONTH(Gastos!$A$2:$A$2500)=DZ$3)*(Gastos!$B$2:$B$2500=$A32)*(Gastos!$D$2:$D$2500))</f>
        <v>0</v>
      </c>
      <c r="EA32" s="75">
        <f t="array" ref="EA32">SUM((YEAR(Gastos!$A$2:$A$2500)=EA$1)*(MONTH(Gastos!$A$2:$A$2500)=EA$3)*(Gastos!$B$2:$B$2500=$A32)*(Gastos!$D$2:$D$2500))</f>
        <v>0</v>
      </c>
      <c r="EB32" s="75">
        <f t="array" ref="EB32">SUM((YEAR(Gastos!$A$2:$A$2500)=EB$1)*(MONTH(Gastos!$A$2:$A$2500)=EB$3)*(Gastos!$B$2:$B$2500=$A32)*(Gastos!$D$2:$D$2500))</f>
        <v>0</v>
      </c>
      <c r="EC32" s="75">
        <f t="array" ref="EC32">SUM((YEAR(Gastos!$A$2:$A$2500)=EC$1)*(MONTH(Gastos!$A$2:$A$2500)=EC$3)*(Gastos!$B$2:$B$2500=$A32)*(Gastos!$D$2:$D$2500))</f>
        <v>0</v>
      </c>
      <c r="ED32" s="75">
        <f t="array" ref="ED32">SUM((YEAR(Gastos!$A$2:$A$2500)=ED$1)*(MONTH(Gastos!$A$2:$A$2500)=ED$3)*(Gastos!$B$2:$B$2500=$A32)*(Gastos!$D$2:$D$2500))</f>
        <v>0</v>
      </c>
      <c r="EE32" s="75">
        <f t="array" ref="EE32">SUM((YEAR(Gastos!$A$2:$A$2500)=EE$1)*(MONTH(Gastos!$A$2:$A$2500)=EE$3)*(Gastos!$B$2:$B$2500=$A32)*(Gastos!$D$2:$D$2500))</f>
        <v>0</v>
      </c>
      <c r="EF32" s="75">
        <f t="array" ref="EF32">SUM((YEAR(Gastos!$A$2:$A$2500)=EF$1)*(MONTH(Gastos!$A$2:$A$2500)=EF$3)*(Gastos!$B$2:$B$2500=$A32)*(Gastos!$D$2:$D$2500))</f>
        <v>0</v>
      </c>
      <c r="EG32" s="75">
        <f t="array" ref="EG32">SUM((YEAR(Gastos!$A$2:$A$2500)=EG$1)*(MONTH(Gastos!$A$2:$A$2500)=EG$3)*(Gastos!$B$2:$B$2500=$A32)*(Gastos!$D$2:$D$2500))</f>
        <v>0</v>
      </c>
      <c r="EH32" s="75">
        <f t="array" ref="EH32">SUM((YEAR(Gastos!$A$2:$A$2500)=EH$1)*(MONTH(Gastos!$A$2:$A$2500)=EH$3)*(Gastos!$B$2:$B$2500=$A32)*(Gastos!$D$2:$D$2500))</f>
        <v>0</v>
      </c>
      <c r="EI32" s="75">
        <f t="array" ref="EI32">SUM((YEAR(Gastos!$A$2:$A$2500)=EI$1)*(MONTH(Gastos!$A$2:$A$2500)=EI$3)*(Gastos!$B$2:$B$2500=$A32)*(Gastos!$D$2:$D$2500))</f>
        <v>0</v>
      </c>
      <c r="EJ32" s="75">
        <f t="array" ref="EJ32">SUM((YEAR(Gastos!$A$2:$A$2500)=EJ$1)*(MONTH(Gastos!$A$2:$A$2500)=EJ$3)*(Gastos!$B$2:$B$2500=$A32)*(Gastos!$D$2:$D$2500))</f>
        <v>0</v>
      </c>
      <c r="EK32" s="75">
        <f t="array" ref="EK32">SUM((YEAR(Gastos!$A$2:$A$2500)=EK$1)*(MONTH(Gastos!$A$2:$A$2500)=EK$3)*(Gastos!$B$2:$B$2500=$A32)*(Gastos!$D$2:$D$2500))</f>
        <v>0</v>
      </c>
      <c r="EL32" s="75">
        <f t="array" ref="EL32">SUM((YEAR(Gastos!$A$2:$A$2500)=EL$1)*(MONTH(Gastos!$A$2:$A$2500)=EL$3)*(Gastos!$B$2:$B$2500=$A32)*(Gastos!$D$2:$D$2500))</f>
        <v>0</v>
      </c>
      <c r="EM32" s="75">
        <f t="array" ref="EM32">SUM((YEAR(Gastos!$A$2:$A$2500)=EM$1)*(MONTH(Gastos!$A$2:$A$2500)=EM$3)*(Gastos!$B$2:$B$2500=$A32)*(Gastos!$D$2:$D$2500))</f>
        <v>0</v>
      </c>
      <c r="EN32" s="75">
        <f t="array" ref="EN32">SUM((YEAR(Gastos!$A$2:$A$2500)=EN$1)*(MONTH(Gastos!$A$2:$A$2500)=EN$3)*(Gastos!$B$2:$B$2500=$A32)*(Gastos!$D$2:$D$2500))</f>
        <v>0</v>
      </c>
      <c r="EO32" s="75">
        <f t="array" ref="EO32">SUM((YEAR(Gastos!$A$2:$A$2500)=EO$1)*(MONTH(Gastos!$A$2:$A$2500)=EO$3)*(Gastos!$B$2:$B$2500=$A32)*(Gastos!$D$2:$D$2500))</f>
        <v>11368</v>
      </c>
      <c r="EP32" s="75">
        <f t="array" ref="EP32">SUM((YEAR(Gastos!$A$2:$A$2500)=EP$1)*(MONTH(Gastos!$A$2:$A$2500)=EP$3)*(Gastos!$B$2:$B$2500=$A32)*(Gastos!$D$2:$D$2500))</f>
        <v>0</v>
      </c>
      <c r="EQ32" s="75">
        <f t="array" ref="EQ32">SUM((YEAR(Gastos!$A$2:$A$2500)=EQ$1)*(MONTH(Gastos!$A$2:$A$2500)=EQ$3)*(Gastos!$B$2:$B$2500=$A32)*(Gastos!$D$2:$D$2500))</f>
        <v>0</v>
      </c>
      <c r="ER32" s="75">
        <f t="array" ref="ER32">SUM((YEAR(Gastos!$A$2:$A$2500)=ER$1)*(MONTH(Gastos!$A$2:$A$2500)=ER$3)*(Gastos!$B$2:$B$2500=$A32)*(Gastos!$D$2:$D$2500))</f>
        <v>0</v>
      </c>
      <c r="ES32" s="75">
        <f t="array" ref="ES32">SUM((YEAR(Gastos!$A$2:$A$2500)=ES$1)*(MONTH(Gastos!$A$2:$A$2500)=ES$3)*(Gastos!$B$2:$B$2500=$A32)*(Gastos!$D$2:$D$2500))</f>
        <v>0</v>
      </c>
      <c r="ET32" s="75">
        <f t="array" ref="ET32">SUM((YEAR(Gastos!$A$2:$A$2500)=ET$1)*(MONTH(Gastos!$A$2:$A$2500)=ET$3)*(Gastos!$B$2:$B$2500=$A32)*(Gastos!$D$2:$D$2500))</f>
        <v>0</v>
      </c>
      <c r="EU32" s="75">
        <f t="array" ref="EU32">SUM((YEAR(Gastos!$A$2:$A$2500)=EU$1)*(MONTH(Gastos!$A$2:$A$2500)=EU$3)*(Gastos!$B$2:$B$2500=$A32)*(Gastos!$D$2:$D$2500))</f>
        <v>0</v>
      </c>
      <c r="EV32" s="75">
        <f t="array" ref="EV32">SUM((YEAR(Gastos!$A$2:$A$2500)=EV$1)*(MONTH(Gastos!$A$2:$A$2500)=EV$3)*(Gastos!$B$2:$B$2500=$A32)*(Gastos!$D$2:$D$2500))</f>
        <v>0</v>
      </c>
      <c r="EW32" s="75">
        <f t="array" ref="EW32">SUM((YEAR(Gastos!$A$2:$A$2500)=EW$1)*(MONTH(Gastos!$A$2:$A$2500)=EW$3)*(Gastos!$B$2:$B$2500=$A32)*(Gastos!$D$2:$D$2500))</f>
        <v>0</v>
      </c>
      <c r="EX32" s="75">
        <f t="array" ref="EX32">SUM((YEAR(Gastos!$A$2:$A$2500)=EX$1)*(MONTH(Gastos!$A$2:$A$2500)=EX$3)*(Gastos!$B$2:$B$2500=$A32)*(Gastos!$D$2:$D$2500))</f>
        <v>0</v>
      </c>
      <c r="EY32" s="75">
        <f t="array" ref="EY32">SUM((YEAR(Gastos!$A$2:$A$2500)=EY$1)*(MONTH(Gastos!$A$2:$A$2500)=EY$3)*(Gastos!$B$2:$B$2500=$A32)*(Gastos!$D$2:$D$2500))</f>
        <v>0</v>
      </c>
      <c r="EZ32" s="75">
        <f t="array" ref="EZ32">SUM((YEAR(Gastos!$A$2:$A$2500)=EZ$1)*(MONTH(Gastos!$A$2:$A$2500)=EZ$3)*(Gastos!$B$2:$B$2500=$A32)*(Gastos!$D$2:$D$2500))</f>
        <v>0</v>
      </c>
      <c r="FA32" s="75">
        <f t="array" ref="FA32">SUM((YEAR(Gastos!$A$2:$A$2500)=FA$1)*(MONTH(Gastos!$A$2:$A$2500)=FA$3)*(Gastos!$B$2:$B$2500=$A32)*(Gastos!$D$2:$D$2500))</f>
        <v>0</v>
      </c>
      <c r="FB32" s="75">
        <f t="array" ref="FB32">SUM((YEAR(Gastos!$A$2:$A$2500)=FB$1)*(MONTH(Gastos!$A$2:$A$2500)=FB$3)*(Gastos!$B$2:$B$2500=$A32)*(Gastos!$D$2:$D$2500))</f>
        <v>0</v>
      </c>
      <c r="FC32" s="75">
        <f t="array" ref="FC32">SUM((YEAR(Gastos!$A$2:$A$2500)=FC$1)*(MONTH(Gastos!$A$2:$A$2500)=FC$3)*(Gastos!$B$2:$B$2500=$A32)*(Gastos!$D$2:$D$2500))</f>
        <v>0</v>
      </c>
      <c r="FD32" s="75">
        <f t="array" ref="FD32">SUM((YEAR(Gastos!$A$2:$A$2500)=FD$1)*(MONTH(Gastos!$A$2:$A$2500)=FD$3)*(Gastos!$B$2:$B$2500=$A32)*(Gastos!$D$2:$D$2500))</f>
        <v>0</v>
      </c>
      <c r="FE32" s="75">
        <f t="array" ref="FE32">SUM((YEAR(Gastos!$A$2:$A$2500)=FE$1)*(MONTH(Gastos!$A$2:$A$2500)=FE$3)*(Gastos!$B$2:$B$2500=$A32)*(Gastos!$D$2:$D$2500))</f>
        <v>0</v>
      </c>
      <c r="FF32" s="75">
        <f t="array" ref="FF32">SUM((YEAR(Gastos!$A$2:$A$2500)=FF$1)*(MONTH(Gastos!$A$2:$A$2500)=FF$3)*(Gastos!$B$2:$B$2500=$A32)*(Gastos!$D$2:$D$2500))</f>
        <v>0</v>
      </c>
      <c r="FG32" s="75">
        <f t="array" ref="FG32">SUM((YEAR(Gastos!$A$2:$A$2500)=FG$1)*(MONTH(Gastos!$A$2:$A$2500)=FG$3)*(Gastos!$B$2:$B$2500=$A32)*(Gastos!$D$2:$D$2500))</f>
        <v>0</v>
      </c>
      <c r="FH32" s="75">
        <f t="array" ref="FH32">SUM((YEAR(Gastos!$A$2:$A$2500)=FH$1)*(MONTH(Gastos!$A$2:$A$2500)=FH$3)*(Gastos!$B$2:$B$2500=$A32)*(Gastos!$D$2:$D$2500))</f>
        <v>0</v>
      </c>
      <c r="FI32" s="75">
        <f t="array" ref="FI32">SUM((YEAR(Gastos!$A$2:$A$2500)=FI$1)*(MONTH(Gastos!$A$2:$A$2500)=FI$3)*(Gastos!$B$2:$B$2500=$A32)*(Gastos!$D$2:$D$2500))</f>
        <v>0</v>
      </c>
      <c r="FJ32" s="75">
        <f t="array" ref="FJ32">SUM((YEAR(Gastos!$A$2:$A$2500)=FJ$1)*(MONTH(Gastos!$A$2:$A$2500)=FJ$3)*(Gastos!$B$2:$B$2500=$A32)*(Gastos!$D$2:$D$2500))</f>
        <v>0</v>
      </c>
      <c r="FK32" s="75">
        <f t="array" ref="FK32">SUM((YEAR(Gastos!$A$2:$A$2500)=FK$1)*(MONTH(Gastos!$A$2:$A$2500)=FK$3)*(Gastos!$B$2:$B$2500=$A32)*(Gastos!$D$2:$D$2500))</f>
        <v>0</v>
      </c>
      <c r="FL32" s="75">
        <f t="array" ref="FL32">SUM((YEAR(Gastos!$A$2:$A$2500)=FL$1)*(MONTH(Gastos!$A$2:$A$2500)=FL$3)*(Gastos!$B$2:$B$2500=$A32)*(Gastos!$D$2:$D$2500))</f>
        <v>0</v>
      </c>
      <c r="FM32" s="75">
        <f t="array" ref="FM32">SUM((YEAR(Gastos!$A$2:$A$2500)=FM$1)*(MONTH(Gastos!$A$2:$A$2500)=FM$3)*(Gastos!$B$2:$B$2500=$A32)*(Gastos!$D$2:$D$2500))</f>
        <v>0</v>
      </c>
      <c r="FN32" s="75">
        <f t="array" ref="FN32">SUM((YEAR(Gastos!$A$2:$A$2500)=FN$1)*(MONTH(Gastos!$A$2:$A$2500)=FN$3)*(Gastos!$B$2:$B$2500=$A32)*(Gastos!$D$2:$D$2500))</f>
        <v>0</v>
      </c>
      <c r="FO32" s="75">
        <f t="array" ref="FO32">SUM((YEAR(Gastos!$A$2:$A$2500)=FO$1)*(MONTH(Gastos!$A$2:$A$2500)=FO$3)*(Gastos!$B$2:$B$2500=$A32)*(Gastos!$D$2:$D$2500))</f>
        <v>0</v>
      </c>
      <c r="FP32" s="75">
        <f t="array" ref="FP32">SUM((YEAR(Gastos!$A$2:$A$2500)=FP$1)*(MONTH(Gastos!$A$2:$A$2500)=FP$3)*(Gastos!$B$2:$B$2500=$A32)*(Gastos!$D$2:$D$2500))</f>
        <v>0</v>
      </c>
      <c r="FQ32" s="75">
        <f t="array" ref="FQ32">SUM((YEAR(Gastos!$A$2:$A$2500)=FQ$1)*(MONTH(Gastos!$A$2:$A$2500)=FQ$3)*(Gastos!$B$2:$B$2500=$A32)*(Gastos!$D$2:$D$2500))</f>
        <v>0</v>
      </c>
      <c r="FR32" s="75">
        <f t="array" ref="FR32">SUM((YEAR(Gastos!$A$2:$A$2500)=FR$1)*(MONTH(Gastos!$A$2:$A$2500)=FR$3)*(Gastos!$B$2:$B$2500=$A32)*(Gastos!$D$2:$D$2500))</f>
        <v>0</v>
      </c>
      <c r="FS32" s="75">
        <f t="array" ref="FS32">SUM((YEAR(Gastos!$A$2:$A$2500)=FS$1)*(MONTH(Gastos!$A$2:$A$2500)=FS$3)*(Gastos!$B$2:$B$2500=$A32)*(Gastos!$D$2:$D$2500))</f>
        <v>0</v>
      </c>
      <c r="FT32" s="75">
        <f t="array" ref="FT32">SUM((YEAR(Gastos!$A$2:$A$2500)=FT$1)*(MONTH(Gastos!$A$2:$A$2500)=FT$3)*(Gastos!$B$2:$B$2500=$A32)*(Gastos!$D$2:$D$2500))</f>
        <v>0</v>
      </c>
      <c r="FU32" s="75">
        <f t="array" ref="FU32">SUM((YEAR(Gastos!$A$2:$A$2500)=FU$1)*(MONTH(Gastos!$A$2:$A$2500)=FU$3)*(Gastos!$B$2:$B$2500=$A32)*(Gastos!$D$2:$D$2500))</f>
        <v>0</v>
      </c>
      <c r="FV32" s="75">
        <f t="array" ref="FV32">SUM((YEAR(Gastos!$A$2:$A$2500)=FV$1)*(MONTH(Gastos!$A$2:$A$2500)=FV$3)*(Gastos!$B$2:$B$2500=$A32)*(Gastos!$D$2:$D$2500))</f>
        <v>0</v>
      </c>
      <c r="FW32" s="75">
        <f t="array" ref="FW32">SUM((YEAR(Gastos!$A$2:$A$2500)=FW$1)*(MONTH(Gastos!$A$2:$A$2500)=FW$3)*(Gastos!$B$2:$B$2500=$A32)*(Gastos!$D$2:$D$2500))</f>
        <v>0</v>
      </c>
      <c r="FX32" s="75">
        <f t="array" ref="FX32">SUM((YEAR(Gastos!$A$2:$A$2500)=FX$1)*(MONTH(Gastos!$A$2:$A$2500)=FX$3)*(Gastos!$B$2:$B$2500=$A32)*(Gastos!$D$2:$D$2500))</f>
        <v>0</v>
      </c>
      <c r="FY32" s="75">
        <f t="array" ref="FY32">SUM((YEAR(Gastos!$A$2:$A$2500)=FY$1)*(MONTH(Gastos!$A$2:$A$2500)=FY$3)*(Gastos!$B$2:$B$2500=$A32)*(Gastos!$D$2:$D$2500))</f>
        <v>0</v>
      </c>
      <c r="FZ32" s="76">
        <f t="shared" si="65"/>
        <v>11832</v>
      </c>
      <c r="GA32" s="80"/>
      <c r="GB32" s="78">
        <f t="shared" si="66"/>
        <v>0</v>
      </c>
      <c r="GF32" s="79">
        <f t="array" ref="GF32">SUM(((Gastos!$A$2:$A$1647)&gt;=GD$3)*((Gastos!$A$2:$A$1647)&lt;=GF$3)*(Gastos!$B$2:$B$1647=$A32)*(Gastos!$D$2:$D$1647))</f>
        <v>0</v>
      </c>
      <c r="GI32" s="79">
        <f t="array" ref="GI32">SUM(((Gastos!$A$2:$A$1647)&gt;=GG$3)*((Gastos!$A$2:$A$1647)&lt;=GI$3)*(Gastos!$B$2:$B$1647=$A32)*(Gastos!$D$2:$D$1647))</f>
        <v>0</v>
      </c>
    </row>
    <row r="33" spans="1:191" ht="15" thickBot="1" x14ac:dyDescent="0.4">
      <c r="A33" s="74" t="str">
        <f>Gastos!AA31</f>
        <v>V. IMPERMEABILIZACION FACHADA</v>
      </c>
      <c r="B33" s="75">
        <f t="array" ref="B33">SUM((YEAR(Gastos!$A$2:$A$2500)=B$1)*(MONTH(Gastos!$A$2:$A$2500)=B$3)*(Gastos!$B$2:$B$2500=$A33)*(Gastos!$D$2:$D$2500))</f>
        <v>0</v>
      </c>
      <c r="C33" s="75">
        <f t="array" ref="C33">SUM((YEAR(Gastos!$A$2:$A$2500)=C$1)*(MONTH(Gastos!$A$2:$A$2500)=C$3)*(Gastos!$B$2:$B$2500=$A33)*(Gastos!$D$2:$D$2500))</f>
        <v>0</v>
      </c>
      <c r="D33" s="75">
        <f t="array" ref="D33">SUM((YEAR(Gastos!$A$2:$A$2500)=D$1)*(MONTH(Gastos!$A$2:$A$2500)=D$3)*(Gastos!$B$2:$B$2500=$A33)*(Gastos!$D$2:$D$2500))</f>
        <v>0</v>
      </c>
      <c r="E33" s="75">
        <f t="array" ref="E33">SUM((YEAR(Gastos!$A$2:$A$2500)=E$1)*(MONTH(Gastos!$A$2:$A$2500)=E$3)*(Gastos!$B$2:$B$2500=$A33)*(Gastos!$D$2:$D$2500))</f>
        <v>0</v>
      </c>
      <c r="F33" s="75">
        <f t="array" ref="F33">SUM((YEAR(Gastos!$A$2:$A$2500)=F$1)*(MONTH(Gastos!$A$2:$A$2500)=F$3)*(Gastos!$B$2:$B$2500=$A33)*(Gastos!$D$2:$D$2500))</f>
        <v>0</v>
      </c>
      <c r="G33" s="75">
        <f t="array" ref="G33">SUM((YEAR(Gastos!$A$2:$A$2500)=G$1)*(MONTH(Gastos!$A$2:$A$2500)=G$3)*(Gastos!$B$2:$B$2500=$A33)*(Gastos!$D$2:$D$2500))</f>
        <v>0</v>
      </c>
      <c r="H33" s="75">
        <f t="array" ref="H33">SUM((YEAR(Gastos!$A$2:$A$2500)=H$1)*(MONTH(Gastos!$A$2:$A$2500)=H$3)*(Gastos!$B$2:$B$2500=$A33)*(Gastos!$D$2:$D$2500))</f>
        <v>0</v>
      </c>
      <c r="I33" s="75">
        <f t="array" ref="I33">SUM((YEAR(Gastos!$A$2:$A$2500)=I$1)*(MONTH(Gastos!$A$2:$A$2500)=I$3)*(Gastos!$B$2:$B$2500=$A33)*(Gastos!$D$2:$D$2500))</f>
        <v>0</v>
      </c>
      <c r="J33" s="75">
        <f t="array" ref="J33">SUM((YEAR(Gastos!$A$2:$A$2500)=J$1)*(MONTH(Gastos!$A$2:$A$2500)=J$3)*(Gastos!$B$2:$B$2500=$A33)*(Gastos!$D$2:$D$2500))</f>
        <v>0</v>
      </c>
      <c r="K33" s="75">
        <f t="array" ref="K33">SUM((YEAR(Gastos!$A$2:$A$2500)=K$1)*(MONTH(Gastos!$A$2:$A$2500)=K$3)*(Gastos!$B$2:$B$2500=$A33)*(Gastos!$D$2:$D$2500))</f>
        <v>0</v>
      </c>
      <c r="L33" s="75">
        <f t="array" ref="L33">SUM((YEAR(Gastos!$A$2:$A$2500)=L$1)*(MONTH(Gastos!$A$2:$A$2500)=L$3)*(Gastos!$B$2:$B$2500=$A33)*(Gastos!$D$2:$D$2500))</f>
        <v>0</v>
      </c>
      <c r="M33" s="75">
        <f t="array" ref="M33">SUM((YEAR(Gastos!$A$2:$A$2500)=M$1)*(MONTH(Gastos!$A$2:$A$2500)=M$3)*(Gastos!$B$2:$B$2500=$A33)*(Gastos!$D$2:$D$2500))</f>
        <v>0</v>
      </c>
      <c r="N33" s="75">
        <f t="array" ref="N33">SUM((YEAR(Gastos!$A$2:$A$2500)=N$1)*(MONTH(Gastos!$A$2:$A$2500)=N$3)*(Gastos!$B$2:$B$2500=$A33)*(Gastos!$D$2:$D$2500))</f>
        <v>0</v>
      </c>
      <c r="O33" s="75">
        <f t="array" ref="O33">SUM((YEAR(Gastos!$A$2:$A$2500)=O$1)*(MONTH(Gastos!$A$2:$A$2500)=O$3)*(Gastos!$B$2:$B$2500=$A33)*(Gastos!$D$2:$D$2500))</f>
        <v>0</v>
      </c>
      <c r="P33" s="75">
        <f t="array" ref="P33">SUM((YEAR(Gastos!$A$2:$A$2500)=P$1)*(MONTH(Gastos!$A$2:$A$2500)=P$3)*(Gastos!$B$2:$B$2500=$A33)*(Gastos!$D$2:$D$2500))</f>
        <v>0</v>
      </c>
      <c r="Q33" s="75">
        <f t="array" ref="Q33">SUM((YEAR(Gastos!$A$2:$A$2500)=Q$1)*(MONTH(Gastos!$A$2:$A$2500)=Q$3)*(Gastos!$B$2:$B$2500=$A33)*(Gastos!$D$2:$D$2500))</f>
        <v>0</v>
      </c>
      <c r="R33" s="75">
        <f t="array" ref="R33">SUM((YEAR(Gastos!$A$2:$A$2500)=R$1)*(MONTH(Gastos!$A$2:$A$2500)=R$3)*(Gastos!$B$2:$B$2500=$A33)*(Gastos!$D$2:$D$2500))</f>
        <v>0</v>
      </c>
      <c r="S33" s="75">
        <f t="array" ref="S33">SUM((YEAR(Gastos!$A$2:$A$2500)=S$1)*(MONTH(Gastos!$A$2:$A$2500)=S$3)*(Gastos!$B$2:$B$2500=$A33)*(Gastos!$D$2:$D$2500))</f>
        <v>0</v>
      </c>
      <c r="T33" s="75">
        <f t="array" ref="T33">SUM((YEAR(Gastos!$A$2:$A$2500)=T$1)*(MONTH(Gastos!$A$2:$A$2500)=T$3)*(Gastos!$B$2:$B$2500=$A33)*(Gastos!$D$2:$D$2500))</f>
        <v>0</v>
      </c>
      <c r="U33" s="75">
        <f t="array" ref="U33">SUM((YEAR(Gastos!$A$2:$A$2500)=U$1)*(MONTH(Gastos!$A$2:$A$2500)=U$3)*(Gastos!$B$2:$B$2500=$A33)*(Gastos!$D$2:$D$2500))</f>
        <v>0</v>
      </c>
      <c r="V33" s="75">
        <f t="array" ref="V33">SUM((YEAR(Gastos!$A$2:$A$2500)=V$1)*(MONTH(Gastos!$A$2:$A$2500)=V$3)*(Gastos!$B$2:$B$2500=$A33)*(Gastos!$D$2:$D$2500))</f>
        <v>0</v>
      </c>
      <c r="W33" s="75">
        <f t="array" ref="W33">SUM((YEAR(Gastos!$A$2:$A$2500)=W$1)*(MONTH(Gastos!$A$2:$A$2500)=W$3)*(Gastos!$B$2:$B$2500=$A33)*(Gastos!$D$2:$D$2500))</f>
        <v>0</v>
      </c>
      <c r="X33" s="75">
        <f t="array" ref="X33">SUM((YEAR(Gastos!$A$2:$A$2500)=X$1)*(MONTH(Gastos!$A$2:$A$2500)=X$3)*(Gastos!$B$2:$B$2500=$A33)*(Gastos!$D$2:$D$2500))</f>
        <v>0</v>
      </c>
      <c r="Y33" s="75">
        <f t="array" ref="Y33">SUM((YEAR(Gastos!$A$2:$A$2500)=Y$1)*(MONTH(Gastos!$A$2:$A$2500)=Y$3)*(Gastos!$B$2:$B$2500=$A33)*(Gastos!$D$2:$D$2500))</f>
        <v>0</v>
      </c>
      <c r="Z33" s="75">
        <f t="array" ref="Z33">SUM((YEAR(Gastos!$A$2:$A$2500)=Z$1)*(MONTH(Gastos!$A$2:$A$2500)=Z$3)*(Gastos!$B$2:$B$2500=$A33)*(Gastos!$D$2:$D$2500))</f>
        <v>0</v>
      </c>
      <c r="AA33" s="75">
        <f t="array" ref="AA33">SUM((YEAR(Gastos!$A$2:$A$2500)=AA$1)*(MONTH(Gastos!$A$2:$A$2500)=AA$3)*(Gastos!$B$2:$B$2500=$A33)*(Gastos!$D$2:$D$2500))</f>
        <v>0</v>
      </c>
      <c r="AB33" s="75">
        <f t="array" ref="AB33">SUM((YEAR(Gastos!$A$2:$A$2500)=AB$1)*(MONTH(Gastos!$A$2:$A$2500)=AB$3)*(Gastos!$B$2:$B$2500=$A33)*(Gastos!$D$2:$D$2500))</f>
        <v>0</v>
      </c>
      <c r="AC33" s="75">
        <f t="array" ref="AC33">SUM((YEAR(Gastos!$A$2:$A$2500)=AC$1)*(MONTH(Gastos!$A$2:$A$2500)=AC$3)*(Gastos!$B$2:$B$2500=$A33)*(Gastos!$D$2:$D$2500))</f>
        <v>0</v>
      </c>
      <c r="AD33" s="75">
        <f t="array" ref="AD33">SUM((YEAR(Gastos!$A$2:$A$2500)=AD$1)*(MONTH(Gastos!$A$2:$A$2500)=AD$3)*(Gastos!$B$2:$B$2500=$A33)*(Gastos!$D$2:$D$2500))</f>
        <v>0</v>
      </c>
      <c r="AE33" s="75">
        <f t="array" ref="AE33">SUM((YEAR(Gastos!$A$2:$A$2500)=AE$1)*(MONTH(Gastos!$A$2:$A$2500)=AE$3)*(Gastos!$B$2:$B$2500=$A33)*(Gastos!$D$2:$D$2500))</f>
        <v>0</v>
      </c>
      <c r="AF33" s="75">
        <f t="array" ref="AF33">SUM((YEAR(Gastos!$A$2:$A$2500)=AF$1)*(MONTH(Gastos!$A$2:$A$2500)=AF$3)*(Gastos!$B$2:$B$2500=$A33)*(Gastos!$D$2:$D$2500))</f>
        <v>0</v>
      </c>
      <c r="AG33" s="75">
        <f t="array" ref="AG33">SUM((YEAR(Gastos!$A$2:$A$2500)=AG$1)*(MONTH(Gastos!$A$2:$A$2500)=AG$3)*(Gastos!$B$2:$B$2500=$A33)*(Gastos!$D$2:$D$2500))</f>
        <v>0</v>
      </c>
      <c r="AH33" s="75">
        <f t="array" ref="AH33">SUM((YEAR(Gastos!$A$2:$A$2500)=AH$1)*(MONTH(Gastos!$A$2:$A$2500)=AH$3)*(Gastos!$B$2:$B$2500=$A33)*(Gastos!$D$2:$D$2500))</f>
        <v>0</v>
      </c>
      <c r="AI33" s="75">
        <f t="array" ref="AI33">SUM((YEAR(Gastos!$A$2:$A$2500)=AI$1)*(MONTH(Gastos!$A$2:$A$2500)=AI$3)*(Gastos!$B$2:$B$2500=$A33)*(Gastos!$D$2:$D$2500))</f>
        <v>0</v>
      </c>
      <c r="AJ33" s="75">
        <f t="array" ref="AJ33">SUM((YEAR(Gastos!$A$2:$A$2500)=AJ$1)*(MONTH(Gastos!$A$2:$A$2500)=AJ$3)*(Gastos!$B$2:$B$2500=$A33)*(Gastos!$D$2:$D$2500))</f>
        <v>0</v>
      </c>
      <c r="AK33" s="75">
        <f t="array" ref="AK33">SUM((YEAR(Gastos!$A$2:$A$2500)=AK$1)*(MONTH(Gastos!$A$2:$A$2500)=AK$3)*(Gastos!$B$2:$B$2500=$A33)*(Gastos!$D$2:$D$2500))</f>
        <v>0</v>
      </c>
      <c r="AL33" s="75">
        <f t="array" ref="AL33">SUM((YEAR(Gastos!$A$2:$A$2500)=AL$1)*(MONTH(Gastos!$A$2:$A$2500)=AL$3)*(Gastos!$B$2:$B$2500=$A33)*(Gastos!$D$2:$D$2500))</f>
        <v>0</v>
      </c>
      <c r="AM33" s="75">
        <f t="array" ref="AM33">SUM((YEAR(Gastos!$A$2:$A$2500)=AM$1)*(MONTH(Gastos!$A$2:$A$2500)=AM$3)*(Gastos!$B$2:$B$2500=$A33)*(Gastos!$D$2:$D$2500))</f>
        <v>0</v>
      </c>
      <c r="AN33" s="75">
        <f t="array" ref="AN33">SUM((YEAR(Gastos!$A$2:$A$2500)=AN$1)*(MONTH(Gastos!$A$2:$A$2500)=AN$3)*(Gastos!$B$2:$B$2500=$A33)*(Gastos!$D$2:$D$2500))</f>
        <v>0</v>
      </c>
      <c r="AO33" s="75">
        <f t="array" ref="AO33">SUM((YEAR(Gastos!$A$2:$A$2500)=AO$1)*(MONTH(Gastos!$A$2:$A$2500)=AO$3)*(Gastos!$B$2:$B$2500=$A33)*(Gastos!$D$2:$D$2500))</f>
        <v>0</v>
      </c>
      <c r="AP33" s="75">
        <f t="array" ref="AP33">SUM((YEAR(Gastos!$A$2:$A$2500)=AP$1)*(MONTH(Gastos!$A$2:$A$2500)=AP$3)*(Gastos!$B$2:$B$2500=$A33)*(Gastos!$D$2:$D$2500))</f>
        <v>0</v>
      </c>
      <c r="AQ33" s="75">
        <f t="array" ref="AQ33">SUM((YEAR(Gastos!$A$2:$A$2500)=AQ$1)*(MONTH(Gastos!$A$2:$A$2500)=AQ$3)*(Gastos!$B$2:$B$2500=$A33)*(Gastos!$D$2:$D$2500))</f>
        <v>0</v>
      </c>
      <c r="AR33" s="75">
        <f t="array" ref="AR33">SUM((YEAR(Gastos!$A$2:$A$2500)=AR$1)*(MONTH(Gastos!$A$2:$A$2500)=AR$3)*(Gastos!$B$2:$B$2500=$A33)*(Gastos!$D$2:$D$2500))</f>
        <v>0</v>
      </c>
      <c r="AS33" s="75">
        <f t="array" ref="AS33">SUM((YEAR(Gastos!$A$2:$A$2500)=AS$1)*(MONTH(Gastos!$A$2:$A$2500)=AS$3)*(Gastos!$B$2:$B$2500=$A33)*(Gastos!$D$2:$D$2500))</f>
        <v>0</v>
      </c>
      <c r="AT33" s="75">
        <f t="array" ref="AT33">SUM((YEAR(Gastos!$A$2:$A$2500)=AT$1)*(MONTH(Gastos!$A$2:$A$2500)=AT$3)*(Gastos!$B$2:$B$2500=$A33)*(Gastos!$D$2:$D$2500))</f>
        <v>0</v>
      </c>
      <c r="AU33" s="75">
        <f t="array" ref="AU33">SUM((YEAR(Gastos!$A$2:$A$2500)=AU$1)*(MONTH(Gastos!$A$2:$A$2500)=AU$3)*(Gastos!$B$2:$B$2500=$A33)*(Gastos!$D$2:$D$2500))</f>
        <v>0</v>
      </c>
      <c r="AV33" s="75">
        <f t="array" ref="AV33">SUM((YEAR(Gastos!$A$2:$A$2500)=AV$1)*(MONTH(Gastos!$A$2:$A$2500)=AV$3)*(Gastos!$B$2:$B$2500=$A33)*(Gastos!$D$2:$D$2500))</f>
        <v>0</v>
      </c>
      <c r="AW33" s="75">
        <f t="array" ref="AW33">SUM((YEAR(Gastos!$A$2:$A$2500)=AW$1)*(MONTH(Gastos!$A$2:$A$2500)=AW$3)*(Gastos!$B$2:$B$2500=$A33)*(Gastos!$D$2:$D$2500))</f>
        <v>0</v>
      </c>
      <c r="AX33" s="75">
        <f t="array" ref="AX33">SUM((YEAR(Gastos!$A$2:$A$2500)=AX$1)*(MONTH(Gastos!$A$2:$A$2500)=AX$3)*(Gastos!$B$2:$B$2500=$A33)*(Gastos!$D$2:$D$2500))</f>
        <v>0</v>
      </c>
      <c r="AY33" s="75">
        <f t="array" ref="AY33">SUM((YEAR(Gastos!$A$2:$A$2500)=AY$1)*(MONTH(Gastos!$A$2:$A$2500)=AY$3)*(Gastos!$B$2:$B$2500=$A33)*(Gastos!$D$2:$D$2500))</f>
        <v>0</v>
      </c>
      <c r="AZ33" s="75">
        <f t="array" ref="AZ33">SUM((YEAR(Gastos!$A$2:$A$2500)=AZ$1)*(MONTH(Gastos!$A$2:$A$2500)=AZ$3)*(Gastos!$B$2:$B$2500=$A33)*(Gastos!$D$2:$D$2500))</f>
        <v>0</v>
      </c>
      <c r="BA33" s="75">
        <f t="array" ref="BA33">SUM((YEAR(Gastos!$A$2:$A$2500)=BA$1)*(MONTH(Gastos!$A$2:$A$2500)=BA$3)*(Gastos!$B$2:$B$2500=$A33)*(Gastos!$D$2:$D$2500))</f>
        <v>0</v>
      </c>
      <c r="BB33" s="75">
        <f t="array" ref="BB33">SUM((YEAR(Gastos!$A$2:$A$2500)=BB$1)*(MONTH(Gastos!$A$2:$A$2500)=BB$3)*(Gastos!$B$2:$B$2500=$A33)*(Gastos!$D$2:$D$2500))</f>
        <v>0</v>
      </c>
      <c r="BC33" s="75">
        <f t="array" ref="BC33">SUM((YEAR(Gastos!$A$2:$A$2500)=BC$1)*(MONTH(Gastos!$A$2:$A$2500)=BC$3)*(Gastos!$B$2:$B$2500=$A33)*(Gastos!$D$2:$D$2500))</f>
        <v>0</v>
      </c>
      <c r="BD33" s="75">
        <f t="array" ref="BD33">SUM((YEAR(Gastos!$A$2:$A$2500)=BD$1)*(MONTH(Gastos!$A$2:$A$2500)=BD$3)*(Gastos!$B$2:$B$2500=$A33)*(Gastos!$D$2:$D$2500))</f>
        <v>0</v>
      </c>
      <c r="BE33" s="75">
        <f t="array" ref="BE33">SUM((YEAR(Gastos!$A$2:$A$2500)=BE$1)*(MONTH(Gastos!$A$2:$A$2500)=BE$3)*(Gastos!$B$2:$B$2500=$A33)*(Gastos!$D$2:$D$2500))</f>
        <v>0</v>
      </c>
      <c r="BF33" s="75">
        <f t="array" ref="BF33">SUM((YEAR(Gastos!$A$2:$A$2500)=BF$1)*(MONTH(Gastos!$A$2:$A$2500)=BF$3)*(Gastos!$B$2:$B$2500=$A33)*(Gastos!$D$2:$D$2500))</f>
        <v>0</v>
      </c>
      <c r="BG33" s="75">
        <f t="array" ref="BG33">SUM((YEAR(Gastos!$A$2:$A$2500)=BG$1)*(MONTH(Gastos!$A$2:$A$2500)=BG$3)*(Gastos!$B$2:$B$2500=$A33)*(Gastos!$D$2:$D$2500))</f>
        <v>0</v>
      </c>
      <c r="BH33" s="75">
        <f t="array" ref="BH33">SUM((YEAR(Gastos!$A$2:$A$2500)=BH$1)*(MONTH(Gastos!$A$2:$A$2500)=BH$3)*(Gastos!$B$2:$B$2500=$A33)*(Gastos!$D$2:$D$2500))</f>
        <v>0</v>
      </c>
      <c r="BI33" s="75">
        <f t="array" ref="BI33">SUM((YEAR(Gastos!$A$2:$A$2500)=BI$1)*(MONTH(Gastos!$A$2:$A$2500)=BI$3)*(Gastos!$B$2:$B$2500=$A33)*(Gastos!$D$2:$D$2500))</f>
        <v>0</v>
      </c>
      <c r="BJ33" s="75">
        <f t="array" ref="BJ33">SUM((YEAR(Gastos!$A$2:$A$2500)=BJ$1)*(MONTH(Gastos!$A$2:$A$2500)=BJ$3)*(Gastos!$B$2:$B$2500=$A33)*(Gastos!$D$2:$D$2500))</f>
        <v>0</v>
      </c>
      <c r="BK33" s="75">
        <f t="array" ref="BK33">SUM((YEAR(Gastos!$A$2:$A$2500)=BK$1)*(MONTH(Gastos!$A$2:$A$2500)=BK$3)*(Gastos!$B$2:$B$2500=$A33)*(Gastos!$D$2:$D$2500))</f>
        <v>0</v>
      </c>
      <c r="BL33" s="75">
        <f t="array" ref="BL33">SUM((YEAR(Gastos!$A$2:$A$2500)=BL$1)*(MONTH(Gastos!$A$2:$A$2500)=BL$3)*(Gastos!$B$2:$B$2500=$A33)*(Gastos!$D$2:$D$2500))</f>
        <v>0</v>
      </c>
      <c r="BM33" s="75">
        <f t="array" ref="BM33">SUM((YEAR(Gastos!$A$2:$A$2500)=BM$1)*(MONTH(Gastos!$A$2:$A$2500)=BM$3)*(Gastos!$B$2:$B$2500=$A33)*(Gastos!$D$2:$D$2500))</f>
        <v>0</v>
      </c>
      <c r="BN33" s="75">
        <f t="array" ref="BN33">SUM((YEAR(Gastos!$A$2:$A$2500)=BN$1)*(MONTH(Gastos!$A$2:$A$2500)=BN$3)*(Gastos!$B$2:$B$2500=$A33)*(Gastos!$D$2:$D$2500))</f>
        <v>0</v>
      </c>
      <c r="BO33" s="75">
        <f t="array" ref="BO33">SUM((YEAR(Gastos!$A$2:$A$2500)=BO$1)*(MONTH(Gastos!$A$2:$A$2500)=BO$3)*(Gastos!$B$2:$B$2500=$A33)*(Gastos!$D$2:$D$2500))</f>
        <v>0</v>
      </c>
      <c r="BP33" s="75">
        <f t="array" ref="BP33">SUM((YEAR(Gastos!$A$2:$A$2500)=BP$1)*(MONTH(Gastos!$A$2:$A$2500)=BP$3)*(Gastos!$B$2:$B$2500=$A33)*(Gastos!$D$2:$D$2500))</f>
        <v>0</v>
      </c>
      <c r="BQ33" s="75">
        <f t="array" ref="BQ33">SUM((YEAR(Gastos!$A$2:$A$2500)=BQ$1)*(MONTH(Gastos!$A$2:$A$2500)=BQ$3)*(Gastos!$B$2:$B$2500=$A33)*(Gastos!$D$2:$D$2500))</f>
        <v>0</v>
      </c>
      <c r="BR33" s="75">
        <f t="array" ref="BR33">SUM((YEAR(Gastos!$A$2:$A$2500)=BR$1)*(MONTH(Gastos!$A$2:$A$2500)=BR$3)*(Gastos!$B$2:$B$2500=$A33)*(Gastos!$D$2:$D$2500))</f>
        <v>0</v>
      </c>
      <c r="BS33" s="75">
        <f t="array" ref="BS33">SUM((YEAR(Gastos!$A$2:$A$2500)=BS$1)*(MONTH(Gastos!$A$2:$A$2500)=BS$3)*(Gastos!$B$2:$B$2500=$A33)*(Gastos!$D$2:$D$2500))</f>
        <v>0</v>
      </c>
      <c r="BT33" s="75">
        <f t="array" ref="BT33">SUM((YEAR(Gastos!$A$2:$A$2500)=BT$1)*(MONTH(Gastos!$A$2:$A$2500)=BT$3)*(Gastos!$B$2:$B$2500=$A33)*(Gastos!$D$2:$D$2500))</f>
        <v>0</v>
      </c>
      <c r="BU33" s="75">
        <f t="array" ref="BU33">SUM((YEAR(Gastos!$A$2:$A$2500)=BU$1)*(MONTH(Gastos!$A$2:$A$2500)=BU$3)*(Gastos!$B$2:$B$2500=$A33)*(Gastos!$D$2:$D$2500))</f>
        <v>0</v>
      </c>
      <c r="BV33" s="75">
        <f t="array" ref="BV33">SUM((YEAR(Gastos!$A$2:$A$2500)=BV$1)*(MONTH(Gastos!$A$2:$A$2500)=BV$3)*(Gastos!$B$2:$B$2500=$A33)*(Gastos!$D$2:$D$2500))</f>
        <v>0</v>
      </c>
      <c r="BW33" s="75">
        <f t="array" ref="BW33">SUM((YEAR(Gastos!$A$2:$A$2500)=BW$1)*(MONTH(Gastos!$A$2:$A$2500)=BW$3)*(Gastos!$B$2:$B$2500=$A33)*(Gastos!$D$2:$D$2500))</f>
        <v>0</v>
      </c>
      <c r="BX33" s="75">
        <f t="array" ref="BX33">SUM((YEAR(Gastos!$A$2:$A$2500)=BX$1)*(MONTH(Gastos!$A$2:$A$2500)=BX$3)*(Gastos!$B$2:$B$2500=$A33)*(Gastos!$D$2:$D$2500))</f>
        <v>0</v>
      </c>
      <c r="BY33" s="75">
        <f t="array" ref="BY33">SUM((YEAR(Gastos!$A$2:$A$2500)=BY$1)*(MONTH(Gastos!$A$2:$A$2500)=BY$3)*(Gastos!$B$2:$B$2500=$A33)*(Gastos!$D$2:$D$2500))</f>
        <v>0</v>
      </c>
      <c r="BZ33" s="75">
        <f t="array" ref="BZ33">SUM((YEAR(Gastos!$A$2:$A$2500)=BZ$1)*(MONTH(Gastos!$A$2:$A$2500)=BZ$3)*(Gastos!$B$2:$B$2500=$A33)*(Gastos!$D$2:$D$2500))</f>
        <v>0</v>
      </c>
      <c r="CA33" s="75">
        <f t="array" ref="CA33">SUM((YEAR(Gastos!$A$2:$A$2500)=CA$1)*(MONTH(Gastos!$A$2:$A$2500)=CA$3)*(Gastos!$B$2:$B$2500=$A33)*(Gastos!$D$2:$D$2500))</f>
        <v>0</v>
      </c>
      <c r="CB33" s="75">
        <f t="array" ref="CB33">SUM((YEAR(Gastos!$A$2:$A$2500)=CB$1)*(MONTH(Gastos!$A$2:$A$2500)=CB$3)*(Gastos!$B$2:$B$2500=$A33)*(Gastos!$D$2:$D$2500))</f>
        <v>0</v>
      </c>
      <c r="CC33" s="75">
        <f t="array" ref="CC33">SUM((YEAR(Gastos!$A$2:$A$2500)=CC$1)*(MONTH(Gastos!$A$2:$A$2500)=CC$3)*(Gastos!$B$2:$B$2500=$A33)*(Gastos!$D$2:$D$2500))</f>
        <v>0</v>
      </c>
      <c r="CD33" s="75">
        <f t="array" ref="CD33">SUM((YEAR(Gastos!$A$2:$A$2500)=CD$1)*(MONTH(Gastos!$A$2:$A$2500)=CD$3)*(Gastos!$B$2:$B$2500=$A33)*(Gastos!$D$2:$D$2500))</f>
        <v>0</v>
      </c>
      <c r="CE33" s="75">
        <f t="array" ref="CE33">SUM((YEAR(Gastos!$A$2:$A$2500)=CE$1)*(MONTH(Gastos!$A$2:$A$2500)=CE$3)*(Gastos!$B$2:$B$2500=$A33)*(Gastos!$D$2:$D$2500))</f>
        <v>0</v>
      </c>
      <c r="CF33" s="75">
        <f t="array" ref="CF33">SUM((YEAR(Gastos!$A$2:$A$2500)=CF$1)*(MONTH(Gastos!$A$2:$A$2500)=CF$3)*(Gastos!$B$2:$B$2500=$A33)*(Gastos!$D$2:$D$2500))</f>
        <v>0</v>
      </c>
      <c r="CG33" s="75">
        <f t="array" ref="CG33">SUM((YEAR(Gastos!$A$2:$A$2500)=CG$1)*(MONTH(Gastos!$A$2:$A$2500)=CG$3)*(Gastos!$B$2:$B$2500=$A33)*(Gastos!$D$2:$D$2500))</f>
        <v>0</v>
      </c>
      <c r="CH33" s="75">
        <f t="array" ref="CH33">SUM((YEAR(Gastos!$A$2:$A$2500)=CH$1)*(MONTH(Gastos!$A$2:$A$2500)=CH$3)*(Gastos!$B$2:$B$2500=$A33)*(Gastos!$D$2:$D$2500))</f>
        <v>0</v>
      </c>
      <c r="CI33" s="75">
        <f t="array" ref="CI33">SUM((YEAR(Gastos!$A$2:$A$2500)=CI$1)*(MONTH(Gastos!$A$2:$A$2500)=CI$3)*(Gastos!$B$2:$B$2500=$A33)*(Gastos!$D$2:$D$2500))</f>
        <v>0</v>
      </c>
      <c r="CJ33" s="75">
        <f t="array" ref="CJ33">SUM((YEAR(Gastos!$A$2:$A$2500)=CJ$1)*(MONTH(Gastos!$A$2:$A$2500)=CJ$3)*(Gastos!$B$2:$B$2500=$A33)*(Gastos!$D$2:$D$2500))</f>
        <v>0</v>
      </c>
      <c r="CK33" s="75">
        <f t="array" ref="CK33">SUM((YEAR(Gastos!$A$2:$A$2500)=CK$1)*(MONTH(Gastos!$A$2:$A$2500)=CK$3)*(Gastos!$B$2:$B$2500=$A33)*(Gastos!$D$2:$D$2500))</f>
        <v>0</v>
      </c>
      <c r="CL33" s="75">
        <f t="array" ref="CL33">SUM((YEAR(Gastos!$A$2:$A$2500)=CL$1)*(MONTH(Gastos!$A$2:$A$2500)=CL$3)*(Gastos!$B$2:$B$2500=$A33)*(Gastos!$D$2:$D$2500))</f>
        <v>0</v>
      </c>
      <c r="CM33" s="75">
        <f t="array" ref="CM33">SUM((YEAR(Gastos!$A$2:$A$2500)=CM$1)*(MONTH(Gastos!$A$2:$A$2500)=CM$3)*(Gastos!$B$2:$B$2500=$A33)*(Gastos!$D$2:$D$2500))</f>
        <v>0</v>
      </c>
      <c r="CN33" s="75">
        <f t="array" ref="CN33">SUM((YEAR(Gastos!$A$2:$A$2500)=CN$1)*(MONTH(Gastos!$A$2:$A$2500)=CN$3)*(Gastos!$B$2:$B$2500=$A33)*(Gastos!$D$2:$D$2500))</f>
        <v>0</v>
      </c>
      <c r="CO33" s="75">
        <f t="array" ref="CO33">SUM((YEAR(Gastos!$A$2:$A$2500)=CO$1)*(MONTH(Gastos!$A$2:$A$2500)=CO$3)*(Gastos!$B$2:$B$2500=$A33)*(Gastos!$D$2:$D$2500))</f>
        <v>0</v>
      </c>
      <c r="CP33" s="75">
        <f t="array" ref="CP33">SUM((YEAR(Gastos!$A$2:$A$2500)=CP$1)*(MONTH(Gastos!$A$2:$A$2500)=CP$3)*(Gastos!$B$2:$B$2500=$A33)*(Gastos!$D$2:$D$2500))</f>
        <v>0</v>
      </c>
      <c r="CQ33" s="75">
        <f t="array" ref="CQ33">SUM((YEAR(Gastos!$A$2:$A$2500)=CQ$1)*(MONTH(Gastos!$A$2:$A$2500)=CQ$3)*(Gastos!$B$2:$B$2500=$A33)*(Gastos!$D$2:$D$2500))</f>
        <v>0</v>
      </c>
      <c r="CR33" s="75">
        <f t="array" ref="CR33">SUM((YEAR(Gastos!$A$2:$A$2500)=CR$1)*(MONTH(Gastos!$A$2:$A$2500)=CR$3)*(Gastos!$B$2:$B$2500=$A33)*(Gastos!$D$2:$D$2500))</f>
        <v>0</v>
      </c>
      <c r="CS33" s="75">
        <f t="array" ref="CS33">SUM((YEAR(Gastos!$A$2:$A$2500)=CS$1)*(MONTH(Gastos!$A$2:$A$2500)=CS$3)*(Gastos!$B$2:$B$2500=$A33)*(Gastos!$D$2:$D$2500))</f>
        <v>0</v>
      </c>
      <c r="CT33" s="75">
        <f t="array" ref="CT33">SUM((YEAR(Gastos!$A$2:$A$2500)=CT$1)*(MONTH(Gastos!$A$2:$A$2500)=CT$3)*(Gastos!$B$2:$B$2500=$A33)*(Gastos!$D$2:$D$2500))</f>
        <v>0</v>
      </c>
      <c r="CU33" s="75">
        <f t="array" ref="CU33">SUM((YEAR(Gastos!$A$2:$A$2500)=CU$1)*(MONTH(Gastos!$A$2:$A$2500)=CU$3)*(Gastos!$B$2:$B$2500=$A33)*(Gastos!$D$2:$D$2500))</f>
        <v>0</v>
      </c>
      <c r="CV33" s="75">
        <f t="array" ref="CV33">SUM((YEAR(Gastos!$A$2:$A$2500)=CV$1)*(MONTH(Gastos!$A$2:$A$2500)=CV$3)*(Gastos!$B$2:$B$2500=$A33)*(Gastos!$D$2:$D$2500))</f>
        <v>0</v>
      </c>
      <c r="CW33" s="75">
        <f t="array" ref="CW33">SUM((YEAR(Gastos!$A$2:$A$2500)=CW$1)*(MONTH(Gastos!$A$2:$A$2500)=CW$3)*(Gastos!$B$2:$B$2500=$A33)*(Gastos!$D$2:$D$2500))</f>
        <v>0</v>
      </c>
      <c r="CX33" s="75">
        <f t="array" ref="CX33">SUM((YEAR(Gastos!$A$2:$A$2500)=CX$1)*(MONTH(Gastos!$A$2:$A$2500)=CX$3)*(Gastos!$B$2:$B$2500=$A33)*(Gastos!$D$2:$D$2500))</f>
        <v>0</v>
      </c>
      <c r="CY33" s="75">
        <f t="array" ref="CY33">SUM((YEAR(Gastos!$A$2:$A$2500)=CY$1)*(MONTH(Gastos!$A$2:$A$2500)=CY$3)*(Gastos!$B$2:$B$2500=$A33)*(Gastos!$D$2:$D$2500))</f>
        <v>0</v>
      </c>
      <c r="CZ33" s="75">
        <f t="array" ref="CZ33">SUM((YEAR(Gastos!$A$2:$A$2500)=CZ$1)*(MONTH(Gastos!$A$2:$A$2500)=CZ$3)*(Gastos!$B$2:$B$2500=$A33)*(Gastos!$D$2:$D$2500))</f>
        <v>0</v>
      </c>
      <c r="DA33" s="75">
        <f t="array" ref="DA33">SUM((YEAR(Gastos!$A$2:$A$2500)=DA$1)*(MONTH(Gastos!$A$2:$A$2500)=DA$3)*(Gastos!$B$2:$B$2500=$A33)*(Gastos!$D$2:$D$2500))</f>
        <v>0</v>
      </c>
      <c r="DB33" s="75">
        <f t="array" ref="DB33">SUM((YEAR(Gastos!$A$2:$A$2500)=DB$1)*(MONTH(Gastos!$A$2:$A$2500)=DB$3)*(Gastos!$B$2:$B$2500=$A33)*(Gastos!$D$2:$D$2500))</f>
        <v>0</v>
      </c>
      <c r="DC33" s="75">
        <f t="array" ref="DC33">SUM((YEAR(Gastos!$A$2:$A$2500)=DC$1)*(MONTH(Gastos!$A$2:$A$2500)=DC$3)*(Gastos!$B$2:$B$2500=$A33)*(Gastos!$D$2:$D$2500))</f>
        <v>0</v>
      </c>
      <c r="DD33" s="75">
        <f t="array" ref="DD33">SUM((YEAR(Gastos!$A$2:$A$2500)=DD$1)*(MONTH(Gastos!$A$2:$A$2500)=DD$3)*(Gastos!$B$2:$B$2500=$A33)*(Gastos!$D$2:$D$2500))</f>
        <v>0</v>
      </c>
      <c r="DE33" s="75">
        <f t="array" ref="DE33">SUM((YEAR(Gastos!$A$2:$A$2500)=DE$1)*(MONTH(Gastos!$A$2:$A$2500)=DE$3)*(Gastos!$B$2:$B$2500=$A33)*(Gastos!$D$2:$D$2500))</f>
        <v>0</v>
      </c>
      <c r="DF33" s="75">
        <f t="array" ref="DF33">SUM((YEAR(Gastos!$A$2:$A$2500)=DF$1)*(MONTH(Gastos!$A$2:$A$2500)=DF$3)*(Gastos!$B$2:$B$2500=$A33)*(Gastos!$D$2:$D$2500))</f>
        <v>0</v>
      </c>
      <c r="DG33" s="75">
        <f t="array" ref="DG33">SUM((YEAR(Gastos!$A$2:$A$2500)=DG$1)*(MONTH(Gastos!$A$2:$A$2500)=DG$3)*(Gastos!$B$2:$B$2500=$A33)*(Gastos!$D$2:$D$2500))</f>
        <v>0</v>
      </c>
      <c r="DH33" s="75">
        <f t="array" ref="DH33">SUM((YEAR(Gastos!$A$2:$A$2500)=DH$1)*(MONTH(Gastos!$A$2:$A$2500)=DH$3)*(Gastos!$B$2:$B$2500=$A33)*(Gastos!$D$2:$D$2500))</f>
        <v>0</v>
      </c>
      <c r="DI33" s="75">
        <f t="array" ref="DI33">SUM((YEAR(Gastos!$A$2:$A$2500)=DI$1)*(MONTH(Gastos!$A$2:$A$2500)=DI$3)*(Gastos!$B$2:$B$2500=$A33)*(Gastos!$D$2:$D$2500))</f>
        <v>0</v>
      </c>
      <c r="DJ33" s="75">
        <f t="array" ref="DJ33">SUM((YEAR(Gastos!$A$2:$A$2500)=DJ$1)*(MONTH(Gastos!$A$2:$A$2500)=DJ$3)*(Gastos!$B$2:$B$2500=$A33)*(Gastos!$D$2:$D$2500))</f>
        <v>0</v>
      </c>
      <c r="DK33" s="75">
        <f t="array" ref="DK33">SUM((YEAR(Gastos!$A$2:$A$2500)=DK$1)*(MONTH(Gastos!$A$2:$A$2500)=DK$3)*(Gastos!$B$2:$B$2500=$A33)*(Gastos!$D$2:$D$2500))</f>
        <v>0</v>
      </c>
      <c r="DL33" s="75">
        <f t="array" ref="DL33">SUM((YEAR(Gastos!$A$2:$A$2500)=DL$1)*(MONTH(Gastos!$A$2:$A$2500)=DL$3)*(Gastos!$B$2:$B$2500=$A33)*(Gastos!$D$2:$D$2500))</f>
        <v>0</v>
      </c>
      <c r="DM33" s="75">
        <f t="array" ref="DM33">SUM((YEAR(Gastos!$A$2:$A$2500)=DM$1)*(MONTH(Gastos!$A$2:$A$2500)=DM$3)*(Gastos!$B$2:$B$2500=$A33)*(Gastos!$D$2:$D$2500))</f>
        <v>0</v>
      </c>
      <c r="DN33" s="75">
        <f t="array" ref="DN33">SUM((YEAR(Gastos!$A$2:$A$2500)=DN$1)*(MONTH(Gastos!$A$2:$A$2500)=DN$3)*(Gastos!$B$2:$B$2500=$A33)*(Gastos!$D$2:$D$2500))</f>
        <v>0</v>
      </c>
      <c r="DO33" s="75">
        <f t="array" ref="DO33">SUM((YEAR(Gastos!$A$2:$A$2500)=DO$1)*(MONTH(Gastos!$A$2:$A$2500)=DO$3)*(Gastos!$B$2:$B$2500=$A33)*(Gastos!$D$2:$D$2500))</f>
        <v>0</v>
      </c>
      <c r="DP33" s="75">
        <f t="array" ref="DP33">SUM((YEAR(Gastos!$A$2:$A$2500)=DP$1)*(MONTH(Gastos!$A$2:$A$2500)=DP$3)*(Gastos!$B$2:$B$2500=$A33)*(Gastos!$D$2:$D$2500))</f>
        <v>0</v>
      </c>
      <c r="DQ33" s="75">
        <f t="array" ref="DQ33">SUM((YEAR(Gastos!$A$2:$A$2500)=DQ$1)*(MONTH(Gastos!$A$2:$A$2500)=DQ$3)*(Gastos!$B$2:$B$2500=$A33)*(Gastos!$D$2:$D$2500))</f>
        <v>0</v>
      </c>
      <c r="DR33" s="75">
        <f t="array" ref="DR33">SUM((YEAR(Gastos!$A$2:$A$2500)=DR$1)*(MONTH(Gastos!$A$2:$A$2500)=DR$3)*(Gastos!$B$2:$B$2500=$A33)*(Gastos!$D$2:$D$2500))</f>
        <v>0</v>
      </c>
      <c r="DS33" s="75">
        <f t="array" ref="DS33">SUM((YEAR(Gastos!$A$2:$A$2500)=DS$1)*(MONTH(Gastos!$A$2:$A$2500)=DS$3)*(Gastos!$B$2:$B$2500=$A33)*(Gastos!$D$2:$D$2500))</f>
        <v>0</v>
      </c>
      <c r="DT33" s="75">
        <f t="array" ref="DT33">SUM((YEAR(Gastos!$A$2:$A$2500)=DT$1)*(MONTH(Gastos!$A$2:$A$2500)=DT$3)*(Gastos!$B$2:$B$2500=$A33)*(Gastos!$D$2:$D$2500))</f>
        <v>0</v>
      </c>
      <c r="DU33" s="75">
        <f t="array" ref="DU33">SUM((YEAR(Gastos!$A$2:$A$2500)=DU$1)*(MONTH(Gastos!$A$2:$A$2500)=DU$3)*(Gastos!$B$2:$B$2500=$A33)*(Gastos!$D$2:$D$2500))</f>
        <v>0</v>
      </c>
      <c r="DV33" s="75">
        <f t="array" ref="DV33">SUM((YEAR(Gastos!$A$2:$A$2500)=DV$1)*(MONTH(Gastos!$A$2:$A$2500)=DV$3)*(Gastos!$B$2:$B$2500=$A33)*(Gastos!$D$2:$D$2500))</f>
        <v>0</v>
      </c>
      <c r="DW33" s="75">
        <f t="array" ref="DW33">SUM((YEAR(Gastos!$A$2:$A$2500)=DW$1)*(MONTH(Gastos!$A$2:$A$2500)=DW$3)*(Gastos!$B$2:$B$2500=$A33)*(Gastos!$D$2:$D$2500))</f>
        <v>0</v>
      </c>
      <c r="DX33" s="75">
        <f t="array" ref="DX33">SUM((YEAR(Gastos!$A$2:$A$2500)=DX$1)*(MONTH(Gastos!$A$2:$A$2500)=DX$3)*(Gastos!$B$2:$B$2500=$A33)*(Gastos!$D$2:$D$2500))</f>
        <v>0</v>
      </c>
      <c r="DY33" s="75">
        <f t="array" ref="DY33">SUM((YEAR(Gastos!$A$2:$A$2500)=DY$1)*(MONTH(Gastos!$A$2:$A$2500)=DY$3)*(Gastos!$B$2:$B$2500=$A33)*(Gastos!$D$2:$D$2500))</f>
        <v>0</v>
      </c>
      <c r="DZ33" s="75">
        <f t="array" ref="DZ33">SUM((YEAR(Gastos!$A$2:$A$2500)=DZ$1)*(MONTH(Gastos!$A$2:$A$2500)=DZ$3)*(Gastos!$B$2:$B$2500=$A33)*(Gastos!$D$2:$D$2500))</f>
        <v>0</v>
      </c>
      <c r="EA33" s="75">
        <f t="array" ref="EA33">SUM((YEAR(Gastos!$A$2:$A$2500)=EA$1)*(MONTH(Gastos!$A$2:$A$2500)=EA$3)*(Gastos!$B$2:$B$2500=$A33)*(Gastos!$D$2:$D$2500))</f>
        <v>0</v>
      </c>
      <c r="EB33" s="75">
        <f t="array" ref="EB33">SUM((YEAR(Gastos!$A$2:$A$2500)=EB$1)*(MONTH(Gastos!$A$2:$A$2500)=EB$3)*(Gastos!$B$2:$B$2500=$A33)*(Gastos!$D$2:$D$2500))</f>
        <v>0</v>
      </c>
      <c r="EC33" s="75">
        <f t="array" ref="EC33">SUM((YEAR(Gastos!$A$2:$A$2500)=EC$1)*(MONTH(Gastos!$A$2:$A$2500)=EC$3)*(Gastos!$B$2:$B$2500=$A33)*(Gastos!$D$2:$D$2500))</f>
        <v>0</v>
      </c>
      <c r="ED33" s="75">
        <f t="array" ref="ED33">SUM((YEAR(Gastos!$A$2:$A$2500)=ED$1)*(MONTH(Gastos!$A$2:$A$2500)=ED$3)*(Gastos!$B$2:$B$2500=$A33)*(Gastos!$D$2:$D$2500))</f>
        <v>0</v>
      </c>
      <c r="EE33" s="75">
        <f t="array" ref="EE33">SUM((YEAR(Gastos!$A$2:$A$2500)=EE$1)*(MONTH(Gastos!$A$2:$A$2500)=EE$3)*(Gastos!$B$2:$B$2500=$A33)*(Gastos!$D$2:$D$2500))</f>
        <v>0</v>
      </c>
      <c r="EF33" s="75">
        <f t="array" ref="EF33">SUM((YEAR(Gastos!$A$2:$A$2500)=EF$1)*(MONTH(Gastos!$A$2:$A$2500)=EF$3)*(Gastos!$B$2:$B$2500=$A33)*(Gastos!$D$2:$D$2500))</f>
        <v>0</v>
      </c>
      <c r="EG33" s="75">
        <f t="array" ref="EG33">SUM((YEAR(Gastos!$A$2:$A$2500)=EG$1)*(MONTH(Gastos!$A$2:$A$2500)=EG$3)*(Gastos!$B$2:$B$2500=$A33)*(Gastos!$D$2:$D$2500))</f>
        <v>0</v>
      </c>
      <c r="EH33" s="75">
        <f t="array" ref="EH33">SUM((YEAR(Gastos!$A$2:$A$2500)=EH$1)*(MONTH(Gastos!$A$2:$A$2500)=EH$3)*(Gastos!$B$2:$B$2500=$A33)*(Gastos!$D$2:$D$2500))</f>
        <v>0</v>
      </c>
      <c r="EI33" s="75">
        <f t="array" ref="EI33">SUM((YEAR(Gastos!$A$2:$A$2500)=EI$1)*(MONTH(Gastos!$A$2:$A$2500)=EI$3)*(Gastos!$B$2:$B$2500=$A33)*(Gastos!$D$2:$D$2500))</f>
        <v>0</v>
      </c>
      <c r="EJ33" s="75">
        <f t="array" ref="EJ33">SUM((YEAR(Gastos!$A$2:$A$2500)=EJ$1)*(MONTH(Gastos!$A$2:$A$2500)=EJ$3)*(Gastos!$B$2:$B$2500=$A33)*(Gastos!$D$2:$D$2500))</f>
        <v>0</v>
      </c>
      <c r="EK33" s="75">
        <f t="array" ref="EK33">SUM((YEAR(Gastos!$A$2:$A$2500)=EK$1)*(MONTH(Gastos!$A$2:$A$2500)=EK$3)*(Gastos!$B$2:$B$2500=$A33)*(Gastos!$D$2:$D$2500))</f>
        <v>0</v>
      </c>
      <c r="EL33" s="75">
        <f t="array" ref="EL33">SUM((YEAR(Gastos!$A$2:$A$2500)=EL$1)*(MONTH(Gastos!$A$2:$A$2500)=EL$3)*(Gastos!$B$2:$B$2500=$A33)*(Gastos!$D$2:$D$2500))</f>
        <v>0</v>
      </c>
      <c r="EM33" s="75">
        <f t="array" ref="EM33">SUM((YEAR(Gastos!$A$2:$A$2500)=EM$1)*(MONTH(Gastos!$A$2:$A$2500)=EM$3)*(Gastos!$B$2:$B$2500=$A33)*(Gastos!$D$2:$D$2500))</f>
        <v>0</v>
      </c>
      <c r="EN33" s="75">
        <f t="array" ref="EN33">SUM((YEAR(Gastos!$A$2:$A$2500)=EN$1)*(MONTH(Gastos!$A$2:$A$2500)=EN$3)*(Gastos!$B$2:$B$2500=$A33)*(Gastos!$D$2:$D$2500))</f>
        <v>0</v>
      </c>
      <c r="EO33" s="75">
        <f t="array" ref="EO33">SUM((YEAR(Gastos!$A$2:$A$2500)=EO$1)*(MONTH(Gastos!$A$2:$A$2500)=EO$3)*(Gastos!$B$2:$B$2500=$A33)*(Gastos!$D$2:$D$2500))</f>
        <v>0</v>
      </c>
      <c r="EP33" s="75">
        <f t="array" ref="EP33">SUM((YEAR(Gastos!$A$2:$A$2500)=EP$1)*(MONTH(Gastos!$A$2:$A$2500)=EP$3)*(Gastos!$B$2:$B$2500=$A33)*(Gastos!$D$2:$D$2500))</f>
        <v>0</v>
      </c>
      <c r="EQ33" s="75">
        <f t="array" ref="EQ33">SUM((YEAR(Gastos!$A$2:$A$2500)=EQ$1)*(MONTH(Gastos!$A$2:$A$2500)=EQ$3)*(Gastos!$B$2:$B$2500=$A33)*(Gastos!$D$2:$D$2500))</f>
        <v>0</v>
      </c>
      <c r="ER33" s="75">
        <f t="array" ref="ER33">SUM((YEAR(Gastos!$A$2:$A$2500)=ER$1)*(MONTH(Gastos!$A$2:$A$2500)=ER$3)*(Gastos!$B$2:$B$2500=$A33)*(Gastos!$D$2:$D$2500))</f>
        <v>0</v>
      </c>
      <c r="ES33" s="75">
        <f t="array" ref="ES33">SUM((YEAR(Gastos!$A$2:$A$2500)=ES$1)*(MONTH(Gastos!$A$2:$A$2500)=ES$3)*(Gastos!$B$2:$B$2500=$A33)*(Gastos!$D$2:$D$2500))</f>
        <v>0</v>
      </c>
      <c r="ET33" s="75">
        <f t="array" ref="ET33">SUM((YEAR(Gastos!$A$2:$A$2500)=ET$1)*(MONTH(Gastos!$A$2:$A$2500)=ET$3)*(Gastos!$B$2:$B$2500=$A33)*(Gastos!$D$2:$D$2500))</f>
        <v>0</v>
      </c>
      <c r="EU33" s="75">
        <f t="array" ref="EU33">SUM((YEAR(Gastos!$A$2:$A$2500)=EU$1)*(MONTH(Gastos!$A$2:$A$2500)=EU$3)*(Gastos!$B$2:$B$2500=$A33)*(Gastos!$D$2:$D$2500))</f>
        <v>0</v>
      </c>
      <c r="EV33" s="75">
        <f t="array" ref="EV33">SUM((YEAR(Gastos!$A$2:$A$2500)=EV$1)*(MONTH(Gastos!$A$2:$A$2500)=EV$3)*(Gastos!$B$2:$B$2500=$A33)*(Gastos!$D$2:$D$2500))</f>
        <v>0</v>
      </c>
      <c r="EW33" s="75">
        <f t="array" ref="EW33">SUM((YEAR(Gastos!$A$2:$A$2500)=EW$1)*(MONTH(Gastos!$A$2:$A$2500)=EW$3)*(Gastos!$B$2:$B$2500=$A33)*(Gastos!$D$2:$D$2500))</f>
        <v>0</v>
      </c>
      <c r="EX33" s="75">
        <f t="array" ref="EX33">SUM((YEAR(Gastos!$A$2:$A$2500)=EX$1)*(MONTH(Gastos!$A$2:$A$2500)=EX$3)*(Gastos!$B$2:$B$2500=$A33)*(Gastos!$D$2:$D$2500))</f>
        <v>0</v>
      </c>
      <c r="EY33" s="75">
        <f t="array" ref="EY33">SUM((YEAR(Gastos!$A$2:$A$2500)=EY$1)*(MONTH(Gastos!$A$2:$A$2500)=EY$3)*(Gastos!$B$2:$B$2500=$A33)*(Gastos!$D$2:$D$2500))</f>
        <v>0</v>
      </c>
      <c r="EZ33" s="75">
        <f t="array" ref="EZ33">SUM((YEAR(Gastos!$A$2:$A$2500)=EZ$1)*(MONTH(Gastos!$A$2:$A$2500)=EZ$3)*(Gastos!$B$2:$B$2500=$A33)*(Gastos!$D$2:$D$2500))</f>
        <v>0</v>
      </c>
      <c r="FA33" s="75">
        <f t="array" ref="FA33">SUM((YEAR(Gastos!$A$2:$A$2500)=FA$1)*(MONTH(Gastos!$A$2:$A$2500)=FA$3)*(Gastos!$B$2:$B$2500=$A33)*(Gastos!$D$2:$D$2500))</f>
        <v>0</v>
      </c>
      <c r="FB33" s="75">
        <f t="array" ref="FB33">SUM((YEAR(Gastos!$A$2:$A$2500)=FB$1)*(MONTH(Gastos!$A$2:$A$2500)=FB$3)*(Gastos!$B$2:$B$2500=$A33)*(Gastos!$D$2:$D$2500))</f>
        <v>0</v>
      </c>
      <c r="FC33" s="75">
        <f t="array" ref="FC33">SUM((YEAR(Gastos!$A$2:$A$2500)=FC$1)*(MONTH(Gastos!$A$2:$A$2500)=FC$3)*(Gastos!$B$2:$B$2500=$A33)*(Gastos!$D$2:$D$2500))</f>
        <v>0</v>
      </c>
      <c r="FD33" s="75">
        <f t="array" ref="FD33">SUM((YEAR(Gastos!$A$2:$A$2500)=FD$1)*(MONTH(Gastos!$A$2:$A$2500)=FD$3)*(Gastos!$B$2:$B$2500=$A33)*(Gastos!$D$2:$D$2500))</f>
        <v>0</v>
      </c>
      <c r="FE33" s="75">
        <f t="array" ref="FE33">SUM((YEAR(Gastos!$A$2:$A$2500)=FE$1)*(MONTH(Gastos!$A$2:$A$2500)=FE$3)*(Gastos!$B$2:$B$2500=$A33)*(Gastos!$D$2:$D$2500))</f>
        <v>0</v>
      </c>
      <c r="FF33" s="75">
        <f t="array" ref="FF33">SUM((YEAR(Gastos!$A$2:$A$2500)=FF$1)*(MONTH(Gastos!$A$2:$A$2500)=FF$3)*(Gastos!$B$2:$B$2500=$A33)*(Gastos!$D$2:$D$2500))</f>
        <v>0</v>
      </c>
      <c r="FG33" s="75">
        <f t="array" ref="FG33">SUM((YEAR(Gastos!$A$2:$A$2500)=FG$1)*(MONTH(Gastos!$A$2:$A$2500)=FG$3)*(Gastos!$B$2:$B$2500=$A33)*(Gastos!$D$2:$D$2500))</f>
        <v>0</v>
      </c>
      <c r="FH33" s="75">
        <f t="array" ref="FH33">SUM((YEAR(Gastos!$A$2:$A$2500)=FH$1)*(MONTH(Gastos!$A$2:$A$2500)=FH$3)*(Gastos!$B$2:$B$2500=$A33)*(Gastos!$D$2:$D$2500))</f>
        <v>0</v>
      </c>
      <c r="FI33" s="75">
        <f t="array" ref="FI33">SUM((YEAR(Gastos!$A$2:$A$2500)=FI$1)*(MONTH(Gastos!$A$2:$A$2500)=FI$3)*(Gastos!$B$2:$B$2500=$A33)*(Gastos!$D$2:$D$2500))</f>
        <v>0</v>
      </c>
      <c r="FJ33" s="75">
        <f t="array" ref="FJ33">SUM((YEAR(Gastos!$A$2:$A$2500)=FJ$1)*(MONTH(Gastos!$A$2:$A$2500)=FJ$3)*(Gastos!$B$2:$B$2500=$A33)*(Gastos!$D$2:$D$2500))</f>
        <v>0</v>
      </c>
      <c r="FK33" s="75">
        <f t="array" ref="FK33">SUM((YEAR(Gastos!$A$2:$A$2500)=FK$1)*(MONTH(Gastos!$A$2:$A$2500)=FK$3)*(Gastos!$B$2:$B$2500=$A33)*(Gastos!$D$2:$D$2500))</f>
        <v>0</v>
      </c>
      <c r="FL33" s="75">
        <f t="array" ref="FL33">SUM((YEAR(Gastos!$A$2:$A$2500)=FL$1)*(MONTH(Gastos!$A$2:$A$2500)=FL$3)*(Gastos!$B$2:$B$2500=$A33)*(Gastos!$D$2:$D$2500))</f>
        <v>0</v>
      </c>
      <c r="FM33" s="75">
        <f t="array" ref="FM33">SUM((YEAR(Gastos!$A$2:$A$2500)=FM$1)*(MONTH(Gastos!$A$2:$A$2500)=FM$3)*(Gastos!$B$2:$B$2500=$A33)*(Gastos!$D$2:$D$2500))</f>
        <v>0</v>
      </c>
      <c r="FN33" s="75">
        <f t="array" ref="FN33">SUM((YEAR(Gastos!$A$2:$A$2500)=FN$1)*(MONTH(Gastos!$A$2:$A$2500)=FN$3)*(Gastos!$B$2:$B$2500=$A33)*(Gastos!$D$2:$D$2500))</f>
        <v>0</v>
      </c>
      <c r="FO33" s="75">
        <f t="array" ref="FO33">SUM((YEAR(Gastos!$A$2:$A$2500)=FO$1)*(MONTH(Gastos!$A$2:$A$2500)=FO$3)*(Gastos!$B$2:$B$2500=$A33)*(Gastos!$D$2:$D$2500))</f>
        <v>0</v>
      </c>
      <c r="FP33" s="75">
        <f t="array" ref="FP33">SUM((YEAR(Gastos!$A$2:$A$2500)=FP$1)*(MONTH(Gastos!$A$2:$A$2500)=FP$3)*(Gastos!$B$2:$B$2500=$A33)*(Gastos!$D$2:$D$2500))</f>
        <v>0</v>
      </c>
      <c r="FQ33" s="75">
        <f t="array" ref="FQ33">SUM((YEAR(Gastos!$A$2:$A$2500)=FQ$1)*(MONTH(Gastos!$A$2:$A$2500)=FQ$3)*(Gastos!$B$2:$B$2500=$A33)*(Gastos!$D$2:$D$2500))</f>
        <v>0</v>
      </c>
      <c r="FR33" s="75">
        <f t="array" ref="FR33">SUM((YEAR(Gastos!$A$2:$A$2500)=FR$1)*(MONTH(Gastos!$A$2:$A$2500)=FR$3)*(Gastos!$B$2:$B$2500=$A33)*(Gastos!$D$2:$D$2500))</f>
        <v>0</v>
      </c>
      <c r="FS33" s="75">
        <f t="array" ref="FS33">SUM((YEAR(Gastos!$A$2:$A$2500)=FS$1)*(MONTH(Gastos!$A$2:$A$2500)=FS$3)*(Gastos!$B$2:$B$2500=$A33)*(Gastos!$D$2:$D$2500))</f>
        <v>0</v>
      </c>
      <c r="FT33" s="75">
        <f t="array" ref="FT33">SUM((YEAR(Gastos!$A$2:$A$2500)=FT$1)*(MONTH(Gastos!$A$2:$A$2500)=FT$3)*(Gastos!$B$2:$B$2500=$A33)*(Gastos!$D$2:$D$2500))</f>
        <v>0</v>
      </c>
      <c r="FU33" s="75">
        <f t="array" ref="FU33">SUM((YEAR(Gastos!$A$2:$A$2500)=FU$1)*(MONTH(Gastos!$A$2:$A$2500)=FU$3)*(Gastos!$B$2:$B$2500=$A33)*(Gastos!$D$2:$D$2500))</f>
        <v>0</v>
      </c>
      <c r="FV33" s="75">
        <f t="array" ref="FV33">SUM((YEAR(Gastos!$A$2:$A$2500)=FV$1)*(MONTH(Gastos!$A$2:$A$2500)=FV$3)*(Gastos!$B$2:$B$2500=$A33)*(Gastos!$D$2:$D$2500))</f>
        <v>0</v>
      </c>
      <c r="FW33" s="75">
        <f t="array" ref="FW33">SUM((YEAR(Gastos!$A$2:$A$2500)=FW$1)*(MONTH(Gastos!$A$2:$A$2500)=FW$3)*(Gastos!$B$2:$B$2500=$A33)*(Gastos!$D$2:$D$2500))</f>
        <v>0</v>
      </c>
      <c r="FX33" s="75">
        <f t="array" ref="FX33">SUM((YEAR(Gastos!$A$2:$A$2500)=FX$1)*(MONTH(Gastos!$A$2:$A$2500)=FX$3)*(Gastos!$B$2:$B$2500=$A33)*(Gastos!$D$2:$D$2500))</f>
        <v>0</v>
      </c>
      <c r="FY33" s="75">
        <f t="array" ref="FY33">SUM((YEAR(Gastos!$A$2:$A$2500)=FY$1)*(MONTH(Gastos!$A$2:$A$2500)=FY$3)*(Gastos!$B$2:$B$2500=$A33)*(Gastos!$D$2:$D$2500))</f>
        <v>0</v>
      </c>
      <c r="FZ33" s="76">
        <f t="shared" si="65"/>
        <v>0</v>
      </c>
      <c r="GA33" s="80"/>
      <c r="GB33" s="78">
        <f t="shared" si="66"/>
        <v>0</v>
      </c>
      <c r="GF33" s="79">
        <f t="array" ref="GF33">SUM(((Gastos!$A$2:$A$1647)&gt;=GD$3)*((Gastos!$A$2:$A$1647)&lt;=GF$3)*(Gastos!$B$2:$B$1647=$A33)*(Gastos!$D$2:$D$1647))</f>
        <v>0</v>
      </c>
      <c r="GI33" s="79">
        <f t="array" ref="GI33">SUM(((Gastos!$A$2:$A$1647)&gt;=GG$3)*((Gastos!$A$2:$A$1647)&lt;=GI$3)*(Gastos!$B$2:$B$1647=$A33)*(Gastos!$D$2:$D$1647))</f>
        <v>0</v>
      </c>
    </row>
    <row r="34" spans="1:191" ht="15" thickBot="1" x14ac:dyDescent="0.4">
      <c r="A34" s="74" t="str">
        <f>Gastos!AA32</f>
        <v>V. JESUS CASTILLO ARIAS</v>
      </c>
      <c r="B34" s="75">
        <f t="array" ref="B34">SUM((YEAR(Gastos!$A$2:$A$2500)=B$1)*(MONTH(Gastos!$A$2:$A$2500)=B$3)*(Gastos!$B$2:$B$2500=$A34)*(Gastos!$D$2:$D$2500))</f>
        <v>0</v>
      </c>
      <c r="C34" s="75">
        <f t="array" ref="C34">SUM((YEAR(Gastos!$A$2:$A$2500)=C$1)*(MONTH(Gastos!$A$2:$A$2500)=C$3)*(Gastos!$B$2:$B$2500=$A34)*(Gastos!$D$2:$D$2500))</f>
        <v>0</v>
      </c>
      <c r="D34" s="75">
        <f t="array" ref="D34">SUM((YEAR(Gastos!$A$2:$A$2500)=D$1)*(MONTH(Gastos!$A$2:$A$2500)=D$3)*(Gastos!$B$2:$B$2500=$A34)*(Gastos!$D$2:$D$2500))</f>
        <v>0</v>
      </c>
      <c r="E34" s="75">
        <f t="array" ref="E34">SUM((YEAR(Gastos!$A$2:$A$2500)=E$1)*(MONTH(Gastos!$A$2:$A$2500)=E$3)*(Gastos!$B$2:$B$2500=$A34)*(Gastos!$D$2:$D$2500))</f>
        <v>0</v>
      </c>
      <c r="F34" s="75">
        <f t="array" ref="F34">SUM((YEAR(Gastos!$A$2:$A$2500)=F$1)*(MONTH(Gastos!$A$2:$A$2500)=F$3)*(Gastos!$B$2:$B$2500=$A34)*(Gastos!$D$2:$D$2500))</f>
        <v>0</v>
      </c>
      <c r="G34" s="75">
        <f t="array" ref="G34">SUM((YEAR(Gastos!$A$2:$A$2500)=G$1)*(MONTH(Gastos!$A$2:$A$2500)=G$3)*(Gastos!$B$2:$B$2500=$A34)*(Gastos!$D$2:$D$2500))</f>
        <v>0</v>
      </c>
      <c r="H34" s="75">
        <f t="array" ref="H34">SUM((YEAR(Gastos!$A$2:$A$2500)=H$1)*(MONTH(Gastos!$A$2:$A$2500)=H$3)*(Gastos!$B$2:$B$2500=$A34)*(Gastos!$D$2:$D$2500))</f>
        <v>0</v>
      </c>
      <c r="I34" s="75">
        <f t="array" ref="I34">SUM((YEAR(Gastos!$A$2:$A$2500)=I$1)*(MONTH(Gastos!$A$2:$A$2500)=I$3)*(Gastos!$B$2:$B$2500=$A34)*(Gastos!$D$2:$D$2500))</f>
        <v>0</v>
      </c>
      <c r="J34" s="75">
        <f t="array" ref="J34">SUM((YEAR(Gastos!$A$2:$A$2500)=J$1)*(MONTH(Gastos!$A$2:$A$2500)=J$3)*(Gastos!$B$2:$B$2500=$A34)*(Gastos!$D$2:$D$2500))</f>
        <v>0</v>
      </c>
      <c r="K34" s="75">
        <f t="array" ref="K34">SUM((YEAR(Gastos!$A$2:$A$2500)=K$1)*(MONTH(Gastos!$A$2:$A$2500)=K$3)*(Gastos!$B$2:$B$2500=$A34)*(Gastos!$D$2:$D$2500))</f>
        <v>0</v>
      </c>
      <c r="L34" s="75">
        <f t="array" ref="L34">SUM((YEAR(Gastos!$A$2:$A$2500)=L$1)*(MONTH(Gastos!$A$2:$A$2500)=L$3)*(Gastos!$B$2:$B$2500=$A34)*(Gastos!$D$2:$D$2500))</f>
        <v>0</v>
      </c>
      <c r="M34" s="75">
        <f t="array" ref="M34">SUM((YEAR(Gastos!$A$2:$A$2500)=M$1)*(MONTH(Gastos!$A$2:$A$2500)=M$3)*(Gastos!$B$2:$B$2500=$A34)*(Gastos!$D$2:$D$2500))</f>
        <v>0</v>
      </c>
      <c r="N34" s="75">
        <f t="array" ref="N34">SUM((YEAR(Gastos!$A$2:$A$2500)=N$1)*(MONTH(Gastos!$A$2:$A$2500)=N$3)*(Gastos!$B$2:$B$2500=$A34)*(Gastos!$D$2:$D$2500))</f>
        <v>0</v>
      </c>
      <c r="O34" s="75">
        <f t="array" ref="O34">SUM((YEAR(Gastos!$A$2:$A$2500)=O$1)*(MONTH(Gastos!$A$2:$A$2500)=O$3)*(Gastos!$B$2:$B$2500=$A34)*(Gastos!$D$2:$D$2500))</f>
        <v>0</v>
      </c>
      <c r="P34" s="75">
        <f t="array" ref="P34">SUM((YEAR(Gastos!$A$2:$A$2500)=P$1)*(MONTH(Gastos!$A$2:$A$2500)=P$3)*(Gastos!$B$2:$B$2500=$A34)*(Gastos!$D$2:$D$2500))</f>
        <v>0</v>
      </c>
      <c r="Q34" s="75">
        <f t="array" ref="Q34">SUM((YEAR(Gastos!$A$2:$A$2500)=Q$1)*(MONTH(Gastos!$A$2:$A$2500)=Q$3)*(Gastos!$B$2:$B$2500=$A34)*(Gastos!$D$2:$D$2500))</f>
        <v>0</v>
      </c>
      <c r="R34" s="75">
        <f t="array" ref="R34">SUM((YEAR(Gastos!$A$2:$A$2500)=R$1)*(MONTH(Gastos!$A$2:$A$2500)=R$3)*(Gastos!$B$2:$B$2500=$A34)*(Gastos!$D$2:$D$2500))</f>
        <v>0</v>
      </c>
      <c r="S34" s="75">
        <f t="array" ref="S34">SUM((YEAR(Gastos!$A$2:$A$2500)=S$1)*(MONTH(Gastos!$A$2:$A$2500)=S$3)*(Gastos!$B$2:$B$2500=$A34)*(Gastos!$D$2:$D$2500))</f>
        <v>0</v>
      </c>
      <c r="T34" s="75">
        <f t="array" ref="T34">SUM((YEAR(Gastos!$A$2:$A$2500)=T$1)*(MONTH(Gastos!$A$2:$A$2500)=T$3)*(Gastos!$B$2:$B$2500=$A34)*(Gastos!$D$2:$D$2500))</f>
        <v>0</v>
      </c>
      <c r="U34" s="75">
        <f t="array" ref="U34">SUM((YEAR(Gastos!$A$2:$A$2500)=U$1)*(MONTH(Gastos!$A$2:$A$2500)=U$3)*(Gastos!$B$2:$B$2500=$A34)*(Gastos!$D$2:$D$2500))</f>
        <v>0</v>
      </c>
      <c r="V34" s="75">
        <f t="array" ref="V34">SUM((YEAR(Gastos!$A$2:$A$2500)=V$1)*(MONTH(Gastos!$A$2:$A$2500)=V$3)*(Gastos!$B$2:$B$2500=$A34)*(Gastos!$D$2:$D$2500))</f>
        <v>0</v>
      </c>
      <c r="W34" s="75">
        <f t="array" ref="W34">SUM((YEAR(Gastos!$A$2:$A$2500)=W$1)*(MONTH(Gastos!$A$2:$A$2500)=W$3)*(Gastos!$B$2:$B$2500=$A34)*(Gastos!$D$2:$D$2500))</f>
        <v>0</v>
      </c>
      <c r="X34" s="75">
        <f t="array" ref="X34">SUM((YEAR(Gastos!$A$2:$A$2500)=X$1)*(MONTH(Gastos!$A$2:$A$2500)=X$3)*(Gastos!$B$2:$B$2500=$A34)*(Gastos!$D$2:$D$2500))</f>
        <v>0</v>
      </c>
      <c r="Y34" s="75">
        <f t="array" ref="Y34">SUM((YEAR(Gastos!$A$2:$A$2500)=Y$1)*(MONTH(Gastos!$A$2:$A$2500)=Y$3)*(Gastos!$B$2:$B$2500=$A34)*(Gastos!$D$2:$D$2500))</f>
        <v>0</v>
      </c>
      <c r="Z34" s="75">
        <f t="array" ref="Z34">SUM((YEAR(Gastos!$A$2:$A$2500)=Z$1)*(MONTH(Gastos!$A$2:$A$2500)=Z$3)*(Gastos!$B$2:$B$2500=$A34)*(Gastos!$D$2:$D$2500))</f>
        <v>0</v>
      </c>
      <c r="AA34" s="75">
        <f t="array" ref="AA34">SUM((YEAR(Gastos!$A$2:$A$2500)=AA$1)*(MONTH(Gastos!$A$2:$A$2500)=AA$3)*(Gastos!$B$2:$B$2500=$A34)*(Gastos!$D$2:$D$2500))</f>
        <v>0</v>
      </c>
      <c r="AB34" s="75">
        <f t="array" ref="AB34">SUM((YEAR(Gastos!$A$2:$A$2500)=AB$1)*(MONTH(Gastos!$A$2:$A$2500)=AB$3)*(Gastos!$B$2:$B$2500=$A34)*(Gastos!$D$2:$D$2500))</f>
        <v>0</v>
      </c>
      <c r="AC34" s="75">
        <f t="array" ref="AC34">SUM((YEAR(Gastos!$A$2:$A$2500)=AC$1)*(MONTH(Gastos!$A$2:$A$2500)=AC$3)*(Gastos!$B$2:$B$2500=$A34)*(Gastos!$D$2:$D$2500))</f>
        <v>0</v>
      </c>
      <c r="AD34" s="75">
        <f t="array" ref="AD34">SUM((YEAR(Gastos!$A$2:$A$2500)=AD$1)*(MONTH(Gastos!$A$2:$A$2500)=AD$3)*(Gastos!$B$2:$B$2500=$A34)*(Gastos!$D$2:$D$2500))</f>
        <v>0</v>
      </c>
      <c r="AE34" s="75">
        <f t="array" ref="AE34">SUM((YEAR(Gastos!$A$2:$A$2500)=AE$1)*(MONTH(Gastos!$A$2:$A$2500)=AE$3)*(Gastos!$B$2:$B$2500=$A34)*(Gastos!$D$2:$D$2500))</f>
        <v>0</v>
      </c>
      <c r="AF34" s="75">
        <f t="array" ref="AF34">SUM((YEAR(Gastos!$A$2:$A$2500)=AF$1)*(MONTH(Gastos!$A$2:$A$2500)=AF$3)*(Gastos!$B$2:$B$2500=$A34)*(Gastos!$D$2:$D$2500))</f>
        <v>0</v>
      </c>
      <c r="AG34" s="75">
        <f t="array" ref="AG34">SUM((YEAR(Gastos!$A$2:$A$2500)=AG$1)*(MONTH(Gastos!$A$2:$A$2500)=AG$3)*(Gastos!$B$2:$B$2500=$A34)*(Gastos!$D$2:$D$2500))</f>
        <v>0</v>
      </c>
      <c r="AH34" s="75">
        <f t="array" ref="AH34">SUM((YEAR(Gastos!$A$2:$A$2500)=AH$1)*(MONTH(Gastos!$A$2:$A$2500)=AH$3)*(Gastos!$B$2:$B$2500=$A34)*(Gastos!$D$2:$D$2500))</f>
        <v>0</v>
      </c>
      <c r="AI34" s="75">
        <f t="array" ref="AI34">SUM((YEAR(Gastos!$A$2:$A$2500)=AI$1)*(MONTH(Gastos!$A$2:$A$2500)=AI$3)*(Gastos!$B$2:$B$2500=$A34)*(Gastos!$D$2:$D$2500))</f>
        <v>0</v>
      </c>
      <c r="AJ34" s="75">
        <f t="array" ref="AJ34">SUM((YEAR(Gastos!$A$2:$A$2500)=AJ$1)*(MONTH(Gastos!$A$2:$A$2500)=AJ$3)*(Gastos!$B$2:$B$2500=$A34)*(Gastos!$D$2:$D$2500))</f>
        <v>0</v>
      </c>
      <c r="AK34" s="75">
        <f t="array" ref="AK34">SUM((YEAR(Gastos!$A$2:$A$2500)=AK$1)*(MONTH(Gastos!$A$2:$A$2500)=AK$3)*(Gastos!$B$2:$B$2500=$A34)*(Gastos!$D$2:$D$2500))</f>
        <v>0</v>
      </c>
      <c r="AL34" s="75">
        <f t="array" ref="AL34">SUM((YEAR(Gastos!$A$2:$A$2500)=AL$1)*(MONTH(Gastos!$A$2:$A$2500)=AL$3)*(Gastos!$B$2:$B$2500=$A34)*(Gastos!$D$2:$D$2500))</f>
        <v>0</v>
      </c>
      <c r="AM34" s="75">
        <f t="array" ref="AM34">SUM((YEAR(Gastos!$A$2:$A$2500)=AM$1)*(MONTH(Gastos!$A$2:$A$2500)=AM$3)*(Gastos!$B$2:$B$2500=$A34)*(Gastos!$D$2:$D$2500))</f>
        <v>0</v>
      </c>
      <c r="AN34" s="75">
        <f t="array" ref="AN34">SUM((YEAR(Gastos!$A$2:$A$2500)=AN$1)*(MONTH(Gastos!$A$2:$A$2500)=AN$3)*(Gastos!$B$2:$B$2500=$A34)*(Gastos!$D$2:$D$2500))</f>
        <v>0</v>
      </c>
      <c r="AO34" s="75">
        <f t="array" ref="AO34">SUM((YEAR(Gastos!$A$2:$A$2500)=AO$1)*(MONTH(Gastos!$A$2:$A$2500)=AO$3)*(Gastos!$B$2:$B$2500=$A34)*(Gastos!$D$2:$D$2500))</f>
        <v>0</v>
      </c>
      <c r="AP34" s="75">
        <f t="array" ref="AP34">SUM((YEAR(Gastos!$A$2:$A$2500)=AP$1)*(MONTH(Gastos!$A$2:$A$2500)=AP$3)*(Gastos!$B$2:$B$2500=$A34)*(Gastos!$D$2:$D$2500))</f>
        <v>0</v>
      </c>
      <c r="AQ34" s="75">
        <f t="array" ref="AQ34">SUM((YEAR(Gastos!$A$2:$A$2500)=AQ$1)*(MONTH(Gastos!$A$2:$A$2500)=AQ$3)*(Gastos!$B$2:$B$2500=$A34)*(Gastos!$D$2:$D$2500))</f>
        <v>0</v>
      </c>
      <c r="AR34" s="75">
        <f t="array" ref="AR34">SUM((YEAR(Gastos!$A$2:$A$2500)=AR$1)*(MONTH(Gastos!$A$2:$A$2500)=AR$3)*(Gastos!$B$2:$B$2500=$A34)*(Gastos!$D$2:$D$2500))</f>
        <v>0</v>
      </c>
      <c r="AS34" s="75">
        <f t="array" ref="AS34">SUM((YEAR(Gastos!$A$2:$A$2500)=AS$1)*(MONTH(Gastos!$A$2:$A$2500)=AS$3)*(Gastos!$B$2:$B$2500=$A34)*(Gastos!$D$2:$D$2500))</f>
        <v>0</v>
      </c>
      <c r="AT34" s="75">
        <f t="array" ref="AT34">SUM((YEAR(Gastos!$A$2:$A$2500)=AT$1)*(MONTH(Gastos!$A$2:$A$2500)=AT$3)*(Gastos!$B$2:$B$2500=$A34)*(Gastos!$D$2:$D$2500))</f>
        <v>0</v>
      </c>
      <c r="AU34" s="75">
        <f t="array" ref="AU34">SUM((YEAR(Gastos!$A$2:$A$2500)=AU$1)*(MONTH(Gastos!$A$2:$A$2500)=AU$3)*(Gastos!$B$2:$B$2500=$A34)*(Gastos!$D$2:$D$2500))</f>
        <v>0</v>
      </c>
      <c r="AV34" s="75">
        <f t="array" ref="AV34">SUM((YEAR(Gastos!$A$2:$A$2500)=AV$1)*(MONTH(Gastos!$A$2:$A$2500)=AV$3)*(Gastos!$B$2:$B$2500=$A34)*(Gastos!$D$2:$D$2500))</f>
        <v>0</v>
      </c>
      <c r="AW34" s="75">
        <f t="array" ref="AW34">SUM((YEAR(Gastos!$A$2:$A$2500)=AW$1)*(MONTH(Gastos!$A$2:$A$2500)=AW$3)*(Gastos!$B$2:$B$2500=$A34)*(Gastos!$D$2:$D$2500))</f>
        <v>0</v>
      </c>
      <c r="AX34" s="75">
        <f t="array" ref="AX34">SUM((YEAR(Gastos!$A$2:$A$2500)=AX$1)*(MONTH(Gastos!$A$2:$A$2500)=AX$3)*(Gastos!$B$2:$B$2500=$A34)*(Gastos!$D$2:$D$2500))</f>
        <v>0</v>
      </c>
      <c r="AY34" s="75">
        <f t="array" ref="AY34">SUM((YEAR(Gastos!$A$2:$A$2500)=AY$1)*(MONTH(Gastos!$A$2:$A$2500)=AY$3)*(Gastos!$B$2:$B$2500=$A34)*(Gastos!$D$2:$D$2500))</f>
        <v>0</v>
      </c>
      <c r="AZ34" s="75">
        <f t="array" ref="AZ34">SUM((YEAR(Gastos!$A$2:$A$2500)=AZ$1)*(MONTH(Gastos!$A$2:$A$2500)=AZ$3)*(Gastos!$B$2:$B$2500=$A34)*(Gastos!$D$2:$D$2500))</f>
        <v>0</v>
      </c>
      <c r="BA34" s="75">
        <f t="array" ref="BA34">SUM((YEAR(Gastos!$A$2:$A$2500)=BA$1)*(MONTH(Gastos!$A$2:$A$2500)=BA$3)*(Gastos!$B$2:$B$2500=$A34)*(Gastos!$D$2:$D$2500))</f>
        <v>0</v>
      </c>
      <c r="BB34" s="75">
        <f t="array" ref="BB34">SUM((YEAR(Gastos!$A$2:$A$2500)=BB$1)*(MONTH(Gastos!$A$2:$A$2500)=BB$3)*(Gastos!$B$2:$B$2500=$A34)*(Gastos!$D$2:$D$2500))</f>
        <v>0</v>
      </c>
      <c r="BC34" s="75">
        <f t="array" ref="BC34">SUM((YEAR(Gastos!$A$2:$A$2500)=BC$1)*(MONTH(Gastos!$A$2:$A$2500)=BC$3)*(Gastos!$B$2:$B$2500=$A34)*(Gastos!$D$2:$D$2500))</f>
        <v>0</v>
      </c>
      <c r="BD34" s="75">
        <f t="array" ref="BD34">SUM((YEAR(Gastos!$A$2:$A$2500)=BD$1)*(MONTH(Gastos!$A$2:$A$2500)=BD$3)*(Gastos!$B$2:$B$2500=$A34)*(Gastos!$D$2:$D$2500))</f>
        <v>0</v>
      </c>
      <c r="BE34" s="75">
        <f t="array" ref="BE34">SUM((YEAR(Gastos!$A$2:$A$2500)=BE$1)*(MONTH(Gastos!$A$2:$A$2500)=BE$3)*(Gastos!$B$2:$B$2500=$A34)*(Gastos!$D$2:$D$2500))</f>
        <v>0</v>
      </c>
      <c r="BF34" s="75">
        <f t="array" ref="BF34">SUM((YEAR(Gastos!$A$2:$A$2500)=BF$1)*(MONTH(Gastos!$A$2:$A$2500)=BF$3)*(Gastos!$B$2:$B$2500=$A34)*(Gastos!$D$2:$D$2500))</f>
        <v>0</v>
      </c>
      <c r="BG34" s="75">
        <f t="array" ref="BG34">SUM((YEAR(Gastos!$A$2:$A$2500)=BG$1)*(MONTH(Gastos!$A$2:$A$2500)=BG$3)*(Gastos!$B$2:$B$2500=$A34)*(Gastos!$D$2:$D$2500))</f>
        <v>0</v>
      </c>
      <c r="BH34" s="75">
        <f t="array" ref="BH34">SUM((YEAR(Gastos!$A$2:$A$2500)=BH$1)*(MONTH(Gastos!$A$2:$A$2500)=BH$3)*(Gastos!$B$2:$B$2500=$A34)*(Gastos!$D$2:$D$2500))</f>
        <v>0</v>
      </c>
      <c r="BI34" s="75">
        <f t="array" ref="BI34">SUM((YEAR(Gastos!$A$2:$A$2500)=BI$1)*(MONTH(Gastos!$A$2:$A$2500)=BI$3)*(Gastos!$B$2:$B$2500=$A34)*(Gastos!$D$2:$D$2500))</f>
        <v>0</v>
      </c>
      <c r="BJ34" s="75">
        <f t="array" ref="BJ34">SUM((YEAR(Gastos!$A$2:$A$2500)=BJ$1)*(MONTH(Gastos!$A$2:$A$2500)=BJ$3)*(Gastos!$B$2:$B$2500=$A34)*(Gastos!$D$2:$D$2500))</f>
        <v>0</v>
      </c>
      <c r="BK34" s="75">
        <f t="array" ref="BK34">SUM((YEAR(Gastos!$A$2:$A$2500)=BK$1)*(MONTH(Gastos!$A$2:$A$2500)=BK$3)*(Gastos!$B$2:$B$2500=$A34)*(Gastos!$D$2:$D$2500))</f>
        <v>0</v>
      </c>
      <c r="BL34" s="75">
        <f t="array" ref="BL34">SUM((YEAR(Gastos!$A$2:$A$2500)=BL$1)*(MONTH(Gastos!$A$2:$A$2500)=BL$3)*(Gastos!$B$2:$B$2500=$A34)*(Gastos!$D$2:$D$2500))</f>
        <v>0</v>
      </c>
      <c r="BM34" s="75">
        <f t="array" ref="BM34">SUM((YEAR(Gastos!$A$2:$A$2500)=BM$1)*(MONTH(Gastos!$A$2:$A$2500)=BM$3)*(Gastos!$B$2:$B$2500=$A34)*(Gastos!$D$2:$D$2500))</f>
        <v>9471.86</v>
      </c>
      <c r="BN34" s="75">
        <f t="array" ref="BN34">SUM((YEAR(Gastos!$A$2:$A$2500)=BN$1)*(MONTH(Gastos!$A$2:$A$2500)=BN$3)*(Gastos!$B$2:$B$2500=$A34)*(Gastos!$D$2:$D$2500))</f>
        <v>0</v>
      </c>
      <c r="BO34" s="75">
        <f t="array" ref="BO34">SUM((YEAR(Gastos!$A$2:$A$2500)=BO$1)*(MONTH(Gastos!$A$2:$A$2500)=BO$3)*(Gastos!$B$2:$B$2500=$A34)*(Gastos!$D$2:$D$2500))</f>
        <v>0</v>
      </c>
      <c r="BP34" s="75">
        <f t="array" ref="BP34">SUM((YEAR(Gastos!$A$2:$A$2500)=BP$1)*(MONTH(Gastos!$A$2:$A$2500)=BP$3)*(Gastos!$B$2:$B$2500=$A34)*(Gastos!$D$2:$D$2500))</f>
        <v>0</v>
      </c>
      <c r="BQ34" s="75">
        <f t="array" ref="BQ34">SUM((YEAR(Gastos!$A$2:$A$2500)=BQ$1)*(MONTH(Gastos!$A$2:$A$2500)=BQ$3)*(Gastos!$B$2:$B$2500=$A34)*(Gastos!$D$2:$D$2500))</f>
        <v>0</v>
      </c>
      <c r="BR34" s="75">
        <f t="array" ref="BR34">SUM((YEAR(Gastos!$A$2:$A$2500)=BR$1)*(MONTH(Gastos!$A$2:$A$2500)=BR$3)*(Gastos!$B$2:$B$2500=$A34)*(Gastos!$D$2:$D$2500))</f>
        <v>0</v>
      </c>
      <c r="BS34" s="75">
        <f t="array" ref="BS34">SUM((YEAR(Gastos!$A$2:$A$2500)=BS$1)*(MONTH(Gastos!$A$2:$A$2500)=BS$3)*(Gastos!$B$2:$B$2500=$A34)*(Gastos!$D$2:$D$2500))</f>
        <v>0</v>
      </c>
      <c r="BT34" s="75">
        <f t="array" ref="BT34">SUM((YEAR(Gastos!$A$2:$A$2500)=BT$1)*(MONTH(Gastos!$A$2:$A$2500)=BT$3)*(Gastos!$B$2:$B$2500=$A34)*(Gastos!$D$2:$D$2500))</f>
        <v>0</v>
      </c>
      <c r="BU34" s="75">
        <f t="array" ref="BU34">SUM((YEAR(Gastos!$A$2:$A$2500)=BU$1)*(MONTH(Gastos!$A$2:$A$2500)=BU$3)*(Gastos!$B$2:$B$2500=$A34)*(Gastos!$D$2:$D$2500))</f>
        <v>0</v>
      </c>
      <c r="BV34" s="75">
        <f t="array" ref="BV34">SUM((YEAR(Gastos!$A$2:$A$2500)=BV$1)*(MONTH(Gastos!$A$2:$A$2500)=BV$3)*(Gastos!$B$2:$B$2500=$A34)*(Gastos!$D$2:$D$2500))</f>
        <v>0</v>
      </c>
      <c r="BW34" s="75">
        <f t="array" ref="BW34">SUM((YEAR(Gastos!$A$2:$A$2500)=BW$1)*(MONTH(Gastos!$A$2:$A$2500)=BW$3)*(Gastos!$B$2:$B$2500=$A34)*(Gastos!$D$2:$D$2500))</f>
        <v>0</v>
      </c>
      <c r="BX34" s="75">
        <f t="array" ref="BX34">SUM((YEAR(Gastos!$A$2:$A$2500)=BX$1)*(MONTH(Gastos!$A$2:$A$2500)=BX$3)*(Gastos!$B$2:$B$2500=$A34)*(Gastos!$D$2:$D$2500))</f>
        <v>0</v>
      </c>
      <c r="BY34" s="75">
        <f t="array" ref="BY34">SUM((YEAR(Gastos!$A$2:$A$2500)=BY$1)*(MONTH(Gastos!$A$2:$A$2500)=BY$3)*(Gastos!$B$2:$B$2500=$A34)*(Gastos!$D$2:$D$2500))</f>
        <v>0</v>
      </c>
      <c r="BZ34" s="75">
        <f t="array" ref="BZ34">SUM((YEAR(Gastos!$A$2:$A$2500)=BZ$1)*(MONTH(Gastos!$A$2:$A$2500)=BZ$3)*(Gastos!$B$2:$B$2500=$A34)*(Gastos!$D$2:$D$2500))</f>
        <v>0</v>
      </c>
      <c r="CA34" s="75">
        <f t="array" ref="CA34">SUM((YEAR(Gastos!$A$2:$A$2500)=CA$1)*(MONTH(Gastos!$A$2:$A$2500)=CA$3)*(Gastos!$B$2:$B$2500=$A34)*(Gastos!$D$2:$D$2500))</f>
        <v>0</v>
      </c>
      <c r="CB34" s="75">
        <f t="array" ref="CB34">SUM((YEAR(Gastos!$A$2:$A$2500)=CB$1)*(MONTH(Gastos!$A$2:$A$2500)=CB$3)*(Gastos!$B$2:$B$2500=$A34)*(Gastos!$D$2:$D$2500))</f>
        <v>0</v>
      </c>
      <c r="CC34" s="75">
        <f t="array" ref="CC34">SUM((YEAR(Gastos!$A$2:$A$2500)=CC$1)*(MONTH(Gastos!$A$2:$A$2500)=CC$3)*(Gastos!$B$2:$B$2500=$A34)*(Gastos!$D$2:$D$2500))</f>
        <v>0</v>
      </c>
      <c r="CD34" s="75">
        <f t="array" ref="CD34">SUM((YEAR(Gastos!$A$2:$A$2500)=CD$1)*(MONTH(Gastos!$A$2:$A$2500)=CD$3)*(Gastos!$B$2:$B$2500=$A34)*(Gastos!$D$2:$D$2500))</f>
        <v>0</v>
      </c>
      <c r="CE34" s="75">
        <f t="array" ref="CE34">SUM((YEAR(Gastos!$A$2:$A$2500)=CE$1)*(MONTH(Gastos!$A$2:$A$2500)=CE$3)*(Gastos!$B$2:$B$2500=$A34)*(Gastos!$D$2:$D$2500))</f>
        <v>0</v>
      </c>
      <c r="CF34" s="75">
        <f t="array" ref="CF34">SUM((YEAR(Gastos!$A$2:$A$2500)=CF$1)*(MONTH(Gastos!$A$2:$A$2500)=CF$3)*(Gastos!$B$2:$B$2500=$A34)*(Gastos!$D$2:$D$2500))</f>
        <v>0</v>
      </c>
      <c r="CG34" s="75">
        <f t="array" ref="CG34">SUM((YEAR(Gastos!$A$2:$A$2500)=CG$1)*(MONTH(Gastos!$A$2:$A$2500)=CG$3)*(Gastos!$B$2:$B$2500=$A34)*(Gastos!$D$2:$D$2500))</f>
        <v>0</v>
      </c>
      <c r="CH34" s="75">
        <f t="array" ref="CH34">SUM((YEAR(Gastos!$A$2:$A$2500)=CH$1)*(MONTH(Gastos!$A$2:$A$2500)=CH$3)*(Gastos!$B$2:$B$2500=$A34)*(Gastos!$D$2:$D$2500))</f>
        <v>0</v>
      </c>
      <c r="CI34" s="75">
        <f t="array" ref="CI34">SUM((YEAR(Gastos!$A$2:$A$2500)=CI$1)*(MONTH(Gastos!$A$2:$A$2500)=CI$3)*(Gastos!$B$2:$B$2500=$A34)*(Gastos!$D$2:$D$2500))</f>
        <v>0</v>
      </c>
      <c r="CJ34" s="75">
        <f t="array" ref="CJ34">SUM((YEAR(Gastos!$A$2:$A$2500)=CJ$1)*(MONTH(Gastos!$A$2:$A$2500)=CJ$3)*(Gastos!$B$2:$B$2500=$A34)*(Gastos!$D$2:$D$2500))</f>
        <v>0</v>
      </c>
      <c r="CK34" s="75">
        <f t="array" ref="CK34">SUM((YEAR(Gastos!$A$2:$A$2500)=CK$1)*(MONTH(Gastos!$A$2:$A$2500)=CK$3)*(Gastos!$B$2:$B$2500=$A34)*(Gastos!$D$2:$D$2500))</f>
        <v>0</v>
      </c>
      <c r="CL34" s="75">
        <f t="array" ref="CL34">SUM((YEAR(Gastos!$A$2:$A$2500)=CL$1)*(MONTH(Gastos!$A$2:$A$2500)=CL$3)*(Gastos!$B$2:$B$2500=$A34)*(Gastos!$D$2:$D$2500))</f>
        <v>0</v>
      </c>
      <c r="CM34" s="75">
        <f t="array" ref="CM34">SUM((YEAR(Gastos!$A$2:$A$2500)=CM$1)*(MONTH(Gastos!$A$2:$A$2500)=CM$3)*(Gastos!$B$2:$B$2500=$A34)*(Gastos!$D$2:$D$2500))</f>
        <v>0</v>
      </c>
      <c r="CN34" s="75">
        <f t="array" ref="CN34">SUM((YEAR(Gastos!$A$2:$A$2500)=CN$1)*(MONTH(Gastos!$A$2:$A$2500)=CN$3)*(Gastos!$B$2:$B$2500=$A34)*(Gastos!$D$2:$D$2500))</f>
        <v>0</v>
      </c>
      <c r="CO34" s="75">
        <f t="array" ref="CO34">SUM((YEAR(Gastos!$A$2:$A$2500)=CO$1)*(MONTH(Gastos!$A$2:$A$2500)=CO$3)*(Gastos!$B$2:$B$2500=$A34)*(Gastos!$D$2:$D$2500))</f>
        <v>0</v>
      </c>
      <c r="CP34" s="75">
        <f t="array" ref="CP34">SUM((YEAR(Gastos!$A$2:$A$2500)=CP$1)*(MONTH(Gastos!$A$2:$A$2500)=CP$3)*(Gastos!$B$2:$B$2500=$A34)*(Gastos!$D$2:$D$2500))</f>
        <v>0</v>
      </c>
      <c r="CQ34" s="75">
        <f t="array" ref="CQ34">SUM((YEAR(Gastos!$A$2:$A$2500)=CQ$1)*(MONTH(Gastos!$A$2:$A$2500)=CQ$3)*(Gastos!$B$2:$B$2500=$A34)*(Gastos!$D$2:$D$2500))</f>
        <v>0</v>
      </c>
      <c r="CR34" s="75">
        <f t="array" ref="CR34">SUM((YEAR(Gastos!$A$2:$A$2500)=CR$1)*(MONTH(Gastos!$A$2:$A$2500)=CR$3)*(Gastos!$B$2:$B$2500=$A34)*(Gastos!$D$2:$D$2500))</f>
        <v>0</v>
      </c>
      <c r="CS34" s="75">
        <f t="array" ref="CS34">SUM((YEAR(Gastos!$A$2:$A$2500)=CS$1)*(MONTH(Gastos!$A$2:$A$2500)=CS$3)*(Gastos!$B$2:$B$2500=$A34)*(Gastos!$D$2:$D$2500))</f>
        <v>0</v>
      </c>
      <c r="CT34" s="75">
        <f t="array" ref="CT34">SUM((YEAR(Gastos!$A$2:$A$2500)=CT$1)*(MONTH(Gastos!$A$2:$A$2500)=CT$3)*(Gastos!$B$2:$B$2500=$A34)*(Gastos!$D$2:$D$2500))</f>
        <v>0</v>
      </c>
      <c r="CU34" s="75">
        <f t="array" ref="CU34">SUM((YEAR(Gastos!$A$2:$A$2500)=CU$1)*(MONTH(Gastos!$A$2:$A$2500)=CU$3)*(Gastos!$B$2:$B$2500=$A34)*(Gastos!$D$2:$D$2500))</f>
        <v>0</v>
      </c>
      <c r="CV34" s="75">
        <f t="array" ref="CV34">SUM((YEAR(Gastos!$A$2:$A$2500)=CV$1)*(MONTH(Gastos!$A$2:$A$2500)=CV$3)*(Gastos!$B$2:$B$2500=$A34)*(Gastos!$D$2:$D$2500))</f>
        <v>0</v>
      </c>
      <c r="CW34" s="75">
        <f t="array" ref="CW34">SUM((YEAR(Gastos!$A$2:$A$2500)=CW$1)*(MONTH(Gastos!$A$2:$A$2500)=CW$3)*(Gastos!$B$2:$B$2500=$A34)*(Gastos!$D$2:$D$2500))</f>
        <v>0</v>
      </c>
      <c r="CX34" s="75">
        <f t="array" ref="CX34">SUM((YEAR(Gastos!$A$2:$A$2500)=CX$1)*(MONTH(Gastos!$A$2:$A$2500)=CX$3)*(Gastos!$B$2:$B$2500=$A34)*(Gastos!$D$2:$D$2500))</f>
        <v>0</v>
      </c>
      <c r="CY34" s="75">
        <f t="array" ref="CY34">SUM((YEAR(Gastos!$A$2:$A$2500)=CY$1)*(MONTH(Gastos!$A$2:$A$2500)=CY$3)*(Gastos!$B$2:$B$2500=$A34)*(Gastos!$D$2:$D$2500))</f>
        <v>0</v>
      </c>
      <c r="CZ34" s="75">
        <f t="array" ref="CZ34">SUM((YEAR(Gastos!$A$2:$A$2500)=CZ$1)*(MONTH(Gastos!$A$2:$A$2500)=CZ$3)*(Gastos!$B$2:$B$2500=$A34)*(Gastos!$D$2:$D$2500))</f>
        <v>0</v>
      </c>
      <c r="DA34" s="75">
        <f t="array" ref="DA34">SUM((YEAR(Gastos!$A$2:$A$2500)=DA$1)*(MONTH(Gastos!$A$2:$A$2500)=DA$3)*(Gastos!$B$2:$B$2500=$A34)*(Gastos!$D$2:$D$2500))</f>
        <v>0</v>
      </c>
      <c r="DB34" s="75">
        <f t="array" ref="DB34">SUM((YEAR(Gastos!$A$2:$A$2500)=DB$1)*(MONTH(Gastos!$A$2:$A$2500)=DB$3)*(Gastos!$B$2:$B$2500=$A34)*(Gastos!$D$2:$D$2500))</f>
        <v>0</v>
      </c>
      <c r="DC34" s="75">
        <f t="array" ref="DC34">SUM((YEAR(Gastos!$A$2:$A$2500)=DC$1)*(MONTH(Gastos!$A$2:$A$2500)=DC$3)*(Gastos!$B$2:$B$2500=$A34)*(Gastos!$D$2:$D$2500))</f>
        <v>0</v>
      </c>
      <c r="DD34" s="75">
        <f t="array" ref="DD34">SUM((YEAR(Gastos!$A$2:$A$2500)=DD$1)*(MONTH(Gastos!$A$2:$A$2500)=DD$3)*(Gastos!$B$2:$B$2500=$A34)*(Gastos!$D$2:$D$2500))</f>
        <v>0</v>
      </c>
      <c r="DE34" s="75">
        <f t="array" ref="DE34">SUM((YEAR(Gastos!$A$2:$A$2500)=DE$1)*(MONTH(Gastos!$A$2:$A$2500)=DE$3)*(Gastos!$B$2:$B$2500=$A34)*(Gastos!$D$2:$D$2500))</f>
        <v>0</v>
      </c>
      <c r="DF34" s="75">
        <f t="array" ref="DF34">SUM((YEAR(Gastos!$A$2:$A$2500)=DF$1)*(MONTH(Gastos!$A$2:$A$2500)=DF$3)*(Gastos!$B$2:$B$2500=$A34)*(Gastos!$D$2:$D$2500))</f>
        <v>0</v>
      </c>
      <c r="DG34" s="75">
        <f t="array" ref="DG34">SUM((YEAR(Gastos!$A$2:$A$2500)=DG$1)*(MONTH(Gastos!$A$2:$A$2500)=DG$3)*(Gastos!$B$2:$B$2500=$A34)*(Gastos!$D$2:$D$2500))</f>
        <v>0</v>
      </c>
      <c r="DH34" s="75">
        <f t="array" ref="DH34">SUM((YEAR(Gastos!$A$2:$A$2500)=DH$1)*(MONTH(Gastos!$A$2:$A$2500)=DH$3)*(Gastos!$B$2:$B$2500=$A34)*(Gastos!$D$2:$D$2500))</f>
        <v>0</v>
      </c>
      <c r="DI34" s="75">
        <f t="array" ref="DI34">SUM((YEAR(Gastos!$A$2:$A$2500)=DI$1)*(MONTH(Gastos!$A$2:$A$2500)=DI$3)*(Gastos!$B$2:$B$2500=$A34)*(Gastos!$D$2:$D$2500))</f>
        <v>0</v>
      </c>
      <c r="DJ34" s="75">
        <f t="array" ref="DJ34">SUM((YEAR(Gastos!$A$2:$A$2500)=DJ$1)*(MONTH(Gastos!$A$2:$A$2500)=DJ$3)*(Gastos!$B$2:$B$2500=$A34)*(Gastos!$D$2:$D$2500))</f>
        <v>0</v>
      </c>
      <c r="DK34" s="75">
        <f t="array" ref="DK34">SUM((YEAR(Gastos!$A$2:$A$2500)=DK$1)*(MONTH(Gastos!$A$2:$A$2500)=DK$3)*(Gastos!$B$2:$B$2500=$A34)*(Gastos!$D$2:$D$2500))</f>
        <v>0</v>
      </c>
      <c r="DL34" s="75">
        <f t="array" ref="DL34">SUM((YEAR(Gastos!$A$2:$A$2500)=DL$1)*(MONTH(Gastos!$A$2:$A$2500)=DL$3)*(Gastos!$B$2:$B$2500=$A34)*(Gastos!$D$2:$D$2500))</f>
        <v>0</v>
      </c>
      <c r="DM34" s="75">
        <f t="array" ref="DM34">SUM((YEAR(Gastos!$A$2:$A$2500)=DM$1)*(MONTH(Gastos!$A$2:$A$2500)=DM$3)*(Gastos!$B$2:$B$2500=$A34)*(Gastos!$D$2:$D$2500))</f>
        <v>0</v>
      </c>
      <c r="DN34" s="75">
        <f t="array" ref="DN34">SUM((YEAR(Gastos!$A$2:$A$2500)=DN$1)*(MONTH(Gastos!$A$2:$A$2500)=DN$3)*(Gastos!$B$2:$B$2500=$A34)*(Gastos!$D$2:$D$2500))</f>
        <v>0</v>
      </c>
      <c r="DO34" s="75">
        <f t="array" ref="DO34">SUM((YEAR(Gastos!$A$2:$A$2500)=DO$1)*(MONTH(Gastos!$A$2:$A$2500)=DO$3)*(Gastos!$B$2:$B$2500=$A34)*(Gastos!$D$2:$D$2500))</f>
        <v>0</v>
      </c>
      <c r="DP34" s="75">
        <f t="array" ref="DP34">SUM((YEAR(Gastos!$A$2:$A$2500)=DP$1)*(MONTH(Gastos!$A$2:$A$2500)=DP$3)*(Gastos!$B$2:$B$2500=$A34)*(Gastos!$D$2:$D$2500))</f>
        <v>0</v>
      </c>
      <c r="DQ34" s="75">
        <f t="array" ref="DQ34">SUM((YEAR(Gastos!$A$2:$A$2500)=DQ$1)*(MONTH(Gastos!$A$2:$A$2500)=DQ$3)*(Gastos!$B$2:$B$2500=$A34)*(Gastos!$D$2:$D$2500))</f>
        <v>0</v>
      </c>
      <c r="DR34" s="75">
        <f t="array" ref="DR34">SUM((YEAR(Gastos!$A$2:$A$2500)=DR$1)*(MONTH(Gastos!$A$2:$A$2500)=DR$3)*(Gastos!$B$2:$B$2500=$A34)*(Gastos!$D$2:$D$2500))</f>
        <v>0</v>
      </c>
      <c r="DS34" s="75">
        <f t="array" ref="DS34">SUM((YEAR(Gastos!$A$2:$A$2500)=DS$1)*(MONTH(Gastos!$A$2:$A$2500)=DS$3)*(Gastos!$B$2:$B$2500=$A34)*(Gastos!$D$2:$D$2500))</f>
        <v>0</v>
      </c>
      <c r="DT34" s="75">
        <f t="array" ref="DT34">SUM((YEAR(Gastos!$A$2:$A$2500)=DT$1)*(MONTH(Gastos!$A$2:$A$2500)=DT$3)*(Gastos!$B$2:$B$2500=$A34)*(Gastos!$D$2:$D$2500))</f>
        <v>0</v>
      </c>
      <c r="DU34" s="75">
        <f t="array" ref="DU34">SUM((YEAR(Gastos!$A$2:$A$2500)=DU$1)*(MONTH(Gastos!$A$2:$A$2500)=DU$3)*(Gastos!$B$2:$B$2500=$A34)*(Gastos!$D$2:$D$2500))</f>
        <v>0</v>
      </c>
      <c r="DV34" s="75">
        <f t="array" ref="DV34">SUM((YEAR(Gastos!$A$2:$A$2500)=DV$1)*(MONTH(Gastos!$A$2:$A$2500)=DV$3)*(Gastos!$B$2:$B$2500=$A34)*(Gastos!$D$2:$D$2500))</f>
        <v>0</v>
      </c>
      <c r="DW34" s="75">
        <f t="array" ref="DW34">SUM((YEAR(Gastos!$A$2:$A$2500)=DW$1)*(MONTH(Gastos!$A$2:$A$2500)=DW$3)*(Gastos!$B$2:$B$2500=$A34)*(Gastos!$D$2:$D$2500))</f>
        <v>0</v>
      </c>
      <c r="DX34" s="75">
        <f t="array" ref="DX34">SUM((YEAR(Gastos!$A$2:$A$2500)=DX$1)*(MONTH(Gastos!$A$2:$A$2500)=DX$3)*(Gastos!$B$2:$B$2500=$A34)*(Gastos!$D$2:$D$2500))</f>
        <v>0</v>
      </c>
      <c r="DY34" s="75">
        <f t="array" ref="DY34">SUM((YEAR(Gastos!$A$2:$A$2500)=DY$1)*(MONTH(Gastos!$A$2:$A$2500)=DY$3)*(Gastos!$B$2:$B$2500=$A34)*(Gastos!$D$2:$D$2500))</f>
        <v>0</v>
      </c>
      <c r="DZ34" s="75">
        <f t="array" ref="DZ34">SUM((YEAR(Gastos!$A$2:$A$2500)=DZ$1)*(MONTH(Gastos!$A$2:$A$2500)=DZ$3)*(Gastos!$B$2:$B$2500=$A34)*(Gastos!$D$2:$D$2500))</f>
        <v>0</v>
      </c>
      <c r="EA34" s="75">
        <f t="array" ref="EA34">SUM((YEAR(Gastos!$A$2:$A$2500)=EA$1)*(MONTH(Gastos!$A$2:$A$2500)=EA$3)*(Gastos!$B$2:$B$2500=$A34)*(Gastos!$D$2:$D$2500))</f>
        <v>0</v>
      </c>
      <c r="EB34" s="75">
        <f t="array" ref="EB34">SUM((YEAR(Gastos!$A$2:$A$2500)=EB$1)*(MONTH(Gastos!$A$2:$A$2500)=EB$3)*(Gastos!$B$2:$B$2500=$A34)*(Gastos!$D$2:$D$2500))</f>
        <v>0</v>
      </c>
      <c r="EC34" s="75">
        <f t="array" ref="EC34">SUM((YEAR(Gastos!$A$2:$A$2500)=EC$1)*(MONTH(Gastos!$A$2:$A$2500)=EC$3)*(Gastos!$B$2:$B$2500=$A34)*(Gastos!$D$2:$D$2500))</f>
        <v>0</v>
      </c>
      <c r="ED34" s="75">
        <f t="array" ref="ED34">SUM((YEAR(Gastos!$A$2:$A$2500)=ED$1)*(MONTH(Gastos!$A$2:$A$2500)=ED$3)*(Gastos!$B$2:$B$2500=$A34)*(Gastos!$D$2:$D$2500))</f>
        <v>0</v>
      </c>
      <c r="EE34" s="75">
        <f t="array" ref="EE34">SUM((YEAR(Gastos!$A$2:$A$2500)=EE$1)*(MONTH(Gastos!$A$2:$A$2500)=EE$3)*(Gastos!$B$2:$B$2500=$A34)*(Gastos!$D$2:$D$2500))</f>
        <v>0</v>
      </c>
      <c r="EF34" s="75">
        <f t="array" ref="EF34">SUM((YEAR(Gastos!$A$2:$A$2500)=EF$1)*(MONTH(Gastos!$A$2:$A$2500)=EF$3)*(Gastos!$B$2:$B$2500=$A34)*(Gastos!$D$2:$D$2500))</f>
        <v>0</v>
      </c>
      <c r="EG34" s="75">
        <f t="array" ref="EG34">SUM((YEAR(Gastos!$A$2:$A$2500)=EG$1)*(MONTH(Gastos!$A$2:$A$2500)=EG$3)*(Gastos!$B$2:$B$2500=$A34)*(Gastos!$D$2:$D$2500))</f>
        <v>0</v>
      </c>
      <c r="EH34" s="75">
        <f t="array" ref="EH34">SUM((YEAR(Gastos!$A$2:$A$2500)=EH$1)*(MONTH(Gastos!$A$2:$A$2500)=EH$3)*(Gastos!$B$2:$B$2500=$A34)*(Gastos!$D$2:$D$2500))</f>
        <v>0</v>
      </c>
      <c r="EI34" s="75">
        <f t="array" ref="EI34">SUM((YEAR(Gastos!$A$2:$A$2500)=EI$1)*(MONTH(Gastos!$A$2:$A$2500)=EI$3)*(Gastos!$B$2:$B$2500=$A34)*(Gastos!$D$2:$D$2500))</f>
        <v>0</v>
      </c>
      <c r="EJ34" s="75">
        <f t="array" ref="EJ34">SUM((YEAR(Gastos!$A$2:$A$2500)=EJ$1)*(MONTH(Gastos!$A$2:$A$2500)=EJ$3)*(Gastos!$B$2:$B$2500=$A34)*(Gastos!$D$2:$D$2500))</f>
        <v>0</v>
      </c>
      <c r="EK34" s="75">
        <f t="array" ref="EK34">SUM((YEAR(Gastos!$A$2:$A$2500)=EK$1)*(MONTH(Gastos!$A$2:$A$2500)=EK$3)*(Gastos!$B$2:$B$2500=$A34)*(Gastos!$D$2:$D$2500))</f>
        <v>0</v>
      </c>
      <c r="EL34" s="75">
        <f t="array" ref="EL34">SUM((YEAR(Gastos!$A$2:$A$2500)=EL$1)*(MONTH(Gastos!$A$2:$A$2500)=EL$3)*(Gastos!$B$2:$B$2500=$A34)*(Gastos!$D$2:$D$2500))</f>
        <v>0</v>
      </c>
      <c r="EM34" s="75">
        <f t="array" ref="EM34">SUM((YEAR(Gastos!$A$2:$A$2500)=EM$1)*(MONTH(Gastos!$A$2:$A$2500)=EM$3)*(Gastos!$B$2:$B$2500=$A34)*(Gastos!$D$2:$D$2500))</f>
        <v>0</v>
      </c>
      <c r="EN34" s="75">
        <f t="array" ref="EN34">SUM((YEAR(Gastos!$A$2:$A$2500)=EN$1)*(MONTH(Gastos!$A$2:$A$2500)=EN$3)*(Gastos!$B$2:$B$2500=$A34)*(Gastos!$D$2:$D$2500))</f>
        <v>0</v>
      </c>
      <c r="EO34" s="75">
        <f t="array" ref="EO34">SUM((YEAR(Gastos!$A$2:$A$2500)=EO$1)*(MONTH(Gastos!$A$2:$A$2500)=EO$3)*(Gastos!$B$2:$B$2500=$A34)*(Gastos!$D$2:$D$2500))</f>
        <v>0</v>
      </c>
      <c r="EP34" s="75">
        <f t="array" ref="EP34">SUM((YEAR(Gastos!$A$2:$A$2500)=EP$1)*(MONTH(Gastos!$A$2:$A$2500)=EP$3)*(Gastos!$B$2:$B$2500=$A34)*(Gastos!$D$2:$D$2500))</f>
        <v>0</v>
      </c>
      <c r="EQ34" s="75">
        <f t="array" ref="EQ34">SUM((YEAR(Gastos!$A$2:$A$2500)=EQ$1)*(MONTH(Gastos!$A$2:$A$2500)=EQ$3)*(Gastos!$B$2:$B$2500=$A34)*(Gastos!$D$2:$D$2500))</f>
        <v>0</v>
      </c>
      <c r="ER34" s="75">
        <f t="array" ref="ER34">SUM((YEAR(Gastos!$A$2:$A$2500)=ER$1)*(MONTH(Gastos!$A$2:$A$2500)=ER$3)*(Gastos!$B$2:$B$2500=$A34)*(Gastos!$D$2:$D$2500))</f>
        <v>0</v>
      </c>
      <c r="ES34" s="75">
        <f t="array" ref="ES34">SUM((YEAR(Gastos!$A$2:$A$2500)=ES$1)*(MONTH(Gastos!$A$2:$A$2500)=ES$3)*(Gastos!$B$2:$B$2500=$A34)*(Gastos!$D$2:$D$2500))</f>
        <v>0</v>
      </c>
      <c r="ET34" s="75">
        <f t="array" ref="ET34">SUM((YEAR(Gastos!$A$2:$A$2500)=ET$1)*(MONTH(Gastos!$A$2:$A$2500)=ET$3)*(Gastos!$B$2:$B$2500=$A34)*(Gastos!$D$2:$D$2500))</f>
        <v>0</v>
      </c>
      <c r="EU34" s="75">
        <f t="array" ref="EU34">SUM((YEAR(Gastos!$A$2:$A$2500)=EU$1)*(MONTH(Gastos!$A$2:$A$2500)=EU$3)*(Gastos!$B$2:$B$2500=$A34)*(Gastos!$D$2:$D$2500))</f>
        <v>0</v>
      </c>
      <c r="EV34" s="75">
        <f t="array" ref="EV34">SUM((YEAR(Gastos!$A$2:$A$2500)=EV$1)*(MONTH(Gastos!$A$2:$A$2500)=EV$3)*(Gastos!$B$2:$B$2500=$A34)*(Gastos!$D$2:$D$2500))</f>
        <v>0</v>
      </c>
      <c r="EW34" s="75">
        <f t="array" ref="EW34">SUM((YEAR(Gastos!$A$2:$A$2500)=EW$1)*(MONTH(Gastos!$A$2:$A$2500)=EW$3)*(Gastos!$B$2:$B$2500=$A34)*(Gastos!$D$2:$D$2500))</f>
        <v>0</v>
      </c>
      <c r="EX34" s="75">
        <f t="array" ref="EX34">SUM((YEAR(Gastos!$A$2:$A$2500)=EX$1)*(MONTH(Gastos!$A$2:$A$2500)=EX$3)*(Gastos!$B$2:$B$2500=$A34)*(Gastos!$D$2:$D$2500))</f>
        <v>0</v>
      </c>
      <c r="EY34" s="75">
        <f t="array" ref="EY34">SUM((YEAR(Gastos!$A$2:$A$2500)=EY$1)*(MONTH(Gastos!$A$2:$A$2500)=EY$3)*(Gastos!$B$2:$B$2500=$A34)*(Gastos!$D$2:$D$2500))</f>
        <v>0</v>
      </c>
      <c r="EZ34" s="75">
        <f t="array" ref="EZ34">SUM((YEAR(Gastos!$A$2:$A$2500)=EZ$1)*(MONTH(Gastos!$A$2:$A$2500)=EZ$3)*(Gastos!$B$2:$B$2500=$A34)*(Gastos!$D$2:$D$2500))</f>
        <v>0</v>
      </c>
      <c r="FA34" s="75">
        <f t="array" ref="FA34">SUM((YEAR(Gastos!$A$2:$A$2500)=FA$1)*(MONTH(Gastos!$A$2:$A$2500)=FA$3)*(Gastos!$B$2:$B$2500=$A34)*(Gastos!$D$2:$D$2500))</f>
        <v>0</v>
      </c>
      <c r="FB34" s="75">
        <f t="array" ref="FB34">SUM((YEAR(Gastos!$A$2:$A$2500)=FB$1)*(MONTH(Gastos!$A$2:$A$2500)=FB$3)*(Gastos!$B$2:$B$2500=$A34)*(Gastos!$D$2:$D$2500))</f>
        <v>0</v>
      </c>
      <c r="FC34" s="75">
        <f t="array" ref="FC34">SUM((YEAR(Gastos!$A$2:$A$2500)=FC$1)*(MONTH(Gastos!$A$2:$A$2500)=FC$3)*(Gastos!$B$2:$B$2500=$A34)*(Gastos!$D$2:$D$2500))</f>
        <v>0</v>
      </c>
      <c r="FD34" s="75">
        <f t="array" ref="FD34">SUM((YEAR(Gastos!$A$2:$A$2500)=FD$1)*(MONTH(Gastos!$A$2:$A$2500)=FD$3)*(Gastos!$B$2:$B$2500=$A34)*(Gastos!$D$2:$D$2500))</f>
        <v>0</v>
      </c>
      <c r="FE34" s="75">
        <f t="array" ref="FE34">SUM((YEAR(Gastos!$A$2:$A$2500)=FE$1)*(MONTH(Gastos!$A$2:$A$2500)=FE$3)*(Gastos!$B$2:$B$2500=$A34)*(Gastos!$D$2:$D$2500))</f>
        <v>0</v>
      </c>
      <c r="FF34" s="75">
        <f t="array" ref="FF34">SUM((YEAR(Gastos!$A$2:$A$2500)=FF$1)*(MONTH(Gastos!$A$2:$A$2500)=FF$3)*(Gastos!$B$2:$B$2500=$A34)*(Gastos!$D$2:$D$2500))</f>
        <v>0</v>
      </c>
      <c r="FG34" s="75">
        <f t="array" ref="FG34">SUM((YEAR(Gastos!$A$2:$A$2500)=FG$1)*(MONTH(Gastos!$A$2:$A$2500)=FG$3)*(Gastos!$B$2:$B$2500=$A34)*(Gastos!$D$2:$D$2500))</f>
        <v>0</v>
      </c>
      <c r="FH34" s="75">
        <f t="array" ref="FH34">SUM((YEAR(Gastos!$A$2:$A$2500)=FH$1)*(MONTH(Gastos!$A$2:$A$2500)=FH$3)*(Gastos!$B$2:$B$2500=$A34)*(Gastos!$D$2:$D$2500))</f>
        <v>0</v>
      </c>
      <c r="FI34" s="75">
        <f t="array" ref="FI34">SUM((YEAR(Gastos!$A$2:$A$2500)=FI$1)*(MONTH(Gastos!$A$2:$A$2500)=FI$3)*(Gastos!$B$2:$B$2500=$A34)*(Gastos!$D$2:$D$2500))</f>
        <v>0</v>
      </c>
      <c r="FJ34" s="75">
        <f t="array" ref="FJ34">SUM((YEAR(Gastos!$A$2:$A$2500)=FJ$1)*(MONTH(Gastos!$A$2:$A$2500)=FJ$3)*(Gastos!$B$2:$B$2500=$A34)*(Gastos!$D$2:$D$2500))</f>
        <v>0</v>
      </c>
      <c r="FK34" s="75">
        <f t="array" ref="FK34">SUM((YEAR(Gastos!$A$2:$A$2500)=FK$1)*(MONTH(Gastos!$A$2:$A$2500)=FK$3)*(Gastos!$B$2:$B$2500=$A34)*(Gastos!$D$2:$D$2500))</f>
        <v>0</v>
      </c>
      <c r="FL34" s="75">
        <f t="array" ref="FL34">SUM((YEAR(Gastos!$A$2:$A$2500)=FL$1)*(MONTH(Gastos!$A$2:$A$2500)=FL$3)*(Gastos!$B$2:$B$2500=$A34)*(Gastos!$D$2:$D$2500))</f>
        <v>0</v>
      </c>
      <c r="FM34" s="75">
        <f t="array" ref="FM34">SUM((YEAR(Gastos!$A$2:$A$2500)=FM$1)*(MONTH(Gastos!$A$2:$A$2500)=FM$3)*(Gastos!$B$2:$B$2500=$A34)*(Gastos!$D$2:$D$2500))</f>
        <v>0</v>
      </c>
      <c r="FN34" s="75">
        <f t="array" ref="FN34">SUM((YEAR(Gastos!$A$2:$A$2500)=FN$1)*(MONTH(Gastos!$A$2:$A$2500)=FN$3)*(Gastos!$B$2:$B$2500=$A34)*(Gastos!$D$2:$D$2500))</f>
        <v>0</v>
      </c>
      <c r="FO34" s="75">
        <f t="array" ref="FO34">SUM((YEAR(Gastos!$A$2:$A$2500)=FO$1)*(MONTH(Gastos!$A$2:$A$2500)=FO$3)*(Gastos!$B$2:$B$2500=$A34)*(Gastos!$D$2:$D$2500))</f>
        <v>0</v>
      </c>
      <c r="FP34" s="75">
        <f t="array" ref="FP34">SUM((YEAR(Gastos!$A$2:$A$2500)=FP$1)*(MONTH(Gastos!$A$2:$A$2500)=FP$3)*(Gastos!$B$2:$B$2500=$A34)*(Gastos!$D$2:$D$2500))</f>
        <v>0</v>
      </c>
      <c r="FQ34" s="75">
        <f t="array" ref="FQ34">SUM((YEAR(Gastos!$A$2:$A$2500)=FQ$1)*(MONTH(Gastos!$A$2:$A$2500)=FQ$3)*(Gastos!$B$2:$B$2500=$A34)*(Gastos!$D$2:$D$2500))</f>
        <v>0</v>
      </c>
      <c r="FR34" s="75">
        <f t="array" ref="FR34">SUM((YEAR(Gastos!$A$2:$A$2500)=FR$1)*(MONTH(Gastos!$A$2:$A$2500)=FR$3)*(Gastos!$B$2:$B$2500=$A34)*(Gastos!$D$2:$D$2500))</f>
        <v>0</v>
      </c>
      <c r="FS34" s="75">
        <f t="array" ref="FS34">SUM((YEAR(Gastos!$A$2:$A$2500)=FS$1)*(MONTH(Gastos!$A$2:$A$2500)=FS$3)*(Gastos!$B$2:$B$2500=$A34)*(Gastos!$D$2:$D$2500))</f>
        <v>0</v>
      </c>
      <c r="FT34" s="75">
        <f t="array" ref="FT34">SUM((YEAR(Gastos!$A$2:$A$2500)=FT$1)*(MONTH(Gastos!$A$2:$A$2500)=FT$3)*(Gastos!$B$2:$B$2500=$A34)*(Gastos!$D$2:$D$2500))</f>
        <v>0</v>
      </c>
      <c r="FU34" s="75">
        <f t="array" ref="FU34">SUM((YEAR(Gastos!$A$2:$A$2500)=FU$1)*(MONTH(Gastos!$A$2:$A$2500)=FU$3)*(Gastos!$B$2:$B$2500=$A34)*(Gastos!$D$2:$D$2500))</f>
        <v>0</v>
      </c>
      <c r="FV34" s="75">
        <f t="array" ref="FV34">SUM((YEAR(Gastos!$A$2:$A$2500)=FV$1)*(MONTH(Gastos!$A$2:$A$2500)=FV$3)*(Gastos!$B$2:$B$2500=$A34)*(Gastos!$D$2:$D$2500))</f>
        <v>0</v>
      </c>
      <c r="FW34" s="75">
        <f t="array" ref="FW34">SUM((YEAR(Gastos!$A$2:$A$2500)=FW$1)*(MONTH(Gastos!$A$2:$A$2500)=FW$3)*(Gastos!$B$2:$B$2500=$A34)*(Gastos!$D$2:$D$2500))</f>
        <v>0</v>
      </c>
      <c r="FX34" s="75">
        <f t="array" ref="FX34">SUM((YEAR(Gastos!$A$2:$A$2500)=FX$1)*(MONTH(Gastos!$A$2:$A$2500)=FX$3)*(Gastos!$B$2:$B$2500=$A34)*(Gastos!$D$2:$D$2500))</f>
        <v>0</v>
      </c>
      <c r="FY34" s="75">
        <f t="array" ref="FY34">SUM((YEAR(Gastos!$A$2:$A$2500)=FY$1)*(MONTH(Gastos!$A$2:$A$2500)=FY$3)*(Gastos!$B$2:$B$2500=$A34)*(Gastos!$D$2:$D$2500))</f>
        <v>0</v>
      </c>
      <c r="FZ34" s="76">
        <f t="shared" si="65"/>
        <v>9471.86</v>
      </c>
      <c r="GA34" s="80"/>
      <c r="GB34" s="78">
        <f t="shared" si="66"/>
        <v>9471.86</v>
      </c>
      <c r="GF34" s="79">
        <f t="array" ref="GF34">SUM(((Gastos!$A$2:$A$1647)&gt;=GD$3)*((Gastos!$A$2:$A$1647)&lt;=GF$3)*(Gastos!$B$2:$B$1647=$A34)*(Gastos!$D$2:$D$1647))</f>
        <v>9471.86</v>
      </c>
      <c r="GI34" s="79">
        <f t="array" ref="GI34">SUM(((Gastos!$A$2:$A$1647)&gt;=GG$3)*((Gastos!$A$2:$A$1647)&lt;=GI$3)*(Gastos!$B$2:$B$1647=$A34)*(Gastos!$D$2:$D$1647))</f>
        <v>0</v>
      </c>
    </row>
    <row r="35" spans="1:191" ht="15" thickBot="1" x14ac:dyDescent="0.4">
      <c r="A35" s="74" t="str">
        <f>Gastos!AA33</f>
        <v>V. LUMINARIAS</v>
      </c>
      <c r="B35" s="75">
        <f t="array" ref="B35">SUM((YEAR(Gastos!$A$2:$A$2500)=B$1)*(MONTH(Gastos!$A$2:$A$2500)=B$3)*(Gastos!$B$2:$B$2500=$A35)*(Gastos!$D$2:$D$2500))</f>
        <v>0</v>
      </c>
      <c r="C35" s="75">
        <f t="array" ref="C35">SUM((YEAR(Gastos!$A$2:$A$2500)=C$1)*(MONTH(Gastos!$A$2:$A$2500)=C$3)*(Gastos!$B$2:$B$2500=$A35)*(Gastos!$D$2:$D$2500))</f>
        <v>0</v>
      </c>
      <c r="D35" s="75">
        <f t="array" ref="D35">SUM((YEAR(Gastos!$A$2:$A$2500)=D$1)*(MONTH(Gastos!$A$2:$A$2500)=D$3)*(Gastos!$B$2:$B$2500=$A35)*(Gastos!$D$2:$D$2500))</f>
        <v>0</v>
      </c>
      <c r="E35" s="75">
        <f t="array" ref="E35">SUM((YEAR(Gastos!$A$2:$A$2500)=E$1)*(MONTH(Gastos!$A$2:$A$2500)=E$3)*(Gastos!$B$2:$B$2500=$A35)*(Gastos!$D$2:$D$2500))</f>
        <v>0</v>
      </c>
      <c r="F35" s="75">
        <f t="array" ref="F35">SUM((YEAR(Gastos!$A$2:$A$2500)=F$1)*(MONTH(Gastos!$A$2:$A$2500)=F$3)*(Gastos!$B$2:$B$2500=$A35)*(Gastos!$D$2:$D$2500))</f>
        <v>0</v>
      </c>
      <c r="G35" s="75">
        <f t="array" ref="G35">SUM((YEAR(Gastos!$A$2:$A$2500)=G$1)*(MONTH(Gastos!$A$2:$A$2500)=G$3)*(Gastos!$B$2:$B$2500=$A35)*(Gastos!$D$2:$D$2500))</f>
        <v>0</v>
      </c>
      <c r="H35" s="75">
        <f t="array" ref="H35">SUM((YEAR(Gastos!$A$2:$A$2500)=H$1)*(MONTH(Gastos!$A$2:$A$2500)=H$3)*(Gastos!$B$2:$B$2500=$A35)*(Gastos!$D$2:$D$2500))</f>
        <v>0</v>
      </c>
      <c r="I35" s="75">
        <f t="array" ref="I35">SUM((YEAR(Gastos!$A$2:$A$2500)=I$1)*(MONTH(Gastos!$A$2:$A$2500)=I$3)*(Gastos!$B$2:$B$2500=$A35)*(Gastos!$D$2:$D$2500))</f>
        <v>0</v>
      </c>
      <c r="J35" s="75">
        <f t="array" ref="J35">SUM((YEAR(Gastos!$A$2:$A$2500)=J$1)*(MONTH(Gastos!$A$2:$A$2500)=J$3)*(Gastos!$B$2:$B$2500=$A35)*(Gastos!$D$2:$D$2500))</f>
        <v>0</v>
      </c>
      <c r="K35" s="75">
        <f t="array" ref="K35">SUM((YEAR(Gastos!$A$2:$A$2500)=K$1)*(MONTH(Gastos!$A$2:$A$2500)=K$3)*(Gastos!$B$2:$B$2500=$A35)*(Gastos!$D$2:$D$2500))</f>
        <v>0</v>
      </c>
      <c r="L35" s="75">
        <f t="array" ref="L35">SUM((YEAR(Gastos!$A$2:$A$2500)=L$1)*(MONTH(Gastos!$A$2:$A$2500)=L$3)*(Gastos!$B$2:$B$2500=$A35)*(Gastos!$D$2:$D$2500))</f>
        <v>0</v>
      </c>
      <c r="M35" s="75">
        <f t="array" ref="M35">SUM((YEAR(Gastos!$A$2:$A$2500)=M$1)*(MONTH(Gastos!$A$2:$A$2500)=M$3)*(Gastos!$B$2:$B$2500=$A35)*(Gastos!$D$2:$D$2500))</f>
        <v>0</v>
      </c>
      <c r="N35" s="75">
        <f t="array" ref="N35">SUM((YEAR(Gastos!$A$2:$A$2500)=N$1)*(MONTH(Gastos!$A$2:$A$2500)=N$3)*(Gastos!$B$2:$B$2500=$A35)*(Gastos!$D$2:$D$2500))</f>
        <v>0</v>
      </c>
      <c r="O35" s="75">
        <f t="array" ref="O35">SUM((YEAR(Gastos!$A$2:$A$2500)=O$1)*(MONTH(Gastos!$A$2:$A$2500)=O$3)*(Gastos!$B$2:$B$2500=$A35)*(Gastos!$D$2:$D$2500))</f>
        <v>0</v>
      </c>
      <c r="P35" s="75">
        <f t="array" ref="P35">SUM((YEAR(Gastos!$A$2:$A$2500)=P$1)*(MONTH(Gastos!$A$2:$A$2500)=P$3)*(Gastos!$B$2:$B$2500=$A35)*(Gastos!$D$2:$D$2500))</f>
        <v>0</v>
      </c>
      <c r="Q35" s="75">
        <f t="array" ref="Q35">SUM((YEAR(Gastos!$A$2:$A$2500)=Q$1)*(MONTH(Gastos!$A$2:$A$2500)=Q$3)*(Gastos!$B$2:$B$2500=$A35)*(Gastos!$D$2:$D$2500))</f>
        <v>0</v>
      </c>
      <c r="R35" s="75">
        <f t="array" ref="R35">SUM((YEAR(Gastos!$A$2:$A$2500)=R$1)*(MONTH(Gastos!$A$2:$A$2500)=R$3)*(Gastos!$B$2:$B$2500=$A35)*(Gastos!$D$2:$D$2500))</f>
        <v>0</v>
      </c>
      <c r="S35" s="75">
        <f t="array" ref="S35">SUM((YEAR(Gastos!$A$2:$A$2500)=S$1)*(MONTH(Gastos!$A$2:$A$2500)=S$3)*(Gastos!$B$2:$B$2500=$A35)*(Gastos!$D$2:$D$2500))</f>
        <v>0</v>
      </c>
      <c r="T35" s="75">
        <f t="array" ref="T35">SUM((YEAR(Gastos!$A$2:$A$2500)=T$1)*(MONTH(Gastos!$A$2:$A$2500)=T$3)*(Gastos!$B$2:$B$2500=$A35)*(Gastos!$D$2:$D$2500))</f>
        <v>0</v>
      </c>
      <c r="U35" s="75">
        <f t="array" ref="U35">SUM((YEAR(Gastos!$A$2:$A$2500)=U$1)*(MONTH(Gastos!$A$2:$A$2500)=U$3)*(Gastos!$B$2:$B$2500=$A35)*(Gastos!$D$2:$D$2500))</f>
        <v>0</v>
      </c>
      <c r="V35" s="75">
        <f t="array" ref="V35">SUM((YEAR(Gastos!$A$2:$A$2500)=V$1)*(MONTH(Gastos!$A$2:$A$2500)=V$3)*(Gastos!$B$2:$B$2500=$A35)*(Gastos!$D$2:$D$2500))</f>
        <v>0</v>
      </c>
      <c r="W35" s="75">
        <f t="array" ref="W35">SUM((YEAR(Gastos!$A$2:$A$2500)=W$1)*(MONTH(Gastos!$A$2:$A$2500)=W$3)*(Gastos!$B$2:$B$2500=$A35)*(Gastos!$D$2:$D$2500))</f>
        <v>0</v>
      </c>
      <c r="X35" s="75">
        <f t="array" ref="X35">SUM((YEAR(Gastos!$A$2:$A$2500)=X$1)*(MONTH(Gastos!$A$2:$A$2500)=X$3)*(Gastos!$B$2:$B$2500=$A35)*(Gastos!$D$2:$D$2500))</f>
        <v>0</v>
      </c>
      <c r="Y35" s="75">
        <f t="array" ref="Y35">SUM((YEAR(Gastos!$A$2:$A$2500)=Y$1)*(MONTH(Gastos!$A$2:$A$2500)=Y$3)*(Gastos!$B$2:$B$2500=$A35)*(Gastos!$D$2:$D$2500))</f>
        <v>0</v>
      </c>
      <c r="Z35" s="75">
        <f t="array" ref="Z35">SUM((YEAR(Gastos!$A$2:$A$2500)=Z$1)*(MONTH(Gastos!$A$2:$A$2500)=Z$3)*(Gastos!$B$2:$B$2500=$A35)*(Gastos!$D$2:$D$2500))</f>
        <v>0</v>
      </c>
      <c r="AA35" s="75">
        <f t="array" ref="AA35">SUM((YEAR(Gastos!$A$2:$A$2500)=AA$1)*(MONTH(Gastos!$A$2:$A$2500)=AA$3)*(Gastos!$B$2:$B$2500=$A35)*(Gastos!$D$2:$D$2500))</f>
        <v>0</v>
      </c>
      <c r="AB35" s="75">
        <f t="array" ref="AB35">SUM((YEAR(Gastos!$A$2:$A$2500)=AB$1)*(MONTH(Gastos!$A$2:$A$2500)=AB$3)*(Gastos!$B$2:$B$2500=$A35)*(Gastos!$D$2:$D$2500))</f>
        <v>0</v>
      </c>
      <c r="AC35" s="75">
        <f t="array" ref="AC35">SUM((YEAR(Gastos!$A$2:$A$2500)=AC$1)*(MONTH(Gastos!$A$2:$A$2500)=AC$3)*(Gastos!$B$2:$B$2500=$A35)*(Gastos!$D$2:$D$2500))</f>
        <v>0</v>
      </c>
      <c r="AD35" s="75">
        <f t="array" ref="AD35">SUM((YEAR(Gastos!$A$2:$A$2500)=AD$1)*(MONTH(Gastos!$A$2:$A$2500)=AD$3)*(Gastos!$B$2:$B$2500=$A35)*(Gastos!$D$2:$D$2500))</f>
        <v>0</v>
      </c>
      <c r="AE35" s="75">
        <f t="array" ref="AE35">SUM((YEAR(Gastos!$A$2:$A$2500)=AE$1)*(MONTH(Gastos!$A$2:$A$2500)=AE$3)*(Gastos!$B$2:$B$2500=$A35)*(Gastos!$D$2:$D$2500))</f>
        <v>0</v>
      </c>
      <c r="AF35" s="75">
        <f t="array" ref="AF35">SUM((YEAR(Gastos!$A$2:$A$2500)=AF$1)*(MONTH(Gastos!$A$2:$A$2500)=AF$3)*(Gastos!$B$2:$B$2500=$A35)*(Gastos!$D$2:$D$2500))</f>
        <v>0</v>
      </c>
      <c r="AG35" s="75">
        <f t="array" ref="AG35">SUM((YEAR(Gastos!$A$2:$A$2500)=AG$1)*(MONTH(Gastos!$A$2:$A$2500)=AG$3)*(Gastos!$B$2:$B$2500=$A35)*(Gastos!$D$2:$D$2500))</f>
        <v>0</v>
      </c>
      <c r="AH35" s="75">
        <f t="array" ref="AH35">SUM((YEAR(Gastos!$A$2:$A$2500)=AH$1)*(MONTH(Gastos!$A$2:$A$2500)=AH$3)*(Gastos!$B$2:$B$2500=$A35)*(Gastos!$D$2:$D$2500))</f>
        <v>0</v>
      </c>
      <c r="AI35" s="75">
        <f t="array" ref="AI35">SUM((YEAR(Gastos!$A$2:$A$2500)=AI$1)*(MONTH(Gastos!$A$2:$A$2500)=AI$3)*(Gastos!$B$2:$B$2500=$A35)*(Gastos!$D$2:$D$2500))</f>
        <v>0</v>
      </c>
      <c r="AJ35" s="75">
        <f t="array" ref="AJ35">SUM((YEAR(Gastos!$A$2:$A$2500)=AJ$1)*(MONTH(Gastos!$A$2:$A$2500)=AJ$3)*(Gastos!$B$2:$B$2500=$A35)*(Gastos!$D$2:$D$2500))</f>
        <v>0</v>
      </c>
      <c r="AK35" s="75">
        <f t="array" ref="AK35">SUM((YEAR(Gastos!$A$2:$A$2500)=AK$1)*(MONTH(Gastos!$A$2:$A$2500)=AK$3)*(Gastos!$B$2:$B$2500=$A35)*(Gastos!$D$2:$D$2500))</f>
        <v>0</v>
      </c>
      <c r="AL35" s="75">
        <f t="array" ref="AL35">SUM((YEAR(Gastos!$A$2:$A$2500)=AL$1)*(MONTH(Gastos!$A$2:$A$2500)=AL$3)*(Gastos!$B$2:$B$2500=$A35)*(Gastos!$D$2:$D$2500))</f>
        <v>0</v>
      </c>
      <c r="AM35" s="75">
        <f t="array" ref="AM35">SUM((YEAR(Gastos!$A$2:$A$2500)=AM$1)*(MONTH(Gastos!$A$2:$A$2500)=AM$3)*(Gastos!$B$2:$B$2500=$A35)*(Gastos!$D$2:$D$2500))</f>
        <v>0</v>
      </c>
      <c r="AN35" s="75">
        <f t="array" ref="AN35">SUM((YEAR(Gastos!$A$2:$A$2500)=AN$1)*(MONTH(Gastos!$A$2:$A$2500)=AN$3)*(Gastos!$B$2:$B$2500=$A35)*(Gastos!$D$2:$D$2500))</f>
        <v>0</v>
      </c>
      <c r="AO35" s="75">
        <f t="array" ref="AO35">SUM((YEAR(Gastos!$A$2:$A$2500)=AO$1)*(MONTH(Gastos!$A$2:$A$2500)=AO$3)*(Gastos!$B$2:$B$2500=$A35)*(Gastos!$D$2:$D$2500))</f>
        <v>0</v>
      </c>
      <c r="AP35" s="75">
        <f t="array" ref="AP35">SUM((YEAR(Gastos!$A$2:$A$2500)=AP$1)*(MONTH(Gastos!$A$2:$A$2500)=AP$3)*(Gastos!$B$2:$B$2500=$A35)*(Gastos!$D$2:$D$2500))</f>
        <v>0</v>
      </c>
      <c r="AQ35" s="75">
        <f t="array" ref="AQ35">SUM((YEAR(Gastos!$A$2:$A$2500)=AQ$1)*(MONTH(Gastos!$A$2:$A$2500)=AQ$3)*(Gastos!$B$2:$B$2500=$A35)*(Gastos!$D$2:$D$2500))</f>
        <v>0</v>
      </c>
      <c r="AR35" s="75">
        <f t="array" ref="AR35">SUM((YEAR(Gastos!$A$2:$A$2500)=AR$1)*(MONTH(Gastos!$A$2:$A$2500)=AR$3)*(Gastos!$B$2:$B$2500=$A35)*(Gastos!$D$2:$D$2500))</f>
        <v>0</v>
      </c>
      <c r="AS35" s="75">
        <f t="array" ref="AS35">SUM((YEAR(Gastos!$A$2:$A$2500)=AS$1)*(MONTH(Gastos!$A$2:$A$2500)=AS$3)*(Gastos!$B$2:$B$2500=$A35)*(Gastos!$D$2:$D$2500))</f>
        <v>0</v>
      </c>
      <c r="AT35" s="75">
        <f t="array" ref="AT35">SUM((YEAR(Gastos!$A$2:$A$2500)=AT$1)*(MONTH(Gastos!$A$2:$A$2500)=AT$3)*(Gastos!$B$2:$B$2500=$A35)*(Gastos!$D$2:$D$2500))</f>
        <v>0</v>
      </c>
      <c r="AU35" s="75">
        <f t="array" ref="AU35">SUM((YEAR(Gastos!$A$2:$A$2500)=AU$1)*(MONTH(Gastos!$A$2:$A$2500)=AU$3)*(Gastos!$B$2:$B$2500=$A35)*(Gastos!$D$2:$D$2500))</f>
        <v>0</v>
      </c>
      <c r="AV35" s="75">
        <f t="array" ref="AV35">SUM((YEAR(Gastos!$A$2:$A$2500)=AV$1)*(MONTH(Gastos!$A$2:$A$2500)=AV$3)*(Gastos!$B$2:$B$2500=$A35)*(Gastos!$D$2:$D$2500))</f>
        <v>0</v>
      </c>
      <c r="AW35" s="75">
        <f t="array" ref="AW35">SUM((YEAR(Gastos!$A$2:$A$2500)=AW$1)*(MONTH(Gastos!$A$2:$A$2500)=AW$3)*(Gastos!$B$2:$B$2500=$A35)*(Gastos!$D$2:$D$2500))</f>
        <v>0</v>
      </c>
      <c r="AX35" s="75">
        <f t="array" ref="AX35">SUM((YEAR(Gastos!$A$2:$A$2500)=AX$1)*(MONTH(Gastos!$A$2:$A$2500)=AX$3)*(Gastos!$B$2:$B$2500=$A35)*(Gastos!$D$2:$D$2500))</f>
        <v>0</v>
      </c>
      <c r="AY35" s="75">
        <f t="array" ref="AY35">SUM((YEAR(Gastos!$A$2:$A$2500)=AY$1)*(MONTH(Gastos!$A$2:$A$2500)=AY$3)*(Gastos!$B$2:$B$2500=$A35)*(Gastos!$D$2:$D$2500))</f>
        <v>0</v>
      </c>
      <c r="AZ35" s="75">
        <f t="array" ref="AZ35">SUM((YEAR(Gastos!$A$2:$A$2500)=AZ$1)*(MONTH(Gastos!$A$2:$A$2500)=AZ$3)*(Gastos!$B$2:$B$2500=$A35)*(Gastos!$D$2:$D$2500))</f>
        <v>0</v>
      </c>
      <c r="BA35" s="75">
        <f t="array" ref="BA35">SUM((YEAR(Gastos!$A$2:$A$2500)=BA$1)*(MONTH(Gastos!$A$2:$A$2500)=BA$3)*(Gastos!$B$2:$B$2500=$A35)*(Gastos!$D$2:$D$2500))</f>
        <v>0</v>
      </c>
      <c r="BB35" s="75">
        <f t="array" ref="BB35">SUM((YEAR(Gastos!$A$2:$A$2500)=BB$1)*(MONTH(Gastos!$A$2:$A$2500)=BB$3)*(Gastos!$B$2:$B$2500=$A35)*(Gastos!$D$2:$D$2500))</f>
        <v>0</v>
      </c>
      <c r="BC35" s="75">
        <f t="array" ref="BC35">SUM((YEAR(Gastos!$A$2:$A$2500)=BC$1)*(MONTH(Gastos!$A$2:$A$2500)=BC$3)*(Gastos!$B$2:$B$2500=$A35)*(Gastos!$D$2:$D$2500))</f>
        <v>0</v>
      </c>
      <c r="BD35" s="75">
        <f t="array" ref="BD35">SUM((YEAR(Gastos!$A$2:$A$2500)=BD$1)*(MONTH(Gastos!$A$2:$A$2500)=BD$3)*(Gastos!$B$2:$B$2500=$A35)*(Gastos!$D$2:$D$2500))</f>
        <v>0</v>
      </c>
      <c r="BE35" s="75">
        <f t="array" ref="BE35">SUM((YEAR(Gastos!$A$2:$A$2500)=BE$1)*(MONTH(Gastos!$A$2:$A$2500)=BE$3)*(Gastos!$B$2:$B$2500=$A35)*(Gastos!$D$2:$D$2500))</f>
        <v>0</v>
      </c>
      <c r="BF35" s="75">
        <f t="array" ref="BF35">SUM((YEAR(Gastos!$A$2:$A$2500)=BF$1)*(MONTH(Gastos!$A$2:$A$2500)=BF$3)*(Gastos!$B$2:$B$2500=$A35)*(Gastos!$D$2:$D$2500))</f>
        <v>0</v>
      </c>
      <c r="BG35" s="75">
        <f t="array" ref="BG35">SUM((YEAR(Gastos!$A$2:$A$2500)=BG$1)*(MONTH(Gastos!$A$2:$A$2500)=BG$3)*(Gastos!$B$2:$B$2500=$A35)*(Gastos!$D$2:$D$2500))</f>
        <v>0</v>
      </c>
      <c r="BH35" s="75">
        <f t="array" ref="BH35">SUM((YEAR(Gastos!$A$2:$A$2500)=BH$1)*(MONTH(Gastos!$A$2:$A$2500)=BH$3)*(Gastos!$B$2:$B$2500=$A35)*(Gastos!$D$2:$D$2500))</f>
        <v>0</v>
      </c>
      <c r="BI35" s="75">
        <f t="array" ref="BI35">SUM((YEAR(Gastos!$A$2:$A$2500)=BI$1)*(MONTH(Gastos!$A$2:$A$2500)=BI$3)*(Gastos!$B$2:$B$2500=$A35)*(Gastos!$D$2:$D$2500))</f>
        <v>0</v>
      </c>
      <c r="BJ35" s="75">
        <f t="array" ref="BJ35">SUM((YEAR(Gastos!$A$2:$A$2500)=BJ$1)*(MONTH(Gastos!$A$2:$A$2500)=BJ$3)*(Gastos!$B$2:$B$2500=$A35)*(Gastos!$D$2:$D$2500))</f>
        <v>0</v>
      </c>
      <c r="BK35" s="75">
        <f t="array" ref="BK35">SUM((YEAR(Gastos!$A$2:$A$2500)=BK$1)*(MONTH(Gastos!$A$2:$A$2500)=BK$3)*(Gastos!$B$2:$B$2500=$A35)*(Gastos!$D$2:$D$2500))</f>
        <v>0</v>
      </c>
      <c r="BL35" s="75">
        <f t="array" ref="BL35">SUM((YEAR(Gastos!$A$2:$A$2500)=BL$1)*(MONTH(Gastos!$A$2:$A$2500)=BL$3)*(Gastos!$B$2:$B$2500=$A35)*(Gastos!$D$2:$D$2500))</f>
        <v>0</v>
      </c>
      <c r="BM35" s="75">
        <f t="array" ref="BM35">SUM((YEAR(Gastos!$A$2:$A$2500)=BM$1)*(MONTH(Gastos!$A$2:$A$2500)=BM$3)*(Gastos!$B$2:$B$2500=$A35)*(Gastos!$D$2:$D$2500))</f>
        <v>0</v>
      </c>
      <c r="BN35" s="75">
        <f t="array" ref="BN35">SUM((YEAR(Gastos!$A$2:$A$2500)=BN$1)*(MONTH(Gastos!$A$2:$A$2500)=BN$3)*(Gastos!$B$2:$B$2500=$A35)*(Gastos!$D$2:$D$2500))</f>
        <v>0</v>
      </c>
      <c r="BO35" s="75">
        <f t="array" ref="BO35">SUM((YEAR(Gastos!$A$2:$A$2500)=BO$1)*(MONTH(Gastos!$A$2:$A$2500)=BO$3)*(Gastos!$B$2:$B$2500=$A35)*(Gastos!$D$2:$D$2500))</f>
        <v>0</v>
      </c>
      <c r="BP35" s="75">
        <f t="array" ref="BP35">SUM((YEAR(Gastos!$A$2:$A$2500)=BP$1)*(MONTH(Gastos!$A$2:$A$2500)=BP$3)*(Gastos!$B$2:$B$2500=$A35)*(Gastos!$D$2:$D$2500))</f>
        <v>0</v>
      </c>
      <c r="BQ35" s="75">
        <f t="array" ref="BQ35">SUM((YEAR(Gastos!$A$2:$A$2500)=BQ$1)*(MONTH(Gastos!$A$2:$A$2500)=BQ$3)*(Gastos!$B$2:$B$2500=$A35)*(Gastos!$D$2:$D$2500))</f>
        <v>0</v>
      </c>
      <c r="BR35" s="75">
        <f t="array" ref="BR35">SUM((YEAR(Gastos!$A$2:$A$2500)=BR$1)*(MONTH(Gastos!$A$2:$A$2500)=BR$3)*(Gastos!$B$2:$B$2500=$A35)*(Gastos!$D$2:$D$2500))</f>
        <v>0</v>
      </c>
      <c r="BS35" s="75">
        <f t="array" ref="BS35">SUM((YEAR(Gastos!$A$2:$A$2500)=BS$1)*(MONTH(Gastos!$A$2:$A$2500)=BS$3)*(Gastos!$B$2:$B$2500=$A35)*(Gastos!$D$2:$D$2500))</f>
        <v>0</v>
      </c>
      <c r="BT35" s="75">
        <f t="array" ref="BT35">SUM((YEAR(Gastos!$A$2:$A$2500)=BT$1)*(MONTH(Gastos!$A$2:$A$2500)=BT$3)*(Gastos!$B$2:$B$2500=$A35)*(Gastos!$D$2:$D$2500))</f>
        <v>0</v>
      </c>
      <c r="BU35" s="75">
        <f t="array" ref="BU35">SUM((YEAR(Gastos!$A$2:$A$2500)=BU$1)*(MONTH(Gastos!$A$2:$A$2500)=BU$3)*(Gastos!$B$2:$B$2500=$A35)*(Gastos!$D$2:$D$2500))</f>
        <v>0</v>
      </c>
      <c r="BV35" s="75">
        <f t="array" ref="BV35">SUM((YEAR(Gastos!$A$2:$A$2500)=BV$1)*(MONTH(Gastos!$A$2:$A$2500)=BV$3)*(Gastos!$B$2:$B$2500=$A35)*(Gastos!$D$2:$D$2500))</f>
        <v>0</v>
      </c>
      <c r="BW35" s="75">
        <f t="array" ref="BW35">SUM((YEAR(Gastos!$A$2:$A$2500)=BW$1)*(MONTH(Gastos!$A$2:$A$2500)=BW$3)*(Gastos!$B$2:$B$2500=$A35)*(Gastos!$D$2:$D$2500))</f>
        <v>0</v>
      </c>
      <c r="BX35" s="75">
        <f t="array" ref="BX35">SUM((YEAR(Gastos!$A$2:$A$2500)=BX$1)*(MONTH(Gastos!$A$2:$A$2500)=BX$3)*(Gastos!$B$2:$B$2500=$A35)*(Gastos!$D$2:$D$2500))</f>
        <v>0</v>
      </c>
      <c r="BY35" s="75">
        <f t="array" ref="BY35">SUM((YEAR(Gastos!$A$2:$A$2500)=BY$1)*(MONTH(Gastos!$A$2:$A$2500)=BY$3)*(Gastos!$B$2:$B$2500=$A35)*(Gastos!$D$2:$D$2500))</f>
        <v>0</v>
      </c>
      <c r="BZ35" s="75">
        <f t="array" ref="BZ35">SUM((YEAR(Gastos!$A$2:$A$2500)=BZ$1)*(MONTH(Gastos!$A$2:$A$2500)=BZ$3)*(Gastos!$B$2:$B$2500=$A35)*(Gastos!$D$2:$D$2500))</f>
        <v>0</v>
      </c>
      <c r="CA35" s="75">
        <f t="array" ref="CA35">SUM((YEAR(Gastos!$A$2:$A$2500)=CA$1)*(MONTH(Gastos!$A$2:$A$2500)=CA$3)*(Gastos!$B$2:$B$2500=$A35)*(Gastos!$D$2:$D$2500))</f>
        <v>0</v>
      </c>
      <c r="CB35" s="75">
        <f t="array" ref="CB35">SUM((YEAR(Gastos!$A$2:$A$2500)=CB$1)*(MONTH(Gastos!$A$2:$A$2500)=CB$3)*(Gastos!$B$2:$B$2500=$A35)*(Gastos!$D$2:$D$2500))</f>
        <v>6612</v>
      </c>
      <c r="CC35" s="75">
        <f t="array" ref="CC35">SUM((YEAR(Gastos!$A$2:$A$2500)=CC$1)*(MONTH(Gastos!$A$2:$A$2500)=CC$3)*(Gastos!$B$2:$B$2500=$A35)*(Gastos!$D$2:$D$2500))</f>
        <v>1160</v>
      </c>
      <c r="CD35" s="75">
        <f t="array" ref="CD35">SUM((YEAR(Gastos!$A$2:$A$2500)=CD$1)*(MONTH(Gastos!$A$2:$A$2500)=CD$3)*(Gastos!$B$2:$B$2500=$A35)*(Gastos!$D$2:$D$2500))</f>
        <v>0</v>
      </c>
      <c r="CE35" s="75">
        <f t="array" ref="CE35">SUM((YEAR(Gastos!$A$2:$A$2500)=CE$1)*(MONTH(Gastos!$A$2:$A$2500)=CE$3)*(Gastos!$B$2:$B$2500=$A35)*(Gastos!$D$2:$D$2500))</f>
        <v>0</v>
      </c>
      <c r="CF35" s="75">
        <f t="array" ref="CF35">SUM((YEAR(Gastos!$A$2:$A$2500)=CF$1)*(MONTH(Gastos!$A$2:$A$2500)=CF$3)*(Gastos!$B$2:$B$2500=$A35)*(Gastos!$D$2:$D$2500))</f>
        <v>0</v>
      </c>
      <c r="CG35" s="75">
        <f t="array" ref="CG35">SUM((YEAR(Gastos!$A$2:$A$2500)=CG$1)*(MONTH(Gastos!$A$2:$A$2500)=CG$3)*(Gastos!$B$2:$B$2500=$A35)*(Gastos!$D$2:$D$2500))</f>
        <v>0</v>
      </c>
      <c r="CH35" s="75">
        <f t="array" ref="CH35">SUM((YEAR(Gastos!$A$2:$A$2500)=CH$1)*(MONTH(Gastos!$A$2:$A$2500)=CH$3)*(Gastos!$B$2:$B$2500=$A35)*(Gastos!$D$2:$D$2500))</f>
        <v>0</v>
      </c>
      <c r="CI35" s="75">
        <f t="array" ref="CI35">SUM((YEAR(Gastos!$A$2:$A$2500)=CI$1)*(MONTH(Gastos!$A$2:$A$2500)=CI$3)*(Gastos!$B$2:$B$2500=$A35)*(Gastos!$D$2:$D$2500))</f>
        <v>1856</v>
      </c>
      <c r="CJ35" s="75">
        <f t="array" ref="CJ35">SUM((YEAR(Gastos!$A$2:$A$2500)=CJ$1)*(MONTH(Gastos!$A$2:$A$2500)=CJ$3)*(Gastos!$B$2:$B$2500=$A35)*(Gastos!$D$2:$D$2500))</f>
        <v>0</v>
      </c>
      <c r="CK35" s="75">
        <f t="array" ref="CK35">SUM((YEAR(Gastos!$A$2:$A$2500)=CK$1)*(MONTH(Gastos!$A$2:$A$2500)=CK$3)*(Gastos!$B$2:$B$2500=$A35)*(Gastos!$D$2:$D$2500))</f>
        <v>0</v>
      </c>
      <c r="CL35" s="75">
        <f t="array" ref="CL35">SUM((YEAR(Gastos!$A$2:$A$2500)=CL$1)*(MONTH(Gastos!$A$2:$A$2500)=CL$3)*(Gastos!$B$2:$B$2500=$A35)*(Gastos!$D$2:$D$2500))</f>
        <v>0</v>
      </c>
      <c r="CM35" s="75">
        <f t="array" ref="CM35">SUM((YEAR(Gastos!$A$2:$A$2500)=CM$1)*(MONTH(Gastos!$A$2:$A$2500)=CM$3)*(Gastos!$B$2:$B$2500=$A35)*(Gastos!$D$2:$D$2500))</f>
        <v>0</v>
      </c>
      <c r="CN35" s="75">
        <f t="array" ref="CN35">SUM((YEAR(Gastos!$A$2:$A$2500)=CN$1)*(MONTH(Gastos!$A$2:$A$2500)=CN$3)*(Gastos!$B$2:$B$2500=$A35)*(Gastos!$D$2:$D$2500))</f>
        <v>0</v>
      </c>
      <c r="CO35" s="75">
        <f t="array" ref="CO35">SUM((YEAR(Gastos!$A$2:$A$2500)=CO$1)*(MONTH(Gastos!$A$2:$A$2500)=CO$3)*(Gastos!$B$2:$B$2500=$A35)*(Gastos!$D$2:$D$2500))</f>
        <v>1009.2</v>
      </c>
      <c r="CP35" s="75">
        <f t="array" ref="CP35">SUM((YEAR(Gastos!$A$2:$A$2500)=CP$1)*(MONTH(Gastos!$A$2:$A$2500)=CP$3)*(Gastos!$B$2:$B$2500=$A35)*(Gastos!$D$2:$D$2500))</f>
        <v>0</v>
      </c>
      <c r="CQ35" s="75">
        <f t="array" ref="CQ35">SUM((YEAR(Gastos!$A$2:$A$2500)=CQ$1)*(MONTH(Gastos!$A$2:$A$2500)=CQ$3)*(Gastos!$B$2:$B$2500=$A35)*(Gastos!$D$2:$D$2500))</f>
        <v>0</v>
      </c>
      <c r="CR35" s="75">
        <f t="array" ref="CR35">SUM((YEAR(Gastos!$A$2:$A$2500)=CR$1)*(MONTH(Gastos!$A$2:$A$2500)=CR$3)*(Gastos!$B$2:$B$2500=$A35)*(Gastos!$D$2:$D$2500))</f>
        <v>0</v>
      </c>
      <c r="CS35" s="75">
        <f t="array" ref="CS35">SUM((YEAR(Gastos!$A$2:$A$2500)=CS$1)*(MONTH(Gastos!$A$2:$A$2500)=CS$3)*(Gastos!$B$2:$B$2500=$A35)*(Gastos!$D$2:$D$2500))</f>
        <v>0</v>
      </c>
      <c r="CT35" s="75">
        <f t="array" ref="CT35">SUM((YEAR(Gastos!$A$2:$A$2500)=CT$1)*(MONTH(Gastos!$A$2:$A$2500)=CT$3)*(Gastos!$B$2:$B$2500=$A35)*(Gastos!$D$2:$D$2500))</f>
        <v>0</v>
      </c>
      <c r="CU35" s="75">
        <f t="array" ref="CU35">SUM((YEAR(Gastos!$A$2:$A$2500)=CU$1)*(MONTH(Gastos!$A$2:$A$2500)=CU$3)*(Gastos!$B$2:$B$2500=$A35)*(Gastos!$D$2:$D$2500))</f>
        <v>0</v>
      </c>
      <c r="CV35" s="75">
        <f t="array" ref="CV35">SUM((YEAR(Gastos!$A$2:$A$2500)=CV$1)*(MONTH(Gastos!$A$2:$A$2500)=CV$3)*(Gastos!$B$2:$B$2500=$A35)*(Gastos!$D$2:$D$2500))</f>
        <v>0</v>
      </c>
      <c r="CW35" s="75">
        <f t="array" ref="CW35">SUM((YEAR(Gastos!$A$2:$A$2500)=CW$1)*(MONTH(Gastos!$A$2:$A$2500)=CW$3)*(Gastos!$B$2:$B$2500=$A35)*(Gastos!$D$2:$D$2500))</f>
        <v>0</v>
      </c>
      <c r="CX35" s="75">
        <f t="array" ref="CX35">SUM((YEAR(Gastos!$A$2:$A$2500)=CX$1)*(MONTH(Gastos!$A$2:$A$2500)=CX$3)*(Gastos!$B$2:$B$2500=$A35)*(Gastos!$D$2:$D$2500))</f>
        <v>0</v>
      </c>
      <c r="CY35" s="75">
        <f t="array" ref="CY35">SUM((YEAR(Gastos!$A$2:$A$2500)=CY$1)*(MONTH(Gastos!$A$2:$A$2500)=CY$3)*(Gastos!$B$2:$B$2500=$A35)*(Gastos!$D$2:$D$2500))</f>
        <v>0</v>
      </c>
      <c r="CZ35" s="75">
        <f t="array" ref="CZ35">SUM((YEAR(Gastos!$A$2:$A$2500)=CZ$1)*(MONTH(Gastos!$A$2:$A$2500)=CZ$3)*(Gastos!$B$2:$B$2500=$A35)*(Gastos!$D$2:$D$2500))</f>
        <v>0</v>
      </c>
      <c r="DA35" s="75">
        <f t="array" ref="DA35">SUM((YEAR(Gastos!$A$2:$A$2500)=DA$1)*(MONTH(Gastos!$A$2:$A$2500)=DA$3)*(Gastos!$B$2:$B$2500=$A35)*(Gastos!$D$2:$D$2500))</f>
        <v>0</v>
      </c>
      <c r="DB35" s="75">
        <f t="array" ref="DB35">SUM((YEAR(Gastos!$A$2:$A$2500)=DB$1)*(MONTH(Gastos!$A$2:$A$2500)=DB$3)*(Gastos!$B$2:$B$2500=$A35)*(Gastos!$D$2:$D$2500))</f>
        <v>1032.75</v>
      </c>
      <c r="DC35" s="75">
        <f t="array" ref="DC35">SUM((YEAR(Gastos!$A$2:$A$2500)=DC$1)*(MONTH(Gastos!$A$2:$A$2500)=DC$3)*(Gastos!$B$2:$B$2500=$A35)*(Gastos!$D$2:$D$2500))</f>
        <v>0</v>
      </c>
      <c r="DD35" s="75">
        <f t="array" ref="DD35">SUM((YEAR(Gastos!$A$2:$A$2500)=DD$1)*(MONTH(Gastos!$A$2:$A$2500)=DD$3)*(Gastos!$B$2:$B$2500=$A35)*(Gastos!$D$2:$D$2500))</f>
        <v>0</v>
      </c>
      <c r="DE35" s="75">
        <f t="array" ref="DE35">SUM((YEAR(Gastos!$A$2:$A$2500)=DE$1)*(MONTH(Gastos!$A$2:$A$2500)=DE$3)*(Gastos!$B$2:$B$2500=$A35)*(Gastos!$D$2:$D$2500))</f>
        <v>2273.6</v>
      </c>
      <c r="DF35" s="75">
        <f t="array" ref="DF35">SUM((YEAR(Gastos!$A$2:$A$2500)=DF$1)*(MONTH(Gastos!$A$2:$A$2500)=DF$3)*(Gastos!$B$2:$B$2500=$A35)*(Gastos!$D$2:$D$2500))</f>
        <v>1044</v>
      </c>
      <c r="DG35" s="75">
        <f t="array" ref="DG35">SUM((YEAR(Gastos!$A$2:$A$2500)=DG$1)*(MONTH(Gastos!$A$2:$A$2500)=DG$3)*(Gastos!$B$2:$B$2500=$A35)*(Gastos!$D$2:$D$2500))</f>
        <v>0</v>
      </c>
      <c r="DH35" s="75">
        <f t="array" ref="DH35">SUM((YEAR(Gastos!$A$2:$A$2500)=DH$1)*(MONTH(Gastos!$A$2:$A$2500)=DH$3)*(Gastos!$B$2:$B$2500=$A35)*(Gastos!$D$2:$D$2500))</f>
        <v>0</v>
      </c>
      <c r="DI35" s="75">
        <f t="array" ref="DI35">SUM((YEAR(Gastos!$A$2:$A$2500)=DI$1)*(MONTH(Gastos!$A$2:$A$2500)=DI$3)*(Gastos!$B$2:$B$2500=$A35)*(Gastos!$D$2:$D$2500))</f>
        <v>0</v>
      </c>
      <c r="DJ35" s="75">
        <f t="array" ref="DJ35">SUM((YEAR(Gastos!$A$2:$A$2500)=DJ$1)*(MONTH(Gastos!$A$2:$A$2500)=DJ$3)*(Gastos!$B$2:$B$2500=$A35)*(Gastos!$D$2:$D$2500))</f>
        <v>0</v>
      </c>
      <c r="DK35" s="75">
        <f t="array" ref="DK35">SUM((YEAR(Gastos!$A$2:$A$2500)=DK$1)*(MONTH(Gastos!$A$2:$A$2500)=DK$3)*(Gastos!$B$2:$B$2500=$A35)*(Gastos!$D$2:$D$2500))</f>
        <v>0</v>
      </c>
      <c r="DL35" s="75">
        <f t="array" ref="DL35">SUM((YEAR(Gastos!$A$2:$A$2500)=DL$1)*(MONTH(Gastos!$A$2:$A$2500)=DL$3)*(Gastos!$B$2:$B$2500=$A35)*(Gastos!$D$2:$D$2500))</f>
        <v>0</v>
      </c>
      <c r="DM35" s="75">
        <f t="array" ref="DM35">SUM((YEAR(Gastos!$A$2:$A$2500)=DM$1)*(MONTH(Gastos!$A$2:$A$2500)=DM$3)*(Gastos!$B$2:$B$2500=$A35)*(Gastos!$D$2:$D$2500))</f>
        <v>3098.25</v>
      </c>
      <c r="DN35" s="75">
        <f t="array" ref="DN35">SUM((YEAR(Gastos!$A$2:$A$2500)=DN$1)*(MONTH(Gastos!$A$2:$A$2500)=DN$3)*(Gastos!$B$2:$B$2500=$A35)*(Gastos!$D$2:$D$2500))</f>
        <v>0</v>
      </c>
      <c r="DO35" s="75">
        <f t="array" ref="DO35">SUM((YEAR(Gastos!$A$2:$A$2500)=DO$1)*(MONTH(Gastos!$A$2:$A$2500)=DO$3)*(Gastos!$B$2:$B$2500=$A35)*(Gastos!$D$2:$D$2500))</f>
        <v>406</v>
      </c>
      <c r="DP35" s="75">
        <f t="array" ref="DP35">SUM((YEAR(Gastos!$A$2:$A$2500)=DP$1)*(MONTH(Gastos!$A$2:$A$2500)=DP$3)*(Gastos!$B$2:$B$2500=$A35)*(Gastos!$D$2:$D$2500))</f>
        <v>0</v>
      </c>
      <c r="DQ35" s="75">
        <f t="array" ref="DQ35">SUM((YEAR(Gastos!$A$2:$A$2500)=DQ$1)*(MONTH(Gastos!$A$2:$A$2500)=DQ$3)*(Gastos!$B$2:$B$2500=$A35)*(Gastos!$D$2:$D$2500))</f>
        <v>0</v>
      </c>
      <c r="DR35" s="75">
        <f t="array" ref="DR35">SUM((YEAR(Gastos!$A$2:$A$2500)=DR$1)*(MONTH(Gastos!$A$2:$A$2500)=DR$3)*(Gastos!$B$2:$B$2500=$A35)*(Gastos!$D$2:$D$2500))</f>
        <v>0</v>
      </c>
      <c r="DS35" s="75">
        <f t="array" ref="DS35">SUM((YEAR(Gastos!$A$2:$A$2500)=DS$1)*(MONTH(Gastos!$A$2:$A$2500)=DS$3)*(Gastos!$B$2:$B$2500=$A35)*(Gastos!$D$2:$D$2500))</f>
        <v>0</v>
      </c>
      <c r="DT35" s="75">
        <f t="array" ref="DT35">SUM((YEAR(Gastos!$A$2:$A$2500)=DT$1)*(MONTH(Gastos!$A$2:$A$2500)=DT$3)*(Gastos!$B$2:$B$2500=$A35)*(Gastos!$D$2:$D$2500))</f>
        <v>0</v>
      </c>
      <c r="DU35" s="75">
        <f t="array" ref="DU35">SUM((YEAR(Gastos!$A$2:$A$2500)=DU$1)*(MONTH(Gastos!$A$2:$A$2500)=DU$3)*(Gastos!$B$2:$B$2500=$A35)*(Gastos!$D$2:$D$2500))</f>
        <v>0</v>
      </c>
      <c r="DV35" s="75">
        <f t="array" ref="DV35">SUM((YEAR(Gastos!$A$2:$A$2500)=DV$1)*(MONTH(Gastos!$A$2:$A$2500)=DV$3)*(Gastos!$B$2:$B$2500=$A35)*(Gastos!$D$2:$D$2500))</f>
        <v>0</v>
      </c>
      <c r="DW35" s="75">
        <f t="array" ref="DW35">SUM((YEAR(Gastos!$A$2:$A$2500)=DW$1)*(MONTH(Gastos!$A$2:$A$2500)=DW$3)*(Gastos!$B$2:$B$2500=$A35)*(Gastos!$D$2:$D$2500))</f>
        <v>812</v>
      </c>
      <c r="DX35" s="75">
        <f t="array" ref="DX35">SUM((YEAR(Gastos!$A$2:$A$2500)=DX$1)*(MONTH(Gastos!$A$2:$A$2500)=DX$3)*(Gastos!$B$2:$B$2500=$A35)*(Gastos!$D$2:$D$2500))</f>
        <v>0</v>
      </c>
      <c r="DY35" s="75">
        <f t="array" ref="DY35">SUM((YEAR(Gastos!$A$2:$A$2500)=DY$1)*(MONTH(Gastos!$A$2:$A$2500)=DY$3)*(Gastos!$B$2:$B$2500=$A35)*(Gastos!$D$2:$D$2500))</f>
        <v>0</v>
      </c>
      <c r="DZ35" s="75">
        <f t="array" ref="DZ35">SUM((YEAR(Gastos!$A$2:$A$2500)=DZ$1)*(MONTH(Gastos!$A$2:$A$2500)=DZ$3)*(Gastos!$B$2:$B$2500=$A35)*(Gastos!$D$2:$D$2500))</f>
        <v>0</v>
      </c>
      <c r="EA35" s="75">
        <f t="array" ref="EA35">SUM((YEAR(Gastos!$A$2:$A$2500)=EA$1)*(MONTH(Gastos!$A$2:$A$2500)=EA$3)*(Gastos!$B$2:$B$2500=$A35)*(Gastos!$D$2:$D$2500))</f>
        <v>0</v>
      </c>
      <c r="EB35" s="75">
        <f t="array" ref="EB35">SUM((YEAR(Gastos!$A$2:$A$2500)=EB$1)*(MONTH(Gastos!$A$2:$A$2500)=EB$3)*(Gastos!$B$2:$B$2500=$A35)*(Gastos!$D$2:$D$2500))</f>
        <v>0</v>
      </c>
      <c r="EC35" s="75">
        <f t="array" ref="EC35">SUM((YEAR(Gastos!$A$2:$A$2500)=EC$1)*(MONTH(Gastos!$A$2:$A$2500)=EC$3)*(Gastos!$B$2:$B$2500=$A35)*(Gastos!$D$2:$D$2500))</f>
        <v>0</v>
      </c>
      <c r="ED35" s="75">
        <f t="array" ref="ED35">SUM((YEAR(Gastos!$A$2:$A$2500)=ED$1)*(MONTH(Gastos!$A$2:$A$2500)=ED$3)*(Gastos!$B$2:$B$2500=$A35)*(Gastos!$D$2:$D$2500))</f>
        <v>0</v>
      </c>
      <c r="EE35" s="75">
        <f t="array" ref="EE35">SUM((YEAR(Gastos!$A$2:$A$2500)=EE$1)*(MONTH(Gastos!$A$2:$A$2500)=EE$3)*(Gastos!$B$2:$B$2500=$A35)*(Gastos!$D$2:$D$2500))</f>
        <v>0</v>
      </c>
      <c r="EF35" s="75">
        <f t="array" ref="EF35">SUM((YEAR(Gastos!$A$2:$A$2500)=EF$1)*(MONTH(Gastos!$A$2:$A$2500)=EF$3)*(Gastos!$B$2:$B$2500=$A35)*(Gastos!$D$2:$D$2500))</f>
        <v>0</v>
      </c>
      <c r="EG35" s="75">
        <f t="array" ref="EG35">SUM((YEAR(Gastos!$A$2:$A$2500)=EG$1)*(MONTH(Gastos!$A$2:$A$2500)=EG$3)*(Gastos!$B$2:$B$2500=$A35)*(Gastos!$D$2:$D$2500))</f>
        <v>0</v>
      </c>
      <c r="EH35" s="75">
        <f t="array" ref="EH35">SUM((YEAR(Gastos!$A$2:$A$2500)=EH$1)*(MONTH(Gastos!$A$2:$A$2500)=EH$3)*(Gastos!$B$2:$B$2500=$A35)*(Gastos!$D$2:$D$2500))</f>
        <v>0</v>
      </c>
      <c r="EI35" s="75">
        <f t="array" ref="EI35">SUM((YEAR(Gastos!$A$2:$A$2500)=EI$1)*(MONTH(Gastos!$A$2:$A$2500)=EI$3)*(Gastos!$B$2:$B$2500=$A35)*(Gastos!$D$2:$D$2500))</f>
        <v>0</v>
      </c>
      <c r="EJ35" s="75">
        <f t="array" ref="EJ35">SUM((YEAR(Gastos!$A$2:$A$2500)=EJ$1)*(MONTH(Gastos!$A$2:$A$2500)=EJ$3)*(Gastos!$B$2:$B$2500=$A35)*(Gastos!$D$2:$D$2500))</f>
        <v>0</v>
      </c>
      <c r="EK35" s="75">
        <f t="array" ref="EK35">SUM((YEAR(Gastos!$A$2:$A$2500)=EK$1)*(MONTH(Gastos!$A$2:$A$2500)=EK$3)*(Gastos!$B$2:$B$2500=$A35)*(Gastos!$D$2:$D$2500))</f>
        <v>0</v>
      </c>
      <c r="EL35" s="75">
        <f t="array" ref="EL35">SUM((YEAR(Gastos!$A$2:$A$2500)=EL$1)*(MONTH(Gastos!$A$2:$A$2500)=EL$3)*(Gastos!$B$2:$B$2500=$A35)*(Gastos!$D$2:$D$2500))</f>
        <v>0</v>
      </c>
      <c r="EM35" s="75">
        <f t="array" ref="EM35">SUM((YEAR(Gastos!$A$2:$A$2500)=EM$1)*(MONTH(Gastos!$A$2:$A$2500)=EM$3)*(Gastos!$B$2:$B$2500=$A35)*(Gastos!$D$2:$D$2500))</f>
        <v>0</v>
      </c>
      <c r="EN35" s="75">
        <f t="array" ref="EN35">SUM((YEAR(Gastos!$A$2:$A$2500)=EN$1)*(MONTH(Gastos!$A$2:$A$2500)=EN$3)*(Gastos!$B$2:$B$2500=$A35)*(Gastos!$D$2:$D$2500))</f>
        <v>0</v>
      </c>
      <c r="EO35" s="75">
        <f t="array" ref="EO35">SUM((YEAR(Gastos!$A$2:$A$2500)=EO$1)*(MONTH(Gastos!$A$2:$A$2500)=EO$3)*(Gastos!$B$2:$B$2500=$A35)*(Gastos!$D$2:$D$2500))</f>
        <v>0</v>
      </c>
      <c r="EP35" s="75">
        <f t="array" ref="EP35">SUM((YEAR(Gastos!$A$2:$A$2500)=EP$1)*(MONTH(Gastos!$A$2:$A$2500)=EP$3)*(Gastos!$B$2:$B$2500=$A35)*(Gastos!$D$2:$D$2500))</f>
        <v>0</v>
      </c>
      <c r="EQ35" s="75">
        <f t="array" ref="EQ35">SUM((YEAR(Gastos!$A$2:$A$2500)=EQ$1)*(MONTH(Gastos!$A$2:$A$2500)=EQ$3)*(Gastos!$B$2:$B$2500=$A35)*(Gastos!$D$2:$D$2500))</f>
        <v>0</v>
      </c>
      <c r="ER35" s="75">
        <f t="array" ref="ER35">SUM((YEAR(Gastos!$A$2:$A$2500)=ER$1)*(MONTH(Gastos!$A$2:$A$2500)=ER$3)*(Gastos!$B$2:$B$2500=$A35)*(Gastos!$D$2:$D$2500))</f>
        <v>0</v>
      </c>
      <c r="ES35" s="75">
        <f t="array" ref="ES35">SUM((YEAR(Gastos!$A$2:$A$2500)=ES$1)*(MONTH(Gastos!$A$2:$A$2500)=ES$3)*(Gastos!$B$2:$B$2500=$A35)*(Gastos!$D$2:$D$2500))</f>
        <v>0</v>
      </c>
      <c r="ET35" s="75">
        <f t="array" ref="ET35">SUM((YEAR(Gastos!$A$2:$A$2500)=ET$1)*(MONTH(Gastos!$A$2:$A$2500)=ET$3)*(Gastos!$B$2:$B$2500=$A35)*(Gastos!$D$2:$D$2500))</f>
        <v>0</v>
      </c>
      <c r="EU35" s="75">
        <f t="array" ref="EU35">SUM((YEAR(Gastos!$A$2:$A$2500)=EU$1)*(MONTH(Gastos!$A$2:$A$2500)=EU$3)*(Gastos!$B$2:$B$2500=$A35)*(Gastos!$D$2:$D$2500))</f>
        <v>0</v>
      </c>
      <c r="EV35" s="75">
        <f t="array" ref="EV35">SUM((YEAR(Gastos!$A$2:$A$2500)=EV$1)*(MONTH(Gastos!$A$2:$A$2500)=EV$3)*(Gastos!$B$2:$B$2500=$A35)*(Gastos!$D$2:$D$2500))</f>
        <v>0</v>
      </c>
      <c r="EW35" s="75">
        <f t="array" ref="EW35">SUM((YEAR(Gastos!$A$2:$A$2500)=EW$1)*(MONTH(Gastos!$A$2:$A$2500)=EW$3)*(Gastos!$B$2:$B$2500=$A35)*(Gastos!$D$2:$D$2500))</f>
        <v>0</v>
      </c>
      <c r="EX35" s="75">
        <f t="array" ref="EX35">SUM((YEAR(Gastos!$A$2:$A$2500)=EX$1)*(MONTH(Gastos!$A$2:$A$2500)=EX$3)*(Gastos!$B$2:$B$2500=$A35)*(Gastos!$D$2:$D$2500))</f>
        <v>0</v>
      </c>
      <c r="EY35" s="75">
        <f t="array" ref="EY35">SUM((YEAR(Gastos!$A$2:$A$2500)=EY$1)*(MONTH(Gastos!$A$2:$A$2500)=EY$3)*(Gastos!$B$2:$B$2500=$A35)*(Gastos!$D$2:$D$2500))</f>
        <v>0</v>
      </c>
      <c r="EZ35" s="75">
        <f t="array" ref="EZ35">SUM((YEAR(Gastos!$A$2:$A$2500)=EZ$1)*(MONTH(Gastos!$A$2:$A$2500)=EZ$3)*(Gastos!$B$2:$B$2500=$A35)*(Gastos!$D$2:$D$2500))</f>
        <v>0</v>
      </c>
      <c r="FA35" s="75">
        <f t="array" ref="FA35">SUM((YEAR(Gastos!$A$2:$A$2500)=FA$1)*(MONTH(Gastos!$A$2:$A$2500)=FA$3)*(Gastos!$B$2:$B$2500=$A35)*(Gastos!$D$2:$D$2500))</f>
        <v>0</v>
      </c>
      <c r="FB35" s="75">
        <f t="array" ref="FB35">SUM((YEAR(Gastos!$A$2:$A$2500)=FB$1)*(MONTH(Gastos!$A$2:$A$2500)=FB$3)*(Gastos!$B$2:$B$2500=$A35)*(Gastos!$D$2:$D$2500))</f>
        <v>0</v>
      </c>
      <c r="FC35" s="75">
        <f t="array" ref="FC35">SUM((YEAR(Gastos!$A$2:$A$2500)=FC$1)*(MONTH(Gastos!$A$2:$A$2500)=FC$3)*(Gastos!$B$2:$B$2500=$A35)*(Gastos!$D$2:$D$2500))</f>
        <v>0</v>
      </c>
      <c r="FD35" s="75">
        <f t="array" ref="FD35">SUM((YEAR(Gastos!$A$2:$A$2500)=FD$1)*(MONTH(Gastos!$A$2:$A$2500)=FD$3)*(Gastos!$B$2:$B$2500=$A35)*(Gastos!$D$2:$D$2500))</f>
        <v>0</v>
      </c>
      <c r="FE35" s="75">
        <f t="array" ref="FE35">SUM((YEAR(Gastos!$A$2:$A$2500)=FE$1)*(MONTH(Gastos!$A$2:$A$2500)=FE$3)*(Gastos!$B$2:$B$2500=$A35)*(Gastos!$D$2:$D$2500))</f>
        <v>0</v>
      </c>
      <c r="FF35" s="75">
        <f t="array" ref="FF35">SUM((YEAR(Gastos!$A$2:$A$2500)=FF$1)*(MONTH(Gastos!$A$2:$A$2500)=FF$3)*(Gastos!$B$2:$B$2500=$A35)*(Gastos!$D$2:$D$2500))</f>
        <v>0</v>
      </c>
      <c r="FG35" s="75">
        <f t="array" ref="FG35">SUM((YEAR(Gastos!$A$2:$A$2500)=FG$1)*(MONTH(Gastos!$A$2:$A$2500)=FG$3)*(Gastos!$B$2:$B$2500=$A35)*(Gastos!$D$2:$D$2500))</f>
        <v>0</v>
      </c>
      <c r="FH35" s="75">
        <f t="array" ref="FH35">SUM((YEAR(Gastos!$A$2:$A$2500)=FH$1)*(MONTH(Gastos!$A$2:$A$2500)=FH$3)*(Gastos!$B$2:$B$2500=$A35)*(Gastos!$D$2:$D$2500))</f>
        <v>0</v>
      </c>
      <c r="FI35" s="75">
        <f t="array" ref="FI35">SUM((YEAR(Gastos!$A$2:$A$2500)=FI$1)*(MONTH(Gastos!$A$2:$A$2500)=FI$3)*(Gastos!$B$2:$B$2500=$A35)*(Gastos!$D$2:$D$2500))</f>
        <v>0</v>
      </c>
      <c r="FJ35" s="75">
        <f t="array" ref="FJ35">SUM((YEAR(Gastos!$A$2:$A$2500)=FJ$1)*(MONTH(Gastos!$A$2:$A$2500)=FJ$3)*(Gastos!$B$2:$B$2500=$A35)*(Gastos!$D$2:$D$2500))</f>
        <v>0</v>
      </c>
      <c r="FK35" s="75">
        <f t="array" ref="FK35">SUM((YEAR(Gastos!$A$2:$A$2500)=FK$1)*(MONTH(Gastos!$A$2:$A$2500)=FK$3)*(Gastos!$B$2:$B$2500=$A35)*(Gastos!$D$2:$D$2500))</f>
        <v>0</v>
      </c>
      <c r="FL35" s="75">
        <f t="array" ref="FL35">SUM((YEAR(Gastos!$A$2:$A$2500)=FL$1)*(MONTH(Gastos!$A$2:$A$2500)=FL$3)*(Gastos!$B$2:$B$2500=$A35)*(Gastos!$D$2:$D$2500))</f>
        <v>0</v>
      </c>
      <c r="FM35" s="75">
        <f t="array" ref="FM35">SUM((YEAR(Gastos!$A$2:$A$2500)=FM$1)*(MONTH(Gastos!$A$2:$A$2500)=FM$3)*(Gastos!$B$2:$B$2500=$A35)*(Gastos!$D$2:$D$2500))</f>
        <v>0</v>
      </c>
      <c r="FN35" s="75">
        <f t="array" ref="FN35">SUM((YEAR(Gastos!$A$2:$A$2500)=FN$1)*(MONTH(Gastos!$A$2:$A$2500)=FN$3)*(Gastos!$B$2:$B$2500=$A35)*(Gastos!$D$2:$D$2500))</f>
        <v>0</v>
      </c>
      <c r="FO35" s="75">
        <f t="array" ref="FO35">SUM((YEAR(Gastos!$A$2:$A$2500)=FO$1)*(MONTH(Gastos!$A$2:$A$2500)=FO$3)*(Gastos!$B$2:$B$2500=$A35)*(Gastos!$D$2:$D$2500))</f>
        <v>0</v>
      </c>
      <c r="FP35" s="75">
        <f t="array" ref="FP35">SUM((YEAR(Gastos!$A$2:$A$2500)=FP$1)*(MONTH(Gastos!$A$2:$A$2500)=FP$3)*(Gastos!$B$2:$B$2500=$A35)*(Gastos!$D$2:$D$2500))</f>
        <v>0</v>
      </c>
      <c r="FQ35" s="75">
        <f t="array" ref="FQ35">SUM((YEAR(Gastos!$A$2:$A$2500)=FQ$1)*(MONTH(Gastos!$A$2:$A$2500)=FQ$3)*(Gastos!$B$2:$B$2500=$A35)*(Gastos!$D$2:$D$2500))</f>
        <v>0</v>
      </c>
      <c r="FR35" s="75">
        <f t="array" ref="FR35">SUM((YEAR(Gastos!$A$2:$A$2500)=FR$1)*(MONTH(Gastos!$A$2:$A$2500)=FR$3)*(Gastos!$B$2:$B$2500=$A35)*(Gastos!$D$2:$D$2500))</f>
        <v>0</v>
      </c>
      <c r="FS35" s="75">
        <f t="array" ref="FS35">SUM((YEAR(Gastos!$A$2:$A$2500)=FS$1)*(MONTH(Gastos!$A$2:$A$2500)=FS$3)*(Gastos!$B$2:$B$2500=$A35)*(Gastos!$D$2:$D$2500))</f>
        <v>0</v>
      </c>
      <c r="FT35" s="75">
        <f t="array" ref="FT35">SUM((YEAR(Gastos!$A$2:$A$2500)=FT$1)*(MONTH(Gastos!$A$2:$A$2500)=FT$3)*(Gastos!$B$2:$B$2500=$A35)*(Gastos!$D$2:$D$2500))</f>
        <v>0</v>
      </c>
      <c r="FU35" s="75">
        <f t="array" ref="FU35">SUM((YEAR(Gastos!$A$2:$A$2500)=FU$1)*(MONTH(Gastos!$A$2:$A$2500)=FU$3)*(Gastos!$B$2:$B$2500=$A35)*(Gastos!$D$2:$D$2500))</f>
        <v>0</v>
      </c>
      <c r="FV35" s="75">
        <f t="array" ref="FV35">SUM((YEAR(Gastos!$A$2:$A$2500)=FV$1)*(MONTH(Gastos!$A$2:$A$2500)=FV$3)*(Gastos!$B$2:$B$2500=$A35)*(Gastos!$D$2:$D$2500))</f>
        <v>0</v>
      </c>
      <c r="FW35" s="75">
        <f t="array" ref="FW35">SUM((YEAR(Gastos!$A$2:$A$2500)=FW$1)*(MONTH(Gastos!$A$2:$A$2500)=FW$3)*(Gastos!$B$2:$B$2500=$A35)*(Gastos!$D$2:$D$2500))</f>
        <v>0</v>
      </c>
      <c r="FX35" s="75">
        <f t="array" ref="FX35">SUM((YEAR(Gastos!$A$2:$A$2500)=FX$1)*(MONTH(Gastos!$A$2:$A$2500)=FX$3)*(Gastos!$B$2:$B$2500=$A35)*(Gastos!$D$2:$D$2500))</f>
        <v>0</v>
      </c>
      <c r="FY35" s="75">
        <f t="array" ref="FY35">SUM((YEAR(Gastos!$A$2:$A$2500)=FY$1)*(MONTH(Gastos!$A$2:$A$2500)=FY$3)*(Gastos!$B$2:$B$2500=$A35)*(Gastos!$D$2:$D$2500))</f>
        <v>0</v>
      </c>
      <c r="FZ35" s="76">
        <f t="shared" si="65"/>
        <v>19303.800000000003</v>
      </c>
      <c r="GA35" s="80"/>
      <c r="GB35" s="78">
        <f t="shared" si="66"/>
        <v>-7772</v>
      </c>
      <c r="GF35" s="79">
        <f t="array" ref="GF35">SUM(((Gastos!$A$2:$A$1647)&gt;=GD$3)*((Gastos!$A$2:$A$1647)&lt;=GF$3)*(Gastos!$B$2:$B$1647=$A35)*(Gastos!$D$2:$D$1647))</f>
        <v>0</v>
      </c>
      <c r="GI35" s="79">
        <f t="array" ref="GI35">SUM(((Gastos!$A$2:$A$1647)&gt;=GG$3)*((Gastos!$A$2:$A$1647)&lt;=GI$3)*(Gastos!$B$2:$B$1647=$A35)*(Gastos!$D$2:$D$1647))</f>
        <v>7772</v>
      </c>
    </row>
    <row r="36" spans="1:191" ht="15" thickBot="1" x14ac:dyDescent="0.4">
      <c r="A36" s="74" t="str">
        <f>Gastos!AA34</f>
        <v>V. MANTTO</v>
      </c>
      <c r="B36" s="75">
        <f t="array" ref="B36">SUM((YEAR(Gastos!$A$2:$A$2500)=B$1)*(MONTH(Gastos!$A$2:$A$2500)=B$3)*(Gastos!$B$2:$B$2500=$A36)*(Gastos!$D$2:$D$2500))</f>
        <v>0</v>
      </c>
      <c r="C36" s="75">
        <f t="array" ref="C36">SUM((YEAR(Gastos!$A$2:$A$2500)=C$1)*(MONTH(Gastos!$A$2:$A$2500)=C$3)*(Gastos!$B$2:$B$2500=$A36)*(Gastos!$D$2:$D$2500))</f>
        <v>0</v>
      </c>
      <c r="D36" s="75">
        <f t="array" ref="D36">SUM((YEAR(Gastos!$A$2:$A$2500)=D$1)*(MONTH(Gastos!$A$2:$A$2500)=D$3)*(Gastos!$B$2:$B$2500=$A36)*(Gastos!$D$2:$D$2500))</f>
        <v>0</v>
      </c>
      <c r="E36" s="75">
        <f t="array" ref="E36">SUM((YEAR(Gastos!$A$2:$A$2500)=E$1)*(MONTH(Gastos!$A$2:$A$2500)=E$3)*(Gastos!$B$2:$B$2500=$A36)*(Gastos!$D$2:$D$2500))</f>
        <v>0</v>
      </c>
      <c r="F36" s="75">
        <f t="array" ref="F36">SUM((YEAR(Gastos!$A$2:$A$2500)=F$1)*(MONTH(Gastos!$A$2:$A$2500)=F$3)*(Gastos!$B$2:$B$2500=$A36)*(Gastos!$D$2:$D$2500))</f>
        <v>0</v>
      </c>
      <c r="G36" s="75">
        <f t="array" ref="G36">SUM((YEAR(Gastos!$A$2:$A$2500)=G$1)*(MONTH(Gastos!$A$2:$A$2500)=G$3)*(Gastos!$B$2:$B$2500=$A36)*(Gastos!$D$2:$D$2500))</f>
        <v>0</v>
      </c>
      <c r="H36" s="75">
        <f t="array" ref="H36">SUM((YEAR(Gastos!$A$2:$A$2500)=H$1)*(MONTH(Gastos!$A$2:$A$2500)=H$3)*(Gastos!$B$2:$B$2500=$A36)*(Gastos!$D$2:$D$2500))</f>
        <v>0</v>
      </c>
      <c r="I36" s="75">
        <f t="array" ref="I36">SUM((YEAR(Gastos!$A$2:$A$2500)=I$1)*(MONTH(Gastos!$A$2:$A$2500)=I$3)*(Gastos!$B$2:$B$2500=$A36)*(Gastos!$D$2:$D$2500))</f>
        <v>0</v>
      </c>
      <c r="J36" s="75">
        <f t="array" ref="J36">SUM((YEAR(Gastos!$A$2:$A$2500)=J$1)*(MONTH(Gastos!$A$2:$A$2500)=J$3)*(Gastos!$B$2:$B$2500=$A36)*(Gastos!$D$2:$D$2500))</f>
        <v>0</v>
      </c>
      <c r="K36" s="75">
        <f t="array" ref="K36">SUM((YEAR(Gastos!$A$2:$A$2500)=K$1)*(MONTH(Gastos!$A$2:$A$2500)=K$3)*(Gastos!$B$2:$B$2500=$A36)*(Gastos!$D$2:$D$2500))</f>
        <v>0</v>
      </c>
      <c r="L36" s="75">
        <f t="array" ref="L36">SUM((YEAR(Gastos!$A$2:$A$2500)=L$1)*(MONTH(Gastos!$A$2:$A$2500)=L$3)*(Gastos!$B$2:$B$2500=$A36)*(Gastos!$D$2:$D$2500))</f>
        <v>0</v>
      </c>
      <c r="M36" s="75">
        <f t="array" ref="M36">SUM((YEAR(Gastos!$A$2:$A$2500)=M$1)*(MONTH(Gastos!$A$2:$A$2500)=M$3)*(Gastos!$B$2:$B$2500=$A36)*(Gastos!$D$2:$D$2500))</f>
        <v>0</v>
      </c>
      <c r="N36" s="75">
        <f t="array" ref="N36">SUM((YEAR(Gastos!$A$2:$A$2500)=N$1)*(MONTH(Gastos!$A$2:$A$2500)=N$3)*(Gastos!$B$2:$B$2500=$A36)*(Gastos!$D$2:$D$2500))</f>
        <v>0</v>
      </c>
      <c r="O36" s="75">
        <f t="array" ref="O36">SUM((YEAR(Gastos!$A$2:$A$2500)=O$1)*(MONTH(Gastos!$A$2:$A$2500)=O$3)*(Gastos!$B$2:$B$2500=$A36)*(Gastos!$D$2:$D$2500))</f>
        <v>0</v>
      </c>
      <c r="P36" s="75">
        <f t="array" ref="P36">SUM((YEAR(Gastos!$A$2:$A$2500)=P$1)*(MONTH(Gastos!$A$2:$A$2500)=P$3)*(Gastos!$B$2:$B$2500=$A36)*(Gastos!$D$2:$D$2500))</f>
        <v>0</v>
      </c>
      <c r="Q36" s="75">
        <f t="array" ref="Q36">SUM((YEAR(Gastos!$A$2:$A$2500)=Q$1)*(MONTH(Gastos!$A$2:$A$2500)=Q$3)*(Gastos!$B$2:$B$2500=$A36)*(Gastos!$D$2:$D$2500))</f>
        <v>0</v>
      </c>
      <c r="R36" s="75">
        <f t="array" ref="R36">SUM((YEAR(Gastos!$A$2:$A$2500)=R$1)*(MONTH(Gastos!$A$2:$A$2500)=R$3)*(Gastos!$B$2:$B$2500=$A36)*(Gastos!$D$2:$D$2500))</f>
        <v>0</v>
      </c>
      <c r="S36" s="75">
        <f t="array" ref="S36">SUM((YEAR(Gastos!$A$2:$A$2500)=S$1)*(MONTH(Gastos!$A$2:$A$2500)=S$3)*(Gastos!$B$2:$B$2500=$A36)*(Gastos!$D$2:$D$2500))</f>
        <v>0</v>
      </c>
      <c r="T36" s="75">
        <f t="array" ref="T36">SUM((YEAR(Gastos!$A$2:$A$2500)=T$1)*(MONTH(Gastos!$A$2:$A$2500)=T$3)*(Gastos!$B$2:$B$2500=$A36)*(Gastos!$D$2:$D$2500))</f>
        <v>0</v>
      </c>
      <c r="U36" s="75">
        <f t="array" ref="U36">SUM((YEAR(Gastos!$A$2:$A$2500)=U$1)*(MONTH(Gastos!$A$2:$A$2500)=U$3)*(Gastos!$B$2:$B$2500=$A36)*(Gastos!$D$2:$D$2500))</f>
        <v>0</v>
      </c>
      <c r="V36" s="75">
        <f t="array" ref="V36">SUM((YEAR(Gastos!$A$2:$A$2500)=V$1)*(MONTH(Gastos!$A$2:$A$2500)=V$3)*(Gastos!$B$2:$B$2500=$A36)*(Gastos!$D$2:$D$2500))</f>
        <v>0</v>
      </c>
      <c r="W36" s="75">
        <f t="array" ref="W36">SUM((YEAR(Gastos!$A$2:$A$2500)=W$1)*(MONTH(Gastos!$A$2:$A$2500)=W$3)*(Gastos!$B$2:$B$2500=$A36)*(Gastos!$D$2:$D$2500))</f>
        <v>0</v>
      </c>
      <c r="X36" s="75">
        <f t="array" ref="X36">SUM((YEAR(Gastos!$A$2:$A$2500)=X$1)*(MONTH(Gastos!$A$2:$A$2500)=X$3)*(Gastos!$B$2:$B$2500=$A36)*(Gastos!$D$2:$D$2500))</f>
        <v>0</v>
      </c>
      <c r="Y36" s="75">
        <f t="array" ref="Y36">SUM((YEAR(Gastos!$A$2:$A$2500)=Y$1)*(MONTH(Gastos!$A$2:$A$2500)=Y$3)*(Gastos!$B$2:$B$2500=$A36)*(Gastos!$D$2:$D$2500))</f>
        <v>0</v>
      </c>
      <c r="Z36" s="75">
        <f t="array" ref="Z36">SUM((YEAR(Gastos!$A$2:$A$2500)=Z$1)*(MONTH(Gastos!$A$2:$A$2500)=Z$3)*(Gastos!$B$2:$B$2500=$A36)*(Gastos!$D$2:$D$2500))</f>
        <v>0</v>
      </c>
      <c r="AA36" s="75">
        <f t="array" ref="AA36">SUM((YEAR(Gastos!$A$2:$A$2500)=AA$1)*(MONTH(Gastos!$A$2:$A$2500)=AA$3)*(Gastos!$B$2:$B$2500=$A36)*(Gastos!$D$2:$D$2500))</f>
        <v>0</v>
      </c>
      <c r="AB36" s="75">
        <f t="array" ref="AB36">SUM((YEAR(Gastos!$A$2:$A$2500)=AB$1)*(MONTH(Gastos!$A$2:$A$2500)=AB$3)*(Gastos!$B$2:$B$2500=$A36)*(Gastos!$D$2:$D$2500))</f>
        <v>0</v>
      </c>
      <c r="AC36" s="75">
        <f t="array" ref="AC36">SUM((YEAR(Gastos!$A$2:$A$2500)=AC$1)*(MONTH(Gastos!$A$2:$A$2500)=AC$3)*(Gastos!$B$2:$B$2500=$A36)*(Gastos!$D$2:$D$2500))</f>
        <v>0</v>
      </c>
      <c r="AD36" s="75">
        <f t="array" ref="AD36">SUM((YEAR(Gastos!$A$2:$A$2500)=AD$1)*(MONTH(Gastos!$A$2:$A$2500)=AD$3)*(Gastos!$B$2:$B$2500=$A36)*(Gastos!$D$2:$D$2500))</f>
        <v>0</v>
      </c>
      <c r="AE36" s="75">
        <f t="array" ref="AE36">SUM((YEAR(Gastos!$A$2:$A$2500)=AE$1)*(MONTH(Gastos!$A$2:$A$2500)=AE$3)*(Gastos!$B$2:$B$2500=$A36)*(Gastos!$D$2:$D$2500))</f>
        <v>0</v>
      </c>
      <c r="AF36" s="75">
        <f t="array" ref="AF36">SUM((YEAR(Gastos!$A$2:$A$2500)=AF$1)*(MONTH(Gastos!$A$2:$A$2500)=AF$3)*(Gastos!$B$2:$B$2500=$A36)*(Gastos!$D$2:$D$2500))</f>
        <v>0</v>
      </c>
      <c r="AG36" s="75">
        <f t="array" ref="AG36">SUM((YEAR(Gastos!$A$2:$A$2500)=AG$1)*(MONTH(Gastos!$A$2:$A$2500)=AG$3)*(Gastos!$B$2:$B$2500=$A36)*(Gastos!$D$2:$D$2500))</f>
        <v>0</v>
      </c>
      <c r="AH36" s="75">
        <f t="array" ref="AH36">SUM((YEAR(Gastos!$A$2:$A$2500)=AH$1)*(MONTH(Gastos!$A$2:$A$2500)=AH$3)*(Gastos!$B$2:$B$2500=$A36)*(Gastos!$D$2:$D$2500))</f>
        <v>0</v>
      </c>
      <c r="AI36" s="75">
        <f t="array" ref="AI36">SUM((YEAR(Gastos!$A$2:$A$2500)=AI$1)*(MONTH(Gastos!$A$2:$A$2500)=AI$3)*(Gastos!$B$2:$B$2500=$A36)*(Gastos!$D$2:$D$2500))</f>
        <v>0</v>
      </c>
      <c r="AJ36" s="75">
        <f t="array" ref="AJ36">SUM((YEAR(Gastos!$A$2:$A$2500)=AJ$1)*(MONTH(Gastos!$A$2:$A$2500)=AJ$3)*(Gastos!$B$2:$B$2500=$A36)*(Gastos!$D$2:$D$2500))</f>
        <v>0</v>
      </c>
      <c r="AK36" s="75">
        <f t="array" ref="AK36">SUM((YEAR(Gastos!$A$2:$A$2500)=AK$1)*(MONTH(Gastos!$A$2:$A$2500)=AK$3)*(Gastos!$B$2:$B$2500=$A36)*(Gastos!$D$2:$D$2500))</f>
        <v>0</v>
      </c>
      <c r="AL36" s="75">
        <f t="array" ref="AL36">SUM((YEAR(Gastos!$A$2:$A$2500)=AL$1)*(MONTH(Gastos!$A$2:$A$2500)=AL$3)*(Gastos!$B$2:$B$2500=$A36)*(Gastos!$D$2:$D$2500))</f>
        <v>0</v>
      </c>
      <c r="AM36" s="75">
        <f t="array" ref="AM36">SUM((YEAR(Gastos!$A$2:$A$2500)=AM$1)*(MONTH(Gastos!$A$2:$A$2500)=AM$3)*(Gastos!$B$2:$B$2500=$A36)*(Gastos!$D$2:$D$2500))</f>
        <v>0</v>
      </c>
      <c r="AN36" s="75">
        <f t="array" ref="AN36">SUM((YEAR(Gastos!$A$2:$A$2500)=AN$1)*(MONTH(Gastos!$A$2:$A$2500)=AN$3)*(Gastos!$B$2:$B$2500=$A36)*(Gastos!$D$2:$D$2500))</f>
        <v>0</v>
      </c>
      <c r="AO36" s="75">
        <f t="array" ref="AO36">SUM((YEAR(Gastos!$A$2:$A$2500)=AO$1)*(MONTH(Gastos!$A$2:$A$2500)=AO$3)*(Gastos!$B$2:$B$2500=$A36)*(Gastos!$D$2:$D$2500))</f>
        <v>0</v>
      </c>
      <c r="AP36" s="75">
        <f t="array" ref="AP36">SUM((YEAR(Gastos!$A$2:$A$2500)=AP$1)*(MONTH(Gastos!$A$2:$A$2500)=AP$3)*(Gastos!$B$2:$B$2500=$A36)*(Gastos!$D$2:$D$2500))</f>
        <v>0</v>
      </c>
      <c r="AQ36" s="75">
        <f t="array" ref="AQ36">SUM((YEAR(Gastos!$A$2:$A$2500)=AQ$1)*(MONTH(Gastos!$A$2:$A$2500)=AQ$3)*(Gastos!$B$2:$B$2500=$A36)*(Gastos!$D$2:$D$2500))</f>
        <v>0</v>
      </c>
      <c r="AR36" s="75">
        <f t="array" ref="AR36">SUM((YEAR(Gastos!$A$2:$A$2500)=AR$1)*(MONTH(Gastos!$A$2:$A$2500)=AR$3)*(Gastos!$B$2:$B$2500=$A36)*(Gastos!$D$2:$D$2500))</f>
        <v>0</v>
      </c>
      <c r="AS36" s="75">
        <f t="array" ref="AS36">SUM((YEAR(Gastos!$A$2:$A$2500)=AS$1)*(MONTH(Gastos!$A$2:$A$2500)=AS$3)*(Gastos!$B$2:$B$2500=$A36)*(Gastos!$D$2:$D$2500))</f>
        <v>0</v>
      </c>
      <c r="AT36" s="75">
        <f t="array" ref="AT36">SUM((YEAR(Gastos!$A$2:$A$2500)=AT$1)*(MONTH(Gastos!$A$2:$A$2500)=AT$3)*(Gastos!$B$2:$B$2500=$A36)*(Gastos!$D$2:$D$2500))</f>
        <v>0</v>
      </c>
      <c r="AU36" s="75">
        <f t="array" ref="AU36">SUM((YEAR(Gastos!$A$2:$A$2500)=AU$1)*(MONTH(Gastos!$A$2:$A$2500)=AU$3)*(Gastos!$B$2:$B$2500=$A36)*(Gastos!$D$2:$D$2500))</f>
        <v>0</v>
      </c>
      <c r="AV36" s="75">
        <f t="array" ref="AV36">SUM((YEAR(Gastos!$A$2:$A$2500)=AV$1)*(MONTH(Gastos!$A$2:$A$2500)=AV$3)*(Gastos!$B$2:$B$2500=$A36)*(Gastos!$D$2:$D$2500))</f>
        <v>0</v>
      </c>
      <c r="AW36" s="75">
        <f t="array" ref="AW36">SUM((YEAR(Gastos!$A$2:$A$2500)=AW$1)*(MONTH(Gastos!$A$2:$A$2500)=AW$3)*(Gastos!$B$2:$B$2500=$A36)*(Gastos!$D$2:$D$2500))</f>
        <v>0</v>
      </c>
      <c r="AX36" s="75">
        <f t="array" ref="AX36">SUM((YEAR(Gastos!$A$2:$A$2500)=AX$1)*(MONTH(Gastos!$A$2:$A$2500)=AX$3)*(Gastos!$B$2:$B$2500=$A36)*(Gastos!$D$2:$D$2500))</f>
        <v>0</v>
      </c>
      <c r="AY36" s="75">
        <f t="array" ref="AY36">SUM((YEAR(Gastos!$A$2:$A$2500)=AY$1)*(MONTH(Gastos!$A$2:$A$2500)=AY$3)*(Gastos!$B$2:$B$2500=$A36)*(Gastos!$D$2:$D$2500))</f>
        <v>0</v>
      </c>
      <c r="AZ36" s="75">
        <f t="array" ref="AZ36">SUM((YEAR(Gastos!$A$2:$A$2500)=AZ$1)*(MONTH(Gastos!$A$2:$A$2500)=AZ$3)*(Gastos!$B$2:$B$2500=$A36)*(Gastos!$D$2:$D$2500))</f>
        <v>0</v>
      </c>
      <c r="BA36" s="75">
        <f t="array" ref="BA36">SUM((YEAR(Gastos!$A$2:$A$2500)=BA$1)*(MONTH(Gastos!$A$2:$A$2500)=BA$3)*(Gastos!$B$2:$B$2500=$A36)*(Gastos!$D$2:$D$2500))</f>
        <v>0</v>
      </c>
      <c r="BB36" s="75">
        <f t="array" ref="BB36">SUM((YEAR(Gastos!$A$2:$A$2500)=BB$1)*(MONTH(Gastos!$A$2:$A$2500)=BB$3)*(Gastos!$B$2:$B$2500=$A36)*(Gastos!$D$2:$D$2500))</f>
        <v>0</v>
      </c>
      <c r="BC36" s="75">
        <f t="array" ref="BC36">SUM((YEAR(Gastos!$A$2:$A$2500)=BC$1)*(MONTH(Gastos!$A$2:$A$2500)=BC$3)*(Gastos!$B$2:$B$2500=$A36)*(Gastos!$D$2:$D$2500))</f>
        <v>0</v>
      </c>
      <c r="BD36" s="75">
        <f t="array" ref="BD36">SUM((YEAR(Gastos!$A$2:$A$2500)=BD$1)*(MONTH(Gastos!$A$2:$A$2500)=BD$3)*(Gastos!$B$2:$B$2500=$A36)*(Gastos!$D$2:$D$2500))</f>
        <v>0</v>
      </c>
      <c r="BE36" s="75">
        <f t="array" ref="BE36">SUM((YEAR(Gastos!$A$2:$A$2500)=BE$1)*(MONTH(Gastos!$A$2:$A$2500)=BE$3)*(Gastos!$B$2:$B$2500=$A36)*(Gastos!$D$2:$D$2500))</f>
        <v>0</v>
      </c>
      <c r="BF36" s="75">
        <f t="array" ref="BF36">SUM((YEAR(Gastos!$A$2:$A$2500)=BF$1)*(MONTH(Gastos!$A$2:$A$2500)=BF$3)*(Gastos!$B$2:$B$2500=$A36)*(Gastos!$D$2:$D$2500))</f>
        <v>0</v>
      </c>
      <c r="BG36" s="75">
        <f t="array" ref="BG36">SUM((YEAR(Gastos!$A$2:$A$2500)=BG$1)*(MONTH(Gastos!$A$2:$A$2500)=BG$3)*(Gastos!$B$2:$B$2500=$A36)*(Gastos!$D$2:$D$2500))</f>
        <v>0</v>
      </c>
      <c r="BH36" s="75">
        <f t="array" ref="BH36">SUM((YEAR(Gastos!$A$2:$A$2500)=BH$1)*(MONTH(Gastos!$A$2:$A$2500)=BH$3)*(Gastos!$B$2:$B$2500=$A36)*(Gastos!$D$2:$D$2500))</f>
        <v>0</v>
      </c>
      <c r="BI36" s="75">
        <f t="array" ref="BI36">SUM((YEAR(Gastos!$A$2:$A$2500)=BI$1)*(MONTH(Gastos!$A$2:$A$2500)=BI$3)*(Gastos!$B$2:$B$2500=$A36)*(Gastos!$D$2:$D$2500))</f>
        <v>0</v>
      </c>
      <c r="BJ36" s="75">
        <f t="array" ref="BJ36">SUM((YEAR(Gastos!$A$2:$A$2500)=BJ$1)*(MONTH(Gastos!$A$2:$A$2500)=BJ$3)*(Gastos!$B$2:$B$2500=$A36)*(Gastos!$D$2:$D$2500))</f>
        <v>0</v>
      </c>
      <c r="BK36" s="75">
        <f t="array" ref="BK36">SUM((YEAR(Gastos!$A$2:$A$2500)=BK$1)*(MONTH(Gastos!$A$2:$A$2500)=BK$3)*(Gastos!$B$2:$B$2500=$A36)*(Gastos!$D$2:$D$2500))</f>
        <v>0</v>
      </c>
      <c r="BL36" s="75">
        <f t="array" ref="BL36">SUM((YEAR(Gastos!$A$2:$A$2500)=BL$1)*(MONTH(Gastos!$A$2:$A$2500)=BL$3)*(Gastos!$B$2:$B$2500=$A36)*(Gastos!$D$2:$D$2500))</f>
        <v>0</v>
      </c>
      <c r="BM36" s="75">
        <f t="array" ref="BM36">SUM((YEAR(Gastos!$A$2:$A$2500)=BM$1)*(MONTH(Gastos!$A$2:$A$2500)=BM$3)*(Gastos!$B$2:$B$2500=$A36)*(Gastos!$D$2:$D$2500))</f>
        <v>0</v>
      </c>
      <c r="BN36" s="75">
        <f t="array" ref="BN36">SUM((YEAR(Gastos!$A$2:$A$2500)=BN$1)*(MONTH(Gastos!$A$2:$A$2500)=BN$3)*(Gastos!$B$2:$B$2500=$A36)*(Gastos!$D$2:$D$2500))</f>
        <v>0</v>
      </c>
      <c r="BO36" s="75">
        <f t="array" ref="BO36">SUM((YEAR(Gastos!$A$2:$A$2500)=BO$1)*(MONTH(Gastos!$A$2:$A$2500)=BO$3)*(Gastos!$B$2:$B$2500=$A36)*(Gastos!$D$2:$D$2500))</f>
        <v>0</v>
      </c>
      <c r="BP36" s="75">
        <f t="array" ref="BP36">SUM((YEAR(Gastos!$A$2:$A$2500)=BP$1)*(MONTH(Gastos!$A$2:$A$2500)=BP$3)*(Gastos!$B$2:$B$2500=$A36)*(Gastos!$D$2:$D$2500))</f>
        <v>0</v>
      </c>
      <c r="BQ36" s="75">
        <f t="array" ref="BQ36">SUM((YEAR(Gastos!$A$2:$A$2500)=BQ$1)*(MONTH(Gastos!$A$2:$A$2500)=BQ$3)*(Gastos!$B$2:$B$2500=$A36)*(Gastos!$D$2:$D$2500))</f>
        <v>0</v>
      </c>
      <c r="BR36" s="75">
        <f t="array" ref="BR36">SUM((YEAR(Gastos!$A$2:$A$2500)=BR$1)*(MONTH(Gastos!$A$2:$A$2500)=BR$3)*(Gastos!$B$2:$B$2500=$A36)*(Gastos!$D$2:$D$2500))</f>
        <v>0</v>
      </c>
      <c r="BS36" s="75">
        <f t="array" ref="BS36">SUM((YEAR(Gastos!$A$2:$A$2500)=BS$1)*(MONTH(Gastos!$A$2:$A$2500)=BS$3)*(Gastos!$B$2:$B$2500=$A36)*(Gastos!$D$2:$D$2500))</f>
        <v>0</v>
      </c>
      <c r="BT36" s="75">
        <f t="array" ref="BT36">SUM((YEAR(Gastos!$A$2:$A$2500)=BT$1)*(MONTH(Gastos!$A$2:$A$2500)=BT$3)*(Gastos!$B$2:$B$2500=$A36)*(Gastos!$D$2:$D$2500))</f>
        <v>0</v>
      </c>
      <c r="BU36" s="75">
        <f t="array" ref="BU36">SUM((YEAR(Gastos!$A$2:$A$2500)=BU$1)*(MONTH(Gastos!$A$2:$A$2500)=BU$3)*(Gastos!$B$2:$B$2500=$A36)*(Gastos!$D$2:$D$2500))</f>
        <v>0</v>
      </c>
      <c r="BV36" s="75">
        <f t="array" ref="BV36">SUM((YEAR(Gastos!$A$2:$A$2500)=BV$1)*(MONTH(Gastos!$A$2:$A$2500)=BV$3)*(Gastos!$B$2:$B$2500=$A36)*(Gastos!$D$2:$D$2500))</f>
        <v>0</v>
      </c>
      <c r="BW36" s="75">
        <f t="array" ref="BW36">SUM((YEAR(Gastos!$A$2:$A$2500)=BW$1)*(MONTH(Gastos!$A$2:$A$2500)=BW$3)*(Gastos!$B$2:$B$2500=$A36)*(Gastos!$D$2:$D$2500))</f>
        <v>0</v>
      </c>
      <c r="BX36" s="75">
        <f t="array" ref="BX36">SUM((YEAR(Gastos!$A$2:$A$2500)=BX$1)*(MONTH(Gastos!$A$2:$A$2500)=BX$3)*(Gastos!$B$2:$B$2500=$A36)*(Gastos!$D$2:$D$2500))</f>
        <v>0</v>
      </c>
      <c r="BY36" s="75">
        <f t="array" ref="BY36">SUM((YEAR(Gastos!$A$2:$A$2500)=BY$1)*(MONTH(Gastos!$A$2:$A$2500)=BY$3)*(Gastos!$B$2:$B$2500=$A36)*(Gastos!$D$2:$D$2500))</f>
        <v>0</v>
      </c>
      <c r="BZ36" s="75">
        <f t="array" ref="BZ36">SUM((YEAR(Gastos!$A$2:$A$2500)=BZ$1)*(MONTH(Gastos!$A$2:$A$2500)=BZ$3)*(Gastos!$B$2:$B$2500=$A36)*(Gastos!$D$2:$D$2500))</f>
        <v>0</v>
      </c>
      <c r="CA36" s="75">
        <f t="array" ref="CA36">SUM((YEAR(Gastos!$A$2:$A$2500)=CA$1)*(MONTH(Gastos!$A$2:$A$2500)=CA$3)*(Gastos!$B$2:$B$2500=$A36)*(Gastos!$D$2:$D$2500))</f>
        <v>0</v>
      </c>
      <c r="CB36" s="75">
        <f t="array" ref="CB36">SUM((YEAR(Gastos!$A$2:$A$2500)=CB$1)*(MONTH(Gastos!$A$2:$A$2500)=CB$3)*(Gastos!$B$2:$B$2500=$A36)*(Gastos!$D$2:$D$2500))</f>
        <v>0</v>
      </c>
      <c r="CC36" s="75">
        <f t="array" ref="CC36">SUM((YEAR(Gastos!$A$2:$A$2500)=CC$1)*(MONTH(Gastos!$A$2:$A$2500)=CC$3)*(Gastos!$B$2:$B$2500=$A36)*(Gastos!$D$2:$D$2500))</f>
        <v>0</v>
      </c>
      <c r="CD36" s="75">
        <f t="array" ref="CD36">SUM((YEAR(Gastos!$A$2:$A$2500)=CD$1)*(MONTH(Gastos!$A$2:$A$2500)=CD$3)*(Gastos!$B$2:$B$2500=$A36)*(Gastos!$D$2:$D$2500))</f>
        <v>0</v>
      </c>
      <c r="CE36" s="75">
        <f t="array" ref="CE36">SUM((YEAR(Gastos!$A$2:$A$2500)=CE$1)*(MONTH(Gastos!$A$2:$A$2500)=CE$3)*(Gastos!$B$2:$B$2500=$A36)*(Gastos!$D$2:$D$2500))</f>
        <v>0</v>
      </c>
      <c r="CF36" s="75">
        <f t="array" ref="CF36">SUM((YEAR(Gastos!$A$2:$A$2500)=CF$1)*(MONTH(Gastos!$A$2:$A$2500)=CF$3)*(Gastos!$B$2:$B$2500=$A36)*(Gastos!$D$2:$D$2500))</f>
        <v>0</v>
      </c>
      <c r="CG36" s="75">
        <f t="array" ref="CG36">SUM((YEAR(Gastos!$A$2:$A$2500)=CG$1)*(MONTH(Gastos!$A$2:$A$2500)=CG$3)*(Gastos!$B$2:$B$2500=$A36)*(Gastos!$D$2:$D$2500))</f>
        <v>0</v>
      </c>
      <c r="CH36" s="75">
        <f t="array" ref="CH36">SUM((YEAR(Gastos!$A$2:$A$2500)=CH$1)*(MONTH(Gastos!$A$2:$A$2500)=CH$3)*(Gastos!$B$2:$B$2500=$A36)*(Gastos!$D$2:$D$2500))</f>
        <v>0</v>
      </c>
      <c r="CI36" s="75">
        <f t="array" ref="CI36">SUM((YEAR(Gastos!$A$2:$A$2500)=CI$1)*(MONTH(Gastos!$A$2:$A$2500)=CI$3)*(Gastos!$B$2:$B$2500=$A36)*(Gastos!$D$2:$D$2500))</f>
        <v>0</v>
      </c>
      <c r="CJ36" s="75">
        <f t="array" ref="CJ36">SUM((YEAR(Gastos!$A$2:$A$2500)=CJ$1)*(MONTH(Gastos!$A$2:$A$2500)=CJ$3)*(Gastos!$B$2:$B$2500=$A36)*(Gastos!$D$2:$D$2500))</f>
        <v>0</v>
      </c>
      <c r="CK36" s="75">
        <f t="array" ref="CK36">SUM((YEAR(Gastos!$A$2:$A$2500)=CK$1)*(MONTH(Gastos!$A$2:$A$2500)=CK$3)*(Gastos!$B$2:$B$2500=$A36)*(Gastos!$D$2:$D$2500))</f>
        <v>0</v>
      </c>
      <c r="CL36" s="75">
        <f t="array" ref="CL36">SUM((YEAR(Gastos!$A$2:$A$2500)=CL$1)*(MONTH(Gastos!$A$2:$A$2500)=CL$3)*(Gastos!$B$2:$B$2500=$A36)*(Gastos!$D$2:$D$2500))</f>
        <v>0</v>
      </c>
      <c r="CM36" s="75">
        <f t="array" ref="CM36">SUM((YEAR(Gastos!$A$2:$A$2500)=CM$1)*(MONTH(Gastos!$A$2:$A$2500)=CM$3)*(Gastos!$B$2:$B$2500=$A36)*(Gastos!$D$2:$D$2500))</f>
        <v>0</v>
      </c>
      <c r="CN36" s="75">
        <f t="array" ref="CN36">SUM((YEAR(Gastos!$A$2:$A$2500)=CN$1)*(MONTH(Gastos!$A$2:$A$2500)=CN$3)*(Gastos!$B$2:$B$2500=$A36)*(Gastos!$D$2:$D$2500))</f>
        <v>0</v>
      </c>
      <c r="CO36" s="75">
        <f t="array" ref="CO36">SUM((YEAR(Gastos!$A$2:$A$2500)=CO$1)*(MONTH(Gastos!$A$2:$A$2500)=CO$3)*(Gastos!$B$2:$B$2500=$A36)*(Gastos!$D$2:$D$2500))</f>
        <v>0</v>
      </c>
      <c r="CP36" s="75">
        <f t="array" ref="CP36">SUM((YEAR(Gastos!$A$2:$A$2500)=CP$1)*(MONTH(Gastos!$A$2:$A$2500)=CP$3)*(Gastos!$B$2:$B$2500=$A36)*(Gastos!$D$2:$D$2500))</f>
        <v>0</v>
      </c>
      <c r="CQ36" s="75">
        <f t="array" ref="CQ36">SUM((YEAR(Gastos!$A$2:$A$2500)=CQ$1)*(MONTH(Gastos!$A$2:$A$2500)=CQ$3)*(Gastos!$B$2:$B$2500=$A36)*(Gastos!$D$2:$D$2500))</f>
        <v>0</v>
      </c>
      <c r="CR36" s="75">
        <f t="array" ref="CR36">SUM((YEAR(Gastos!$A$2:$A$2500)=CR$1)*(MONTH(Gastos!$A$2:$A$2500)=CR$3)*(Gastos!$B$2:$B$2500=$A36)*(Gastos!$D$2:$D$2500))</f>
        <v>0</v>
      </c>
      <c r="CS36" s="75">
        <f t="array" ref="CS36">SUM((YEAR(Gastos!$A$2:$A$2500)=CS$1)*(MONTH(Gastos!$A$2:$A$2500)=CS$3)*(Gastos!$B$2:$B$2500=$A36)*(Gastos!$D$2:$D$2500))</f>
        <v>0</v>
      </c>
      <c r="CT36" s="75">
        <f t="array" ref="CT36">SUM((YEAR(Gastos!$A$2:$A$2500)=CT$1)*(MONTH(Gastos!$A$2:$A$2500)=CT$3)*(Gastos!$B$2:$B$2500=$A36)*(Gastos!$D$2:$D$2500))</f>
        <v>0</v>
      </c>
      <c r="CU36" s="75">
        <f t="array" ref="CU36">SUM((YEAR(Gastos!$A$2:$A$2500)=CU$1)*(MONTH(Gastos!$A$2:$A$2500)=CU$3)*(Gastos!$B$2:$B$2500=$A36)*(Gastos!$D$2:$D$2500))</f>
        <v>0</v>
      </c>
      <c r="CV36" s="75">
        <f t="array" ref="CV36">SUM((YEAR(Gastos!$A$2:$A$2500)=CV$1)*(MONTH(Gastos!$A$2:$A$2500)=CV$3)*(Gastos!$B$2:$B$2500=$A36)*(Gastos!$D$2:$D$2500))</f>
        <v>0</v>
      </c>
      <c r="CW36" s="75">
        <f t="array" ref="CW36">SUM((YEAR(Gastos!$A$2:$A$2500)=CW$1)*(MONTH(Gastos!$A$2:$A$2500)=CW$3)*(Gastos!$B$2:$B$2500=$A36)*(Gastos!$D$2:$D$2500))</f>
        <v>0</v>
      </c>
      <c r="CX36" s="75">
        <f t="array" ref="CX36">SUM((YEAR(Gastos!$A$2:$A$2500)=CX$1)*(MONTH(Gastos!$A$2:$A$2500)=CX$3)*(Gastos!$B$2:$B$2500=$A36)*(Gastos!$D$2:$D$2500))</f>
        <v>0</v>
      </c>
      <c r="CY36" s="75">
        <f t="array" ref="CY36">SUM((YEAR(Gastos!$A$2:$A$2500)=CY$1)*(MONTH(Gastos!$A$2:$A$2500)=CY$3)*(Gastos!$B$2:$B$2500=$A36)*(Gastos!$D$2:$D$2500))</f>
        <v>0</v>
      </c>
      <c r="CZ36" s="75">
        <f t="array" ref="CZ36">SUM((YEAR(Gastos!$A$2:$A$2500)=CZ$1)*(MONTH(Gastos!$A$2:$A$2500)=CZ$3)*(Gastos!$B$2:$B$2500=$A36)*(Gastos!$D$2:$D$2500))</f>
        <v>0</v>
      </c>
      <c r="DA36" s="75">
        <f t="array" ref="DA36">SUM((YEAR(Gastos!$A$2:$A$2500)=DA$1)*(MONTH(Gastos!$A$2:$A$2500)=DA$3)*(Gastos!$B$2:$B$2500=$A36)*(Gastos!$D$2:$D$2500))</f>
        <v>0</v>
      </c>
      <c r="DB36" s="75">
        <f t="array" ref="DB36">SUM((YEAR(Gastos!$A$2:$A$2500)=DB$1)*(MONTH(Gastos!$A$2:$A$2500)=DB$3)*(Gastos!$B$2:$B$2500=$A36)*(Gastos!$D$2:$D$2500))</f>
        <v>0</v>
      </c>
      <c r="DC36" s="75">
        <f t="array" ref="DC36">SUM((YEAR(Gastos!$A$2:$A$2500)=DC$1)*(MONTH(Gastos!$A$2:$A$2500)=DC$3)*(Gastos!$B$2:$B$2500=$A36)*(Gastos!$D$2:$D$2500))</f>
        <v>0</v>
      </c>
      <c r="DD36" s="75">
        <f t="array" ref="DD36">SUM((YEAR(Gastos!$A$2:$A$2500)=DD$1)*(MONTH(Gastos!$A$2:$A$2500)=DD$3)*(Gastos!$B$2:$B$2500=$A36)*(Gastos!$D$2:$D$2500))</f>
        <v>0</v>
      </c>
      <c r="DE36" s="75">
        <f t="array" ref="DE36">SUM((YEAR(Gastos!$A$2:$A$2500)=DE$1)*(MONTH(Gastos!$A$2:$A$2500)=DE$3)*(Gastos!$B$2:$B$2500=$A36)*(Gastos!$D$2:$D$2500))</f>
        <v>0</v>
      </c>
      <c r="DF36" s="75">
        <f t="array" ref="DF36">SUM((YEAR(Gastos!$A$2:$A$2500)=DF$1)*(MONTH(Gastos!$A$2:$A$2500)=DF$3)*(Gastos!$B$2:$B$2500=$A36)*(Gastos!$D$2:$D$2500))</f>
        <v>0</v>
      </c>
      <c r="DG36" s="75">
        <f t="array" ref="DG36">SUM((YEAR(Gastos!$A$2:$A$2500)=DG$1)*(MONTH(Gastos!$A$2:$A$2500)=DG$3)*(Gastos!$B$2:$B$2500=$A36)*(Gastos!$D$2:$D$2500))</f>
        <v>0</v>
      </c>
      <c r="DH36" s="75">
        <f t="array" ref="DH36">SUM((YEAR(Gastos!$A$2:$A$2500)=DH$1)*(MONTH(Gastos!$A$2:$A$2500)=DH$3)*(Gastos!$B$2:$B$2500=$A36)*(Gastos!$D$2:$D$2500))</f>
        <v>0</v>
      </c>
      <c r="DI36" s="75">
        <f t="array" ref="DI36">SUM((YEAR(Gastos!$A$2:$A$2500)=DI$1)*(MONTH(Gastos!$A$2:$A$2500)=DI$3)*(Gastos!$B$2:$B$2500=$A36)*(Gastos!$D$2:$D$2500))</f>
        <v>0</v>
      </c>
      <c r="DJ36" s="75">
        <f t="array" ref="DJ36">SUM((YEAR(Gastos!$A$2:$A$2500)=DJ$1)*(MONTH(Gastos!$A$2:$A$2500)=DJ$3)*(Gastos!$B$2:$B$2500=$A36)*(Gastos!$D$2:$D$2500))</f>
        <v>0</v>
      </c>
      <c r="DK36" s="75">
        <f t="array" ref="DK36">SUM((YEAR(Gastos!$A$2:$A$2500)=DK$1)*(MONTH(Gastos!$A$2:$A$2500)=DK$3)*(Gastos!$B$2:$B$2500=$A36)*(Gastos!$D$2:$D$2500))</f>
        <v>0</v>
      </c>
      <c r="DL36" s="75">
        <f t="array" ref="DL36">SUM((YEAR(Gastos!$A$2:$A$2500)=DL$1)*(MONTH(Gastos!$A$2:$A$2500)=DL$3)*(Gastos!$B$2:$B$2500=$A36)*(Gastos!$D$2:$D$2500))</f>
        <v>0</v>
      </c>
      <c r="DM36" s="75">
        <f t="array" ref="DM36">SUM((YEAR(Gastos!$A$2:$A$2500)=DM$1)*(MONTH(Gastos!$A$2:$A$2500)=DM$3)*(Gastos!$B$2:$B$2500=$A36)*(Gastos!$D$2:$D$2500))</f>
        <v>0</v>
      </c>
      <c r="DN36" s="75">
        <f t="array" ref="DN36">SUM((YEAR(Gastos!$A$2:$A$2500)=DN$1)*(MONTH(Gastos!$A$2:$A$2500)=DN$3)*(Gastos!$B$2:$B$2500=$A36)*(Gastos!$D$2:$D$2500))</f>
        <v>0</v>
      </c>
      <c r="DO36" s="75">
        <f t="array" ref="DO36">SUM((YEAR(Gastos!$A$2:$A$2500)=DO$1)*(MONTH(Gastos!$A$2:$A$2500)=DO$3)*(Gastos!$B$2:$B$2500=$A36)*(Gastos!$D$2:$D$2500))</f>
        <v>0</v>
      </c>
      <c r="DP36" s="75">
        <f t="array" ref="DP36">SUM((YEAR(Gastos!$A$2:$A$2500)=DP$1)*(MONTH(Gastos!$A$2:$A$2500)=DP$3)*(Gastos!$B$2:$B$2500=$A36)*(Gastos!$D$2:$D$2500))</f>
        <v>0</v>
      </c>
      <c r="DQ36" s="75">
        <f t="array" ref="DQ36">SUM((YEAR(Gastos!$A$2:$A$2500)=DQ$1)*(MONTH(Gastos!$A$2:$A$2500)=DQ$3)*(Gastos!$B$2:$B$2500=$A36)*(Gastos!$D$2:$D$2500))</f>
        <v>0</v>
      </c>
      <c r="DR36" s="75">
        <f t="array" ref="DR36">SUM((YEAR(Gastos!$A$2:$A$2500)=DR$1)*(MONTH(Gastos!$A$2:$A$2500)=DR$3)*(Gastos!$B$2:$B$2500=$A36)*(Gastos!$D$2:$D$2500))</f>
        <v>0</v>
      </c>
      <c r="DS36" s="75">
        <f t="array" ref="DS36">SUM((YEAR(Gastos!$A$2:$A$2500)=DS$1)*(MONTH(Gastos!$A$2:$A$2500)=DS$3)*(Gastos!$B$2:$B$2500=$A36)*(Gastos!$D$2:$D$2500))</f>
        <v>0</v>
      </c>
      <c r="DT36" s="75">
        <f t="array" ref="DT36">SUM((YEAR(Gastos!$A$2:$A$2500)=DT$1)*(MONTH(Gastos!$A$2:$A$2500)=DT$3)*(Gastos!$B$2:$B$2500=$A36)*(Gastos!$D$2:$D$2500))</f>
        <v>0</v>
      </c>
      <c r="DU36" s="75">
        <f t="array" ref="DU36">SUM((YEAR(Gastos!$A$2:$A$2500)=DU$1)*(MONTH(Gastos!$A$2:$A$2500)=DU$3)*(Gastos!$B$2:$B$2500=$A36)*(Gastos!$D$2:$D$2500))</f>
        <v>0</v>
      </c>
      <c r="DV36" s="75">
        <f t="array" ref="DV36">SUM((YEAR(Gastos!$A$2:$A$2500)=DV$1)*(MONTH(Gastos!$A$2:$A$2500)=DV$3)*(Gastos!$B$2:$B$2500=$A36)*(Gastos!$D$2:$D$2500))</f>
        <v>0</v>
      </c>
      <c r="DW36" s="75">
        <f t="array" ref="DW36">SUM((YEAR(Gastos!$A$2:$A$2500)=DW$1)*(MONTH(Gastos!$A$2:$A$2500)=DW$3)*(Gastos!$B$2:$B$2500=$A36)*(Gastos!$D$2:$D$2500))</f>
        <v>0</v>
      </c>
      <c r="DX36" s="75">
        <f t="array" ref="DX36">SUM((YEAR(Gastos!$A$2:$A$2500)=DX$1)*(MONTH(Gastos!$A$2:$A$2500)=DX$3)*(Gastos!$B$2:$B$2500=$A36)*(Gastos!$D$2:$D$2500))</f>
        <v>0</v>
      </c>
      <c r="DY36" s="75">
        <f t="array" ref="DY36">SUM((YEAR(Gastos!$A$2:$A$2500)=DY$1)*(MONTH(Gastos!$A$2:$A$2500)=DY$3)*(Gastos!$B$2:$B$2500=$A36)*(Gastos!$D$2:$D$2500))</f>
        <v>0</v>
      </c>
      <c r="DZ36" s="75">
        <f t="array" ref="DZ36">SUM((YEAR(Gastos!$A$2:$A$2500)=DZ$1)*(MONTH(Gastos!$A$2:$A$2500)=DZ$3)*(Gastos!$B$2:$B$2500=$A36)*(Gastos!$D$2:$D$2500))</f>
        <v>0</v>
      </c>
      <c r="EA36" s="75">
        <f t="array" ref="EA36">SUM((YEAR(Gastos!$A$2:$A$2500)=EA$1)*(MONTH(Gastos!$A$2:$A$2500)=EA$3)*(Gastos!$B$2:$B$2500=$A36)*(Gastos!$D$2:$D$2500))</f>
        <v>0</v>
      </c>
      <c r="EB36" s="75">
        <f t="array" ref="EB36">SUM((YEAR(Gastos!$A$2:$A$2500)=EB$1)*(MONTH(Gastos!$A$2:$A$2500)=EB$3)*(Gastos!$B$2:$B$2500=$A36)*(Gastos!$D$2:$D$2500))</f>
        <v>0</v>
      </c>
      <c r="EC36" s="75">
        <f t="array" ref="EC36">SUM((YEAR(Gastos!$A$2:$A$2500)=EC$1)*(MONTH(Gastos!$A$2:$A$2500)=EC$3)*(Gastos!$B$2:$B$2500=$A36)*(Gastos!$D$2:$D$2500))</f>
        <v>0</v>
      </c>
      <c r="ED36" s="75">
        <f t="array" ref="ED36">SUM((YEAR(Gastos!$A$2:$A$2500)=ED$1)*(MONTH(Gastos!$A$2:$A$2500)=ED$3)*(Gastos!$B$2:$B$2500=$A36)*(Gastos!$D$2:$D$2500))</f>
        <v>0</v>
      </c>
      <c r="EE36" s="75">
        <f t="array" ref="EE36">SUM((YEAR(Gastos!$A$2:$A$2500)=EE$1)*(MONTH(Gastos!$A$2:$A$2500)=EE$3)*(Gastos!$B$2:$B$2500=$A36)*(Gastos!$D$2:$D$2500))</f>
        <v>0</v>
      </c>
      <c r="EF36" s="75">
        <f t="array" ref="EF36">SUM((YEAR(Gastos!$A$2:$A$2500)=EF$1)*(MONTH(Gastos!$A$2:$A$2500)=EF$3)*(Gastos!$B$2:$B$2500=$A36)*(Gastos!$D$2:$D$2500))</f>
        <v>0</v>
      </c>
      <c r="EG36" s="75">
        <f t="array" ref="EG36">SUM((YEAR(Gastos!$A$2:$A$2500)=EG$1)*(MONTH(Gastos!$A$2:$A$2500)=EG$3)*(Gastos!$B$2:$B$2500=$A36)*(Gastos!$D$2:$D$2500))</f>
        <v>0</v>
      </c>
      <c r="EH36" s="75">
        <f t="array" ref="EH36">SUM((YEAR(Gastos!$A$2:$A$2500)=EH$1)*(MONTH(Gastos!$A$2:$A$2500)=EH$3)*(Gastos!$B$2:$B$2500=$A36)*(Gastos!$D$2:$D$2500))</f>
        <v>0</v>
      </c>
      <c r="EI36" s="75">
        <f t="array" ref="EI36">SUM((YEAR(Gastos!$A$2:$A$2500)=EI$1)*(MONTH(Gastos!$A$2:$A$2500)=EI$3)*(Gastos!$B$2:$B$2500=$A36)*(Gastos!$D$2:$D$2500))</f>
        <v>0</v>
      </c>
      <c r="EJ36" s="75">
        <f t="array" ref="EJ36">SUM((YEAR(Gastos!$A$2:$A$2500)=EJ$1)*(MONTH(Gastos!$A$2:$A$2500)=EJ$3)*(Gastos!$B$2:$B$2500=$A36)*(Gastos!$D$2:$D$2500))</f>
        <v>0</v>
      </c>
      <c r="EK36" s="75">
        <f t="array" ref="EK36">SUM((YEAR(Gastos!$A$2:$A$2500)=EK$1)*(MONTH(Gastos!$A$2:$A$2500)=EK$3)*(Gastos!$B$2:$B$2500=$A36)*(Gastos!$D$2:$D$2500))</f>
        <v>0</v>
      </c>
      <c r="EL36" s="75">
        <f t="array" ref="EL36">SUM((YEAR(Gastos!$A$2:$A$2500)=EL$1)*(MONTH(Gastos!$A$2:$A$2500)=EL$3)*(Gastos!$B$2:$B$2500=$A36)*(Gastos!$D$2:$D$2500))</f>
        <v>0</v>
      </c>
      <c r="EM36" s="75">
        <f t="array" ref="EM36">SUM((YEAR(Gastos!$A$2:$A$2500)=EM$1)*(MONTH(Gastos!$A$2:$A$2500)=EM$3)*(Gastos!$B$2:$B$2500=$A36)*(Gastos!$D$2:$D$2500))</f>
        <v>0</v>
      </c>
      <c r="EN36" s="75">
        <f t="array" ref="EN36">SUM((YEAR(Gastos!$A$2:$A$2500)=EN$1)*(MONTH(Gastos!$A$2:$A$2500)=EN$3)*(Gastos!$B$2:$B$2500=$A36)*(Gastos!$D$2:$D$2500))</f>
        <v>0</v>
      </c>
      <c r="EO36" s="75">
        <f t="array" ref="EO36">SUM((YEAR(Gastos!$A$2:$A$2500)=EO$1)*(MONTH(Gastos!$A$2:$A$2500)=EO$3)*(Gastos!$B$2:$B$2500=$A36)*(Gastos!$D$2:$D$2500))</f>
        <v>0</v>
      </c>
      <c r="EP36" s="75">
        <f t="array" ref="EP36">SUM((YEAR(Gastos!$A$2:$A$2500)=EP$1)*(MONTH(Gastos!$A$2:$A$2500)=EP$3)*(Gastos!$B$2:$B$2500=$A36)*(Gastos!$D$2:$D$2500))</f>
        <v>0</v>
      </c>
      <c r="EQ36" s="75">
        <f t="array" ref="EQ36">SUM((YEAR(Gastos!$A$2:$A$2500)=EQ$1)*(MONTH(Gastos!$A$2:$A$2500)=EQ$3)*(Gastos!$B$2:$B$2500=$A36)*(Gastos!$D$2:$D$2500))</f>
        <v>0</v>
      </c>
      <c r="ER36" s="75">
        <f t="array" ref="ER36">SUM((YEAR(Gastos!$A$2:$A$2500)=ER$1)*(MONTH(Gastos!$A$2:$A$2500)=ER$3)*(Gastos!$B$2:$B$2500=$A36)*(Gastos!$D$2:$D$2500))</f>
        <v>0</v>
      </c>
      <c r="ES36" s="75">
        <f t="array" ref="ES36">SUM((YEAR(Gastos!$A$2:$A$2500)=ES$1)*(MONTH(Gastos!$A$2:$A$2500)=ES$3)*(Gastos!$B$2:$B$2500=$A36)*(Gastos!$D$2:$D$2500))</f>
        <v>0</v>
      </c>
      <c r="ET36" s="75">
        <f t="array" ref="ET36">SUM((YEAR(Gastos!$A$2:$A$2500)=ET$1)*(MONTH(Gastos!$A$2:$A$2500)=ET$3)*(Gastos!$B$2:$B$2500=$A36)*(Gastos!$D$2:$D$2500))</f>
        <v>0</v>
      </c>
      <c r="EU36" s="75">
        <f t="array" ref="EU36">SUM((YEAR(Gastos!$A$2:$A$2500)=EU$1)*(MONTH(Gastos!$A$2:$A$2500)=EU$3)*(Gastos!$B$2:$B$2500=$A36)*(Gastos!$D$2:$D$2500))</f>
        <v>0</v>
      </c>
      <c r="EV36" s="75">
        <f t="array" ref="EV36">SUM((YEAR(Gastos!$A$2:$A$2500)=EV$1)*(MONTH(Gastos!$A$2:$A$2500)=EV$3)*(Gastos!$B$2:$B$2500=$A36)*(Gastos!$D$2:$D$2500))</f>
        <v>0</v>
      </c>
      <c r="EW36" s="75">
        <f t="array" ref="EW36">SUM((YEAR(Gastos!$A$2:$A$2500)=EW$1)*(MONTH(Gastos!$A$2:$A$2500)=EW$3)*(Gastos!$B$2:$B$2500=$A36)*(Gastos!$D$2:$D$2500))</f>
        <v>0</v>
      </c>
      <c r="EX36" s="75">
        <f t="array" ref="EX36">SUM((YEAR(Gastos!$A$2:$A$2500)=EX$1)*(MONTH(Gastos!$A$2:$A$2500)=EX$3)*(Gastos!$B$2:$B$2500=$A36)*(Gastos!$D$2:$D$2500))</f>
        <v>0</v>
      </c>
      <c r="EY36" s="75">
        <f t="array" ref="EY36">SUM((YEAR(Gastos!$A$2:$A$2500)=EY$1)*(MONTH(Gastos!$A$2:$A$2500)=EY$3)*(Gastos!$B$2:$B$2500=$A36)*(Gastos!$D$2:$D$2500))</f>
        <v>0</v>
      </c>
      <c r="EZ36" s="75">
        <f t="array" ref="EZ36">SUM((YEAR(Gastos!$A$2:$A$2500)=EZ$1)*(MONTH(Gastos!$A$2:$A$2500)=EZ$3)*(Gastos!$B$2:$B$2500=$A36)*(Gastos!$D$2:$D$2500))</f>
        <v>0</v>
      </c>
      <c r="FA36" s="75">
        <f t="array" ref="FA36">SUM((YEAR(Gastos!$A$2:$A$2500)=FA$1)*(MONTH(Gastos!$A$2:$A$2500)=FA$3)*(Gastos!$B$2:$B$2500=$A36)*(Gastos!$D$2:$D$2500))</f>
        <v>0</v>
      </c>
      <c r="FB36" s="75">
        <f t="array" ref="FB36">SUM((YEAR(Gastos!$A$2:$A$2500)=FB$1)*(MONTH(Gastos!$A$2:$A$2500)=FB$3)*(Gastos!$B$2:$B$2500=$A36)*(Gastos!$D$2:$D$2500))</f>
        <v>0</v>
      </c>
      <c r="FC36" s="75">
        <f t="array" ref="FC36">SUM((YEAR(Gastos!$A$2:$A$2500)=FC$1)*(MONTH(Gastos!$A$2:$A$2500)=FC$3)*(Gastos!$B$2:$B$2500=$A36)*(Gastos!$D$2:$D$2500))</f>
        <v>0</v>
      </c>
      <c r="FD36" s="75">
        <f t="array" ref="FD36">SUM((YEAR(Gastos!$A$2:$A$2500)=FD$1)*(MONTH(Gastos!$A$2:$A$2500)=FD$3)*(Gastos!$B$2:$B$2500=$A36)*(Gastos!$D$2:$D$2500))</f>
        <v>0</v>
      </c>
      <c r="FE36" s="75">
        <f t="array" ref="FE36">SUM((YEAR(Gastos!$A$2:$A$2500)=FE$1)*(MONTH(Gastos!$A$2:$A$2500)=FE$3)*(Gastos!$B$2:$B$2500=$A36)*(Gastos!$D$2:$D$2500))</f>
        <v>0</v>
      </c>
      <c r="FF36" s="75">
        <f t="array" ref="FF36">SUM((YEAR(Gastos!$A$2:$A$2500)=FF$1)*(MONTH(Gastos!$A$2:$A$2500)=FF$3)*(Gastos!$B$2:$B$2500=$A36)*(Gastos!$D$2:$D$2500))</f>
        <v>0</v>
      </c>
      <c r="FG36" s="75">
        <f t="array" ref="FG36">SUM((YEAR(Gastos!$A$2:$A$2500)=FG$1)*(MONTH(Gastos!$A$2:$A$2500)=FG$3)*(Gastos!$B$2:$B$2500=$A36)*(Gastos!$D$2:$D$2500))</f>
        <v>0</v>
      </c>
      <c r="FH36" s="75">
        <f t="array" ref="FH36">SUM((YEAR(Gastos!$A$2:$A$2500)=FH$1)*(MONTH(Gastos!$A$2:$A$2500)=FH$3)*(Gastos!$B$2:$B$2500=$A36)*(Gastos!$D$2:$D$2500))</f>
        <v>0</v>
      </c>
      <c r="FI36" s="75">
        <f t="array" ref="FI36">SUM((YEAR(Gastos!$A$2:$A$2500)=FI$1)*(MONTH(Gastos!$A$2:$A$2500)=FI$3)*(Gastos!$B$2:$B$2500=$A36)*(Gastos!$D$2:$D$2500))</f>
        <v>0</v>
      </c>
      <c r="FJ36" s="75">
        <f t="array" ref="FJ36">SUM((YEAR(Gastos!$A$2:$A$2500)=FJ$1)*(MONTH(Gastos!$A$2:$A$2500)=FJ$3)*(Gastos!$B$2:$B$2500=$A36)*(Gastos!$D$2:$D$2500))</f>
        <v>0</v>
      </c>
      <c r="FK36" s="75">
        <f t="array" ref="FK36">SUM((YEAR(Gastos!$A$2:$A$2500)=FK$1)*(MONTH(Gastos!$A$2:$A$2500)=FK$3)*(Gastos!$B$2:$B$2500=$A36)*(Gastos!$D$2:$D$2500))</f>
        <v>0</v>
      </c>
      <c r="FL36" s="75">
        <f t="array" ref="FL36">SUM((YEAR(Gastos!$A$2:$A$2500)=FL$1)*(MONTH(Gastos!$A$2:$A$2500)=FL$3)*(Gastos!$B$2:$B$2500=$A36)*(Gastos!$D$2:$D$2500))</f>
        <v>0</v>
      </c>
      <c r="FM36" s="75">
        <f t="array" ref="FM36">SUM((YEAR(Gastos!$A$2:$A$2500)=FM$1)*(MONTH(Gastos!$A$2:$A$2500)=FM$3)*(Gastos!$B$2:$B$2500=$A36)*(Gastos!$D$2:$D$2500))</f>
        <v>0</v>
      </c>
      <c r="FN36" s="75">
        <f t="array" ref="FN36">SUM((YEAR(Gastos!$A$2:$A$2500)=FN$1)*(MONTH(Gastos!$A$2:$A$2500)=FN$3)*(Gastos!$B$2:$B$2500=$A36)*(Gastos!$D$2:$D$2500))</f>
        <v>0</v>
      </c>
      <c r="FO36" s="75">
        <f t="array" ref="FO36">SUM((YEAR(Gastos!$A$2:$A$2500)=FO$1)*(MONTH(Gastos!$A$2:$A$2500)=FO$3)*(Gastos!$B$2:$B$2500=$A36)*(Gastos!$D$2:$D$2500))</f>
        <v>0</v>
      </c>
      <c r="FP36" s="75">
        <f t="array" ref="FP36">SUM((YEAR(Gastos!$A$2:$A$2500)=FP$1)*(MONTH(Gastos!$A$2:$A$2500)=FP$3)*(Gastos!$B$2:$B$2500=$A36)*(Gastos!$D$2:$D$2500))</f>
        <v>0</v>
      </c>
      <c r="FQ36" s="75">
        <f t="array" ref="FQ36">SUM((YEAR(Gastos!$A$2:$A$2500)=FQ$1)*(MONTH(Gastos!$A$2:$A$2500)=FQ$3)*(Gastos!$B$2:$B$2500=$A36)*(Gastos!$D$2:$D$2500))</f>
        <v>0</v>
      </c>
      <c r="FR36" s="75">
        <f t="array" ref="FR36">SUM((YEAR(Gastos!$A$2:$A$2500)=FR$1)*(MONTH(Gastos!$A$2:$A$2500)=FR$3)*(Gastos!$B$2:$B$2500=$A36)*(Gastos!$D$2:$D$2500))</f>
        <v>0</v>
      </c>
      <c r="FS36" s="75">
        <f t="array" ref="FS36">SUM((YEAR(Gastos!$A$2:$A$2500)=FS$1)*(MONTH(Gastos!$A$2:$A$2500)=FS$3)*(Gastos!$B$2:$B$2500=$A36)*(Gastos!$D$2:$D$2500))</f>
        <v>0</v>
      </c>
      <c r="FT36" s="75">
        <f t="array" ref="FT36">SUM((YEAR(Gastos!$A$2:$A$2500)=FT$1)*(MONTH(Gastos!$A$2:$A$2500)=FT$3)*(Gastos!$B$2:$B$2500=$A36)*(Gastos!$D$2:$D$2500))</f>
        <v>0</v>
      </c>
      <c r="FU36" s="75">
        <f t="array" ref="FU36">SUM((YEAR(Gastos!$A$2:$A$2500)=FU$1)*(MONTH(Gastos!$A$2:$A$2500)=FU$3)*(Gastos!$B$2:$B$2500=$A36)*(Gastos!$D$2:$D$2500))</f>
        <v>0</v>
      </c>
      <c r="FV36" s="75">
        <f t="array" ref="FV36">SUM((YEAR(Gastos!$A$2:$A$2500)=FV$1)*(MONTH(Gastos!$A$2:$A$2500)=FV$3)*(Gastos!$B$2:$B$2500=$A36)*(Gastos!$D$2:$D$2500))</f>
        <v>0</v>
      </c>
      <c r="FW36" s="75">
        <f t="array" ref="FW36">SUM((YEAR(Gastos!$A$2:$A$2500)=FW$1)*(MONTH(Gastos!$A$2:$A$2500)=FW$3)*(Gastos!$B$2:$B$2500=$A36)*(Gastos!$D$2:$D$2500))</f>
        <v>0</v>
      </c>
      <c r="FX36" s="75">
        <f t="array" ref="FX36">SUM((YEAR(Gastos!$A$2:$A$2500)=FX$1)*(MONTH(Gastos!$A$2:$A$2500)=FX$3)*(Gastos!$B$2:$B$2500=$A36)*(Gastos!$D$2:$D$2500))</f>
        <v>0</v>
      </c>
      <c r="FY36" s="75">
        <f t="array" ref="FY36">SUM((YEAR(Gastos!$A$2:$A$2500)=FY$1)*(MONTH(Gastos!$A$2:$A$2500)=FY$3)*(Gastos!$B$2:$B$2500=$A36)*(Gastos!$D$2:$D$2500))</f>
        <v>0</v>
      </c>
      <c r="FZ36" s="76">
        <f t="shared" si="65"/>
        <v>0</v>
      </c>
      <c r="GA36" s="80"/>
      <c r="GB36" s="78">
        <f t="shared" si="66"/>
        <v>0</v>
      </c>
      <c r="GF36" s="79">
        <f t="array" ref="GF36">SUM(((Gastos!$A$2:$A$1647)&gt;=GD$3)*((Gastos!$A$2:$A$1647)&lt;=GF$3)*(Gastos!$B$2:$B$1647=$A36)*(Gastos!$D$2:$D$1647))</f>
        <v>0</v>
      </c>
      <c r="GI36" s="79">
        <f t="array" ref="GI36">SUM(((Gastos!$A$2:$A$1647)&gt;=GG$3)*((Gastos!$A$2:$A$1647)&lt;=GI$3)*(Gastos!$B$2:$B$1647=$A36)*(Gastos!$D$2:$D$1647))</f>
        <v>0</v>
      </c>
    </row>
    <row r="37" spans="1:191" ht="15" thickBot="1" x14ac:dyDescent="0.4">
      <c r="A37" s="74" t="str">
        <f>Gastos!AA35</f>
        <v>V. MANTTO. ELECTRICO</v>
      </c>
      <c r="B37" s="75">
        <f t="array" ref="B37">SUM((YEAR(Gastos!$A$2:$A$2500)=B$1)*(MONTH(Gastos!$A$2:$A$2500)=B$3)*(Gastos!$B$2:$B$2500=$A37)*(Gastos!$D$2:$D$2500))</f>
        <v>0</v>
      </c>
      <c r="C37" s="75">
        <f t="array" ref="C37">SUM((YEAR(Gastos!$A$2:$A$2500)=C$1)*(MONTH(Gastos!$A$2:$A$2500)=C$3)*(Gastos!$B$2:$B$2500=$A37)*(Gastos!$D$2:$D$2500))</f>
        <v>0</v>
      </c>
      <c r="D37" s="75">
        <f t="array" ref="D37">SUM((YEAR(Gastos!$A$2:$A$2500)=D$1)*(MONTH(Gastos!$A$2:$A$2500)=D$3)*(Gastos!$B$2:$B$2500=$A37)*(Gastos!$D$2:$D$2500))</f>
        <v>0</v>
      </c>
      <c r="E37" s="75">
        <f t="array" ref="E37">SUM((YEAR(Gastos!$A$2:$A$2500)=E$1)*(MONTH(Gastos!$A$2:$A$2500)=E$3)*(Gastos!$B$2:$B$2500=$A37)*(Gastos!$D$2:$D$2500))</f>
        <v>0</v>
      </c>
      <c r="F37" s="75">
        <f t="array" ref="F37">SUM((YEAR(Gastos!$A$2:$A$2500)=F$1)*(MONTH(Gastos!$A$2:$A$2500)=F$3)*(Gastos!$B$2:$B$2500=$A37)*(Gastos!$D$2:$D$2500))</f>
        <v>0</v>
      </c>
      <c r="G37" s="75">
        <f t="array" ref="G37">SUM((YEAR(Gastos!$A$2:$A$2500)=G$1)*(MONTH(Gastos!$A$2:$A$2500)=G$3)*(Gastos!$B$2:$B$2500=$A37)*(Gastos!$D$2:$D$2500))</f>
        <v>0</v>
      </c>
      <c r="H37" s="75">
        <f t="array" ref="H37">SUM((YEAR(Gastos!$A$2:$A$2500)=H$1)*(MONTH(Gastos!$A$2:$A$2500)=H$3)*(Gastos!$B$2:$B$2500=$A37)*(Gastos!$D$2:$D$2500))</f>
        <v>0</v>
      </c>
      <c r="I37" s="75">
        <f t="array" ref="I37">SUM((YEAR(Gastos!$A$2:$A$2500)=I$1)*(MONTH(Gastos!$A$2:$A$2500)=I$3)*(Gastos!$B$2:$B$2500=$A37)*(Gastos!$D$2:$D$2500))</f>
        <v>0</v>
      </c>
      <c r="J37" s="75">
        <f t="array" ref="J37">SUM((YEAR(Gastos!$A$2:$A$2500)=J$1)*(MONTH(Gastos!$A$2:$A$2500)=J$3)*(Gastos!$B$2:$B$2500=$A37)*(Gastos!$D$2:$D$2500))</f>
        <v>0</v>
      </c>
      <c r="K37" s="75">
        <f t="array" ref="K37">SUM((YEAR(Gastos!$A$2:$A$2500)=K$1)*(MONTH(Gastos!$A$2:$A$2500)=K$3)*(Gastos!$B$2:$B$2500=$A37)*(Gastos!$D$2:$D$2500))</f>
        <v>0</v>
      </c>
      <c r="L37" s="75">
        <f t="array" ref="L37">SUM((YEAR(Gastos!$A$2:$A$2500)=L$1)*(MONTH(Gastos!$A$2:$A$2500)=L$3)*(Gastos!$B$2:$B$2500=$A37)*(Gastos!$D$2:$D$2500))</f>
        <v>0</v>
      </c>
      <c r="M37" s="75">
        <f t="array" ref="M37">SUM((YEAR(Gastos!$A$2:$A$2500)=M$1)*(MONTH(Gastos!$A$2:$A$2500)=M$3)*(Gastos!$B$2:$B$2500=$A37)*(Gastos!$D$2:$D$2500))</f>
        <v>0</v>
      </c>
      <c r="N37" s="75">
        <f t="array" ref="N37">SUM((YEAR(Gastos!$A$2:$A$2500)=N$1)*(MONTH(Gastos!$A$2:$A$2500)=N$3)*(Gastos!$B$2:$B$2500=$A37)*(Gastos!$D$2:$D$2500))</f>
        <v>0</v>
      </c>
      <c r="O37" s="75">
        <f t="array" ref="O37">SUM((YEAR(Gastos!$A$2:$A$2500)=O$1)*(MONTH(Gastos!$A$2:$A$2500)=O$3)*(Gastos!$B$2:$B$2500=$A37)*(Gastos!$D$2:$D$2500))</f>
        <v>0</v>
      </c>
      <c r="P37" s="75">
        <f t="array" ref="P37">SUM((YEAR(Gastos!$A$2:$A$2500)=P$1)*(MONTH(Gastos!$A$2:$A$2500)=P$3)*(Gastos!$B$2:$B$2500=$A37)*(Gastos!$D$2:$D$2500))</f>
        <v>0</v>
      </c>
      <c r="Q37" s="75">
        <f t="array" ref="Q37">SUM((YEAR(Gastos!$A$2:$A$2500)=Q$1)*(MONTH(Gastos!$A$2:$A$2500)=Q$3)*(Gastos!$B$2:$B$2500=$A37)*(Gastos!$D$2:$D$2500))</f>
        <v>0</v>
      </c>
      <c r="R37" s="75">
        <f t="array" ref="R37">SUM((YEAR(Gastos!$A$2:$A$2500)=R$1)*(MONTH(Gastos!$A$2:$A$2500)=R$3)*(Gastos!$B$2:$B$2500=$A37)*(Gastos!$D$2:$D$2500))</f>
        <v>0</v>
      </c>
      <c r="S37" s="75">
        <f t="array" ref="S37">SUM((YEAR(Gastos!$A$2:$A$2500)=S$1)*(MONTH(Gastos!$A$2:$A$2500)=S$3)*(Gastos!$B$2:$B$2500=$A37)*(Gastos!$D$2:$D$2500))</f>
        <v>0</v>
      </c>
      <c r="T37" s="75">
        <f t="array" ref="T37">SUM((YEAR(Gastos!$A$2:$A$2500)=T$1)*(MONTH(Gastos!$A$2:$A$2500)=T$3)*(Gastos!$B$2:$B$2500=$A37)*(Gastos!$D$2:$D$2500))</f>
        <v>0</v>
      </c>
      <c r="U37" s="75">
        <f t="array" ref="U37">SUM((YEAR(Gastos!$A$2:$A$2500)=U$1)*(MONTH(Gastos!$A$2:$A$2500)=U$3)*(Gastos!$B$2:$B$2500=$A37)*(Gastos!$D$2:$D$2500))</f>
        <v>0</v>
      </c>
      <c r="V37" s="75">
        <f t="array" ref="V37">SUM((YEAR(Gastos!$A$2:$A$2500)=V$1)*(MONTH(Gastos!$A$2:$A$2500)=V$3)*(Gastos!$B$2:$B$2500=$A37)*(Gastos!$D$2:$D$2500))</f>
        <v>0</v>
      </c>
      <c r="W37" s="75">
        <f t="array" ref="W37">SUM((YEAR(Gastos!$A$2:$A$2500)=W$1)*(MONTH(Gastos!$A$2:$A$2500)=W$3)*(Gastos!$B$2:$B$2500=$A37)*(Gastos!$D$2:$D$2500))</f>
        <v>0</v>
      </c>
      <c r="X37" s="75">
        <f t="array" ref="X37">SUM((YEAR(Gastos!$A$2:$A$2500)=X$1)*(MONTH(Gastos!$A$2:$A$2500)=X$3)*(Gastos!$B$2:$B$2500=$A37)*(Gastos!$D$2:$D$2500))</f>
        <v>0</v>
      </c>
      <c r="Y37" s="75">
        <f t="array" ref="Y37">SUM((YEAR(Gastos!$A$2:$A$2500)=Y$1)*(MONTH(Gastos!$A$2:$A$2500)=Y$3)*(Gastos!$B$2:$B$2500=$A37)*(Gastos!$D$2:$D$2500))</f>
        <v>0</v>
      </c>
      <c r="Z37" s="75">
        <f t="array" ref="Z37">SUM((YEAR(Gastos!$A$2:$A$2500)=Z$1)*(MONTH(Gastos!$A$2:$A$2500)=Z$3)*(Gastos!$B$2:$B$2500=$A37)*(Gastos!$D$2:$D$2500))</f>
        <v>0</v>
      </c>
      <c r="AA37" s="75">
        <f t="array" ref="AA37">SUM((YEAR(Gastos!$A$2:$A$2500)=AA$1)*(MONTH(Gastos!$A$2:$A$2500)=AA$3)*(Gastos!$B$2:$B$2500=$A37)*(Gastos!$D$2:$D$2500))</f>
        <v>0</v>
      </c>
      <c r="AB37" s="75">
        <f t="array" ref="AB37">SUM((YEAR(Gastos!$A$2:$A$2500)=AB$1)*(MONTH(Gastos!$A$2:$A$2500)=AB$3)*(Gastos!$B$2:$B$2500=$A37)*(Gastos!$D$2:$D$2500))</f>
        <v>0</v>
      </c>
      <c r="AC37" s="75">
        <f t="array" ref="AC37">SUM((YEAR(Gastos!$A$2:$A$2500)=AC$1)*(MONTH(Gastos!$A$2:$A$2500)=AC$3)*(Gastos!$B$2:$B$2500=$A37)*(Gastos!$D$2:$D$2500))</f>
        <v>0</v>
      </c>
      <c r="AD37" s="75">
        <f t="array" ref="AD37">SUM((YEAR(Gastos!$A$2:$A$2500)=AD$1)*(MONTH(Gastos!$A$2:$A$2500)=AD$3)*(Gastos!$B$2:$B$2500=$A37)*(Gastos!$D$2:$D$2500))</f>
        <v>0</v>
      </c>
      <c r="AE37" s="75">
        <f t="array" ref="AE37">SUM((YEAR(Gastos!$A$2:$A$2500)=AE$1)*(MONTH(Gastos!$A$2:$A$2500)=AE$3)*(Gastos!$B$2:$B$2500=$A37)*(Gastos!$D$2:$D$2500))</f>
        <v>0</v>
      </c>
      <c r="AF37" s="75">
        <f t="array" ref="AF37">SUM((YEAR(Gastos!$A$2:$A$2500)=AF$1)*(MONTH(Gastos!$A$2:$A$2500)=AF$3)*(Gastos!$B$2:$B$2500=$A37)*(Gastos!$D$2:$D$2500))</f>
        <v>0</v>
      </c>
      <c r="AG37" s="75">
        <f t="array" ref="AG37">SUM((YEAR(Gastos!$A$2:$A$2500)=AG$1)*(MONTH(Gastos!$A$2:$A$2500)=AG$3)*(Gastos!$B$2:$B$2500=$A37)*(Gastos!$D$2:$D$2500))</f>
        <v>0</v>
      </c>
      <c r="AH37" s="75">
        <f t="array" ref="AH37">SUM((YEAR(Gastos!$A$2:$A$2500)=AH$1)*(MONTH(Gastos!$A$2:$A$2500)=AH$3)*(Gastos!$B$2:$B$2500=$A37)*(Gastos!$D$2:$D$2500))</f>
        <v>0</v>
      </c>
      <c r="AI37" s="75">
        <f t="array" ref="AI37">SUM((YEAR(Gastos!$A$2:$A$2500)=AI$1)*(MONTH(Gastos!$A$2:$A$2500)=AI$3)*(Gastos!$B$2:$B$2500=$A37)*(Gastos!$D$2:$D$2500))</f>
        <v>0</v>
      </c>
      <c r="AJ37" s="75">
        <f t="array" ref="AJ37">SUM((YEAR(Gastos!$A$2:$A$2500)=AJ$1)*(MONTH(Gastos!$A$2:$A$2500)=AJ$3)*(Gastos!$B$2:$B$2500=$A37)*(Gastos!$D$2:$D$2500))</f>
        <v>0</v>
      </c>
      <c r="AK37" s="75">
        <f t="array" ref="AK37">SUM((YEAR(Gastos!$A$2:$A$2500)=AK$1)*(MONTH(Gastos!$A$2:$A$2500)=AK$3)*(Gastos!$B$2:$B$2500=$A37)*(Gastos!$D$2:$D$2500))</f>
        <v>0</v>
      </c>
      <c r="AL37" s="75">
        <f t="array" ref="AL37">SUM((YEAR(Gastos!$A$2:$A$2500)=AL$1)*(MONTH(Gastos!$A$2:$A$2500)=AL$3)*(Gastos!$B$2:$B$2500=$A37)*(Gastos!$D$2:$D$2500))</f>
        <v>0</v>
      </c>
      <c r="AM37" s="75">
        <f t="array" ref="AM37">SUM((YEAR(Gastos!$A$2:$A$2500)=AM$1)*(MONTH(Gastos!$A$2:$A$2500)=AM$3)*(Gastos!$B$2:$B$2500=$A37)*(Gastos!$D$2:$D$2500))</f>
        <v>0</v>
      </c>
      <c r="AN37" s="75">
        <f t="array" ref="AN37">SUM((YEAR(Gastos!$A$2:$A$2500)=AN$1)*(MONTH(Gastos!$A$2:$A$2500)=AN$3)*(Gastos!$B$2:$B$2500=$A37)*(Gastos!$D$2:$D$2500))</f>
        <v>0</v>
      </c>
      <c r="AO37" s="75">
        <f t="array" ref="AO37">SUM((YEAR(Gastos!$A$2:$A$2500)=AO$1)*(MONTH(Gastos!$A$2:$A$2500)=AO$3)*(Gastos!$B$2:$B$2500=$A37)*(Gastos!$D$2:$D$2500))</f>
        <v>0</v>
      </c>
      <c r="AP37" s="75">
        <f t="array" ref="AP37">SUM((YEAR(Gastos!$A$2:$A$2500)=AP$1)*(MONTH(Gastos!$A$2:$A$2500)=AP$3)*(Gastos!$B$2:$B$2500=$A37)*(Gastos!$D$2:$D$2500))</f>
        <v>0</v>
      </c>
      <c r="AQ37" s="75">
        <f t="array" ref="AQ37">SUM((YEAR(Gastos!$A$2:$A$2500)=AQ$1)*(MONTH(Gastos!$A$2:$A$2500)=AQ$3)*(Gastos!$B$2:$B$2500=$A37)*(Gastos!$D$2:$D$2500))</f>
        <v>0</v>
      </c>
      <c r="AR37" s="75">
        <f t="array" ref="AR37">SUM((YEAR(Gastos!$A$2:$A$2500)=AR$1)*(MONTH(Gastos!$A$2:$A$2500)=AR$3)*(Gastos!$B$2:$B$2500=$A37)*(Gastos!$D$2:$D$2500))</f>
        <v>0</v>
      </c>
      <c r="AS37" s="75">
        <f t="array" ref="AS37">SUM((YEAR(Gastos!$A$2:$A$2500)=AS$1)*(MONTH(Gastos!$A$2:$A$2500)=AS$3)*(Gastos!$B$2:$B$2500=$A37)*(Gastos!$D$2:$D$2500))</f>
        <v>0</v>
      </c>
      <c r="AT37" s="75">
        <f t="array" ref="AT37">SUM((YEAR(Gastos!$A$2:$A$2500)=AT$1)*(MONTH(Gastos!$A$2:$A$2500)=AT$3)*(Gastos!$B$2:$B$2500=$A37)*(Gastos!$D$2:$D$2500))</f>
        <v>0</v>
      </c>
      <c r="AU37" s="75">
        <f t="array" ref="AU37">SUM((YEAR(Gastos!$A$2:$A$2500)=AU$1)*(MONTH(Gastos!$A$2:$A$2500)=AU$3)*(Gastos!$B$2:$B$2500=$A37)*(Gastos!$D$2:$D$2500))</f>
        <v>0</v>
      </c>
      <c r="AV37" s="75">
        <f t="array" ref="AV37">SUM((YEAR(Gastos!$A$2:$A$2500)=AV$1)*(MONTH(Gastos!$A$2:$A$2500)=AV$3)*(Gastos!$B$2:$B$2500=$A37)*(Gastos!$D$2:$D$2500))</f>
        <v>0</v>
      </c>
      <c r="AW37" s="75">
        <f t="array" ref="AW37">SUM((YEAR(Gastos!$A$2:$A$2500)=AW$1)*(MONTH(Gastos!$A$2:$A$2500)=AW$3)*(Gastos!$B$2:$B$2500=$A37)*(Gastos!$D$2:$D$2500))</f>
        <v>0</v>
      </c>
      <c r="AX37" s="75">
        <f t="array" ref="AX37">SUM((YEAR(Gastos!$A$2:$A$2500)=AX$1)*(MONTH(Gastos!$A$2:$A$2500)=AX$3)*(Gastos!$B$2:$B$2500=$A37)*(Gastos!$D$2:$D$2500))</f>
        <v>0</v>
      </c>
      <c r="AY37" s="75">
        <f t="array" ref="AY37">SUM((YEAR(Gastos!$A$2:$A$2500)=AY$1)*(MONTH(Gastos!$A$2:$A$2500)=AY$3)*(Gastos!$B$2:$B$2500=$A37)*(Gastos!$D$2:$D$2500))</f>
        <v>0</v>
      </c>
      <c r="AZ37" s="75">
        <f t="array" ref="AZ37">SUM((YEAR(Gastos!$A$2:$A$2500)=AZ$1)*(MONTH(Gastos!$A$2:$A$2500)=AZ$3)*(Gastos!$B$2:$B$2500=$A37)*(Gastos!$D$2:$D$2500))</f>
        <v>0</v>
      </c>
      <c r="BA37" s="75">
        <f t="array" ref="BA37">SUM((YEAR(Gastos!$A$2:$A$2500)=BA$1)*(MONTH(Gastos!$A$2:$A$2500)=BA$3)*(Gastos!$B$2:$B$2500=$A37)*(Gastos!$D$2:$D$2500))</f>
        <v>0</v>
      </c>
      <c r="BB37" s="75">
        <f t="array" ref="BB37">SUM((YEAR(Gastos!$A$2:$A$2500)=BB$1)*(MONTH(Gastos!$A$2:$A$2500)=BB$3)*(Gastos!$B$2:$B$2500=$A37)*(Gastos!$D$2:$D$2500))</f>
        <v>0</v>
      </c>
      <c r="BC37" s="75">
        <f t="array" ref="BC37">SUM((YEAR(Gastos!$A$2:$A$2500)=BC$1)*(MONTH(Gastos!$A$2:$A$2500)=BC$3)*(Gastos!$B$2:$B$2500=$A37)*(Gastos!$D$2:$D$2500))</f>
        <v>0</v>
      </c>
      <c r="BD37" s="75">
        <f t="array" ref="BD37">SUM((YEAR(Gastos!$A$2:$A$2500)=BD$1)*(MONTH(Gastos!$A$2:$A$2500)=BD$3)*(Gastos!$B$2:$B$2500=$A37)*(Gastos!$D$2:$D$2500))</f>
        <v>0</v>
      </c>
      <c r="BE37" s="75">
        <f t="array" ref="BE37">SUM((YEAR(Gastos!$A$2:$A$2500)=BE$1)*(MONTH(Gastos!$A$2:$A$2500)=BE$3)*(Gastos!$B$2:$B$2500=$A37)*(Gastos!$D$2:$D$2500))</f>
        <v>0</v>
      </c>
      <c r="BF37" s="75">
        <f t="array" ref="BF37">SUM((YEAR(Gastos!$A$2:$A$2500)=BF$1)*(MONTH(Gastos!$A$2:$A$2500)=BF$3)*(Gastos!$B$2:$B$2500=$A37)*(Gastos!$D$2:$D$2500))</f>
        <v>0</v>
      </c>
      <c r="BG37" s="75">
        <f t="array" ref="BG37">SUM((YEAR(Gastos!$A$2:$A$2500)=BG$1)*(MONTH(Gastos!$A$2:$A$2500)=BG$3)*(Gastos!$B$2:$B$2500=$A37)*(Gastos!$D$2:$D$2500))</f>
        <v>8130</v>
      </c>
      <c r="BH37" s="75">
        <f t="array" ref="BH37">SUM((YEAR(Gastos!$A$2:$A$2500)=BH$1)*(MONTH(Gastos!$A$2:$A$2500)=BH$3)*(Gastos!$B$2:$B$2500=$A37)*(Gastos!$D$2:$D$2500))</f>
        <v>0</v>
      </c>
      <c r="BI37" s="75">
        <f t="array" ref="BI37">SUM((YEAR(Gastos!$A$2:$A$2500)=BI$1)*(MONTH(Gastos!$A$2:$A$2500)=BI$3)*(Gastos!$B$2:$B$2500=$A37)*(Gastos!$D$2:$D$2500))</f>
        <v>0</v>
      </c>
      <c r="BJ37" s="75">
        <f t="array" ref="BJ37">SUM((YEAR(Gastos!$A$2:$A$2500)=BJ$1)*(MONTH(Gastos!$A$2:$A$2500)=BJ$3)*(Gastos!$B$2:$B$2500=$A37)*(Gastos!$D$2:$D$2500))</f>
        <v>0</v>
      </c>
      <c r="BK37" s="75">
        <f t="array" ref="BK37">SUM((YEAR(Gastos!$A$2:$A$2500)=BK$1)*(MONTH(Gastos!$A$2:$A$2500)=BK$3)*(Gastos!$B$2:$B$2500=$A37)*(Gastos!$D$2:$D$2500))</f>
        <v>0</v>
      </c>
      <c r="BL37" s="75">
        <f t="array" ref="BL37">SUM((YEAR(Gastos!$A$2:$A$2500)=BL$1)*(MONTH(Gastos!$A$2:$A$2500)=BL$3)*(Gastos!$B$2:$B$2500=$A37)*(Gastos!$D$2:$D$2500))</f>
        <v>0</v>
      </c>
      <c r="BM37" s="75">
        <f t="array" ref="BM37">SUM((YEAR(Gastos!$A$2:$A$2500)=BM$1)*(MONTH(Gastos!$A$2:$A$2500)=BM$3)*(Gastos!$B$2:$B$2500=$A37)*(Gastos!$D$2:$D$2500))</f>
        <v>0</v>
      </c>
      <c r="BN37" s="75">
        <f t="array" ref="BN37">SUM((YEAR(Gastos!$A$2:$A$2500)=BN$1)*(MONTH(Gastos!$A$2:$A$2500)=BN$3)*(Gastos!$B$2:$B$2500=$A37)*(Gastos!$D$2:$D$2500))</f>
        <v>0</v>
      </c>
      <c r="BO37" s="75">
        <f t="array" ref="BO37">SUM((YEAR(Gastos!$A$2:$A$2500)=BO$1)*(MONTH(Gastos!$A$2:$A$2500)=BO$3)*(Gastos!$B$2:$B$2500=$A37)*(Gastos!$D$2:$D$2500))</f>
        <v>0</v>
      </c>
      <c r="BP37" s="75">
        <f t="array" ref="BP37">SUM((YEAR(Gastos!$A$2:$A$2500)=BP$1)*(MONTH(Gastos!$A$2:$A$2500)=BP$3)*(Gastos!$B$2:$B$2500=$A37)*(Gastos!$D$2:$D$2500))</f>
        <v>0</v>
      </c>
      <c r="BQ37" s="75">
        <f t="array" ref="BQ37">SUM((YEAR(Gastos!$A$2:$A$2500)=BQ$1)*(MONTH(Gastos!$A$2:$A$2500)=BQ$3)*(Gastos!$B$2:$B$2500=$A37)*(Gastos!$D$2:$D$2500))</f>
        <v>0</v>
      </c>
      <c r="BR37" s="75">
        <f t="array" ref="BR37">SUM((YEAR(Gastos!$A$2:$A$2500)=BR$1)*(MONTH(Gastos!$A$2:$A$2500)=BR$3)*(Gastos!$B$2:$B$2500=$A37)*(Gastos!$D$2:$D$2500))</f>
        <v>0</v>
      </c>
      <c r="BS37" s="75">
        <f t="array" ref="BS37">SUM((YEAR(Gastos!$A$2:$A$2500)=BS$1)*(MONTH(Gastos!$A$2:$A$2500)=BS$3)*(Gastos!$B$2:$B$2500=$A37)*(Gastos!$D$2:$D$2500))</f>
        <v>0</v>
      </c>
      <c r="BT37" s="75">
        <f t="array" ref="BT37">SUM((YEAR(Gastos!$A$2:$A$2500)=BT$1)*(MONTH(Gastos!$A$2:$A$2500)=BT$3)*(Gastos!$B$2:$B$2500=$A37)*(Gastos!$D$2:$D$2500))</f>
        <v>0</v>
      </c>
      <c r="BU37" s="75">
        <f t="array" ref="BU37">SUM((YEAR(Gastos!$A$2:$A$2500)=BU$1)*(MONTH(Gastos!$A$2:$A$2500)=BU$3)*(Gastos!$B$2:$B$2500=$A37)*(Gastos!$D$2:$D$2500))</f>
        <v>0</v>
      </c>
      <c r="BV37" s="75">
        <f t="array" ref="BV37">SUM((YEAR(Gastos!$A$2:$A$2500)=BV$1)*(MONTH(Gastos!$A$2:$A$2500)=BV$3)*(Gastos!$B$2:$B$2500=$A37)*(Gastos!$D$2:$D$2500))</f>
        <v>0</v>
      </c>
      <c r="BW37" s="75">
        <f t="array" ref="BW37">SUM((YEAR(Gastos!$A$2:$A$2500)=BW$1)*(MONTH(Gastos!$A$2:$A$2500)=BW$3)*(Gastos!$B$2:$B$2500=$A37)*(Gastos!$D$2:$D$2500))</f>
        <v>0</v>
      </c>
      <c r="BX37" s="75">
        <f t="array" ref="BX37">SUM((YEAR(Gastos!$A$2:$A$2500)=BX$1)*(MONTH(Gastos!$A$2:$A$2500)=BX$3)*(Gastos!$B$2:$B$2500=$A37)*(Gastos!$D$2:$D$2500))</f>
        <v>0</v>
      </c>
      <c r="BY37" s="75">
        <f t="array" ref="BY37">SUM((YEAR(Gastos!$A$2:$A$2500)=BY$1)*(MONTH(Gastos!$A$2:$A$2500)=BY$3)*(Gastos!$B$2:$B$2500=$A37)*(Gastos!$D$2:$D$2500))</f>
        <v>0</v>
      </c>
      <c r="BZ37" s="75">
        <f t="array" ref="BZ37">SUM((YEAR(Gastos!$A$2:$A$2500)=BZ$1)*(MONTH(Gastos!$A$2:$A$2500)=BZ$3)*(Gastos!$B$2:$B$2500=$A37)*(Gastos!$D$2:$D$2500))</f>
        <v>0</v>
      </c>
      <c r="CA37" s="75">
        <f t="array" ref="CA37">SUM((YEAR(Gastos!$A$2:$A$2500)=CA$1)*(MONTH(Gastos!$A$2:$A$2500)=CA$3)*(Gastos!$B$2:$B$2500=$A37)*(Gastos!$D$2:$D$2500))</f>
        <v>0</v>
      </c>
      <c r="CB37" s="75">
        <f t="array" ref="CB37">SUM((YEAR(Gastos!$A$2:$A$2500)=CB$1)*(MONTH(Gastos!$A$2:$A$2500)=CB$3)*(Gastos!$B$2:$B$2500=$A37)*(Gastos!$D$2:$D$2500))</f>
        <v>0</v>
      </c>
      <c r="CC37" s="75">
        <f t="array" ref="CC37">SUM((YEAR(Gastos!$A$2:$A$2500)=CC$1)*(MONTH(Gastos!$A$2:$A$2500)=CC$3)*(Gastos!$B$2:$B$2500=$A37)*(Gastos!$D$2:$D$2500))</f>
        <v>0</v>
      </c>
      <c r="CD37" s="75">
        <f t="array" ref="CD37">SUM((YEAR(Gastos!$A$2:$A$2500)=CD$1)*(MONTH(Gastos!$A$2:$A$2500)=CD$3)*(Gastos!$B$2:$B$2500=$A37)*(Gastos!$D$2:$D$2500))</f>
        <v>0</v>
      </c>
      <c r="CE37" s="75">
        <f t="array" ref="CE37">SUM((YEAR(Gastos!$A$2:$A$2500)=CE$1)*(MONTH(Gastos!$A$2:$A$2500)=CE$3)*(Gastos!$B$2:$B$2500=$A37)*(Gastos!$D$2:$D$2500))</f>
        <v>0</v>
      </c>
      <c r="CF37" s="75">
        <f t="array" ref="CF37">SUM((YEAR(Gastos!$A$2:$A$2500)=CF$1)*(MONTH(Gastos!$A$2:$A$2500)=CF$3)*(Gastos!$B$2:$B$2500=$A37)*(Gastos!$D$2:$D$2500))</f>
        <v>0</v>
      </c>
      <c r="CG37" s="75">
        <f t="array" ref="CG37">SUM((YEAR(Gastos!$A$2:$A$2500)=CG$1)*(MONTH(Gastos!$A$2:$A$2500)=CG$3)*(Gastos!$B$2:$B$2500=$A37)*(Gastos!$D$2:$D$2500))</f>
        <v>0</v>
      </c>
      <c r="CH37" s="75">
        <f t="array" ref="CH37">SUM((YEAR(Gastos!$A$2:$A$2500)=CH$1)*(MONTH(Gastos!$A$2:$A$2500)=CH$3)*(Gastos!$B$2:$B$2500=$A37)*(Gastos!$D$2:$D$2500))</f>
        <v>0</v>
      </c>
      <c r="CI37" s="75">
        <f t="array" ref="CI37">SUM((YEAR(Gastos!$A$2:$A$2500)=CI$1)*(MONTH(Gastos!$A$2:$A$2500)=CI$3)*(Gastos!$B$2:$B$2500=$A37)*(Gastos!$D$2:$D$2500))</f>
        <v>0</v>
      </c>
      <c r="CJ37" s="75">
        <f t="array" ref="CJ37">SUM((YEAR(Gastos!$A$2:$A$2500)=CJ$1)*(MONTH(Gastos!$A$2:$A$2500)=CJ$3)*(Gastos!$B$2:$B$2500=$A37)*(Gastos!$D$2:$D$2500))</f>
        <v>0</v>
      </c>
      <c r="CK37" s="75">
        <f t="array" ref="CK37">SUM((YEAR(Gastos!$A$2:$A$2500)=CK$1)*(MONTH(Gastos!$A$2:$A$2500)=CK$3)*(Gastos!$B$2:$B$2500=$A37)*(Gastos!$D$2:$D$2500))</f>
        <v>0</v>
      </c>
      <c r="CL37" s="75">
        <f t="array" ref="CL37">SUM((YEAR(Gastos!$A$2:$A$2500)=CL$1)*(MONTH(Gastos!$A$2:$A$2500)=CL$3)*(Gastos!$B$2:$B$2500=$A37)*(Gastos!$D$2:$D$2500))</f>
        <v>0</v>
      </c>
      <c r="CM37" s="75">
        <f t="array" ref="CM37">SUM((YEAR(Gastos!$A$2:$A$2500)=CM$1)*(MONTH(Gastos!$A$2:$A$2500)=CM$3)*(Gastos!$B$2:$B$2500=$A37)*(Gastos!$D$2:$D$2500))</f>
        <v>0</v>
      </c>
      <c r="CN37" s="75">
        <f t="array" ref="CN37">SUM((YEAR(Gastos!$A$2:$A$2500)=CN$1)*(MONTH(Gastos!$A$2:$A$2500)=CN$3)*(Gastos!$B$2:$B$2500=$A37)*(Gastos!$D$2:$D$2500))</f>
        <v>0</v>
      </c>
      <c r="CO37" s="75">
        <f t="array" ref="CO37">SUM((YEAR(Gastos!$A$2:$A$2500)=CO$1)*(MONTH(Gastos!$A$2:$A$2500)=CO$3)*(Gastos!$B$2:$B$2500=$A37)*(Gastos!$D$2:$D$2500))</f>
        <v>0</v>
      </c>
      <c r="CP37" s="75">
        <f t="array" ref="CP37">SUM((YEAR(Gastos!$A$2:$A$2500)=CP$1)*(MONTH(Gastos!$A$2:$A$2500)=CP$3)*(Gastos!$B$2:$B$2500=$A37)*(Gastos!$D$2:$D$2500))</f>
        <v>0</v>
      </c>
      <c r="CQ37" s="75">
        <f t="array" ref="CQ37">SUM((YEAR(Gastos!$A$2:$A$2500)=CQ$1)*(MONTH(Gastos!$A$2:$A$2500)=CQ$3)*(Gastos!$B$2:$B$2500=$A37)*(Gastos!$D$2:$D$2500))</f>
        <v>0</v>
      </c>
      <c r="CR37" s="75">
        <f t="array" ref="CR37">SUM((YEAR(Gastos!$A$2:$A$2500)=CR$1)*(MONTH(Gastos!$A$2:$A$2500)=CR$3)*(Gastos!$B$2:$B$2500=$A37)*(Gastos!$D$2:$D$2500))</f>
        <v>0</v>
      </c>
      <c r="CS37" s="75">
        <f t="array" ref="CS37">SUM((YEAR(Gastos!$A$2:$A$2500)=CS$1)*(MONTH(Gastos!$A$2:$A$2500)=CS$3)*(Gastos!$B$2:$B$2500=$A37)*(Gastos!$D$2:$D$2500))</f>
        <v>0</v>
      </c>
      <c r="CT37" s="75">
        <f t="array" ref="CT37">SUM((YEAR(Gastos!$A$2:$A$2500)=CT$1)*(MONTH(Gastos!$A$2:$A$2500)=CT$3)*(Gastos!$B$2:$B$2500=$A37)*(Gastos!$D$2:$D$2500))</f>
        <v>0</v>
      </c>
      <c r="CU37" s="75">
        <f t="array" ref="CU37">SUM((YEAR(Gastos!$A$2:$A$2500)=CU$1)*(MONTH(Gastos!$A$2:$A$2500)=CU$3)*(Gastos!$B$2:$B$2500=$A37)*(Gastos!$D$2:$D$2500))</f>
        <v>0</v>
      </c>
      <c r="CV37" s="75">
        <f t="array" ref="CV37">SUM((YEAR(Gastos!$A$2:$A$2500)=CV$1)*(MONTH(Gastos!$A$2:$A$2500)=CV$3)*(Gastos!$B$2:$B$2500=$A37)*(Gastos!$D$2:$D$2500))</f>
        <v>0</v>
      </c>
      <c r="CW37" s="75">
        <f t="array" ref="CW37">SUM((YEAR(Gastos!$A$2:$A$2500)=CW$1)*(MONTH(Gastos!$A$2:$A$2500)=CW$3)*(Gastos!$B$2:$B$2500=$A37)*(Gastos!$D$2:$D$2500))</f>
        <v>0</v>
      </c>
      <c r="CX37" s="75">
        <f t="array" ref="CX37">SUM((YEAR(Gastos!$A$2:$A$2500)=CX$1)*(MONTH(Gastos!$A$2:$A$2500)=CX$3)*(Gastos!$B$2:$B$2500=$A37)*(Gastos!$D$2:$D$2500))</f>
        <v>0</v>
      </c>
      <c r="CY37" s="75">
        <f t="array" ref="CY37">SUM((YEAR(Gastos!$A$2:$A$2500)=CY$1)*(MONTH(Gastos!$A$2:$A$2500)=CY$3)*(Gastos!$B$2:$B$2500=$A37)*(Gastos!$D$2:$D$2500))</f>
        <v>0</v>
      </c>
      <c r="CZ37" s="75">
        <f t="array" ref="CZ37">SUM((YEAR(Gastos!$A$2:$A$2500)=CZ$1)*(MONTH(Gastos!$A$2:$A$2500)=CZ$3)*(Gastos!$B$2:$B$2500=$A37)*(Gastos!$D$2:$D$2500))</f>
        <v>0</v>
      </c>
      <c r="DA37" s="75">
        <f t="array" ref="DA37">SUM((YEAR(Gastos!$A$2:$A$2500)=DA$1)*(MONTH(Gastos!$A$2:$A$2500)=DA$3)*(Gastos!$B$2:$B$2500=$A37)*(Gastos!$D$2:$D$2500))</f>
        <v>0</v>
      </c>
      <c r="DB37" s="75">
        <f t="array" ref="DB37">SUM((YEAR(Gastos!$A$2:$A$2500)=DB$1)*(MONTH(Gastos!$A$2:$A$2500)=DB$3)*(Gastos!$B$2:$B$2500=$A37)*(Gastos!$D$2:$D$2500))</f>
        <v>0</v>
      </c>
      <c r="DC37" s="75">
        <f t="array" ref="DC37">SUM((YEAR(Gastos!$A$2:$A$2500)=DC$1)*(MONTH(Gastos!$A$2:$A$2500)=DC$3)*(Gastos!$B$2:$B$2500=$A37)*(Gastos!$D$2:$D$2500))</f>
        <v>0</v>
      </c>
      <c r="DD37" s="75">
        <f t="array" ref="DD37">SUM((YEAR(Gastos!$A$2:$A$2500)=DD$1)*(MONTH(Gastos!$A$2:$A$2500)=DD$3)*(Gastos!$B$2:$B$2500=$A37)*(Gastos!$D$2:$D$2500))</f>
        <v>0</v>
      </c>
      <c r="DE37" s="75">
        <f t="array" ref="DE37">SUM((YEAR(Gastos!$A$2:$A$2500)=DE$1)*(MONTH(Gastos!$A$2:$A$2500)=DE$3)*(Gastos!$B$2:$B$2500=$A37)*(Gastos!$D$2:$D$2500))</f>
        <v>0</v>
      </c>
      <c r="DF37" s="75">
        <f t="array" ref="DF37">SUM((YEAR(Gastos!$A$2:$A$2500)=DF$1)*(MONTH(Gastos!$A$2:$A$2500)=DF$3)*(Gastos!$B$2:$B$2500=$A37)*(Gastos!$D$2:$D$2500))</f>
        <v>0</v>
      </c>
      <c r="DG37" s="75">
        <f t="array" ref="DG37">SUM((YEAR(Gastos!$A$2:$A$2500)=DG$1)*(MONTH(Gastos!$A$2:$A$2500)=DG$3)*(Gastos!$B$2:$B$2500=$A37)*(Gastos!$D$2:$D$2500))</f>
        <v>0</v>
      </c>
      <c r="DH37" s="75">
        <f t="array" ref="DH37">SUM((YEAR(Gastos!$A$2:$A$2500)=DH$1)*(MONTH(Gastos!$A$2:$A$2500)=DH$3)*(Gastos!$B$2:$B$2500=$A37)*(Gastos!$D$2:$D$2500))</f>
        <v>0</v>
      </c>
      <c r="DI37" s="75">
        <f t="array" ref="DI37">SUM((YEAR(Gastos!$A$2:$A$2500)=DI$1)*(MONTH(Gastos!$A$2:$A$2500)=DI$3)*(Gastos!$B$2:$B$2500=$A37)*(Gastos!$D$2:$D$2500))</f>
        <v>0</v>
      </c>
      <c r="DJ37" s="75">
        <f t="array" ref="DJ37">SUM((YEAR(Gastos!$A$2:$A$2500)=DJ$1)*(MONTH(Gastos!$A$2:$A$2500)=DJ$3)*(Gastos!$B$2:$B$2500=$A37)*(Gastos!$D$2:$D$2500))</f>
        <v>0</v>
      </c>
      <c r="DK37" s="75">
        <f t="array" ref="DK37">SUM((YEAR(Gastos!$A$2:$A$2500)=DK$1)*(MONTH(Gastos!$A$2:$A$2500)=DK$3)*(Gastos!$B$2:$B$2500=$A37)*(Gastos!$D$2:$D$2500))</f>
        <v>0</v>
      </c>
      <c r="DL37" s="75">
        <f t="array" ref="DL37">SUM((YEAR(Gastos!$A$2:$A$2500)=DL$1)*(MONTH(Gastos!$A$2:$A$2500)=DL$3)*(Gastos!$B$2:$B$2500=$A37)*(Gastos!$D$2:$D$2500))</f>
        <v>0</v>
      </c>
      <c r="DM37" s="75">
        <f t="array" ref="DM37">SUM((YEAR(Gastos!$A$2:$A$2500)=DM$1)*(MONTH(Gastos!$A$2:$A$2500)=DM$3)*(Gastos!$B$2:$B$2500=$A37)*(Gastos!$D$2:$D$2500))</f>
        <v>0</v>
      </c>
      <c r="DN37" s="75">
        <f t="array" ref="DN37">SUM((YEAR(Gastos!$A$2:$A$2500)=DN$1)*(MONTH(Gastos!$A$2:$A$2500)=DN$3)*(Gastos!$B$2:$B$2500=$A37)*(Gastos!$D$2:$D$2500))</f>
        <v>0</v>
      </c>
      <c r="DO37" s="75">
        <f t="array" ref="DO37">SUM((YEAR(Gastos!$A$2:$A$2500)=DO$1)*(MONTH(Gastos!$A$2:$A$2500)=DO$3)*(Gastos!$B$2:$B$2500=$A37)*(Gastos!$D$2:$D$2500))</f>
        <v>0</v>
      </c>
      <c r="DP37" s="75">
        <f t="array" ref="DP37">SUM((YEAR(Gastos!$A$2:$A$2500)=DP$1)*(MONTH(Gastos!$A$2:$A$2500)=DP$3)*(Gastos!$B$2:$B$2500=$A37)*(Gastos!$D$2:$D$2500))</f>
        <v>0</v>
      </c>
      <c r="DQ37" s="75">
        <f t="array" ref="DQ37">SUM((YEAR(Gastos!$A$2:$A$2500)=DQ$1)*(MONTH(Gastos!$A$2:$A$2500)=DQ$3)*(Gastos!$B$2:$B$2500=$A37)*(Gastos!$D$2:$D$2500))</f>
        <v>0</v>
      </c>
      <c r="DR37" s="75">
        <f t="array" ref="DR37">SUM((YEAR(Gastos!$A$2:$A$2500)=DR$1)*(MONTH(Gastos!$A$2:$A$2500)=DR$3)*(Gastos!$B$2:$B$2500=$A37)*(Gastos!$D$2:$D$2500))</f>
        <v>0</v>
      </c>
      <c r="DS37" s="75">
        <f t="array" ref="DS37">SUM((YEAR(Gastos!$A$2:$A$2500)=DS$1)*(MONTH(Gastos!$A$2:$A$2500)=DS$3)*(Gastos!$B$2:$B$2500=$A37)*(Gastos!$D$2:$D$2500))</f>
        <v>0</v>
      </c>
      <c r="DT37" s="75">
        <f t="array" ref="DT37">SUM((YEAR(Gastos!$A$2:$A$2500)=DT$1)*(MONTH(Gastos!$A$2:$A$2500)=DT$3)*(Gastos!$B$2:$B$2500=$A37)*(Gastos!$D$2:$D$2500))</f>
        <v>0</v>
      </c>
      <c r="DU37" s="75">
        <f t="array" ref="DU37">SUM((YEAR(Gastos!$A$2:$A$2500)=DU$1)*(MONTH(Gastos!$A$2:$A$2500)=DU$3)*(Gastos!$B$2:$B$2500=$A37)*(Gastos!$D$2:$D$2500))</f>
        <v>5489.64</v>
      </c>
      <c r="DV37" s="75">
        <f t="array" ref="DV37">SUM((YEAR(Gastos!$A$2:$A$2500)=DV$1)*(MONTH(Gastos!$A$2:$A$2500)=DV$3)*(Gastos!$B$2:$B$2500=$A37)*(Gastos!$D$2:$D$2500))</f>
        <v>0</v>
      </c>
      <c r="DW37" s="75">
        <f t="array" ref="DW37">SUM((YEAR(Gastos!$A$2:$A$2500)=DW$1)*(MONTH(Gastos!$A$2:$A$2500)=DW$3)*(Gastos!$B$2:$B$2500=$A37)*(Gastos!$D$2:$D$2500))</f>
        <v>0</v>
      </c>
      <c r="DX37" s="75">
        <f t="array" ref="DX37">SUM((YEAR(Gastos!$A$2:$A$2500)=DX$1)*(MONTH(Gastos!$A$2:$A$2500)=DX$3)*(Gastos!$B$2:$B$2500=$A37)*(Gastos!$D$2:$D$2500))</f>
        <v>0</v>
      </c>
      <c r="DY37" s="75">
        <f t="array" ref="DY37">SUM((YEAR(Gastos!$A$2:$A$2500)=DY$1)*(MONTH(Gastos!$A$2:$A$2500)=DY$3)*(Gastos!$B$2:$B$2500=$A37)*(Gastos!$D$2:$D$2500))</f>
        <v>0</v>
      </c>
      <c r="DZ37" s="75">
        <f t="array" ref="DZ37">SUM((YEAR(Gastos!$A$2:$A$2500)=DZ$1)*(MONTH(Gastos!$A$2:$A$2500)=DZ$3)*(Gastos!$B$2:$B$2500=$A37)*(Gastos!$D$2:$D$2500))</f>
        <v>0</v>
      </c>
      <c r="EA37" s="75">
        <f t="array" ref="EA37">SUM((YEAR(Gastos!$A$2:$A$2500)=EA$1)*(MONTH(Gastos!$A$2:$A$2500)=EA$3)*(Gastos!$B$2:$B$2500=$A37)*(Gastos!$D$2:$D$2500))</f>
        <v>0</v>
      </c>
      <c r="EB37" s="75">
        <f t="array" ref="EB37">SUM((YEAR(Gastos!$A$2:$A$2500)=EB$1)*(MONTH(Gastos!$A$2:$A$2500)=EB$3)*(Gastos!$B$2:$B$2500=$A37)*(Gastos!$D$2:$D$2500))</f>
        <v>0</v>
      </c>
      <c r="EC37" s="75">
        <f t="array" ref="EC37">SUM((YEAR(Gastos!$A$2:$A$2500)=EC$1)*(MONTH(Gastos!$A$2:$A$2500)=EC$3)*(Gastos!$B$2:$B$2500=$A37)*(Gastos!$D$2:$D$2500))</f>
        <v>0</v>
      </c>
      <c r="ED37" s="75">
        <f t="array" ref="ED37">SUM((YEAR(Gastos!$A$2:$A$2500)=ED$1)*(MONTH(Gastos!$A$2:$A$2500)=ED$3)*(Gastos!$B$2:$B$2500=$A37)*(Gastos!$D$2:$D$2500))</f>
        <v>0</v>
      </c>
      <c r="EE37" s="75">
        <f t="array" ref="EE37">SUM((YEAR(Gastos!$A$2:$A$2500)=EE$1)*(MONTH(Gastos!$A$2:$A$2500)=EE$3)*(Gastos!$B$2:$B$2500=$A37)*(Gastos!$D$2:$D$2500))</f>
        <v>0</v>
      </c>
      <c r="EF37" s="75">
        <f t="array" ref="EF37">SUM((YEAR(Gastos!$A$2:$A$2500)=EF$1)*(MONTH(Gastos!$A$2:$A$2500)=EF$3)*(Gastos!$B$2:$B$2500=$A37)*(Gastos!$D$2:$D$2500))</f>
        <v>0</v>
      </c>
      <c r="EG37" s="75">
        <f t="array" ref="EG37">SUM((YEAR(Gastos!$A$2:$A$2500)=EG$1)*(MONTH(Gastos!$A$2:$A$2500)=EG$3)*(Gastos!$B$2:$B$2500=$A37)*(Gastos!$D$2:$D$2500))</f>
        <v>0</v>
      </c>
      <c r="EH37" s="75">
        <f t="array" ref="EH37">SUM((YEAR(Gastos!$A$2:$A$2500)=EH$1)*(MONTH(Gastos!$A$2:$A$2500)=EH$3)*(Gastos!$B$2:$B$2500=$A37)*(Gastos!$D$2:$D$2500))</f>
        <v>0</v>
      </c>
      <c r="EI37" s="75">
        <f t="array" ref="EI37">SUM((YEAR(Gastos!$A$2:$A$2500)=EI$1)*(MONTH(Gastos!$A$2:$A$2500)=EI$3)*(Gastos!$B$2:$B$2500=$A37)*(Gastos!$D$2:$D$2500))</f>
        <v>0</v>
      </c>
      <c r="EJ37" s="75">
        <f t="array" ref="EJ37">SUM((YEAR(Gastos!$A$2:$A$2500)=EJ$1)*(MONTH(Gastos!$A$2:$A$2500)=EJ$3)*(Gastos!$B$2:$B$2500=$A37)*(Gastos!$D$2:$D$2500))</f>
        <v>0</v>
      </c>
      <c r="EK37" s="75">
        <f t="array" ref="EK37">SUM((YEAR(Gastos!$A$2:$A$2500)=EK$1)*(MONTH(Gastos!$A$2:$A$2500)=EK$3)*(Gastos!$B$2:$B$2500=$A37)*(Gastos!$D$2:$D$2500))</f>
        <v>0</v>
      </c>
      <c r="EL37" s="75">
        <f t="array" ref="EL37">SUM((YEAR(Gastos!$A$2:$A$2500)=EL$1)*(MONTH(Gastos!$A$2:$A$2500)=EL$3)*(Gastos!$B$2:$B$2500=$A37)*(Gastos!$D$2:$D$2500))</f>
        <v>0</v>
      </c>
      <c r="EM37" s="75">
        <f t="array" ref="EM37">SUM((YEAR(Gastos!$A$2:$A$2500)=EM$1)*(MONTH(Gastos!$A$2:$A$2500)=EM$3)*(Gastos!$B$2:$B$2500=$A37)*(Gastos!$D$2:$D$2500))</f>
        <v>0</v>
      </c>
      <c r="EN37" s="75">
        <f t="array" ref="EN37">SUM((YEAR(Gastos!$A$2:$A$2500)=EN$1)*(MONTH(Gastos!$A$2:$A$2500)=EN$3)*(Gastos!$B$2:$B$2500=$A37)*(Gastos!$D$2:$D$2500))</f>
        <v>0</v>
      </c>
      <c r="EO37" s="75">
        <f t="array" ref="EO37">SUM((YEAR(Gastos!$A$2:$A$2500)=EO$1)*(MONTH(Gastos!$A$2:$A$2500)=EO$3)*(Gastos!$B$2:$B$2500=$A37)*(Gastos!$D$2:$D$2500))</f>
        <v>0</v>
      </c>
      <c r="EP37" s="75">
        <f t="array" ref="EP37">SUM((YEAR(Gastos!$A$2:$A$2500)=EP$1)*(MONTH(Gastos!$A$2:$A$2500)=EP$3)*(Gastos!$B$2:$B$2500=$A37)*(Gastos!$D$2:$D$2500))</f>
        <v>0</v>
      </c>
      <c r="EQ37" s="75">
        <f t="array" ref="EQ37">SUM((YEAR(Gastos!$A$2:$A$2500)=EQ$1)*(MONTH(Gastos!$A$2:$A$2500)=EQ$3)*(Gastos!$B$2:$B$2500=$A37)*(Gastos!$D$2:$D$2500))</f>
        <v>0</v>
      </c>
      <c r="ER37" s="75">
        <f t="array" ref="ER37">SUM((YEAR(Gastos!$A$2:$A$2500)=ER$1)*(MONTH(Gastos!$A$2:$A$2500)=ER$3)*(Gastos!$B$2:$B$2500=$A37)*(Gastos!$D$2:$D$2500))</f>
        <v>0</v>
      </c>
      <c r="ES37" s="75">
        <f t="array" ref="ES37">SUM((YEAR(Gastos!$A$2:$A$2500)=ES$1)*(MONTH(Gastos!$A$2:$A$2500)=ES$3)*(Gastos!$B$2:$B$2500=$A37)*(Gastos!$D$2:$D$2500))</f>
        <v>0</v>
      </c>
      <c r="ET37" s="75">
        <f t="array" ref="ET37">SUM((YEAR(Gastos!$A$2:$A$2500)=ET$1)*(MONTH(Gastos!$A$2:$A$2500)=ET$3)*(Gastos!$B$2:$B$2500=$A37)*(Gastos!$D$2:$D$2500))</f>
        <v>0</v>
      </c>
      <c r="EU37" s="75">
        <f t="array" ref="EU37">SUM((YEAR(Gastos!$A$2:$A$2500)=EU$1)*(MONTH(Gastos!$A$2:$A$2500)=EU$3)*(Gastos!$B$2:$B$2500=$A37)*(Gastos!$D$2:$D$2500))</f>
        <v>0</v>
      </c>
      <c r="EV37" s="75">
        <f t="array" ref="EV37">SUM((YEAR(Gastos!$A$2:$A$2500)=EV$1)*(MONTH(Gastos!$A$2:$A$2500)=EV$3)*(Gastos!$B$2:$B$2500=$A37)*(Gastos!$D$2:$D$2500))</f>
        <v>0</v>
      </c>
      <c r="EW37" s="75">
        <f t="array" ref="EW37">SUM((YEAR(Gastos!$A$2:$A$2500)=EW$1)*(MONTH(Gastos!$A$2:$A$2500)=EW$3)*(Gastos!$B$2:$B$2500=$A37)*(Gastos!$D$2:$D$2500))</f>
        <v>0</v>
      </c>
      <c r="EX37" s="75">
        <f t="array" ref="EX37">SUM((YEAR(Gastos!$A$2:$A$2500)=EX$1)*(MONTH(Gastos!$A$2:$A$2500)=EX$3)*(Gastos!$B$2:$B$2500=$A37)*(Gastos!$D$2:$D$2500))</f>
        <v>0</v>
      </c>
      <c r="EY37" s="75">
        <f t="array" ref="EY37">SUM((YEAR(Gastos!$A$2:$A$2500)=EY$1)*(MONTH(Gastos!$A$2:$A$2500)=EY$3)*(Gastos!$B$2:$B$2500=$A37)*(Gastos!$D$2:$D$2500))</f>
        <v>0</v>
      </c>
      <c r="EZ37" s="75">
        <f t="array" ref="EZ37">SUM((YEAR(Gastos!$A$2:$A$2500)=EZ$1)*(MONTH(Gastos!$A$2:$A$2500)=EZ$3)*(Gastos!$B$2:$B$2500=$A37)*(Gastos!$D$2:$D$2500))</f>
        <v>0</v>
      </c>
      <c r="FA37" s="75">
        <f t="array" ref="FA37">SUM((YEAR(Gastos!$A$2:$A$2500)=FA$1)*(MONTH(Gastos!$A$2:$A$2500)=FA$3)*(Gastos!$B$2:$B$2500=$A37)*(Gastos!$D$2:$D$2500))</f>
        <v>0</v>
      </c>
      <c r="FB37" s="75">
        <f t="array" ref="FB37">SUM((YEAR(Gastos!$A$2:$A$2500)=FB$1)*(MONTH(Gastos!$A$2:$A$2500)=FB$3)*(Gastos!$B$2:$B$2500=$A37)*(Gastos!$D$2:$D$2500))</f>
        <v>0</v>
      </c>
      <c r="FC37" s="75">
        <f t="array" ref="FC37">SUM((YEAR(Gastos!$A$2:$A$2500)=FC$1)*(MONTH(Gastos!$A$2:$A$2500)=FC$3)*(Gastos!$B$2:$B$2500=$A37)*(Gastos!$D$2:$D$2500))</f>
        <v>0</v>
      </c>
      <c r="FD37" s="75">
        <f t="array" ref="FD37">SUM((YEAR(Gastos!$A$2:$A$2500)=FD$1)*(MONTH(Gastos!$A$2:$A$2500)=FD$3)*(Gastos!$B$2:$B$2500=$A37)*(Gastos!$D$2:$D$2500))</f>
        <v>0</v>
      </c>
      <c r="FE37" s="75">
        <f t="array" ref="FE37">SUM((YEAR(Gastos!$A$2:$A$2500)=FE$1)*(MONTH(Gastos!$A$2:$A$2500)=FE$3)*(Gastos!$B$2:$B$2500=$A37)*(Gastos!$D$2:$D$2500))</f>
        <v>0</v>
      </c>
      <c r="FF37" s="75">
        <f t="array" ref="FF37">SUM((YEAR(Gastos!$A$2:$A$2500)=FF$1)*(MONTH(Gastos!$A$2:$A$2500)=FF$3)*(Gastos!$B$2:$B$2500=$A37)*(Gastos!$D$2:$D$2500))</f>
        <v>0</v>
      </c>
      <c r="FG37" s="75">
        <f t="array" ref="FG37">SUM((YEAR(Gastos!$A$2:$A$2500)=FG$1)*(MONTH(Gastos!$A$2:$A$2500)=FG$3)*(Gastos!$B$2:$B$2500=$A37)*(Gastos!$D$2:$D$2500))</f>
        <v>0</v>
      </c>
      <c r="FH37" s="75">
        <f t="array" ref="FH37">SUM((YEAR(Gastos!$A$2:$A$2500)=FH$1)*(MONTH(Gastos!$A$2:$A$2500)=FH$3)*(Gastos!$B$2:$B$2500=$A37)*(Gastos!$D$2:$D$2500))</f>
        <v>0</v>
      </c>
      <c r="FI37" s="75">
        <f t="array" ref="FI37">SUM((YEAR(Gastos!$A$2:$A$2500)=FI$1)*(MONTH(Gastos!$A$2:$A$2500)=FI$3)*(Gastos!$B$2:$B$2500=$A37)*(Gastos!$D$2:$D$2500))</f>
        <v>0</v>
      </c>
      <c r="FJ37" s="75">
        <f t="array" ref="FJ37">SUM((YEAR(Gastos!$A$2:$A$2500)=FJ$1)*(MONTH(Gastos!$A$2:$A$2500)=FJ$3)*(Gastos!$B$2:$B$2500=$A37)*(Gastos!$D$2:$D$2500))</f>
        <v>0</v>
      </c>
      <c r="FK37" s="75">
        <f t="array" ref="FK37">SUM((YEAR(Gastos!$A$2:$A$2500)=FK$1)*(MONTH(Gastos!$A$2:$A$2500)=FK$3)*(Gastos!$B$2:$B$2500=$A37)*(Gastos!$D$2:$D$2500))</f>
        <v>0</v>
      </c>
      <c r="FL37" s="75">
        <f t="array" ref="FL37">SUM((YEAR(Gastos!$A$2:$A$2500)=FL$1)*(MONTH(Gastos!$A$2:$A$2500)=FL$3)*(Gastos!$B$2:$B$2500=$A37)*(Gastos!$D$2:$D$2500))</f>
        <v>0</v>
      </c>
      <c r="FM37" s="75">
        <f t="array" ref="FM37">SUM((YEAR(Gastos!$A$2:$A$2500)=FM$1)*(MONTH(Gastos!$A$2:$A$2500)=FM$3)*(Gastos!$B$2:$B$2500=$A37)*(Gastos!$D$2:$D$2500))</f>
        <v>0</v>
      </c>
      <c r="FN37" s="75">
        <f t="array" ref="FN37">SUM((YEAR(Gastos!$A$2:$A$2500)=FN$1)*(MONTH(Gastos!$A$2:$A$2500)=FN$3)*(Gastos!$B$2:$B$2500=$A37)*(Gastos!$D$2:$D$2500))</f>
        <v>0</v>
      </c>
      <c r="FO37" s="75">
        <f t="array" ref="FO37">SUM((YEAR(Gastos!$A$2:$A$2500)=FO$1)*(MONTH(Gastos!$A$2:$A$2500)=FO$3)*(Gastos!$B$2:$B$2500=$A37)*(Gastos!$D$2:$D$2500))</f>
        <v>0</v>
      </c>
      <c r="FP37" s="75">
        <f t="array" ref="FP37">SUM((YEAR(Gastos!$A$2:$A$2500)=FP$1)*(MONTH(Gastos!$A$2:$A$2500)=FP$3)*(Gastos!$B$2:$B$2500=$A37)*(Gastos!$D$2:$D$2500))</f>
        <v>0</v>
      </c>
      <c r="FQ37" s="75">
        <f t="array" ref="FQ37">SUM((YEAR(Gastos!$A$2:$A$2500)=FQ$1)*(MONTH(Gastos!$A$2:$A$2500)=FQ$3)*(Gastos!$B$2:$B$2500=$A37)*(Gastos!$D$2:$D$2500))</f>
        <v>0</v>
      </c>
      <c r="FR37" s="75">
        <f t="array" ref="FR37">SUM((YEAR(Gastos!$A$2:$A$2500)=FR$1)*(MONTH(Gastos!$A$2:$A$2500)=FR$3)*(Gastos!$B$2:$B$2500=$A37)*(Gastos!$D$2:$D$2500))</f>
        <v>0</v>
      </c>
      <c r="FS37" s="75">
        <f t="array" ref="FS37">SUM((YEAR(Gastos!$A$2:$A$2500)=FS$1)*(MONTH(Gastos!$A$2:$A$2500)=FS$3)*(Gastos!$B$2:$B$2500=$A37)*(Gastos!$D$2:$D$2500))</f>
        <v>0</v>
      </c>
      <c r="FT37" s="75">
        <f t="array" ref="FT37">SUM((YEAR(Gastos!$A$2:$A$2500)=FT$1)*(MONTH(Gastos!$A$2:$A$2500)=FT$3)*(Gastos!$B$2:$B$2500=$A37)*(Gastos!$D$2:$D$2500))</f>
        <v>0</v>
      </c>
      <c r="FU37" s="75">
        <f t="array" ref="FU37">SUM((YEAR(Gastos!$A$2:$A$2500)=FU$1)*(MONTH(Gastos!$A$2:$A$2500)=FU$3)*(Gastos!$B$2:$B$2500=$A37)*(Gastos!$D$2:$D$2500))</f>
        <v>0</v>
      </c>
      <c r="FV37" s="75">
        <f t="array" ref="FV37">SUM((YEAR(Gastos!$A$2:$A$2500)=FV$1)*(MONTH(Gastos!$A$2:$A$2500)=FV$3)*(Gastos!$B$2:$B$2500=$A37)*(Gastos!$D$2:$D$2500))</f>
        <v>0</v>
      </c>
      <c r="FW37" s="75">
        <f t="array" ref="FW37">SUM((YEAR(Gastos!$A$2:$A$2500)=FW$1)*(MONTH(Gastos!$A$2:$A$2500)=FW$3)*(Gastos!$B$2:$B$2500=$A37)*(Gastos!$D$2:$D$2500))</f>
        <v>0</v>
      </c>
      <c r="FX37" s="75">
        <f t="array" ref="FX37">SUM((YEAR(Gastos!$A$2:$A$2500)=FX$1)*(MONTH(Gastos!$A$2:$A$2500)=FX$3)*(Gastos!$B$2:$B$2500=$A37)*(Gastos!$D$2:$D$2500))</f>
        <v>0</v>
      </c>
      <c r="FY37" s="75">
        <f t="array" ref="FY37">SUM((YEAR(Gastos!$A$2:$A$2500)=FY$1)*(MONTH(Gastos!$A$2:$A$2500)=FY$3)*(Gastos!$B$2:$B$2500=$A37)*(Gastos!$D$2:$D$2500))</f>
        <v>0</v>
      </c>
      <c r="FZ37" s="76">
        <f t="shared" si="65"/>
        <v>13619.64</v>
      </c>
      <c r="GA37" s="80"/>
      <c r="GB37" s="78">
        <f t="shared" si="66"/>
        <v>8130</v>
      </c>
      <c r="GF37" s="79">
        <f t="array" ref="GF37">SUM(((Gastos!$A$2:$A$1647)&gt;=GD$3)*((Gastos!$A$2:$A$1647)&lt;=GF$3)*(Gastos!$B$2:$B$1647=$A37)*(Gastos!$D$2:$D$1647))</f>
        <v>8130</v>
      </c>
      <c r="GI37" s="79">
        <f t="array" ref="GI37">SUM(((Gastos!$A$2:$A$1647)&gt;=GG$3)*((Gastos!$A$2:$A$1647)&lt;=GI$3)*(Gastos!$B$2:$B$1647=$A37)*(Gastos!$D$2:$D$1647))</f>
        <v>0</v>
      </c>
    </row>
    <row r="38" spans="1:191" ht="15" thickBot="1" x14ac:dyDescent="0.4">
      <c r="A38" s="74" t="str">
        <f>Gastos!AA36</f>
        <v>V. NOTARIA</v>
      </c>
      <c r="B38" s="75">
        <f t="array" ref="B38">SUM((YEAR(Gastos!$A$2:$A$2500)=B$1)*(MONTH(Gastos!$A$2:$A$2500)=B$3)*(Gastos!$B$2:$B$2500=$A38)*(Gastos!$D$2:$D$2500))</f>
        <v>0</v>
      </c>
      <c r="C38" s="75">
        <f t="array" ref="C38">SUM((YEAR(Gastos!$A$2:$A$2500)=C$1)*(MONTH(Gastos!$A$2:$A$2500)=C$3)*(Gastos!$B$2:$B$2500=$A38)*(Gastos!$D$2:$D$2500))</f>
        <v>0</v>
      </c>
      <c r="D38" s="75">
        <f t="array" ref="D38">SUM((YEAR(Gastos!$A$2:$A$2500)=D$1)*(MONTH(Gastos!$A$2:$A$2500)=D$3)*(Gastos!$B$2:$B$2500=$A38)*(Gastos!$D$2:$D$2500))</f>
        <v>0</v>
      </c>
      <c r="E38" s="75">
        <f t="array" ref="E38">SUM((YEAR(Gastos!$A$2:$A$2500)=E$1)*(MONTH(Gastos!$A$2:$A$2500)=E$3)*(Gastos!$B$2:$B$2500=$A38)*(Gastos!$D$2:$D$2500))</f>
        <v>0</v>
      </c>
      <c r="F38" s="75">
        <f t="array" ref="F38">SUM((YEAR(Gastos!$A$2:$A$2500)=F$1)*(MONTH(Gastos!$A$2:$A$2500)=F$3)*(Gastos!$B$2:$B$2500=$A38)*(Gastos!$D$2:$D$2500))</f>
        <v>0</v>
      </c>
      <c r="G38" s="75">
        <f t="array" ref="G38">SUM((YEAR(Gastos!$A$2:$A$2500)=G$1)*(MONTH(Gastos!$A$2:$A$2500)=G$3)*(Gastos!$B$2:$B$2500=$A38)*(Gastos!$D$2:$D$2500))</f>
        <v>0</v>
      </c>
      <c r="H38" s="75">
        <f t="array" ref="H38">SUM((YEAR(Gastos!$A$2:$A$2500)=H$1)*(MONTH(Gastos!$A$2:$A$2500)=H$3)*(Gastos!$B$2:$B$2500=$A38)*(Gastos!$D$2:$D$2500))</f>
        <v>0</v>
      </c>
      <c r="I38" s="75">
        <f t="array" ref="I38">SUM((YEAR(Gastos!$A$2:$A$2500)=I$1)*(MONTH(Gastos!$A$2:$A$2500)=I$3)*(Gastos!$B$2:$B$2500=$A38)*(Gastos!$D$2:$D$2500))</f>
        <v>0</v>
      </c>
      <c r="J38" s="75">
        <f t="array" ref="J38">SUM((YEAR(Gastos!$A$2:$A$2500)=J$1)*(MONTH(Gastos!$A$2:$A$2500)=J$3)*(Gastos!$B$2:$B$2500=$A38)*(Gastos!$D$2:$D$2500))</f>
        <v>0</v>
      </c>
      <c r="K38" s="75">
        <f t="array" ref="K38">SUM((YEAR(Gastos!$A$2:$A$2500)=K$1)*(MONTH(Gastos!$A$2:$A$2500)=K$3)*(Gastos!$B$2:$B$2500=$A38)*(Gastos!$D$2:$D$2500))</f>
        <v>0</v>
      </c>
      <c r="L38" s="75">
        <f t="array" ref="L38">SUM((YEAR(Gastos!$A$2:$A$2500)=L$1)*(MONTH(Gastos!$A$2:$A$2500)=L$3)*(Gastos!$B$2:$B$2500=$A38)*(Gastos!$D$2:$D$2500))</f>
        <v>0</v>
      </c>
      <c r="M38" s="75">
        <f t="array" ref="M38">SUM((YEAR(Gastos!$A$2:$A$2500)=M$1)*(MONTH(Gastos!$A$2:$A$2500)=M$3)*(Gastos!$B$2:$B$2500=$A38)*(Gastos!$D$2:$D$2500))</f>
        <v>0</v>
      </c>
      <c r="N38" s="75">
        <f t="array" ref="N38">SUM((YEAR(Gastos!$A$2:$A$2500)=N$1)*(MONTH(Gastos!$A$2:$A$2500)=N$3)*(Gastos!$B$2:$B$2500=$A38)*(Gastos!$D$2:$D$2500))</f>
        <v>0</v>
      </c>
      <c r="O38" s="75">
        <f t="array" ref="O38">SUM((YEAR(Gastos!$A$2:$A$2500)=O$1)*(MONTH(Gastos!$A$2:$A$2500)=O$3)*(Gastos!$B$2:$B$2500=$A38)*(Gastos!$D$2:$D$2500))</f>
        <v>0</v>
      </c>
      <c r="P38" s="75">
        <f t="array" ref="P38">SUM((YEAR(Gastos!$A$2:$A$2500)=P$1)*(MONTH(Gastos!$A$2:$A$2500)=P$3)*(Gastos!$B$2:$B$2500=$A38)*(Gastos!$D$2:$D$2500))</f>
        <v>0</v>
      </c>
      <c r="Q38" s="75">
        <f t="array" ref="Q38">SUM((YEAR(Gastos!$A$2:$A$2500)=Q$1)*(MONTH(Gastos!$A$2:$A$2500)=Q$3)*(Gastos!$B$2:$B$2500=$A38)*(Gastos!$D$2:$D$2500))</f>
        <v>0</v>
      </c>
      <c r="R38" s="75">
        <f t="array" ref="R38">SUM((YEAR(Gastos!$A$2:$A$2500)=R$1)*(MONTH(Gastos!$A$2:$A$2500)=R$3)*(Gastos!$B$2:$B$2500=$A38)*(Gastos!$D$2:$D$2500))</f>
        <v>0</v>
      </c>
      <c r="S38" s="75">
        <f t="array" ref="S38">SUM((YEAR(Gastos!$A$2:$A$2500)=S$1)*(MONTH(Gastos!$A$2:$A$2500)=S$3)*(Gastos!$B$2:$B$2500=$A38)*(Gastos!$D$2:$D$2500))</f>
        <v>0</v>
      </c>
      <c r="T38" s="75">
        <f t="array" ref="T38">SUM((YEAR(Gastos!$A$2:$A$2500)=T$1)*(MONTH(Gastos!$A$2:$A$2500)=T$3)*(Gastos!$B$2:$B$2500=$A38)*(Gastos!$D$2:$D$2500))</f>
        <v>0</v>
      </c>
      <c r="U38" s="75">
        <f t="array" ref="U38">SUM((YEAR(Gastos!$A$2:$A$2500)=U$1)*(MONTH(Gastos!$A$2:$A$2500)=U$3)*(Gastos!$B$2:$B$2500=$A38)*(Gastos!$D$2:$D$2500))</f>
        <v>0</v>
      </c>
      <c r="V38" s="75">
        <f t="array" ref="V38">SUM((YEAR(Gastos!$A$2:$A$2500)=V$1)*(MONTH(Gastos!$A$2:$A$2500)=V$3)*(Gastos!$B$2:$B$2500=$A38)*(Gastos!$D$2:$D$2500))</f>
        <v>0</v>
      </c>
      <c r="W38" s="75">
        <f t="array" ref="W38">SUM((YEAR(Gastos!$A$2:$A$2500)=W$1)*(MONTH(Gastos!$A$2:$A$2500)=W$3)*(Gastos!$B$2:$B$2500=$A38)*(Gastos!$D$2:$D$2500))</f>
        <v>0</v>
      </c>
      <c r="X38" s="75">
        <f t="array" ref="X38">SUM((YEAR(Gastos!$A$2:$A$2500)=X$1)*(MONTH(Gastos!$A$2:$A$2500)=X$3)*(Gastos!$B$2:$B$2500=$A38)*(Gastos!$D$2:$D$2500))</f>
        <v>0</v>
      </c>
      <c r="Y38" s="75">
        <f t="array" ref="Y38">SUM((YEAR(Gastos!$A$2:$A$2500)=Y$1)*(MONTH(Gastos!$A$2:$A$2500)=Y$3)*(Gastos!$B$2:$B$2500=$A38)*(Gastos!$D$2:$D$2500))</f>
        <v>0</v>
      </c>
      <c r="Z38" s="75">
        <f t="array" ref="Z38">SUM((YEAR(Gastos!$A$2:$A$2500)=Z$1)*(MONTH(Gastos!$A$2:$A$2500)=Z$3)*(Gastos!$B$2:$B$2500=$A38)*(Gastos!$D$2:$D$2500))</f>
        <v>0</v>
      </c>
      <c r="AA38" s="75">
        <f t="array" ref="AA38">SUM((YEAR(Gastos!$A$2:$A$2500)=AA$1)*(MONTH(Gastos!$A$2:$A$2500)=AA$3)*(Gastos!$B$2:$B$2500=$A38)*(Gastos!$D$2:$D$2500))</f>
        <v>0</v>
      </c>
      <c r="AB38" s="75">
        <f t="array" ref="AB38">SUM((YEAR(Gastos!$A$2:$A$2500)=AB$1)*(MONTH(Gastos!$A$2:$A$2500)=AB$3)*(Gastos!$B$2:$B$2500=$A38)*(Gastos!$D$2:$D$2500))</f>
        <v>0</v>
      </c>
      <c r="AC38" s="75">
        <f t="array" ref="AC38">SUM((YEAR(Gastos!$A$2:$A$2500)=AC$1)*(MONTH(Gastos!$A$2:$A$2500)=AC$3)*(Gastos!$B$2:$B$2500=$A38)*(Gastos!$D$2:$D$2500))</f>
        <v>0</v>
      </c>
      <c r="AD38" s="75">
        <f t="array" ref="AD38">SUM((YEAR(Gastos!$A$2:$A$2500)=AD$1)*(MONTH(Gastos!$A$2:$A$2500)=AD$3)*(Gastos!$B$2:$B$2500=$A38)*(Gastos!$D$2:$D$2500))</f>
        <v>0</v>
      </c>
      <c r="AE38" s="75">
        <f t="array" ref="AE38">SUM((YEAR(Gastos!$A$2:$A$2500)=AE$1)*(MONTH(Gastos!$A$2:$A$2500)=AE$3)*(Gastos!$B$2:$B$2500=$A38)*(Gastos!$D$2:$D$2500))</f>
        <v>0</v>
      </c>
      <c r="AF38" s="75">
        <f t="array" ref="AF38">SUM((YEAR(Gastos!$A$2:$A$2500)=AF$1)*(MONTH(Gastos!$A$2:$A$2500)=AF$3)*(Gastos!$B$2:$B$2500=$A38)*(Gastos!$D$2:$D$2500))</f>
        <v>0</v>
      </c>
      <c r="AG38" s="75">
        <f t="array" ref="AG38">SUM((YEAR(Gastos!$A$2:$A$2500)=AG$1)*(MONTH(Gastos!$A$2:$A$2500)=AG$3)*(Gastos!$B$2:$B$2500=$A38)*(Gastos!$D$2:$D$2500))</f>
        <v>0</v>
      </c>
      <c r="AH38" s="75">
        <f t="array" ref="AH38">SUM((YEAR(Gastos!$A$2:$A$2500)=AH$1)*(MONTH(Gastos!$A$2:$A$2500)=AH$3)*(Gastos!$B$2:$B$2500=$A38)*(Gastos!$D$2:$D$2500))</f>
        <v>0</v>
      </c>
      <c r="AI38" s="75">
        <f t="array" ref="AI38">SUM((YEAR(Gastos!$A$2:$A$2500)=AI$1)*(MONTH(Gastos!$A$2:$A$2500)=AI$3)*(Gastos!$B$2:$B$2500=$A38)*(Gastos!$D$2:$D$2500))</f>
        <v>0</v>
      </c>
      <c r="AJ38" s="75">
        <f t="array" ref="AJ38">SUM((YEAR(Gastos!$A$2:$A$2500)=AJ$1)*(MONTH(Gastos!$A$2:$A$2500)=AJ$3)*(Gastos!$B$2:$B$2500=$A38)*(Gastos!$D$2:$D$2500))</f>
        <v>5148</v>
      </c>
      <c r="AK38" s="75">
        <f t="array" ref="AK38">SUM((YEAR(Gastos!$A$2:$A$2500)=AK$1)*(MONTH(Gastos!$A$2:$A$2500)=AK$3)*(Gastos!$B$2:$B$2500=$A38)*(Gastos!$D$2:$D$2500))</f>
        <v>0</v>
      </c>
      <c r="AL38" s="75">
        <f t="array" ref="AL38">SUM((YEAR(Gastos!$A$2:$A$2500)=AL$1)*(MONTH(Gastos!$A$2:$A$2500)=AL$3)*(Gastos!$B$2:$B$2500=$A38)*(Gastos!$D$2:$D$2500))</f>
        <v>0</v>
      </c>
      <c r="AM38" s="75">
        <f t="array" ref="AM38">SUM((YEAR(Gastos!$A$2:$A$2500)=AM$1)*(MONTH(Gastos!$A$2:$A$2500)=AM$3)*(Gastos!$B$2:$B$2500=$A38)*(Gastos!$D$2:$D$2500))</f>
        <v>0</v>
      </c>
      <c r="AN38" s="75">
        <f t="array" ref="AN38">SUM((YEAR(Gastos!$A$2:$A$2500)=AN$1)*(MONTH(Gastos!$A$2:$A$2500)=AN$3)*(Gastos!$B$2:$B$2500=$A38)*(Gastos!$D$2:$D$2500))</f>
        <v>0</v>
      </c>
      <c r="AO38" s="75">
        <f t="array" ref="AO38">SUM((YEAR(Gastos!$A$2:$A$2500)=AO$1)*(MONTH(Gastos!$A$2:$A$2500)=AO$3)*(Gastos!$B$2:$B$2500=$A38)*(Gastos!$D$2:$D$2500))</f>
        <v>0</v>
      </c>
      <c r="AP38" s="75">
        <f t="array" ref="AP38">SUM((YEAR(Gastos!$A$2:$A$2500)=AP$1)*(MONTH(Gastos!$A$2:$A$2500)=AP$3)*(Gastos!$B$2:$B$2500=$A38)*(Gastos!$D$2:$D$2500))</f>
        <v>0</v>
      </c>
      <c r="AQ38" s="75">
        <f t="array" ref="AQ38">SUM((YEAR(Gastos!$A$2:$A$2500)=AQ$1)*(MONTH(Gastos!$A$2:$A$2500)=AQ$3)*(Gastos!$B$2:$B$2500=$A38)*(Gastos!$D$2:$D$2500))</f>
        <v>0</v>
      </c>
      <c r="AR38" s="75">
        <f t="array" ref="AR38">SUM((YEAR(Gastos!$A$2:$A$2500)=AR$1)*(MONTH(Gastos!$A$2:$A$2500)=AR$3)*(Gastos!$B$2:$B$2500=$A38)*(Gastos!$D$2:$D$2500))</f>
        <v>0</v>
      </c>
      <c r="AS38" s="75">
        <f t="array" ref="AS38">SUM((YEAR(Gastos!$A$2:$A$2500)=AS$1)*(MONTH(Gastos!$A$2:$A$2500)=AS$3)*(Gastos!$B$2:$B$2500=$A38)*(Gastos!$D$2:$D$2500))</f>
        <v>0</v>
      </c>
      <c r="AT38" s="75">
        <f t="array" ref="AT38">SUM((YEAR(Gastos!$A$2:$A$2500)=AT$1)*(MONTH(Gastos!$A$2:$A$2500)=AT$3)*(Gastos!$B$2:$B$2500=$A38)*(Gastos!$D$2:$D$2500))</f>
        <v>0</v>
      </c>
      <c r="AU38" s="75">
        <f t="array" ref="AU38">SUM((YEAR(Gastos!$A$2:$A$2500)=AU$1)*(MONTH(Gastos!$A$2:$A$2500)=AU$3)*(Gastos!$B$2:$B$2500=$A38)*(Gastos!$D$2:$D$2500))</f>
        <v>0</v>
      </c>
      <c r="AV38" s="75">
        <f t="array" ref="AV38">SUM((YEAR(Gastos!$A$2:$A$2500)=AV$1)*(MONTH(Gastos!$A$2:$A$2500)=AV$3)*(Gastos!$B$2:$B$2500=$A38)*(Gastos!$D$2:$D$2500))</f>
        <v>0</v>
      </c>
      <c r="AW38" s="75">
        <f t="array" ref="AW38">SUM((YEAR(Gastos!$A$2:$A$2500)=AW$1)*(MONTH(Gastos!$A$2:$A$2500)=AW$3)*(Gastos!$B$2:$B$2500=$A38)*(Gastos!$D$2:$D$2500))</f>
        <v>0</v>
      </c>
      <c r="AX38" s="75">
        <f t="array" ref="AX38">SUM((YEAR(Gastos!$A$2:$A$2500)=AX$1)*(MONTH(Gastos!$A$2:$A$2500)=AX$3)*(Gastos!$B$2:$B$2500=$A38)*(Gastos!$D$2:$D$2500))</f>
        <v>0</v>
      </c>
      <c r="AY38" s="75">
        <f t="array" ref="AY38">SUM((YEAR(Gastos!$A$2:$A$2500)=AY$1)*(MONTH(Gastos!$A$2:$A$2500)=AY$3)*(Gastos!$B$2:$B$2500=$A38)*(Gastos!$D$2:$D$2500))</f>
        <v>0</v>
      </c>
      <c r="AZ38" s="75">
        <f t="array" ref="AZ38">SUM((YEAR(Gastos!$A$2:$A$2500)=AZ$1)*(MONTH(Gastos!$A$2:$A$2500)=AZ$3)*(Gastos!$B$2:$B$2500=$A38)*(Gastos!$D$2:$D$2500))</f>
        <v>0</v>
      </c>
      <c r="BA38" s="75">
        <f t="array" ref="BA38">SUM((YEAR(Gastos!$A$2:$A$2500)=BA$1)*(MONTH(Gastos!$A$2:$A$2500)=BA$3)*(Gastos!$B$2:$B$2500=$A38)*(Gastos!$D$2:$D$2500))</f>
        <v>0</v>
      </c>
      <c r="BB38" s="75">
        <f t="array" ref="BB38">SUM((YEAR(Gastos!$A$2:$A$2500)=BB$1)*(MONTH(Gastos!$A$2:$A$2500)=BB$3)*(Gastos!$B$2:$B$2500=$A38)*(Gastos!$D$2:$D$2500))</f>
        <v>0</v>
      </c>
      <c r="BC38" s="75">
        <f t="array" ref="BC38">SUM((YEAR(Gastos!$A$2:$A$2500)=BC$1)*(MONTH(Gastos!$A$2:$A$2500)=BC$3)*(Gastos!$B$2:$B$2500=$A38)*(Gastos!$D$2:$D$2500))</f>
        <v>0</v>
      </c>
      <c r="BD38" s="75">
        <f t="array" ref="BD38">SUM((YEAR(Gastos!$A$2:$A$2500)=BD$1)*(MONTH(Gastos!$A$2:$A$2500)=BD$3)*(Gastos!$B$2:$B$2500=$A38)*(Gastos!$D$2:$D$2500))</f>
        <v>0</v>
      </c>
      <c r="BE38" s="75">
        <f t="array" ref="BE38">SUM((YEAR(Gastos!$A$2:$A$2500)=BE$1)*(MONTH(Gastos!$A$2:$A$2500)=BE$3)*(Gastos!$B$2:$B$2500=$A38)*(Gastos!$D$2:$D$2500))</f>
        <v>0</v>
      </c>
      <c r="BF38" s="75">
        <f t="array" ref="BF38">SUM((YEAR(Gastos!$A$2:$A$2500)=BF$1)*(MONTH(Gastos!$A$2:$A$2500)=BF$3)*(Gastos!$B$2:$B$2500=$A38)*(Gastos!$D$2:$D$2500))</f>
        <v>0</v>
      </c>
      <c r="BG38" s="75">
        <f t="array" ref="BG38">SUM((YEAR(Gastos!$A$2:$A$2500)=BG$1)*(MONTH(Gastos!$A$2:$A$2500)=BG$3)*(Gastos!$B$2:$B$2500=$A38)*(Gastos!$D$2:$D$2500))</f>
        <v>0</v>
      </c>
      <c r="BH38" s="75">
        <f t="array" ref="BH38">SUM((YEAR(Gastos!$A$2:$A$2500)=BH$1)*(MONTH(Gastos!$A$2:$A$2500)=BH$3)*(Gastos!$B$2:$B$2500=$A38)*(Gastos!$D$2:$D$2500))</f>
        <v>0</v>
      </c>
      <c r="BI38" s="75">
        <f t="array" ref="BI38">SUM((YEAR(Gastos!$A$2:$A$2500)=BI$1)*(MONTH(Gastos!$A$2:$A$2500)=BI$3)*(Gastos!$B$2:$B$2500=$A38)*(Gastos!$D$2:$D$2500))</f>
        <v>0</v>
      </c>
      <c r="BJ38" s="75">
        <f t="array" ref="BJ38">SUM((YEAR(Gastos!$A$2:$A$2500)=BJ$1)*(MONTH(Gastos!$A$2:$A$2500)=BJ$3)*(Gastos!$B$2:$B$2500=$A38)*(Gastos!$D$2:$D$2500))</f>
        <v>0</v>
      </c>
      <c r="BK38" s="75">
        <f t="array" ref="BK38">SUM((YEAR(Gastos!$A$2:$A$2500)=BK$1)*(MONTH(Gastos!$A$2:$A$2500)=BK$3)*(Gastos!$B$2:$B$2500=$A38)*(Gastos!$D$2:$D$2500))</f>
        <v>0</v>
      </c>
      <c r="BL38" s="75">
        <f t="array" ref="BL38">SUM((YEAR(Gastos!$A$2:$A$2500)=BL$1)*(MONTH(Gastos!$A$2:$A$2500)=BL$3)*(Gastos!$B$2:$B$2500=$A38)*(Gastos!$D$2:$D$2500))</f>
        <v>0</v>
      </c>
      <c r="BM38" s="75">
        <f t="array" ref="BM38">SUM((YEAR(Gastos!$A$2:$A$2500)=BM$1)*(MONTH(Gastos!$A$2:$A$2500)=BM$3)*(Gastos!$B$2:$B$2500=$A38)*(Gastos!$D$2:$D$2500))</f>
        <v>0</v>
      </c>
      <c r="BN38" s="75">
        <f t="array" ref="BN38">SUM((YEAR(Gastos!$A$2:$A$2500)=BN$1)*(MONTH(Gastos!$A$2:$A$2500)=BN$3)*(Gastos!$B$2:$B$2500=$A38)*(Gastos!$D$2:$D$2500))</f>
        <v>6960</v>
      </c>
      <c r="BO38" s="75">
        <f t="array" ref="BO38">SUM((YEAR(Gastos!$A$2:$A$2500)=BO$1)*(MONTH(Gastos!$A$2:$A$2500)=BO$3)*(Gastos!$B$2:$B$2500=$A38)*(Gastos!$D$2:$D$2500))</f>
        <v>0</v>
      </c>
      <c r="BP38" s="75">
        <f t="array" ref="BP38">SUM((YEAR(Gastos!$A$2:$A$2500)=BP$1)*(MONTH(Gastos!$A$2:$A$2500)=BP$3)*(Gastos!$B$2:$B$2500=$A38)*(Gastos!$D$2:$D$2500))</f>
        <v>10000</v>
      </c>
      <c r="BQ38" s="75">
        <f t="array" ref="BQ38">SUM((YEAR(Gastos!$A$2:$A$2500)=BQ$1)*(MONTH(Gastos!$A$2:$A$2500)=BQ$3)*(Gastos!$B$2:$B$2500=$A38)*(Gastos!$D$2:$D$2500))</f>
        <v>0</v>
      </c>
      <c r="BR38" s="75">
        <f t="array" ref="BR38">SUM((YEAR(Gastos!$A$2:$A$2500)=BR$1)*(MONTH(Gastos!$A$2:$A$2500)=BR$3)*(Gastos!$B$2:$B$2500=$A38)*(Gastos!$D$2:$D$2500))</f>
        <v>4000</v>
      </c>
      <c r="BS38" s="75">
        <f t="array" ref="BS38">SUM((YEAR(Gastos!$A$2:$A$2500)=BS$1)*(MONTH(Gastos!$A$2:$A$2500)=BS$3)*(Gastos!$B$2:$B$2500=$A38)*(Gastos!$D$2:$D$2500))</f>
        <v>0</v>
      </c>
      <c r="BT38" s="75">
        <f t="array" ref="BT38">SUM((YEAR(Gastos!$A$2:$A$2500)=BT$1)*(MONTH(Gastos!$A$2:$A$2500)=BT$3)*(Gastos!$B$2:$B$2500=$A38)*(Gastos!$D$2:$D$2500))</f>
        <v>0</v>
      </c>
      <c r="BU38" s="75">
        <f t="array" ref="BU38">SUM((YEAR(Gastos!$A$2:$A$2500)=BU$1)*(MONTH(Gastos!$A$2:$A$2500)=BU$3)*(Gastos!$B$2:$B$2500=$A38)*(Gastos!$D$2:$D$2500))</f>
        <v>0</v>
      </c>
      <c r="BV38" s="75">
        <f t="array" ref="BV38">SUM((YEAR(Gastos!$A$2:$A$2500)=BV$1)*(MONTH(Gastos!$A$2:$A$2500)=BV$3)*(Gastos!$B$2:$B$2500=$A38)*(Gastos!$D$2:$D$2500))</f>
        <v>0</v>
      </c>
      <c r="BW38" s="75">
        <f t="array" ref="BW38">SUM((YEAR(Gastos!$A$2:$A$2500)=BW$1)*(MONTH(Gastos!$A$2:$A$2500)=BW$3)*(Gastos!$B$2:$B$2500=$A38)*(Gastos!$D$2:$D$2500))</f>
        <v>278.39999999999998</v>
      </c>
      <c r="BX38" s="75">
        <f t="array" ref="BX38">SUM((YEAR(Gastos!$A$2:$A$2500)=BX$1)*(MONTH(Gastos!$A$2:$A$2500)=BX$3)*(Gastos!$B$2:$B$2500=$A38)*(Gastos!$D$2:$D$2500))</f>
        <v>6500</v>
      </c>
      <c r="BY38" s="75">
        <f t="array" ref="BY38">SUM((YEAR(Gastos!$A$2:$A$2500)=BY$1)*(MONTH(Gastos!$A$2:$A$2500)=BY$3)*(Gastos!$B$2:$B$2500=$A38)*(Gastos!$D$2:$D$2500))</f>
        <v>3698.28</v>
      </c>
      <c r="BZ38" s="75">
        <f t="array" ref="BZ38">SUM((YEAR(Gastos!$A$2:$A$2500)=BZ$1)*(MONTH(Gastos!$A$2:$A$2500)=BZ$3)*(Gastos!$B$2:$B$2500=$A38)*(Gastos!$D$2:$D$2500))</f>
        <v>0</v>
      </c>
      <c r="CA38" s="75">
        <f t="array" ref="CA38">SUM((YEAR(Gastos!$A$2:$A$2500)=CA$1)*(MONTH(Gastos!$A$2:$A$2500)=CA$3)*(Gastos!$B$2:$B$2500=$A38)*(Gastos!$D$2:$D$2500))</f>
        <v>5560</v>
      </c>
      <c r="CB38" s="75">
        <f t="array" ref="CB38">SUM((YEAR(Gastos!$A$2:$A$2500)=CB$1)*(MONTH(Gastos!$A$2:$A$2500)=CB$3)*(Gastos!$B$2:$B$2500=$A38)*(Gastos!$D$2:$D$2500))</f>
        <v>0</v>
      </c>
      <c r="CC38" s="75">
        <f t="array" ref="CC38">SUM((YEAR(Gastos!$A$2:$A$2500)=CC$1)*(MONTH(Gastos!$A$2:$A$2500)=CC$3)*(Gastos!$B$2:$B$2500=$A38)*(Gastos!$D$2:$D$2500))</f>
        <v>0</v>
      </c>
      <c r="CD38" s="75">
        <f t="array" ref="CD38">SUM((YEAR(Gastos!$A$2:$A$2500)=CD$1)*(MONTH(Gastos!$A$2:$A$2500)=CD$3)*(Gastos!$B$2:$B$2500=$A38)*(Gastos!$D$2:$D$2500))</f>
        <v>0</v>
      </c>
      <c r="CE38" s="75">
        <f t="array" ref="CE38">SUM((YEAR(Gastos!$A$2:$A$2500)=CE$1)*(MONTH(Gastos!$A$2:$A$2500)=CE$3)*(Gastos!$B$2:$B$2500=$A38)*(Gastos!$D$2:$D$2500))</f>
        <v>0</v>
      </c>
      <c r="CF38" s="75">
        <f t="array" ref="CF38">SUM((YEAR(Gastos!$A$2:$A$2500)=CF$1)*(MONTH(Gastos!$A$2:$A$2500)=CF$3)*(Gastos!$B$2:$B$2500=$A38)*(Gastos!$D$2:$D$2500))</f>
        <v>0</v>
      </c>
      <c r="CG38" s="75">
        <f t="array" ref="CG38">SUM((YEAR(Gastos!$A$2:$A$2500)=CG$1)*(MONTH(Gastos!$A$2:$A$2500)=CG$3)*(Gastos!$B$2:$B$2500=$A38)*(Gastos!$D$2:$D$2500))</f>
        <v>0</v>
      </c>
      <c r="CH38" s="75">
        <f t="array" ref="CH38">SUM((YEAR(Gastos!$A$2:$A$2500)=CH$1)*(MONTH(Gastos!$A$2:$A$2500)=CH$3)*(Gastos!$B$2:$B$2500=$A38)*(Gastos!$D$2:$D$2500))</f>
        <v>0</v>
      </c>
      <c r="CI38" s="75">
        <f t="array" ref="CI38">SUM((YEAR(Gastos!$A$2:$A$2500)=CI$1)*(MONTH(Gastos!$A$2:$A$2500)=CI$3)*(Gastos!$B$2:$B$2500=$A38)*(Gastos!$D$2:$D$2500))</f>
        <v>0</v>
      </c>
      <c r="CJ38" s="75">
        <f t="array" ref="CJ38">SUM((YEAR(Gastos!$A$2:$A$2500)=CJ$1)*(MONTH(Gastos!$A$2:$A$2500)=CJ$3)*(Gastos!$B$2:$B$2500=$A38)*(Gastos!$D$2:$D$2500))</f>
        <v>0</v>
      </c>
      <c r="CK38" s="75">
        <f t="array" ref="CK38">SUM((YEAR(Gastos!$A$2:$A$2500)=CK$1)*(MONTH(Gastos!$A$2:$A$2500)=CK$3)*(Gastos!$B$2:$B$2500=$A38)*(Gastos!$D$2:$D$2500))</f>
        <v>0</v>
      </c>
      <c r="CL38" s="75">
        <f t="array" ref="CL38">SUM((YEAR(Gastos!$A$2:$A$2500)=CL$1)*(MONTH(Gastos!$A$2:$A$2500)=CL$3)*(Gastos!$B$2:$B$2500=$A38)*(Gastos!$D$2:$D$2500))</f>
        <v>0</v>
      </c>
      <c r="CM38" s="75">
        <f t="array" ref="CM38">SUM((YEAR(Gastos!$A$2:$A$2500)=CM$1)*(MONTH(Gastos!$A$2:$A$2500)=CM$3)*(Gastos!$B$2:$B$2500=$A38)*(Gastos!$D$2:$D$2500))</f>
        <v>0</v>
      </c>
      <c r="CN38" s="75">
        <f t="array" ref="CN38">SUM((YEAR(Gastos!$A$2:$A$2500)=CN$1)*(MONTH(Gastos!$A$2:$A$2500)=CN$3)*(Gastos!$B$2:$B$2500=$A38)*(Gastos!$D$2:$D$2500))</f>
        <v>0</v>
      </c>
      <c r="CO38" s="75">
        <f t="array" ref="CO38">SUM((YEAR(Gastos!$A$2:$A$2500)=CO$1)*(MONTH(Gastos!$A$2:$A$2500)=CO$3)*(Gastos!$B$2:$B$2500=$A38)*(Gastos!$D$2:$D$2500))</f>
        <v>0</v>
      </c>
      <c r="CP38" s="75">
        <f t="array" ref="CP38">SUM((YEAR(Gastos!$A$2:$A$2500)=CP$1)*(MONTH(Gastos!$A$2:$A$2500)=CP$3)*(Gastos!$B$2:$B$2500=$A38)*(Gastos!$D$2:$D$2500))</f>
        <v>0</v>
      </c>
      <c r="CQ38" s="75">
        <f t="array" ref="CQ38">SUM((YEAR(Gastos!$A$2:$A$2500)=CQ$1)*(MONTH(Gastos!$A$2:$A$2500)=CQ$3)*(Gastos!$B$2:$B$2500=$A38)*(Gastos!$D$2:$D$2500))</f>
        <v>0</v>
      </c>
      <c r="CR38" s="75">
        <f t="array" ref="CR38">SUM((YEAR(Gastos!$A$2:$A$2500)=CR$1)*(MONTH(Gastos!$A$2:$A$2500)=CR$3)*(Gastos!$B$2:$B$2500=$A38)*(Gastos!$D$2:$D$2500))</f>
        <v>0</v>
      </c>
      <c r="CS38" s="75">
        <f t="array" ref="CS38">SUM((YEAR(Gastos!$A$2:$A$2500)=CS$1)*(MONTH(Gastos!$A$2:$A$2500)=CS$3)*(Gastos!$B$2:$B$2500=$A38)*(Gastos!$D$2:$D$2500))</f>
        <v>0</v>
      </c>
      <c r="CT38" s="75">
        <f t="array" ref="CT38">SUM((YEAR(Gastos!$A$2:$A$2500)=CT$1)*(MONTH(Gastos!$A$2:$A$2500)=CT$3)*(Gastos!$B$2:$B$2500=$A38)*(Gastos!$D$2:$D$2500))</f>
        <v>0</v>
      </c>
      <c r="CU38" s="75">
        <f t="array" ref="CU38">SUM((YEAR(Gastos!$A$2:$A$2500)=CU$1)*(MONTH(Gastos!$A$2:$A$2500)=CU$3)*(Gastos!$B$2:$B$2500=$A38)*(Gastos!$D$2:$D$2500))</f>
        <v>0</v>
      </c>
      <c r="CV38" s="75">
        <f t="array" ref="CV38">SUM((YEAR(Gastos!$A$2:$A$2500)=CV$1)*(MONTH(Gastos!$A$2:$A$2500)=CV$3)*(Gastos!$B$2:$B$2500=$A38)*(Gastos!$D$2:$D$2500))</f>
        <v>0</v>
      </c>
      <c r="CW38" s="75">
        <f t="array" ref="CW38">SUM((YEAR(Gastos!$A$2:$A$2500)=CW$1)*(MONTH(Gastos!$A$2:$A$2500)=CW$3)*(Gastos!$B$2:$B$2500=$A38)*(Gastos!$D$2:$D$2500))</f>
        <v>0</v>
      </c>
      <c r="CX38" s="75">
        <f t="array" ref="CX38">SUM((YEAR(Gastos!$A$2:$A$2500)=CX$1)*(MONTH(Gastos!$A$2:$A$2500)=CX$3)*(Gastos!$B$2:$B$2500=$A38)*(Gastos!$D$2:$D$2500))</f>
        <v>0</v>
      </c>
      <c r="CY38" s="75">
        <f t="array" ref="CY38">SUM((YEAR(Gastos!$A$2:$A$2500)=CY$1)*(MONTH(Gastos!$A$2:$A$2500)=CY$3)*(Gastos!$B$2:$B$2500=$A38)*(Gastos!$D$2:$D$2500))</f>
        <v>0</v>
      </c>
      <c r="CZ38" s="75">
        <f t="array" ref="CZ38">SUM((YEAR(Gastos!$A$2:$A$2500)=CZ$1)*(MONTH(Gastos!$A$2:$A$2500)=CZ$3)*(Gastos!$B$2:$B$2500=$A38)*(Gastos!$D$2:$D$2500))</f>
        <v>0</v>
      </c>
      <c r="DA38" s="75">
        <f t="array" ref="DA38">SUM((YEAR(Gastos!$A$2:$A$2500)=DA$1)*(MONTH(Gastos!$A$2:$A$2500)=DA$3)*(Gastos!$B$2:$B$2500=$A38)*(Gastos!$D$2:$D$2500))</f>
        <v>0</v>
      </c>
      <c r="DB38" s="75">
        <f t="array" ref="DB38">SUM((YEAR(Gastos!$A$2:$A$2500)=DB$1)*(MONTH(Gastos!$A$2:$A$2500)=DB$3)*(Gastos!$B$2:$B$2500=$A38)*(Gastos!$D$2:$D$2500))</f>
        <v>0</v>
      </c>
      <c r="DC38" s="75">
        <f t="array" ref="DC38">SUM((YEAR(Gastos!$A$2:$A$2500)=DC$1)*(MONTH(Gastos!$A$2:$A$2500)=DC$3)*(Gastos!$B$2:$B$2500=$A38)*(Gastos!$D$2:$D$2500))</f>
        <v>0</v>
      </c>
      <c r="DD38" s="75">
        <f t="array" ref="DD38">SUM((YEAR(Gastos!$A$2:$A$2500)=DD$1)*(MONTH(Gastos!$A$2:$A$2500)=DD$3)*(Gastos!$B$2:$B$2500=$A38)*(Gastos!$D$2:$D$2500))</f>
        <v>0</v>
      </c>
      <c r="DE38" s="75">
        <f t="array" ref="DE38">SUM((YEAR(Gastos!$A$2:$A$2500)=DE$1)*(MONTH(Gastos!$A$2:$A$2500)=DE$3)*(Gastos!$B$2:$B$2500=$A38)*(Gastos!$D$2:$D$2500))</f>
        <v>0</v>
      </c>
      <c r="DF38" s="75">
        <f t="array" ref="DF38">SUM((YEAR(Gastos!$A$2:$A$2500)=DF$1)*(MONTH(Gastos!$A$2:$A$2500)=DF$3)*(Gastos!$B$2:$B$2500=$A38)*(Gastos!$D$2:$D$2500))</f>
        <v>0</v>
      </c>
      <c r="DG38" s="75">
        <f t="array" ref="DG38">SUM((YEAR(Gastos!$A$2:$A$2500)=DG$1)*(MONTH(Gastos!$A$2:$A$2500)=DG$3)*(Gastos!$B$2:$B$2500=$A38)*(Gastos!$D$2:$D$2500))</f>
        <v>0</v>
      </c>
      <c r="DH38" s="75">
        <f t="array" ref="DH38">SUM((YEAR(Gastos!$A$2:$A$2500)=DH$1)*(MONTH(Gastos!$A$2:$A$2500)=DH$3)*(Gastos!$B$2:$B$2500=$A38)*(Gastos!$D$2:$D$2500))</f>
        <v>0</v>
      </c>
      <c r="DI38" s="75">
        <f t="array" ref="DI38">SUM((YEAR(Gastos!$A$2:$A$2500)=DI$1)*(MONTH(Gastos!$A$2:$A$2500)=DI$3)*(Gastos!$B$2:$B$2500=$A38)*(Gastos!$D$2:$D$2500))</f>
        <v>0</v>
      </c>
      <c r="DJ38" s="75">
        <f t="array" ref="DJ38">SUM((YEAR(Gastos!$A$2:$A$2500)=DJ$1)*(MONTH(Gastos!$A$2:$A$2500)=DJ$3)*(Gastos!$B$2:$B$2500=$A38)*(Gastos!$D$2:$D$2500))</f>
        <v>0</v>
      </c>
      <c r="DK38" s="75">
        <f t="array" ref="DK38">SUM((YEAR(Gastos!$A$2:$A$2500)=DK$1)*(MONTH(Gastos!$A$2:$A$2500)=DK$3)*(Gastos!$B$2:$B$2500=$A38)*(Gastos!$D$2:$D$2500))</f>
        <v>0</v>
      </c>
      <c r="DL38" s="75">
        <f t="array" ref="DL38">SUM((YEAR(Gastos!$A$2:$A$2500)=DL$1)*(MONTH(Gastos!$A$2:$A$2500)=DL$3)*(Gastos!$B$2:$B$2500=$A38)*(Gastos!$D$2:$D$2500))</f>
        <v>0</v>
      </c>
      <c r="DM38" s="75">
        <f t="array" ref="DM38">SUM((YEAR(Gastos!$A$2:$A$2500)=DM$1)*(MONTH(Gastos!$A$2:$A$2500)=DM$3)*(Gastos!$B$2:$B$2500=$A38)*(Gastos!$D$2:$D$2500))</f>
        <v>0</v>
      </c>
      <c r="DN38" s="75">
        <f t="array" ref="DN38">SUM((YEAR(Gastos!$A$2:$A$2500)=DN$1)*(MONTH(Gastos!$A$2:$A$2500)=DN$3)*(Gastos!$B$2:$B$2500=$A38)*(Gastos!$D$2:$D$2500))</f>
        <v>0</v>
      </c>
      <c r="DO38" s="75">
        <f t="array" ref="DO38">SUM((YEAR(Gastos!$A$2:$A$2500)=DO$1)*(MONTH(Gastos!$A$2:$A$2500)=DO$3)*(Gastos!$B$2:$B$2500=$A38)*(Gastos!$D$2:$D$2500))</f>
        <v>0</v>
      </c>
      <c r="DP38" s="75">
        <f t="array" ref="DP38">SUM((YEAR(Gastos!$A$2:$A$2500)=DP$1)*(MONTH(Gastos!$A$2:$A$2500)=DP$3)*(Gastos!$B$2:$B$2500=$A38)*(Gastos!$D$2:$D$2500))</f>
        <v>0</v>
      </c>
      <c r="DQ38" s="75">
        <f t="array" ref="DQ38">SUM((YEAR(Gastos!$A$2:$A$2500)=DQ$1)*(MONTH(Gastos!$A$2:$A$2500)=DQ$3)*(Gastos!$B$2:$B$2500=$A38)*(Gastos!$D$2:$D$2500))</f>
        <v>0</v>
      </c>
      <c r="DR38" s="75">
        <f t="array" ref="DR38">SUM((YEAR(Gastos!$A$2:$A$2500)=DR$1)*(MONTH(Gastos!$A$2:$A$2500)=DR$3)*(Gastos!$B$2:$B$2500=$A38)*(Gastos!$D$2:$D$2500))</f>
        <v>0</v>
      </c>
      <c r="DS38" s="75">
        <f t="array" ref="DS38">SUM((YEAR(Gastos!$A$2:$A$2500)=DS$1)*(MONTH(Gastos!$A$2:$A$2500)=DS$3)*(Gastos!$B$2:$B$2500=$A38)*(Gastos!$D$2:$D$2500))</f>
        <v>0</v>
      </c>
      <c r="DT38" s="75">
        <f t="array" ref="DT38">SUM((YEAR(Gastos!$A$2:$A$2500)=DT$1)*(MONTH(Gastos!$A$2:$A$2500)=DT$3)*(Gastos!$B$2:$B$2500=$A38)*(Gastos!$D$2:$D$2500))</f>
        <v>0</v>
      </c>
      <c r="DU38" s="75">
        <f t="array" ref="DU38">SUM((YEAR(Gastos!$A$2:$A$2500)=DU$1)*(MONTH(Gastos!$A$2:$A$2500)=DU$3)*(Gastos!$B$2:$B$2500=$A38)*(Gastos!$D$2:$D$2500))</f>
        <v>0</v>
      </c>
      <c r="DV38" s="75">
        <f t="array" ref="DV38">SUM((YEAR(Gastos!$A$2:$A$2500)=DV$1)*(MONTH(Gastos!$A$2:$A$2500)=DV$3)*(Gastos!$B$2:$B$2500=$A38)*(Gastos!$D$2:$D$2500))</f>
        <v>0</v>
      </c>
      <c r="DW38" s="75">
        <f t="array" ref="DW38">SUM((YEAR(Gastos!$A$2:$A$2500)=DW$1)*(MONTH(Gastos!$A$2:$A$2500)=DW$3)*(Gastos!$B$2:$B$2500=$A38)*(Gastos!$D$2:$D$2500))</f>
        <v>0</v>
      </c>
      <c r="DX38" s="75">
        <f t="array" ref="DX38">SUM((YEAR(Gastos!$A$2:$A$2500)=DX$1)*(MONTH(Gastos!$A$2:$A$2500)=DX$3)*(Gastos!$B$2:$B$2500=$A38)*(Gastos!$D$2:$D$2500))</f>
        <v>0</v>
      </c>
      <c r="DY38" s="75">
        <f t="array" ref="DY38">SUM((YEAR(Gastos!$A$2:$A$2500)=DY$1)*(MONTH(Gastos!$A$2:$A$2500)=DY$3)*(Gastos!$B$2:$B$2500=$A38)*(Gastos!$D$2:$D$2500))</f>
        <v>0</v>
      </c>
      <c r="DZ38" s="75">
        <f t="array" ref="DZ38">SUM((YEAR(Gastos!$A$2:$A$2500)=DZ$1)*(MONTH(Gastos!$A$2:$A$2500)=DZ$3)*(Gastos!$B$2:$B$2500=$A38)*(Gastos!$D$2:$D$2500))</f>
        <v>0</v>
      </c>
      <c r="EA38" s="75">
        <f t="array" ref="EA38">SUM((YEAR(Gastos!$A$2:$A$2500)=EA$1)*(MONTH(Gastos!$A$2:$A$2500)=EA$3)*(Gastos!$B$2:$B$2500=$A38)*(Gastos!$D$2:$D$2500))</f>
        <v>0</v>
      </c>
      <c r="EB38" s="75">
        <f t="array" ref="EB38">SUM((YEAR(Gastos!$A$2:$A$2500)=EB$1)*(MONTH(Gastos!$A$2:$A$2500)=EB$3)*(Gastos!$B$2:$B$2500=$A38)*(Gastos!$D$2:$D$2500))</f>
        <v>0</v>
      </c>
      <c r="EC38" s="75">
        <f t="array" ref="EC38">SUM((YEAR(Gastos!$A$2:$A$2500)=EC$1)*(MONTH(Gastos!$A$2:$A$2500)=EC$3)*(Gastos!$B$2:$B$2500=$A38)*(Gastos!$D$2:$D$2500))</f>
        <v>0</v>
      </c>
      <c r="ED38" s="75">
        <f t="array" ref="ED38">SUM((YEAR(Gastos!$A$2:$A$2500)=ED$1)*(MONTH(Gastos!$A$2:$A$2500)=ED$3)*(Gastos!$B$2:$B$2500=$A38)*(Gastos!$D$2:$D$2500))</f>
        <v>0</v>
      </c>
      <c r="EE38" s="75">
        <f t="array" ref="EE38">SUM((YEAR(Gastos!$A$2:$A$2500)=EE$1)*(MONTH(Gastos!$A$2:$A$2500)=EE$3)*(Gastos!$B$2:$B$2500=$A38)*(Gastos!$D$2:$D$2500))</f>
        <v>0</v>
      </c>
      <c r="EF38" s="75">
        <f t="array" ref="EF38">SUM((YEAR(Gastos!$A$2:$A$2500)=EF$1)*(MONTH(Gastos!$A$2:$A$2500)=EF$3)*(Gastos!$B$2:$B$2500=$A38)*(Gastos!$D$2:$D$2500))</f>
        <v>0</v>
      </c>
      <c r="EG38" s="75">
        <f t="array" ref="EG38">SUM((YEAR(Gastos!$A$2:$A$2500)=EG$1)*(MONTH(Gastos!$A$2:$A$2500)=EG$3)*(Gastos!$B$2:$B$2500=$A38)*(Gastos!$D$2:$D$2500))</f>
        <v>0</v>
      </c>
      <c r="EH38" s="75">
        <f t="array" ref="EH38">SUM((YEAR(Gastos!$A$2:$A$2500)=EH$1)*(MONTH(Gastos!$A$2:$A$2500)=EH$3)*(Gastos!$B$2:$B$2500=$A38)*(Gastos!$D$2:$D$2500))</f>
        <v>0</v>
      </c>
      <c r="EI38" s="75">
        <f t="array" ref="EI38">SUM((YEAR(Gastos!$A$2:$A$2500)=EI$1)*(MONTH(Gastos!$A$2:$A$2500)=EI$3)*(Gastos!$B$2:$B$2500=$A38)*(Gastos!$D$2:$D$2500))</f>
        <v>0</v>
      </c>
      <c r="EJ38" s="75">
        <f t="array" ref="EJ38">SUM((YEAR(Gastos!$A$2:$A$2500)=EJ$1)*(MONTH(Gastos!$A$2:$A$2500)=EJ$3)*(Gastos!$B$2:$B$2500=$A38)*(Gastos!$D$2:$D$2500))</f>
        <v>0</v>
      </c>
      <c r="EK38" s="75">
        <f t="array" ref="EK38">SUM((YEAR(Gastos!$A$2:$A$2500)=EK$1)*(MONTH(Gastos!$A$2:$A$2500)=EK$3)*(Gastos!$B$2:$B$2500=$A38)*(Gastos!$D$2:$D$2500))</f>
        <v>0</v>
      </c>
      <c r="EL38" s="75">
        <f t="array" ref="EL38">SUM((YEAR(Gastos!$A$2:$A$2500)=EL$1)*(MONTH(Gastos!$A$2:$A$2500)=EL$3)*(Gastos!$B$2:$B$2500=$A38)*(Gastos!$D$2:$D$2500))</f>
        <v>0</v>
      </c>
      <c r="EM38" s="75">
        <f t="array" ref="EM38">SUM((YEAR(Gastos!$A$2:$A$2500)=EM$1)*(MONTH(Gastos!$A$2:$A$2500)=EM$3)*(Gastos!$B$2:$B$2500=$A38)*(Gastos!$D$2:$D$2500))</f>
        <v>0</v>
      </c>
      <c r="EN38" s="75">
        <f t="array" ref="EN38">SUM((YEAR(Gastos!$A$2:$A$2500)=EN$1)*(MONTH(Gastos!$A$2:$A$2500)=EN$3)*(Gastos!$B$2:$B$2500=$A38)*(Gastos!$D$2:$D$2500))</f>
        <v>0</v>
      </c>
      <c r="EO38" s="75">
        <f t="array" ref="EO38">SUM((YEAR(Gastos!$A$2:$A$2500)=EO$1)*(MONTH(Gastos!$A$2:$A$2500)=EO$3)*(Gastos!$B$2:$B$2500=$A38)*(Gastos!$D$2:$D$2500))</f>
        <v>0</v>
      </c>
      <c r="EP38" s="75">
        <f t="array" ref="EP38">SUM((YEAR(Gastos!$A$2:$A$2500)=EP$1)*(MONTH(Gastos!$A$2:$A$2500)=EP$3)*(Gastos!$B$2:$B$2500=$A38)*(Gastos!$D$2:$D$2500))</f>
        <v>0</v>
      </c>
      <c r="EQ38" s="75">
        <f t="array" ref="EQ38">SUM((YEAR(Gastos!$A$2:$A$2500)=EQ$1)*(MONTH(Gastos!$A$2:$A$2500)=EQ$3)*(Gastos!$B$2:$B$2500=$A38)*(Gastos!$D$2:$D$2500))</f>
        <v>0</v>
      </c>
      <c r="ER38" s="75">
        <f t="array" ref="ER38">SUM((YEAR(Gastos!$A$2:$A$2500)=ER$1)*(MONTH(Gastos!$A$2:$A$2500)=ER$3)*(Gastos!$B$2:$B$2500=$A38)*(Gastos!$D$2:$D$2500))</f>
        <v>0</v>
      </c>
      <c r="ES38" s="75">
        <f t="array" ref="ES38">SUM((YEAR(Gastos!$A$2:$A$2500)=ES$1)*(MONTH(Gastos!$A$2:$A$2500)=ES$3)*(Gastos!$B$2:$B$2500=$A38)*(Gastos!$D$2:$D$2500))</f>
        <v>0</v>
      </c>
      <c r="ET38" s="75">
        <f t="array" ref="ET38">SUM((YEAR(Gastos!$A$2:$A$2500)=ET$1)*(MONTH(Gastos!$A$2:$A$2500)=ET$3)*(Gastos!$B$2:$B$2500=$A38)*(Gastos!$D$2:$D$2500))</f>
        <v>0</v>
      </c>
      <c r="EU38" s="75">
        <f t="array" ref="EU38">SUM((YEAR(Gastos!$A$2:$A$2500)=EU$1)*(MONTH(Gastos!$A$2:$A$2500)=EU$3)*(Gastos!$B$2:$B$2500=$A38)*(Gastos!$D$2:$D$2500))</f>
        <v>0</v>
      </c>
      <c r="EV38" s="75">
        <f t="array" ref="EV38">SUM((YEAR(Gastos!$A$2:$A$2500)=EV$1)*(MONTH(Gastos!$A$2:$A$2500)=EV$3)*(Gastos!$B$2:$B$2500=$A38)*(Gastos!$D$2:$D$2500))</f>
        <v>0</v>
      </c>
      <c r="EW38" s="75">
        <f t="array" ref="EW38">SUM((YEAR(Gastos!$A$2:$A$2500)=EW$1)*(MONTH(Gastos!$A$2:$A$2500)=EW$3)*(Gastos!$B$2:$B$2500=$A38)*(Gastos!$D$2:$D$2500))</f>
        <v>0</v>
      </c>
      <c r="EX38" s="75">
        <f t="array" ref="EX38">SUM((YEAR(Gastos!$A$2:$A$2500)=EX$1)*(MONTH(Gastos!$A$2:$A$2500)=EX$3)*(Gastos!$B$2:$B$2500=$A38)*(Gastos!$D$2:$D$2500))</f>
        <v>0</v>
      </c>
      <c r="EY38" s="75">
        <f t="array" ref="EY38">SUM((YEAR(Gastos!$A$2:$A$2500)=EY$1)*(MONTH(Gastos!$A$2:$A$2500)=EY$3)*(Gastos!$B$2:$B$2500=$A38)*(Gastos!$D$2:$D$2500))</f>
        <v>0</v>
      </c>
      <c r="EZ38" s="75">
        <f t="array" ref="EZ38">SUM((YEAR(Gastos!$A$2:$A$2500)=EZ$1)*(MONTH(Gastos!$A$2:$A$2500)=EZ$3)*(Gastos!$B$2:$B$2500=$A38)*(Gastos!$D$2:$D$2500))</f>
        <v>0</v>
      </c>
      <c r="FA38" s="75">
        <f t="array" ref="FA38">SUM((YEAR(Gastos!$A$2:$A$2500)=FA$1)*(MONTH(Gastos!$A$2:$A$2500)=FA$3)*(Gastos!$B$2:$B$2500=$A38)*(Gastos!$D$2:$D$2500))</f>
        <v>0</v>
      </c>
      <c r="FB38" s="75">
        <f t="array" ref="FB38">SUM((YEAR(Gastos!$A$2:$A$2500)=FB$1)*(MONTH(Gastos!$A$2:$A$2500)=FB$3)*(Gastos!$B$2:$B$2500=$A38)*(Gastos!$D$2:$D$2500))</f>
        <v>0</v>
      </c>
      <c r="FC38" s="75">
        <f t="array" ref="FC38">SUM((YEAR(Gastos!$A$2:$A$2500)=FC$1)*(MONTH(Gastos!$A$2:$A$2500)=FC$3)*(Gastos!$B$2:$B$2500=$A38)*(Gastos!$D$2:$D$2500))</f>
        <v>0</v>
      </c>
      <c r="FD38" s="75">
        <f t="array" ref="FD38">SUM((YEAR(Gastos!$A$2:$A$2500)=FD$1)*(MONTH(Gastos!$A$2:$A$2500)=FD$3)*(Gastos!$B$2:$B$2500=$A38)*(Gastos!$D$2:$D$2500))</f>
        <v>0</v>
      </c>
      <c r="FE38" s="75">
        <f t="array" ref="FE38">SUM((YEAR(Gastos!$A$2:$A$2500)=FE$1)*(MONTH(Gastos!$A$2:$A$2500)=FE$3)*(Gastos!$B$2:$B$2500=$A38)*(Gastos!$D$2:$D$2500))</f>
        <v>0</v>
      </c>
      <c r="FF38" s="75">
        <f t="array" ref="FF38">SUM((YEAR(Gastos!$A$2:$A$2500)=FF$1)*(MONTH(Gastos!$A$2:$A$2500)=FF$3)*(Gastos!$B$2:$B$2500=$A38)*(Gastos!$D$2:$D$2500))</f>
        <v>0</v>
      </c>
      <c r="FG38" s="75">
        <f t="array" ref="FG38">SUM((YEAR(Gastos!$A$2:$A$2500)=FG$1)*(MONTH(Gastos!$A$2:$A$2500)=FG$3)*(Gastos!$B$2:$B$2500=$A38)*(Gastos!$D$2:$D$2500))</f>
        <v>0</v>
      </c>
      <c r="FH38" s="75">
        <f t="array" ref="FH38">SUM((YEAR(Gastos!$A$2:$A$2500)=FH$1)*(MONTH(Gastos!$A$2:$A$2500)=FH$3)*(Gastos!$B$2:$B$2500=$A38)*(Gastos!$D$2:$D$2500))</f>
        <v>0</v>
      </c>
      <c r="FI38" s="75">
        <f t="array" ref="FI38">SUM((YEAR(Gastos!$A$2:$A$2500)=FI$1)*(MONTH(Gastos!$A$2:$A$2500)=FI$3)*(Gastos!$B$2:$B$2500=$A38)*(Gastos!$D$2:$D$2500))</f>
        <v>0</v>
      </c>
      <c r="FJ38" s="75">
        <f t="array" ref="FJ38">SUM((YEAR(Gastos!$A$2:$A$2500)=FJ$1)*(MONTH(Gastos!$A$2:$A$2500)=FJ$3)*(Gastos!$B$2:$B$2500=$A38)*(Gastos!$D$2:$D$2500))</f>
        <v>0</v>
      </c>
      <c r="FK38" s="75">
        <f t="array" ref="FK38">SUM((YEAR(Gastos!$A$2:$A$2500)=FK$1)*(MONTH(Gastos!$A$2:$A$2500)=FK$3)*(Gastos!$B$2:$B$2500=$A38)*(Gastos!$D$2:$D$2500))</f>
        <v>0</v>
      </c>
      <c r="FL38" s="75">
        <f t="array" ref="FL38">SUM((YEAR(Gastos!$A$2:$A$2500)=FL$1)*(MONTH(Gastos!$A$2:$A$2500)=FL$3)*(Gastos!$B$2:$B$2500=$A38)*(Gastos!$D$2:$D$2500))</f>
        <v>0</v>
      </c>
      <c r="FM38" s="75">
        <f t="array" ref="FM38">SUM((YEAR(Gastos!$A$2:$A$2500)=FM$1)*(MONTH(Gastos!$A$2:$A$2500)=FM$3)*(Gastos!$B$2:$B$2500=$A38)*(Gastos!$D$2:$D$2500))</f>
        <v>0</v>
      </c>
      <c r="FN38" s="75">
        <f t="array" ref="FN38">SUM((YEAR(Gastos!$A$2:$A$2500)=FN$1)*(MONTH(Gastos!$A$2:$A$2500)=FN$3)*(Gastos!$B$2:$B$2500=$A38)*(Gastos!$D$2:$D$2500))</f>
        <v>0</v>
      </c>
      <c r="FO38" s="75">
        <f t="array" ref="FO38">SUM((YEAR(Gastos!$A$2:$A$2500)=FO$1)*(MONTH(Gastos!$A$2:$A$2500)=FO$3)*(Gastos!$B$2:$B$2500=$A38)*(Gastos!$D$2:$D$2500))</f>
        <v>0</v>
      </c>
      <c r="FP38" s="75">
        <f t="array" ref="FP38">SUM((YEAR(Gastos!$A$2:$A$2500)=FP$1)*(MONTH(Gastos!$A$2:$A$2500)=FP$3)*(Gastos!$B$2:$B$2500=$A38)*(Gastos!$D$2:$D$2500))</f>
        <v>0</v>
      </c>
      <c r="FQ38" s="75">
        <f t="array" ref="FQ38">SUM((YEAR(Gastos!$A$2:$A$2500)=FQ$1)*(MONTH(Gastos!$A$2:$A$2500)=FQ$3)*(Gastos!$B$2:$B$2500=$A38)*(Gastos!$D$2:$D$2500))</f>
        <v>0</v>
      </c>
      <c r="FR38" s="75">
        <f t="array" ref="FR38">SUM((YEAR(Gastos!$A$2:$A$2500)=FR$1)*(MONTH(Gastos!$A$2:$A$2500)=FR$3)*(Gastos!$B$2:$B$2500=$A38)*(Gastos!$D$2:$D$2500))</f>
        <v>0</v>
      </c>
      <c r="FS38" s="75">
        <f t="array" ref="FS38">SUM((YEAR(Gastos!$A$2:$A$2500)=FS$1)*(MONTH(Gastos!$A$2:$A$2500)=FS$3)*(Gastos!$B$2:$B$2500=$A38)*(Gastos!$D$2:$D$2500))</f>
        <v>0</v>
      </c>
      <c r="FT38" s="75">
        <f t="array" ref="FT38">SUM((YEAR(Gastos!$A$2:$A$2500)=FT$1)*(MONTH(Gastos!$A$2:$A$2500)=FT$3)*(Gastos!$B$2:$B$2500=$A38)*(Gastos!$D$2:$D$2500))</f>
        <v>0</v>
      </c>
      <c r="FU38" s="75">
        <f t="array" ref="FU38">SUM((YEAR(Gastos!$A$2:$A$2500)=FU$1)*(MONTH(Gastos!$A$2:$A$2500)=FU$3)*(Gastos!$B$2:$B$2500=$A38)*(Gastos!$D$2:$D$2500))</f>
        <v>0</v>
      </c>
      <c r="FV38" s="75">
        <f t="array" ref="FV38">SUM((YEAR(Gastos!$A$2:$A$2500)=FV$1)*(MONTH(Gastos!$A$2:$A$2500)=FV$3)*(Gastos!$B$2:$B$2500=$A38)*(Gastos!$D$2:$D$2500))</f>
        <v>0</v>
      </c>
      <c r="FW38" s="75">
        <f t="array" ref="FW38">SUM((YEAR(Gastos!$A$2:$A$2500)=FW$1)*(MONTH(Gastos!$A$2:$A$2500)=FW$3)*(Gastos!$B$2:$B$2500=$A38)*(Gastos!$D$2:$D$2500))</f>
        <v>0</v>
      </c>
      <c r="FX38" s="75">
        <f t="array" ref="FX38">SUM((YEAR(Gastos!$A$2:$A$2500)=FX$1)*(MONTH(Gastos!$A$2:$A$2500)=FX$3)*(Gastos!$B$2:$B$2500=$A38)*(Gastos!$D$2:$D$2500))</f>
        <v>0</v>
      </c>
      <c r="FY38" s="75">
        <f t="array" ref="FY38">SUM((YEAR(Gastos!$A$2:$A$2500)=FY$1)*(MONTH(Gastos!$A$2:$A$2500)=FY$3)*(Gastos!$B$2:$B$2500=$A38)*(Gastos!$D$2:$D$2500))</f>
        <v>0</v>
      </c>
      <c r="FZ38" s="76">
        <f t="shared" si="65"/>
        <v>42144.68</v>
      </c>
      <c r="GA38" s="80"/>
      <c r="GB38" s="78">
        <f t="shared" si="66"/>
        <v>4923.32</v>
      </c>
      <c r="GF38" s="79">
        <f t="array" ref="GF38">SUM(((Gastos!$A$2:$A$1647)&gt;=GD$3)*((Gastos!$A$2:$A$1647)&lt;=GF$3)*(Gastos!$B$2:$B$1647=$A38)*(Gastos!$D$2:$D$1647))</f>
        <v>20960</v>
      </c>
      <c r="GI38" s="79">
        <f t="array" ref="GI38">SUM(((Gastos!$A$2:$A$1647)&gt;=GG$3)*((Gastos!$A$2:$A$1647)&lt;=GI$3)*(Gastos!$B$2:$B$1647=$A38)*(Gastos!$D$2:$D$1647))</f>
        <v>16036.68</v>
      </c>
    </row>
    <row r="39" spans="1:191" ht="15" thickBot="1" x14ac:dyDescent="0.4">
      <c r="A39" s="74" t="str">
        <f>Gastos!AA37</f>
        <v>V. OTROS CONCEPTOS</v>
      </c>
      <c r="B39" s="75">
        <f t="array" ref="B39">SUM((YEAR(Gastos!$A$2:$A$2500)=B$1)*(MONTH(Gastos!$A$2:$A$2500)=B$3)*(Gastos!$B$2:$B$2500=$A39)*(Gastos!$D$2:$D$2500))</f>
        <v>0</v>
      </c>
      <c r="C39" s="75">
        <f t="array" ref="C39">SUM((YEAR(Gastos!$A$2:$A$2500)=C$1)*(MONTH(Gastos!$A$2:$A$2500)=C$3)*(Gastos!$B$2:$B$2500=$A39)*(Gastos!$D$2:$D$2500))</f>
        <v>0</v>
      </c>
      <c r="D39" s="75">
        <f t="array" ref="D39">SUM((YEAR(Gastos!$A$2:$A$2500)=D$1)*(MONTH(Gastos!$A$2:$A$2500)=D$3)*(Gastos!$B$2:$B$2500=$A39)*(Gastos!$D$2:$D$2500))</f>
        <v>0</v>
      </c>
      <c r="E39" s="75">
        <f t="array" ref="E39">SUM((YEAR(Gastos!$A$2:$A$2500)=E$1)*(MONTH(Gastos!$A$2:$A$2500)=E$3)*(Gastos!$B$2:$B$2500=$A39)*(Gastos!$D$2:$D$2500))</f>
        <v>0</v>
      </c>
      <c r="F39" s="75">
        <f t="array" ref="F39">SUM((YEAR(Gastos!$A$2:$A$2500)=F$1)*(MONTH(Gastos!$A$2:$A$2500)=F$3)*(Gastos!$B$2:$B$2500=$A39)*(Gastos!$D$2:$D$2500))</f>
        <v>0</v>
      </c>
      <c r="G39" s="75">
        <f t="array" ref="G39">SUM((YEAR(Gastos!$A$2:$A$2500)=G$1)*(MONTH(Gastos!$A$2:$A$2500)=G$3)*(Gastos!$B$2:$B$2500=$A39)*(Gastos!$D$2:$D$2500))</f>
        <v>0</v>
      </c>
      <c r="H39" s="75">
        <f t="array" ref="H39">SUM((YEAR(Gastos!$A$2:$A$2500)=H$1)*(MONTH(Gastos!$A$2:$A$2500)=H$3)*(Gastos!$B$2:$B$2500=$A39)*(Gastos!$D$2:$D$2500))</f>
        <v>5244</v>
      </c>
      <c r="I39" s="75">
        <f t="array" ref="I39">SUM((YEAR(Gastos!$A$2:$A$2500)=I$1)*(MONTH(Gastos!$A$2:$A$2500)=I$3)*(Gastos!$B$2:$B$2500=$A39)*(Gastos!$D$2:$D$2500))</f>
        <v>7792</v>
      </c>
      <c r="J39" s="75">
        <f t="array" ref="J39">SUM((YEAR(Gastos!$A$2:$A$2500)=J$1)*(MONTH(Gastos!$A$2:$A$2500)=J$3)*(Gastos!$B$2:$B$2500=$A39)*(Gastos!$D$2:$D$2500))</f>
        <v>9161</v>
      </c>
      <c r="K39" s="75">
        <f t="array" ref="K39">SUM((YEAR(Gastos!$A$2:$A$2500)=K$1)*(MONTH(Gastos!$A$2:$A$2500)=K$3)*(Gastos!$B$2:$B$2500=$A39)*(Gastos!$D$2:$D$2500))</f>
        <v>2500</v>
      </c>
      <c r="L39" s="75">
        <f t="array" ref="L39">SUM((YEAR(Gastos!$A$2:$A$2500)=L$1)*(MONTH(Gastos!$A$2:$A$2500)=L$3)*(Gastos!$B$2:$B$2500=$A39)*(Gastos!$D$2:$D$2500))</f>
        <v>0</v>
      </c>
      <c r="M39" s="75">
        <f t="array" ref="M39">SUM((YEAR(Gastos!$A$2:$A$2500)=M$1)*(MONTH(Gastos!$A$2:$A$2500)=M$3)*(Gastos!$B$2:$B$2500=$A39)*(Gastos!$D$2:$D$2500))</f>
        <v>3460</v>
      </c>
      <c r="N39" s="75">
        <f t="array" ref="N39">SUM((YEAR(Gastos!$A$2:$A$2500)=N$1)*(MONTH(Gastos!$A$2:$A$2500)=N$3)*(Gastos!$B$2:$B$2500=$A39)*(Gastos!$D$2:$D$2500))</f>
        <v>0</v>
      </c>
      <c r="O39" s="75">
        <f t="array" ref="O39">SUM((YEAR(Gastos!$A$2:$A$2500)=O$1)*(MONTH(Gastos!$A$2:$A$2500)=O$3)*(Gastos!$B$2:$B$2500=$A39)*(Gastos!$D$2:$D$2500))</f>
        <v>0</v>
      </c>
      <c r="P39" s="75">
        <f t="array" ref="P39">SUM((YEAR(Gastos!$A$2:$A$2500)=P$1)*(MONTH(Gastos!$A$2:$A$2500)=P$3)*(Gastos!$B$2:$B$2500=$A39)*(Gastos!$D$2:$D$2500))</f>
        <v>13920</v>
      </c>
      <c r="Q39" s="75">
        <f t="array" ref="Q39">SUM((YEAR(Gastos!$A$2:$A$2500)=Q$1)*(MONTH(Gastos!$A$2:$A$2500)=Q$3)*(Gastos!$B$2:$B$2500=$A39)*(Gastos!$D$2:$D$2500))</f>
        <v>456</v>
      </c>
      <c r="R39" s="75">
        <f t="array" ref="R39">SUM((YEAR(Gastos!$A$2:$A$2500)=R$1)*(MONTH(Gastos!$A$2:$A$2500)=R$3)*(Gastos!$B$2:$B$2500=$A39)*(Gastos!$D$2:$D$2500))</f>
        <v>1757.99</v>
      </c>
      <c r="S39" s="75">
        <f t="array" ref="S39">SUM((YEAR(Gastos!$A$2:$A$2500)=S$1)*(MONTH(Gastos!$A$2:$A$2500)=S$3)*(Gastos!$B$2:$B$2500=$A39)*(Gastos!$D$2:$D$2500))</f>
        <v>0</v>
      </c>
      <c r="T39" s="75">
        <f t="array" ref="T39">SUM((YEAR(Gastos!$A$2:$A$2500)=T$1)*(MONTH(Gastos!$A$2:$A$2500)=T$3)*(Gastos!$B$2:$B$2500=$A39)*(Gastos!$D$2:$D$2500))</f>
        <v>6182.4699999999993</v>
      </c>
      <c r="U39" s="75">
        <f t="array" ref="U39">SUM((YEAR(Gastos!$A$2:$A$2500)=U$1)*(MONTH(Gastos!$A$2:$A$2500)=U$3)*(Gastos!$B$2:$B$2500=$A39)*(Gastos!$D$2:$D$2500))</f>
        <v>13265.7</v>
      </c>
      <c r="V39" s="75">
        <f t="array" ref="V39">SUM((YEAR(Gastos!$A$2:$A$2500)=V$1)*(MONTH(Gastos!$A$2:$A$2500)=V$3)*(Gastos!$B$2:$B$2500=$A39)*(Gastos!$D$2:$D$2500))</f>
        <v>1160</v>
      </c>
      <c r="W39" s="75">
        <f t="array" ref="W39">SUM((YEAR(Gastos!$A$2:$A$2500)=W$1)*(MONTH(Gastos!$A$2:$A$2500)=W$3)*(Gastos!$B$2:$B$2500=$A39)*(Gastos!$D$2:$D$2500))</f>
        <v>800</v>
      </c>
      <c r="X39" s="75">
        <f t="array" ref="X39">SUM((YEAR(Gastos!$A$2:$A$2500)=X$1)*(MONTH(Gastos!$A$2:$A$2500)=X$3)*(Gastos!$B$2:$B$2500=$A39)*(Gastos!$D$2:$D$2500))</f>
        <v>2900</v>
      </c>
      <c r="Y39" s="75">
        <f t="array" ref="Y39">SUM((YEAR(Gastos!$A$2:$A$2500)=Y$1)*(MONTH(Gastos!$A$2:$A$2500)=Y$3)*(Gastos!$B$2:$B$2500=$A39)*(Gastos!$D$2:$D$2500))</f>
        <v>2320</v>
      </c>
      <c r="Z39" s="75">
        <f t="array" ref="Z39">SUM((YEAR(Gastos!$A$2:$A$2500)=Z$1)*(MONTH(Gastos!$A$2:$A$2500)=Z$3)*(Gastos!$B$2:$B$2500=$A39)*(Gastos!$D$2:$D$2500))</f>
        <v>0</v>
      </c>
      <c r="AA39" s="75">
        <f t="array" ref="AA39">SUM((YEAR(Gastos!$A$2:$A$2500)=AA$1)*(MONTH(Gastos!$A$2:$A$2500)=AA$3)*(Gastos!$B$2:$B$2500=$A39)*(Gastos!$D$2:$D$2500))</f>
        <v>0</v>
      </c>
      <c r="AB39" s="75">
        <f t="array" ref="AB39">SUM((YEAR(Gastos!$A$2:$A$2500)=AB$1)*(MONTH(Gastos!$A$2:$A$2500)=AB$3)*(Gastos!$B$2:$B$2500=$A39)*(Gastos!$D$2:$D$2500))</f>
        <v>2000</v>
      </c>
      <c r="AC39" s="75">
        <f t="array" ref="AC39">SUM((YEAR(Gastos!$A$2:$A$2500)=AC$1)*(MONTH(Gastos!$A$2:$A$2500)=AC$3)*(Gastos!$B$2:$B$2500=$A39)*(Gastos!$D$2:$D$2500))</f>
        <v>0</v>
      </c>
      <c r="AD39" s="75">
        <f t="array" ref="AD39">SUM((YEAR(Gastos!$A$2:$A$2500)=AD$1)*(MONTH(Gastos!$A$2:$A$2500)=AD$3)*(Gastos!$B$2:$B$2500=$A39)*(Gastos!$D$2:$D$2500))</f>
        <v>1200</v>
      </c>
      <c r="AE39" s="75">
        <f t="array" ref="AE39">SUM((YEAR(Gastos!$A$2:$A$2500)=AE$1)*(MONTH(Gastos!$A$2:$A$2500)=AE$3)*(Gastos!$B$2:$B$2500=$A39)*(Gastos!$D$2:$D$2500))</f>
        <v>0</v>
      </c>
      <c r="AF39" s="75">
        <f t="array" ref="AF39">SUM((YEAR(Gastos!$A$2:$A$2500)=AF$1)*(MONTH(Gastos!$A$2:$A$2500)=AF$3)*(Gastos!$B$2:$B$2500=$A39)*(Gastos!$D$2:$D$2500))</f>
        <v>0</v>
      </c>
      <c r="AG39" s="75">
        <f t="array" ref="AG39">SUM((YEAR(Gastos!$A$2:$A$2500)=AG$1)*(MONTH(Gastos!$A$2:$A$2500)=AG$3)*(Gastos!$B$2:$B$2500=$A39)*(Gastos!$D$2:$D$2500))</f>
        <v>0</v>
      </c>
      <c r="AH39" s="75">
        <f t="array" ref="AH39">SUM((YEAR(Gastos!$A$2:$A$2500)=AH$1)*(MONTH(Gastos!$A$2:$A$2500)=AH$3)*(Gastos!$B$2:$B$2500=$A39)*(Gastos!$D$2:$D$2500))</f>
        <v>0</v>
      </c>
      <c r="AI39" s="75">
        <f t="array" ref="AI39">SUM((YEAR(Gastos!$A$2:$A$2500)=AI$1)*(MONTH(Gastos!$A$2:$A$2500)=AI$3)*(Gastos!$B$2:$B$2500=$A39)*(Gastos!$D$2:$D$2500))</f>
        <v>0</v>
      </c>
      <c r="AJ39" s="75">
        <f t="array" ref="AJ39">SUM((YEAR(Gastos!$A$2:$A$2500)=AJ$1)*(MONTH(Gastos!$A$2:$A$2500)=AJ$3)*(Gastos!$B$2:$B$2500=$A39)*(Gastos!$D$2:$D$2500))</f>
        <v>1740</v>
      </c>
      <c r="AK39" s="75">
        <f t="array" ref="AK39">SUM((YEAR(Gastos!$A$2:$A$2500)=AK$1)*(MONTH(Gastos!$A$2:$A$2500)=AK$3)*(Gastos!$B$2:$B$2500=$A39)*(Gastos!$D$2:$D$2500))</f>
        <v>0</v>
      </c>
      <c r="AL39" s="75">
        <f t="array" ref="AL39">SUM((YEAR(Gastos!$A$2:$A$2500)=AL$1)*(MONTH(Gastos!$A$2:$A$2500)=AL$3)*(Gastos!$B$2:$B$2500=$A39)*(Gastos!$D$2:$D$2500))</f>
        <v>0</v>
      </c>
      <c r="AM39" s="75">
        <f t="array" ref="AM39">SUM((YEAR(Gastos!$A$2:$A$2500)=AM$1)*(MONTH(Gastos!$A$2:$A$2500)=AM$3)*(Gastos!$B$2:$B$2500=$A39)*(Gastos!$D$2:$D$2500))</f>
        <v>0</v>
      </c>
      <c r="AN39" s="75">
        <f t="array" ref="AN39">SUM((YEAR(Gastos!$A$2:$A$2500)=AN$1)*(MONTH(Gastos!$A$2:$A$2500)=AN$3)*(Gastos!$B$2:$B$2500=$A39)*(Gastos!$D$2:$D$2500))</f>
        <v>0</v>
      </c>
      <c r="AO39" s="75">
        <f t="array" ref="AO39">SUM((YEAR(Gastos!$A$2:$A$2500)=AO$1)*(MONTH(Gastos!$A$2:$A$2500)=AO$3)*(Gastos!$B$2:$B$2500=$A39)*(Gastos!$D$2:$D$2500))</f>
        <v>0</v>
      </c>
      <c r="AP39" s="75">
        <f t="array" ref="AP39">SUM((YEAR(Gastos!$A$2:$A$2500)=AP$1)*(MONTH(Gastos!$A$2:$A$2500)=AP$3)*(Gastos!$B$2:$B$2500=$A39)*(Gastos!$D$2:$D$2500))</f>
        <v>0</v>
      </c>
      <c r="AQ39" s="75">
        <f t="array" ref="AQ39">SUM((YEAR(Gastos!$A$2:$A$2500)=AQ$1)*(MONTH(Gastos!$A$2:$A$2500)=AQ$3)*(Gastos!$B$2:$B$2500=$A39)*(Gastos!$D$2:$D$2500))</f>
        <v>0</v>
      </c>
      <c r="AR39" s="75">
        <f t="array" ref="AR39">SUM((YEAR(Gastos!$A$2:$A$2500)=AR$1)*(MONTH(Gastos!$A$2:$A$2500)=AR$3)*(Gastos!$B$2:$B$2500=$A39)*(Gastos!$D$2:$D$2500))</f>
        <v>1577.86</v>
      </c>
      <c r="AS39" s="75">
        <f t="array" ref="AS39">SUM((YEAR(Gastos!$A$2:$A$2500)=AS$1)*(MONTH(Gastos!$A$2:$A$2500)=AS$3)*(Gastos!$B$2:$B$2500=$A39)*(Gastos!$D$2:$D$2500))</f>
        <v>0</v>
      </c>
      <c r="AT39" s="75">
        <f t="array" ref="AT39">SUM((YEAR(Gastos!$A$2:$A$2500)=AT$1)*(MONTH(Gastos!$A$2:$A$2500)=AT$3)*(Gastos!$B$2:$B$2500=$A39)*(Gastos!$D$2:$D$2500))</f>
        <v>0</v>
      </c>
      <c r="AU39" s="75">
        <f t="array" ref="AU39">SUM((YEAR(Gastos!$A$2:$A$2500)=AU$1)*(MONTH(Gastos!$A$2:$A$2500)=AU$3)*(Gastos!$B$2:$B$2500=$A39)*(Gastos!$D$2:$D$2500))</f>
        <v>0</v>
      </c>
      <c r="AV39" s="75">
        <f t="array" ref="AV39">SUM((YEAR(Gastos!$A$2:$A$2500)=AV$1)*(MONTH(Gastos!$A$2:$A$2500)=AV$3)*(Gastos!$B$2:$B$2500=$A39)*(Gastos!$D$2:$D$2500))</f>
        <v>10203.36</v>
      </c>
      <c r="AW39" s="75">
        <f t="array" ref="AW39">SUM((YEAR(Gastos!$A$2:$A$2500)=AW$1)*(MONTH(Gastos!$A$2:$A$2500)=AW$3)*(Gastos!$B$2:$B$2500=$A39)*(Gastos!$D$2:$D$2500))</f>
        <v>12173.04</v>
      </c>
      <c r="AX39" s="75">
        <f t="array" ref="AX39">SUM((YEAR(Gastos!$A$2:$A$2500)=AX$1)*(MONTH(Gastos!$A$2:$A$2500)=AX$3)*(Gastos!$B$2:$B$2500=$A39)*(Gastos!$D$2:$D$2500))</f>
        <v>2064.8000000000002</v>
      </c>
      <c r="AY39" s="75">
        <f t="array" ref="AY39">SUM((YEAR(Gastos!$A$2:$A$2500)=AY$1)*(MONTH(Gastos!$A$2:$A$2500)=AY$3)*(Gastos!$B$2:$B$2500=$A39)*(Gastos!$D$2:$D$2500))</f>
        <v>3534</v>
      </c>
      <c r="AZ39" s="75">
        <f t="array" ref="AZ39">SUM((YEAR(Gastos!$A$2:$A$2500)=AZ$1)*(MONTH(Gastos!$A$2:$A$2500)=AZ$3)*(Gastos!$B$2:$B$2500=$A39)*(Gastos!$D$2:$D$2500))</f>
        <v>4330.8</v>
      </c>
      <c r="BA39" s="75">
        <f t="array" ref="BA39">SUM((YEAR(Gastos!$A$2:$A$2500)=BA$1)*(MONTH(Gastos!$A$2:$A$2500)=BA$3)*(Gastos!$B$2:$B$2500=$A39)*(Gastos!$D$2:$D$2500))</f>
        <v>3364</v>
      </c>
      <c r="BB39" s="75">
        <f t="array" ref="BB39">SUM((YEAR(Gastos!$A$2:$A$2500)=BB$1)*(MONTH(Gastos!$A$2:$A$2500)=BB$3)*(Gastos!$B$2:$B$2500=$A39)*(Gastos!$D$2:$D$2500))</f>
        <v>0</v>
      </c>
      <c r="BC39" s="75">
        <f t="array" ref="BC39">SUM((YEAR(Gastos!$A$2:$A$2500)=BC$1)*(MONTH(Gastos!$A$2:$A$2500)=BC$3)*(Gastos!$B$2:$B$2500=$A39)*(Gastos!$D$2:$D$2500))</f>
        <v>0</v>
      </c>
      <c r="BD39" s="75">
        <f t="array" ref="BD39">SUM((YEAR(Gastos!$A$2:$A$2500)=BD$1)*(MONTH(Gastos!$A$2:$A$2500)=BD$3)*(Gastos!$B$2:$B$2500=$A39)*(Gastos!$D$2:$D$2500))</f>
        <v>2610</v>
      </c>
      <c r="BE39" s="75">
        <f t="array" ref="BE39">SUM((YEAR(Gastos!$A$2:$A$2500)=BE$1)*(MONTH(Gastos!$A$2:$A$2500)=BE$3)*(Gastos!$B$2:$B$2500=$A39)*(Gastos!$D$2:$D$2500))</f>
        <v>0</v>
      </c>
      <c r="BF39" s="75">
        <f t="array" ref="BF39">SUM((YEAR(Gastos!$A$2:$A$2500)=BF$1)*(MONTH(Gastos!$A$2:$A$2500)=BF$3)*(Gastos!$B$2:$B$2500=$A39)*(Gastos!$D$2:$D$2500))</f>
        <v>1740</v>
      </c>
      <c r="BG39" s="75">
        <f t="array" ref="BG39">SUM((YEAR(Gastos!$A$2:$A$2500)=BG$1)*(MONTH(Gastos!$A$2:$A$2500)=BG$3)*(Gastos!$B$2:$B$2500=$A39)*(Gastos!$D$2:$D$2500))</f>
        <v>0</v>
      </c>
      <c r="BH39" s="75">
        <f t="array" ref="BH39">SUM((YEAR(Gastos!$A$2:$A$2500)=BH$1)*(MONTH(Gastos!$A$2:$A$2500)=BH$3)*(Gastos!$B$2:$B$2500=$A39)*(Gastos!$D$2:$D$2500))</f>
        <v>0</v>
      </c>
      <c r="BI39" s="75">
        <f t="array" ref="BI39">SUM((YEAR(Gastos!$A$2:$A$2500)=BI$1)*(MONTH(Gastos!$A$2:$A$2500)=BI$3)*(Gastos!$B$2:$B$2500=$A39)*(Gastos!$D$2:$D$2500))</f>
        <v>12096.23</v>
      </c>
      <c r="BJ39" s="75">
        <f t="array" ref="BJ39">SUM((YEAR(Gastos!$A$2:$A$2500)=BJ$1)*(MONTH(Gastos!$A$2:$A$2500)=BJ$3)*(Gastos!$B$2:$B$2500=$A39)*(Gastos!$D$2:$D$2500))</f>
        <v>0</v>
      </c>
      <c r="BK39" s="75">
        <f t="array" ref="BK39">SUM((YEAR(Gastos!$A$2:$A$2500)=BK$1)*(MONTH(Gastos!$A$2:$A$2500)=BK$3)*(Gastos!$B$2:$B$2500=$A39)*(Gastos!$D$2:$D$2500))</f>
        <v>8246.02</v>
      </c>
      <c r="BL39" s="75">
        <f t="array" ref="BL39">SUM((YEAR(Gastos!$A$2:$A$2500)=BL$1)*(MONTH(Gastos!$A$2:$A$2500)=BL$3)*(Gastos!$B$2:$B$2500=$A39)*(Gastos!$D$2:$D$2500))</f>
        <v>5415.6</v>
      </c>
      <c r="BM39" s="75">
        <f t="array" ref="BM39">SUM((YEAR(Gastos!$A$2:$A$2500)=BM$1)*(MONTH(Gastos!$A$2:$A$2500)=BM$3)*(Gastos!$B$2:$B$2500=$A39)*(Gastos!$D$2:$D$2500))</f>
        <v>0</v>
      </c>
      <c r="BN39" s="75">
        <f t="array" ref="BN39">SUM((YEAR(Gastos!$A$2:$A$2500)=BN$1)*(MONTH(Gastos!$A$2:$A$2500)=BN$3)*(Gastos!$B$2:$B$2500=$A39)*(Gastos!$D$2:$D$2500))</f>
        <v>2417.44</v>
      </c>
      <c r="BO39" s="75">
        <f t="array" ref="BO39">SUM((YEAR(Gastos!$A$2:$A$2500)=BO$1)*(MONTH(Gastos!$A$2:$A$2500)=BO$3)*(Gastos!$B$2:$B$2500=$A39)*(Gastos!$D$2:$D$2500))</f>
        <v>0</v>
      </c>
      <c r="BP39" s="75">
        <f t="array" ref="BP39">SUM((YEAR(Gastos!$A$2:$A$2500)=BP$1)*(MONTH(Gastos!$A$2:$A$2500)=BP$3)*(Gastos!$B$2:$B$2500=$A39)*(Gastos!$D$2:$D$2500))</f>
        <v>0</v>
      </c>
      <c r="BQ39" s="75">
        <f t="array" ref="BQ39">SUM((YEAR(Gastos!$A$2:$A$2500)=BQ$1)*(MONTH(Gastos!$A$2:$A$2500)=BQ$3)*(Gastos!$B$2:$B$2500=$A39)*(Gastos!$D$2:$D$2500))</f>
        <v>0</v>
      </c>
      <c r="BR39" s="75">
        <f t="array" ref="BR39">SUM((YEAR(Gastos!$A$2:$A$2500)=BR$1)*(MONTH(Gastos!$A$2:$A$2500)=BR$3)*(Gastos!$B$2:$B$2500=$A39)*(Gastos!$D$2:$D$2500))</f>
        <v>0</v>
      </c>
      <c r="BS39" s="75">
        <f t="array" ref="BS39">SUM((YEAR(Gastos!$A$2:$A$2500)=BS$1)*(MONTH(Gastos!$A$2:$A$2500)=BS$3)*(Gastos!$B$2:$B$2500=$A39)*(Gastos!$D$2:$D$2500))</f>
        <v>0</v>
      </c>
      <c r="BT39" s="75">
        <f t="array" ref="BT39">SUM((YEAR(Gastos!$A$2:$A$2500)=BT$1)*(MONTH(Gastos!$A$2:$A$2500)=BT$3)*(Gastos!$B$2:$B$2500=$A39)*(Gastos!$D$2:$D$2500))</f>
        <v>0</v>
      </c>
      <c r="BU39" s="75">
        <f t="array" ref="BU39">SUM((YEAR(Gastos!$A$2:$A$2500)=BU$1)*(MONTH(Gastos!$A$2:$A$2500)=BU$3)*(Gastos!$B$2:$B$2500=$A39)*(Gastos!$D$2:$D$2500))</f>
        <v>0</v>
      </c>
      <c r="BV39" s="75">
        <f t="array" ref="BV39">SUM((YEAR(Gastos!$A$2:$A$2500)=BV$1)*(MONTH(Gastos!$A$2:$A$2500)=BV$3)*(Gastos!$B$2:$B$2500=$A39)*(Gastos!$D$2:$D$2500))</f>
        <v>0</v>
      </c>
      <c r="BW39" s="75">
        <f t="array" ref="BW39">SUM((YEAR(Gastos!$A$2:$A$2500)=BW$1)*(MONTH(Gastos!$A$2:$A$2500)=BW$3)*(Gastos!$B$2:$B$2500=$A39)*(Gastos!$D$2:$D$2500))</f>
        <v>0</v>
      </c>
      <c r="BX39" s="75">
        <f t="array" ref="BX39">SUM((YEAR(Gastos!$A$2:$A$2500)=BX$1)*(MONTH(Gastos!$A$2:$A$2500)=BX$3)*(Gastos!$B$2:$B$2500=$A39)*(Gastos!$D$2:$D$2500))</f>
        <v>0</v>
      </c>
      <c r="BY39" s="75">
        <f t="array" ref="BY39">SUM((YEAR(Gastos!$A$2:$A$2500)=BY$1)*(MONTH(Gastos!$A$2:$A$2500)=BY$3)*(Gastos!$B$2:$B$2500=$A39)*(Gastos!$D$2:$D$2500))</f>
        <v>0</v>
      </c>
      <c r="BZ39" s="75">
        <f t="array" ref="BZ39">SUM((YEAR(Gastos!$A$2:$A$2500)=BZ$1)*(MONTH(Gastos!$A$2:$A$2500)=BZ$3)*(Gastos!$B$2:$B$2500=$A39)*(Gastos!$D$2:$D$2500))</f>
        <v>0</v>
      </c>
      <c r="CA39" s="75">
        <f t="array" ref="CA39">SUM((YEAR(Gastos!$A$2:$A$2500)=CA$1)*(MONTH(Gastos!$A$2:$A$2500)=CA$3)*(Gastos!$B$2:$B$2500=$A39)*(Gastos!$D$2:$D$2500))</f>
        <v>0</v>
      </c>
      <c r="CB39" s="75">
        <f t="array" ref="CB39">SUM((YEAR(Gastos!$A$2:$A$2500)=CB$1)*(MONTH(Gastos!$A$2:$A$2500)=CB$3)*(Gastos!$B$2:$B$2500=$A39)*(Gastos!$D$2:$D$2500))</f>
        <v>0</v>
      </c>
      <c r="CC39" s="75">
        <f t="array" ref="CC39">SUM((YEAR(Gastos!$A$2:$A$2500)=CC$1)*(MONTH(Gastos!$A$2:$A$2500)=CC$3)*(Gastos!$B$2:$B$2500=$A39)*(Gastos!$D$2:$D$2500))</f>
        <v>0</v>
      </c>
      <c r="CD39" s="75">
        <f t="array" ref="CD39">SUM((YEAR(Gastos!$A$2:$A$2500)=CD$1)*(MONTH(Gastos!$A$2:$A$2500)=CD$3)*(Gastos!$B$2:$B$2500=$A39)*(Gastos!$D$2:$D$2500))</f>
        <v>0</v>
      </c>
      <c r="CE39" s="75">
        <f t="array" ref="CE39">SUM((YEAR(Gastos!$A$2:$A$2500)=CE$1)*(MONTH(Gastos!$A$2:$A$2500)=CE$3)*(Gastos!$B$2:$B$2500=$A39)*(Gastos!$D$2:$D$2500))</f>
        <v>0</v>
      </c>
      <c r="CF39" s="75">
        <f t="array" ref="CF39">SUM((YEAR(Gastos!$A$2:$A$2500)=CF$1)*(MONTH(Gastos!$A$2:$A$2500)=CF$3)*(Gastos!$B$2:$B$2500=$A39)*(Gastos!$D$2:$D$2500))</f>
        <v>0</v>
      </c>
      <c r="CG39" s="75">
        <f t="array" ref="CG39">SUM((YEAR(Gastos!$A$2:$A$2500)=CG$1)*(MONTH(Gastos!$A$2:$A$2500)=CG$3)*(Gastos!$B$2:$B$2500=$A39)*(Gastos!$D$2:$D$2500))</f>
        <v>0</v>
      </c>
      <c r="CH39" s="75">
        <f t="array" ref="CH39">SUM((YEAR(Gastos!$A$2:$A$2500)=CH$1)*(MONTH(Gastos!$A$2:$A$2500)=CH$3)*(Gastos!$B$2:$B$2500=$A39)*(Gastos!$D$2:$D$2500))</f>
        <v>0</v>
      </c>
      <c r="CI39" s="75">
        <f t="array" ref="CI39">SUM((YEAR(Gastos!$A$2:$A$2500)=CI$1)*(MONTH(Gastos!$A$2:$A$2500)=CI$3)*(Gastos!$B$2:$B$2500=$A39)*(Gastos!$D$2:$D$2500))</f>
        <v>0</v>
      </c>
      <c r="CJ39" s="75">
        <f t="array" ref="CJ39">SUM((YEAR(Gastos!$A$2:$A$2500)=CJ$1)*(MONTH(Gastos!$A$2:$A$2500)=CJ$3)*(Gastos!$B$2:$B$2500=$A39)*(Gastos!$D$2:$D$2500))</f>
        <v>523.64</v>
      </c>
      <c r="CK39" s="75">
        <f t="array" ref="CK39">SUM((YEAR(Gastos!$A$2:$A$2500)=CK$1)*(MONTH(Gastos!$A$2:$A$2500)=CK$3)*(Gastos!$B$2:$B$2500=$A39)*(Gastos!$D$2:$D$2500))</f>
        <v>0</v>
      </c>
      <c r="CL39" s="75">
        <f t="array" ref="CL39">SUM((YEAR(Gastos!$A$2:$A$2500)=CL$1)*(MONTH(Gastos!$A$2:$A$2500)=CL$3)*(Gastos!$B$2:$B$2500=$A39)*(Gastos!$D$2:$D$2500))</f>
        <v>0</v>
      </c>
      <c r="CM39" s="75">
        <f t="array" ref="CM39">SUM((YEAR(Gastos!$A$2:$A$2500)=CM$1)*(MONTH(Gastos!$A$2:$A$2500)=CM$3)*(Gastos!$B$2:$B$2500=$A39)*(Gastos!$D$2:$D$2500))</f>
        <v>0</v>
      </c>
      <c r="CN39" s="75">
        <f t="array" ref="CN39">SUM((YEAR(Gastos!$A$2:$A$2500)=CN$1)*(MONTH(Gastos!$A$2:$A$2500)=CN$3)*(Gastos!$B$2:$B$2500=$A39)*(Gastos!$D$2:$D$2500))</f>
        <v>498</v>
      </c>
      <c r="CO39" s="75">
        <f t="array" ref="CO39">SUM((YEAR(Gastos!$A$2:$A$2500)=CO$1)*(MONTH(Gastos!$A$2:$A$2500)=CO$3)*(Gastos!$B$2:$B$2500=$A39)*(Gastos!$D$2:$D$2500))</f>
        <v>0</v>
      </c>
      <c r="CP39" s="75">
        <f t="array" ref="CP39">SUM((YEAR(Gastos!$A$2:$A$2500)=CP$1)*(MONTH(Gastos!$A$2:$A$2500)=CP$3)*(Gastos!$B$2:$B$2500=$A39)*(Gastos!$D$2:$D$2500))</f>
        <v>0</v>
      </c>
      <c r="CQ39" s="75">
        <f t="array" ref="CQ39">SUM((YEAR(Gastos!$A$2:$A$2500)=CQ$1)*(MONTH(Gastos!$A$2:$A$2500)=CQ$3)*(Gastos!$B$2:$B$2500=$A39)*(Gastos!$D$2:$D$2500))</f>
        <v>0</v>
      </c>
      <c r="CR39" s="75">
        <f t="array" ref="CR39">SUM((YEAR(Gastos!$A$2:$A$2500)=CR$1)*(MONTH(Gastos!$A$2:$A$2500)=CR$3)*(Gastos!$B$2:$B$2500=$A39)*(Gastos!$D$2:$D$2500))</f>
        <v>0</v>
      </c>
      <c r="CS39" s="75">
        <f t="array" ref="CS39">SUM((YEAR(Gastos!$A$2:$A$2500)=CS$1)*(MONTH(Gastos!$A$2:$A$2500)=CS$3)*(Gastos!$B$2:$B$2500=$A39)*(Gastos!$D$2:$D$2500))</f>
        <v>0</v>
      </c>
      <c r="CT39" s="75">
        <f t="array" ref="CT39">SUM((YEAR(Gastos!$A$2:$A$2500)=CT$1)*(MONTH(Gastos!$A$2:$A$2500)=CT$3)*(Gastos!$B$2:$B$2500=$A39)*(Gastos!$D$2:$D$2500))</f>
        <v>0</v>
      </c>
      <c r="CU39" s="75">
        <f t="array" ref="CU39">SUM((YEAR(Gastos!$A$2:$A$2500)=CU$1)*(MONTH(Gastos!$A$2:$A$2500)=CU$3)*(Gastos!$B$2:$B$2500=$A39)*(Gastos!$D$2:$D$2500))</f>
        <v>0</v>
      </c>
      <c r="CV39" s="75">
        <f t="array" ref="CV39">SUM((YEAR(Gastos!$A$2:$A$2500)=CV$1)*(MONTH(Gastos!$A$2:$A$2500)=CV$3)*(Gastos!$B$2:$B$2500=$A39)*(Gastos!$D$2:$D$2500))</f>
        <v>0</v>
      </c>
      <c r="CW39" s="75">
        <f t="array" ref="CW39">SUM((YEAR(Gastos!$A$2:$A$2500)=CW$1)*(MONTH(Gastos!$A$2:$A$2500)=CW$3)*(Gastos!$B$2:$B$2500=$A39)*(Gastos!$D$2:$D$2500))</f>
        <v>0</v>
      </c>
      <c r="CX39" s="75">
        <f t="array" ref="CX39">SUM((YEAR(Gastos!$A$2:$A$2500)=CX$1)*(MONTH(Gastos!$A$2:$A$2500)=CX$3)*(Gastos!$B$2:$B$2500=$A39)*(Gastos!$D$2:$D$2500))</f>
        <v>0</v>
      </c>
      <c r="CY39" s="75">
        <f t="array" ref="CY39">SUM((YEAR(Gastos!$A$2:$A$2500)=CY$1)*(MONTH(Gastos!$A$2:$A$2500)=CY$3)*(Gastos!$B$2:$B$2500=$A39)*(Gastos!$D$2:$D$2500))</f>
        <v>0</v>
      </c>
      <c r="CZ39" s="75">
        <f t="array" ref="CZ39">SUM((YEAR(Gastos!$A$2:$A$2500)=CZ$1)*(MONTH(Gastos!$A$2:$A$2500)=CZ$3)*(Gastos!$B$2:$B$2500=$A39)*(Gastos!$D$2:$D$2500))</f>
        <v>0</v>
      </c>
      <c r="DA39" s="75">
        <f t="array" ref="DA39">SUM((YEAR(Gastos!$A$2:$A$2500)=DA$1)*(MONTH(Gastos!$A$2:$A$2500)=DA$3)*(Gastos!$B$2:$B$2500=$A39)*(Gastos!$D$2:$D$2500))</f>
        <v>0</v>
      </c>
      <c r="DB39" s="75">
        <f t="array" ref="DB39">SUM((YEAR(Gastos!$A$2:$A$2500)=DB$1)*(MONTH(Gastos!$A$2:$A$2500)=DB$3)*(Gastos!$B$2:$B$2500=$A39)*(Gastos!$D$2:$D$2500))</f>
        <v>0</v>
      </c>
      <c r="DC39" s="75">
        <f t="array" ref="DC39">SUM((YEAR(Gastos!$A$2:$A$2500)=DC$1)*(MONTH(Gastos!$A$2:$A$2500)=DC$3)*(Gastos!$B$2:$B$2500=$A39)*(Gastos!$D$2:$D$2500))</f>
        <v>0</v>
      </c>
      <c r="DD39" s="75">
        <f t="array" ref="DD39">SUM((YEAR(Gastos!$A$2:$A$2500)=DD$1)*(MONTH(Gastos!$A$2:$A$2500)=DD$3)*(Gastos!$B$2:$B$2500=$A39)*(Gastos!$D$2:$D$2500))</f>
        <v>0</v>
      </c>
      <c r="DE39" s="75">
        <f t="array" ref="DE39">SUM((YEAR(Gastos!$A$2:$A$2500)=DE$1)*(MONTH(Gastos!$A$2:$A$2500)=DE$3)*(Gastos!$B$2:$B$2500=$A39)*(Gastos!$D$2:$D$2500))</f>
        <v>0</v>
      </c>
      <c r="DF39" s="75">
        <f t="array" ref="DF39">SUM((YEAR(Gastos!$A$2:$A$2500)=DF$1)*(MONTH(Gastos!$A$2:$A$2500)=DF$3)*(Gastos!$B$2:$B$2500=$A39)*(Gastos!$D$2:$D$2500))</f>
        <v>0</v>
      </c>
      <c r="DG39" s="75">
        <f t="array" ref="DG39">SUM((YEAR(Gastos!$A$2:$A$2500)=DG$1)*(MONTH(Gastos!$A$2:$A$2500)=DG$3)*(Gastos!$B$2:$B$2500=$A39)*(Gastos!$D$2:$D$2500))</f>
        <v>0</v>
      </c>
      <c r="DH39" s="75">
        <f t="array" ref="DH39">SUM((YEAR(Gastos!$A$2:$A$2500)=DH$1)*(MONTH(Gastos!$A$2:$A$2500)=DH$3)*(Gastos!$B$2:$B$2500=$A39)*(Gastos!$D$2:$D$2500))</f>
        <v>0</v>
      </c>
      <c r="DI39" s="75">
        <f t="array" ref="DI39">SUM((YEAR(Gastos!$A$2:$A$2500)=DI$1)*(MONTH(Gastos!$A$2:$A$2500)=DI$3)*(Gastos!$B$2:$B$2500=$A39)*(Gastos!$D$2:$D$2500))</f>
        <v>0</v>
      </c>
      <c r="DJ39" s="75">
        <f t="array" ref="DJ39">SUM((YEAR(Gastos!$A$2:$A$2500)=DJ$1)*(MONTH(Gastos!$A$2:$A$2500)=DJ$3)*(Gastos!$B$2:$B$2500=$A39)*(Gastos!$D$2:$D$2500))</f>
        <v>0</v>
      </c>
      <c r="DK39" s="75">
        <f t="array" ref="DK39">SUM((YEAR(Gastos!$A$2:$A$2500)=DK$1)*(MONTH(Gastos!$A$2:$A$2500)=DK$3)*(Gastos!$B$2:$B$2500=$A39)*(Gastos!$D$2:$D$2500))</f>
        <v>0</v>
      </c>
      <c r="DL39" s="75">
        <f t="array" ref="DL39">SUM((YEAR(Gastos!$A$2:$A$2500)=DL$1)*(MONTH(Gastos!$A$2:$A$2500)=DL$3)*(Gastos!$B$2:$B$2500=$A39)*(Gastos!$D$2:$D$2500))</f>
        <v>0</v>
      </c>
      <c r="DM39" s="75">
        <f t="array" ref="DM39">SUM((YEAR(Gastos!$A$2:$A$2500)=DM$1)*(MONTH(Gastos!$A$2:$A$2500)=DM$3)*(Gastos!$B$2:$B$2500=$A39)*(Gastos!$D$2:$D$2500))</f>
        <v>0</v>
      </c>
      <c r="DN39" s="75">
        <f t="array" ref="DN39">SUM((YEAR(Gastos!$A$2:$A$2500)=DN$1)*(MONTH(Gastos!$A$2:$A$2500)=DN$3)*(Gastos!$B$2:$B$2500=$A39)*(Gastos!$D$2:$D$2500))</f>
        <v>0</v>
      </c>
      <c r="DO39" s="75">
        <f t="array" ref="DO39">SUM((YEAR(Gastos!$A$2:$A$2500)=DO$1)*(MONTH(Gastos!$A$2:$A$2500)=DO$3)*(Gastos!$B$2:$B$2500=$A39)*(Gastos!$D$2:$D$2500))</f>
        <v>0</v>
      </c>
      <c r="DP39" s="75">
        <f t="array" ref="DP39">SUM((YEAR(Gastos!$A$2:$A$2500)=DP$1)*(MONTH(Gastos!$A$2:$A$2500)=DP$3)*(Gastos!$B$2:$B$2500=$A39)*(Gastos!$D$2:$D$2500))</f>
        <v>0</v>
      </c>
      <c r="DQ39" s="75">
        <f t="array" ref="DQ39">SUM((YEAR(Gastos!$A$2:$A$2500)=DQ$1)*(MONTH(Gastos!$A$2:$A$2500)=DQ$3)*(Gastos!$B$2:$B$2500=$A39)*(Gastos!$D$2:$D$2500))</f>
        <v>0</v>
      </c>
      <c r="DR39" s="75">
        <f t="array" ref="DR39">SUM((YEAR(Gastos!$A$2:$A$2500)=DR$1)*(MONTH(Gastos!$A$2:$A$2500)=DR$3)*(Gastos!$B$2:$B$2500=$A39)*(Gastos!$D$2:$D$2500))</f>
        <v>0</v>
      </c>
      <c r="DS39" s="75">
        <f t="array" ref="DS39">SUM((YEAR(Gastos!$A$2:$A$2500)=DS$1)*(MONTH(Gastos!$A$2:$A$2500)=DS$3)*(Gastos!$B$2:$B$2500=$A39)*(Gastos!$D$2:$D$2500))</f>
        <v>0</v>
      </c>
      <c r="DT39" s="75">
        <f t="array" ref="DT39">SUM((YEAR(Gastos!$A$2:$A$2500)=DT$1)*(MONTH(Gastos!$A$2:$A$2500)=DT$3)*(Gastos!$B$2:$B$2500=$A39)*(Gastos!$D$2:$D$2500))</f>
        <v>0</v>
      </c>
      <c r="DU39" s="75">
        <f t="array" ref="DU39">SUM((YEAR(Gastos!$A$2:$A$2500)=DU$1)*(MONTH(Gastos!$A$2:$A$2500)=DU$3)*(Gastos!$B$2:$B$2500=$A39)*(Gastos!$D$2:$D$2500))</f>
        <v>0</v>
      </c>
      <c r="DV39" s="75">
        <f t="array" ref="DV39">SUM((YEAR(Gastos!$A$2:$A$2500)=DV$1)*(MONTH(Gastos!$A$2:$A$2500)=DV$3)*(Gastos!$B$2:$B$2500=$A39)*(Gastos!$D$2:$D$2500))</f>
        <v>0</v>
      </c>
      <c r="DW39" s="75">
        <f t="array" ref="DW39">SUM((YEAR(Gastos!$A$2:$A$2500)=DW$1)*(MONTH(Gastos!$A$2:$A$2500)=DW$3)*(Gastos!$B$2:$B$2500=$A39)*(Gastos!$D$2:$D$2500))</f>
        <v>0</v>
      </c>
      <c r="DX39" s="75">
        <f t="array" ref="DX39">SUM((YEAR(Gastos!$A$2:$A$2500)=DX$1)*(MONTH(Gastos!$A$2:$A$2500)=DX$3)*(Gastos!$B$2:$B$2500=$A39)*(Gastos!$D$2:$D$2500))</f>
        <v>0</v>
      </c>
      <c r="DY39" s="75">
        <f t="array" ref="DY39">SUM((YEAR(Gastos!$A$2:$A$2500)=DY$1)*(MONTH(Gastos!$A$2:$A$2500)=DY$3)*(Gastos!$B$2:$B$2500=$A39)*(Gastos!$D$2:$D$2500))</f>
        <v>0</v>
      </c>
      <c r="DZ39" s="75">
        <f t="array" ref="DZ39">SUM((YEAR(Gastos!$A$2:$A$2500)=DZ$1)*(MONTH(Gastos!$A$2:$A$2500)=DZ$3)*(Gastos!$B$2:$B$2500=$A39)*(Gastos!$D$2:$D$2500))</f>
        <v>0</v>
      </c>
      <c r="EA39" s="75">
        <f t="array" ref="EA39">SUM((YEAR(Gastos!$A$2:$A$2500)=EA$1)*(MONTH(Gastos!$A$2:$A$2500)=EA$3)*(Gastos!$B$2:$B$2500=$A39)*(Gastos!$D$2:$D$2500))</f>
        <v>0</v>
      </c>
      <c r="EB39" s="75">
        <f t="array" ref="EB39">SUM((YEAR(Gastos!$A$2:$A$2500)=EB$1)*(MONTH(Gastos!$A$2:$A$2500)=EB$3)*(Gastos!$B$2:$B$2500=$A39)*(Gastos!$D$2:$D$2500))</f>
        <v>0</v>
      </c>
      <c r="EC39" s="75">
        <f t="array" ref="EC39">SUM((YEAR(Gastos!$A$2:$A$2500)=EC$1)*(MONTH(Gastos!$A$2:$A$2500)=EC$3)*(Gastos!$B$2:$B$2500=$A39)*(Gastos!$D$2:$D$2500))</f>
        <v>0</v>
      </c>
      <c r="ED39" s="75">
        <f t="array" ref="ED39">SUM((YEAR(Gastos!$A$2:$A$2500)=ED$1)*(MONTH(Gastos!$A$2:$A$2500)=ED$3)*(Gastos!$B$2:$B$2500=$A39)*(Gastos!$D$2:$D$2500))</f>
        <v>0</v>
      </c>
      <c r="EE39" s="75">
        <f t="array" ref="EE39">SUM((YEAR(Gastos!$A$2:$A$2500)=EE$1)*(MONTH(Gastos!$A$2:$A$2500)=EE$3)*(Gastos!$B$2:$B$2500=$A39)*(Gastos!$D$2:$D$2500))</f>
        <v>0</v>
      </c>
      <c r="EF39" s="75">
        <f t="array" ref="EF39">SUM((YEAR(Gastos!$A$2:$A$2500)=EF$1)*(MONTH(Gastos!$A$2:$A$2500)=EF$3)*(Gastos!$B$2:$B$2500=$A39)*(Gastos!$D$2:$D$2500))</f>
        <v>0</v>
      </c>
      <c r="EG39" s="75">
        <f t="array" ref="EG39">SUM((YEAR(Gastos!$A$2:$A$2500)=EG$1)*(MONTH(Gastos!$A$2:$A$2500)=EG$3)*(Gastos!$B$2:$B$2500=$A39)*(Gastos!$D$2:$D$2500))</f>
        <v>0</v>
      </c>
      <c r="EH39" s="75">
        <f t="array" ref="EH39">SUM((YEAR(Gastos!$A$2:$A$2500)=EH$1)*(MONTH(Gastos!$A$2:$A$2500)=EH$3)*(Gastos!$B$2:$B$2500=$A39)*(Gastos!$D$2:$D$2500))</f>
        <v>0</v>
      </c>
      <c r="EI39" s="75">
        <f t="array" ref="EI39">SUM((YEAR(Gastos!$A$2:$A$2500)=EI$1)*(MONTH(Gastos!$A$2:$A$2500)=EI$3)*(Gastos!$B$2:$B$2500=$A39)*(Gastos!$D$2:$D$2500))</f>
        <v>0</v>
      </c>
      <c r="EJ39" s="75">
        <f t="array" ref="EJ39">SUM((YEAR(Gastos!$A$2:$A$2500)=EJ$1)*(MONTH(Gastos!$A$2:$A$2500)=EJ$3)*(Gastos!$B$2:$B$2500=$A39)*(Gastos!$D$2:$D$2500))</f>
        <v>0</v>
      </c>
      <c r="EK39" s="75">
        <f t="array" ref="EK39">SUM((YEAR(Gastos!$A$2:$A$2500)=EK$1)*(MONTH(Gastos!$A$2:$A$2500)=EK$3)*(Gastos!$B$2:$B$2500=$A39)*(Gastos!$D$2:$D$2500))</f>
        <v>0</v>
      </c>
      <c r="EL39" s="75">
        <f t="array" ref="EL39">SUM((YEAR(Gastos!$A$2:$A$2500)=EL$1)*(MONTH(Gastos!$A$2:$A$2500)=EL$3)*(Gastos!$B$2:$B$2500=$A39)*(Gastos!$D$2:$D$2500))</f>
        <v>0</v>
      </c>
      <c r="EM39" s="75">
        <f t="array" ref="EM39">SUM((YEAR(Gastos!$A$2:$A$2500)=EM$1)*(MONTH(Gastos!$A$2:$A$2500)=EM$3)*(Gastos!$B$2:$B$2500=$A39)*(Gastos!$D$2:$D$2500))</f>
        <v>1050.24</v>
      </c>
      <c r="EN39" s="75">
        <f t="array" ref="EN39">SUM((YEAR(Gastos!$A$2:$A$2500)=EN$1)*(MONTH(Gastos!$A$2:$A$2500)=EN$3)*(Gastos!$B$2:$B$2500=$A39)*(Gastos!$D$2:$D$2500))</f>
        <v>1050</v>
      </c>
      <c r="EO39" s="75">
        <f t="array" ref="EO39">SUM((YEAR(Gastos!$A$2:$A$2500)=EO$1)*(MONTH(Gastos!$A$2:$A$2500)=EO$3)*(Gastos!$B$2:$B$2500=$A39)*(Gastos!$D$2:$D$2500))</f>
        <v>0</v>
      </c>
      <c r="EP39" s="75">
        <f t="array" ref="EP39">SUM((YEAR(Gastos!$A$2:$A$2500)=EP$1)*(MONTH(Gastos!$A$2:$A$2500)=EP$3)*(Gastos!$B$2:$B$2500=$A39)*(Gastos!$D$2:$D$2500))</f>
        <v>0</v>
      </c>
      <c r="EQ39" s="75">
        <f t="array" ref="EQ39">SUM((YEAR(Gastos!$A$2:$A$2500)=EQ$1)*(MONTH(Gastos!$A$2:$A$2500)=EQ$3)*(Gastos!$B$2:$B$2500=$A39)*(Gastos!$D$2:$D$2500))</f>
        <v>0</v>
      </c>
      <c r="ER39" s="75">
        <f t="array" ref="ER39">SUM((YEAR(Gastos!$A$2:$A$2500)=ER$1)*(MONTH(Gastos!$A$2:$A$2500)=ER$3)*(Gastos!$B$2:$B$2500=$A39)*(Gastos!$D$2:$D$2500))</f>
        <v>0</v>
      </c>
      <c r="ES39" s="75">
        <f t="array" ref="ES39">SUM((YEAR(Gastos!$A$2:$A$2500)=ES$1)*(MONTH(Gastos!$A$2:$A$2500)=ES$3)*(Gastos!$B$2:$B$2500=$A39)*(Gastos!$D$2:$D$2500))</f>
        <v>0</v>
      </c>
      <c r="ET39" s="75">
        <f t="array" ref="ET39">SUM((YEAR(Gastos!$A$2:$A$2500)=ET$1)*(MONTH(Gastos!$A$2:$A$2500)=ET$3)*(Gastos!$B$2:$B$2500=$A39)*(Gastos!$D$2:$D$2500))</f>
        <v>0</v>
      </c>
      <c r="EU39" s="75">
        <f t="array" ref="EU39">SUM((YEAR(Gastos!$A$2:$A$2500)=EU$1)*(MONTH(Gastos!$A$2:$A$2500)=EU$3)*(Gastos!$B$2:$B$2500=$A39)*(Gastos!$D$2:$D$2500))</f>
        <v>0</v>
      </c>
      <c r="EV39" s="75">
        <f t="array" ref="EV39">SUM((YEAR(Gastos!$A$2:$A$2500)=EV$1)*(MONTH(Gastos!$A$2:$A$2500)=EV$3)*(Gastos!$B$2:$B$2500=$A39)*(Gastos!$D$2:$D$2500))</f>
        <v>0</v>
      </c>
      <c r="EW39" s="75">
        <f t="array" ref="EW39">SUM((YEAR(Gastos!$A$2:$A$2500)=EW$1)*(MONTH(Gastos!$A$2:$A$2500)=EW$3)*(Gastos!$B$2:$B$2500=$A39)*(Gastos!$D$2:$D$2500))</f>
        <v>0</v>
      </c>
      <c r="EX39" s="75">
        <f t="array" ref="EX39">SUM((YEAR(Gastos!$A$2:$A$2500)=EX$1)*(MONTH(Gastos!$A$2:$A$2500)=EX$3)*(Gastos!$B$2:$B$2500=$A39)*(Gastos!$D$2:$D$2500))</f>
        <v>0</v>
      </c>
      <c r="EY39" s="75">
        <f t="array" ref="EY39">SUM((YEAR(Gastos!$A$2:$A$2500)=EY$1)*(MONTH(Gastos!$A$2:$A$2500)=EY$3)*(Gastos!$B$2:$B$2500=$A39)*(Gastos!$D$2:$D$2500))</f>
        <v>0</v>
      </c>
      <c r="EZ39" s="75">
        <f t="array" ref="EZ39">SUM((YEAR(Gastos!$A$2:$A$2500)=EZ$1)*(MONTH(Gastos!$A$2:$A$2500)=EZ$3)*(Gastos!$B$2:$B$2500=$A39)*(Gastos!$D$2:$D$2500))</f>
        <v>0</v>
      </c>
      <c r="FA39" s="75">
        <f t="array" ref="FA39">SUM((YEAR(Gastos!$A$2:$A$2500)=FA$1)*(MONTH(Gastos!$A$2:$A$2500)=FA$3)*(Gastos!$B$2:$B$2500=$A39)*(Gastos!$D$2:$D$2500))</f>
        <v>0</v>
      </c>
      <c r="FB39" s="75">
        <f t="array" ref="FB39">SUM((YEAR(Gastos!$A$2:$A$2500)=FB$1)*(MONTH(Gastos!$A$2:$A$2500)=FB$3)*(Gastos!$B$2:$B$2500=$A39)*(Gastos!$D$2:$D$2500))</f>
        <v>0</v>
      </c>
      <c r="FC39" s="75">
        <f t="array" ref="FC39">SUM((YEAR(Gastos!$A$2:$A$2500)=FC$1)*(MONTH(Gastos!$A$2:$A$2500)=FC$3)*(Gastos!$B$2:$B$2500=$A39)*(Gastos!$D$2:$D$2500))</f>
        <v>0</v>
      </c>
      <c r="FD39" s="75">
        <f t="array" ref="FD39">SUM((YEAR(Gastos!$A$2:$A$2500)=FD$1)*(MONTH(Gastos!$A$2:$A$2500)=FD$3)*(Gastos!$B$2:$B$2500=$A39)*(Gastos!$D$2:$D$2500))</f>
        <v>0</v>
      </c>
      <c r="FE39" s="75">
        <f t="array" ref="FE39">SUM((YEAR(Gastos!$A$2:$A$2500)=FE$1)*(MONTH(Gastos!$A$2:$A$2500)=FE$3)*(Gastos!$B$2:$B$2500=$A39)*(Gastos!$D$2:$D$2500))</f>
        <v>0</v>
      </c>
      <c r="FF39" s="75">
        <f t="array" ref="FF39">SUM((YEAR(Gastos!$A$2:$A$2500)=FF$1)*(MONTH(Gastos!$A$2:$A$2500)=FF$3)*(Gastos!$B$2:$B$2500=$A39)*(Gastos!$D$2:$D$2500))</f>
        <v>0</v>
      </c>
      <c r="FG39" s="75">
        <f t="array" ref="FG39">SUM((YEAR(Gastos!$A$2:$A$2500)=FG$1)*(MONTH(Gastos!$A$2:$A$2500)=FG$3)*(Gastos!$B$2:$B$2500=$A39)*(Gastos!$D$2:$D$2500))</f>
        <v>0</v>
      </c>
      <c r="FH39" s="75">
        <f t="array" ref="FH39">SUM((YEAR(Gastos!$A$2:$A$2500)=FH$1)*(MONTH(Gastos!$A$2:$A$2500)=FH$3)*(Gastos!$B$2:$B$2500=$A39)*(Gastos!$D$2:$D$2500))</f>
        <v>0</v>
      </c>
      <c r="FI39" s="75">
        <f t="array" ref="FI39">SUM((YEAR(Gastos!$A$2:$A$2500)=FI$1)*(MONTH(Gastos!$A$2:$A$2500)=FI$3)*(Gastos!$B$2:$B$2500=$A39)*(Gastos!$D$2:$D$2500))</f>
        <v>0</v>
      </c>
      <c r="FJ39" s="75">
        <f t="array" ref="FJ39">SUM((YEAR(Gastos!$A$2:$A$2500)=FJ$1)*(MONTH(Gastos!$A$2:$A$2500)=FJ$3)*(Gastos!$B$2:$B$2500=$A39)*(Gastos!$D$2:$D$2500))</f>
        <v>0</v>
      </c>
      <c r="FK39" s="75">
        <f t="array" ref="FK39">SUM((YEAR(Gastos!$A$2:$A$2500)=FK$1)*(MONTH(Gastos!$A$2:$A$2500)=FK$3)*(Gastos!$B$2:$B$2500=$A39)*(Gastos!$D$2:$D$2500))</f>
        <v>0</v>
      </c>
      <c r="FL39" s="75">
        <f t="array" ref="FL39">SUM((YEAR(Gastos!$A$2:$A$2500)=FL$1)*(MONTH(Gastos!$A$2:$A$2500)=FL$3)*(Gastos!$B$2:$B$2500=$A39)*(Gastos!$D$2:$D$2500))</f>
        <v>0</v>
      </c>
      <c r="FM39" s="75">
        <f t="array" ref="FM39">SUM((YEAR(Gastos!$A$2:$A$2500)=FM$1)*(MONTH(Gastos!$A$2:$A$2500)=FM$3)*(Gastos!$B$2:$B$2500=$A39)*(Gastos!$D$2:$D$2500))</f>
        <v>0</v>
      </c>
      <c r="FN39" s="75">
        <f t="array" ref="FN39">SUM((YEAR(Gastos!$A$2:$A$2500)=FN$1)*(MONTH(Gastos!$A$2:$A$2500)=FN$3)*(Gastos!$B$2:$B$2500=$A39)*(Gastos!$D$2:$D$2500))</f>
        <v>0</v>
      </c>
      <c r="FO39" s="75">
        <f t="array" ref="FO39">SUM((YEAR(Gastos!$A$2:$A$2500)=FO$1)*(MONTH(Gastos!$A$2:$A$2500)=FO$3)*(Gastos!$B$2:$B$2500=$A39)*(Gastos!$D$2:$D$2500))</f>
        <v>0</v>
      </c>
      <c r="FP39" s="75">
        <f t="array" ref="FP39">SUM((YEAR(Gastos!$A$2:$A$2500)=FP$1)*(MONTH(Gastos!$A$2:$A$2500)=FP$3)*(Gastos!$B$2:$B$2500=$A39)*(Gastos!$D$2:$D$2500))</f>
        <v>0</v>
      </c>
      <c r="FQ39" s="75">
        <f t="array" ref="FQ39">SUM((YEAR(Gastos!$A$2:$A$2500)=FQ$1)*(MONTH(Gastos!$A$2:$A$2500)=FQ$3)*(Gastos!$B$2:$B$2500=$A39)*(Gastos!$D$2:$D$2500))</f>
        <v>0</v>
      </c>
      <c r="FR39" s="75">
        <f t="array" ref="FR39">SUM((YEAR(Gastos!$A$2:$A$2500)=FR$1)*(MONTH(Gastos!$A$2:$A$2500)=FR$3)*(Gastos!$B$2:$B$2500=$A39)*(Gastos!$D$2:$D$2500))</f>
        <v>0</v>
      </c>
      <c r="FS39" s="75">
        <f t="array" ref="FS39">SUM((YEAR(Gastos!$A$2:$A$2500)=FS$1)*(MONTH(Gastos!$A$2:$A$2500)=FS$3)*(Gastos!$B$2:$B$2500=$A39)*(Gastos!$D$2:$D$2500))</f>
        <v>0</v>
      </c>
      <c r="FT39" s="75">
        <f t="array" ref="FT39">SUM((YEAR(Gastos!$A$2:$A$2500)=FT$1)*(MONTH(Gastos!$A$2:$A$2500)=FT$3)*(Gastos!$B$2:$B$2500=$A39)*(Gastos!$D$2:$D$2500))</f>
        <v>0</v>
      </c>
      <c r="FU39" s="75">
        <f t="array" ref="FU39">SUM((YEAR(Gastos!$A$2:$A$2500)=FU$1)*(MONTH(Gastos!$A$2:$A$2500)=FU$3)*(Gastos!$B$2:$B$2500=$A39)*(Gastos!$D$2:$D$2500))</f>
        <v>0</v>
      </c>
      <c r="FV39" s="75">
        <f t="array" ref="FV39">SUM((YEAR(Gastos!$A$2:$A$2500)=FV$1)*(MONTH(Gastos!$A$2:$A$2500)=FV$3)*(Gastos!$B$2:$B$2500=$A39)*(Gastos!$D$2:$D$2500))</f>
        <v>0</v>
      </c>
      <c r="FW39" s="75">
        <f t="array" ref="FW39">SUM((YEAR(Gastos!$A$2:$A$2500)=FW$1)*(MONTH(Gastos!$A$2:$A$2500)=FW$3)*(Gastos!$B$2:$B$2500=$A39)*(Gastos!$D$2:$D$2500))</f>
        <v>0</v>
      </c>
      <c r="FX39" s="75">
        <f t="array" ref="FX39">SUM((YEAR(Gastos!$A$2:$A$2500)=FX$1)*(MONTH(Gastos!$A$2:$A$2500)=FX$3)*(Gastos!$B$2:$B$2500=$A39)*(Gastos!$D$2:$D$2500))</f>
        <v>0</v>
      </c>
      <c r="FY39" s="75">
        <f t="array" ref="FY39">SUM((YEAR(Gastos!$A$2:$A$2500)=FY$1)*(MONTH(Gastos!$A$2:$A$2500)=FY$3)*(Gastos!$B$2:$B$2500=$A39)*(Gastos!$D$2:$D$2500))</f>
        <v>0</v>
      </c>
      <c r="FZ39" s="76">
        <f t="shared" si="65"/>
        <v>148754.19000000003</v>
      </c>
      <c r="GA39" s="80"/>
      <c r="GB39" s="78">
        <f t="shared" si="66"/>
        <v>29915.289999999997</v>
      </c>
      <c r="GF39" s="79">
        <f t="array" ref="GF39">SUM(((Gastos!$A$2:$A$1647)&gt;=GD$3)*((Gastos!$A$2:$A$1647)&lt;=GF$3)*(Gastos!$B$2:$B$1647=$A39)*(Gastos!$D$2:$D$1647))</f>
        <v>29915.289999999997</v>
      </c>
      <c r="GI39" s="79">
        <f t="array" ref="GI39">SUM(((Gastos!$A$2:$A$1647)&gt;=GG$3)*((Gastos!$A$2:$A$1647)&lt;=GI$3)*(Gastos!$B$2:$B$1647=$A39)*(Gastos!$D$2:$D$1647))</f>
        <v>0</v>
      </c>
    </row>
    <row r="40" spans="1:191" ht="15" thickBot="1" x14ac:dyDescent="0.4">
      <c r="A40" s="74" t="str">
        <f>Gastos!AA38</f>
        <v>V. PAGO CUENTA DE TERCERO</v>
      </c>
      <c r="B40" s="75">
        <f t="array" ref="B40">SUM((YEAR(Gastos!$A$2:$A$2500)=B$1)*(MONTH(Gastos!$A$2:$A$2500)=B$3)*(Gastos!$B$2:$B$2500=$A40)*(Gastos!$D$2:$D$2500))</f>
        <v>0</v>
      </c>
      <c r="C40" s="75">
        <f t="array" ref="C40">SUM((YEAR(Gastos!$A$2:$A$2500)=C$1)*(MONTH(Gastos!$A$2:$A$2500)=C$3)*(Gastos!$B$2:$B$2500=$A40)*(Gastos!$D$2:$D$2500))</f>
        <v>0</v>
      </c>
      <c r="D40" s="75">
        <f t="array" ref="D40">SUM((YEAR(Gastos!$A$2:$A$2500)=D$1)*(MONTH(Gastos!$A$2:$A$2500)=D$3)*(Gastos!$B$2:$B$2500=$A40)*(Gastos!$D$2:$D$2500))</f>
        <v>0</v>
      </c>
      <c r="E40" s="75">
        <f t="array" ref="E40">SUM((YEAR(Gastos!$A$2:$A$2500)=E$1)*(MONTH(Gastos!$A$2:$A$2500)=E$3)*(Gastos!$B$2:$B$2500=$A40)*(Gastos!$D$2:$D$2500))</f>
        <v>0</v>
      </c>
      <c r="F40" s="75">
        <f t="array" ref="F40">SUM((YEAR(Gastos!$A$2:$A$2500)=F$1)*(MONTH(Gastos!$A$2:$A$2500)=F$3)*(Gastos!$B$2:$B$2500=$A40)*(Gastos!$D$2:$D$2500))</f>
        <v>0</v>
      </c>
      <c r="G40" s="75">
        <f t="array" ref="G40">SUM((YEAR(Gastos!$A$2:$A$2500)=G$1)*(MONTH(Gastos!$A$2:$A$2500)=G$3)*(Gastos!$B$2:$B$2500=$A40)*(Gastos!$D$2:$D$2500))</f>
        <v>0</v>
      </c>
      <c r="H40" s="75">
        <f t="array" ref="H40">SUM((YEAR(Gastos!$A$2:$A$2500)=H$1)*(MONTH(Gastos!$A$2:$A$2500)=H$3)*(Gastos!$B$2:$B$2500=$A40)*(Gastos!$D$2:$D$2500))</f>
        <v>0</v>
      </c>
      <c r="I40" s="75">
        <f t="array" ref="I40">SUM((YEAR(Gastos!$A$2:$A$2500)=I$1)*(MONTH(Gastos!$A$2:$A$2500)=I$3)*(Gastos!$B$2:$B$2500=$A40)*(Gastos!$D$2:$D$2500))</f>
        <v>0</v>
      </c>
      <c r="J40" s="75">
        <f t="array" ref="J40">SUM((YEAR(Gastos!$A$2:$A$2500)=J$1)*(MONTH(Gastos!$A$2:$A$2500)=J$3)*(Gastos!$B$2:$B$2500=$A40)*(Gastos!$D$2:$D$2500))</f>
        <v>0</v>
      </c>
      <c r="K40" s="75">
        <f t="array" ref="K40">SUM((YEAR(Gastos!$A$2:$A$2500)=K$1)*(MONTH(Gastos!$A$2:$A$2500)=K$3)*(Gastos!$B$2:$B$2500=$A40)*(Gastos!$D$2:$D$2500))</f>
        <v>0</v>
      </c>
      <c r="L40" s="75">
        <f t="array" ref="L40">SUM((YEAR(Gastos!$A$2:$A$2500)=L$1)*(MONTH(Gastos!$A$2:$A$2500)=L$3)*(Gastos!$B$2:$B$2500=$A40)*(Gastos!$D$2:$D$2500))</f>
        <v>0</v>
      </c>
      <c r="M40" s="75">
        <f t="array" ref="M40">SUM((YEAR(Gastos!$A$2:$A$2500)=M$1)*(MONTH(Gastos!$A$2:$A$2500)=M$3)*(Gastos!$B$2:$B$2500=$A40)*(Gastos!$D$2:$D$2500))</f>
        <v>0</v>
      </c>
      <c r="N40" s="75">
        <f t="array" ref="N40">SUM((YEAR(Gastos!$A$2:$A$2500)=N$1)*(MONTH(Gastos!$A$2:$A$2500)=N$3)*(Gastos!$B$2:$B$2500=$A40)*(Gastos!$D$2:$D$2500))</f>
        <v>0</v>
      </c>
      <c r="O40" s="75">
        <f t="array" ref="O40">SUM((YEAR(Gastos!$A$2:$A$2500)=O$1)*(MONTH(Gastos!$A$2:$A$2500)=O$3)*(Gastos!$B$2:$B$2500=$A40)*(Gastos!$D$2:$D$2500))</f>
        <v>0</v>
      </c>
      <c r="P40" s="75">
        <f t="array" ref="P40">SUM((YEAR(Gastos!$A$2:$A$2500)=P$1)*(MONTH(Gastos!$A$2:$A$2500)=P$3)*(Gastos!$B$2:$B$2500=$A40)*(Gastos!$D$2:$D$2500))</f>
        <v>0</v>
      </c>
      <c r="Q40" s="75">
        <f t="array" ref="Q40">SUM((YEAR(Gastos!$A$2:$A$2500)=Q$1)*(MONTH(Gastos!$A$2:$A$2500)=Q$3)*(Gastos!$B$2:$B$2500=$A40)*(Gastos!$D$2:$D$2500))</f>
        <v>0</v>
      </c>
      <c r="R40" s="75">
        <f t="array" ref="R40">SUM((YEAR(Gastos!$A$2:$A$2500)=R$1)*(MONTH(Gastos!$A$2:$A$2500)=R$3)*(Gastos!$B$2:$B$2500=$A40)*(Gastos!$D$2:$D$2500))</f>
        <v>0</v>
      </c>
      <c r="S40" s="75">
        <f t="array" ref="S40">SUM((YEAR(Gastos!$A$2:$A$2500)=S$1)*(MONTH(Gastos!$A$2:$A$2500)=S$3)*(Gastos!$B$2:$B$2500=$A40)*(Gastos!$D$2:$D$2500))</f>
        <v>0</v>
      </c>
      <c r="T40" s="75">
        <f t="array" ref="T40">SUM((YEAR(Gastos!$A$2:$A$2500)=T$1)*(MONTH(Gastos!$A$2:$A$2500)=T$3)*(Gastos!$B$2:$B$2500=$A40)*(Gastos!$D$2:$D$2500))</f>
        <v>0</v>
      </c>
      <c r="U40" s="75">
        <f t="array" ref="U40">SUM((YEAR(Gastos!$A$2:$A$2500)=U$1)*(MONTH(Gastos!$A$2:$A$2500)=U$3)*(Gastos!$B$2:$B$2500=$A40)*(Gastos!$D$2:$D$2500))</f>
        <v>0</v>
      </c>
      <c r="V40" s="75">
        <f t="array" ref="V40">SUM((YEAR(Gastos!$A$2:$A$2500)=V$1)*(MONTH(Gastos!$A$2:$A$2500)=V$3)*(Gastos!$B$2:$B$2500=$A40)*(Gastos!$D$2:$D$2500))</f>
        <v>0</v>
      </c>
      <c r="W40" s="75">
        <f t="array" ref="W40">SUM((YEAR(Gastos!$A$2:$A$2500)=W$1)*(MONTH(Gastos!$A$2:$A$2500)=W$3)*(Gastos!$B$2:$B$2500=$A40)*(Gastos!$D$2:$D$2500))</f>
        <v>0</v>
      </c>
      <c r="X40" s="75">
        <f t="array" ref="X40">SUM((YEAR(Gastos!$A$2:$A$2500)=X$1)*(MONTH(Gastos!$A$2:$A$2500)=X$3)*(Gastos!$B$2:$B$2500=$A40)*(Gastos!$D$2:$D$2500))</f>
        <v>0</v>
      </c>
      <c r="Y40" s="75">
        <f t="array" ref="Y40">SUM((YEAR(Gastos!$A$2:$A$2500)=Y$1)*(MONTH(Gastos!$A$2:$A$2500)=Y$3)*(Gastos!$B$2:$B$2500=$A40)*(Gastos!$D$2:$D$2500))</f>
        <v>0</v>
      </c>
      <c r="Z40" s="75">
        <f t="array" ref="Z40">SUM((YEAR(Gastos!$A$2:$A$2500)=Z$1)*(MONTH(Gastos!$A$2:$A$2500)=Z$3)*(Gastos!$B$2:$B$2500=$A40)*(Gastos!$D$2:$D$2500))</f>
        <v>0</v>
      </c>
      <c r="AA40" s="75">
        <f t="array" ref="AA40">SUM((YEAR(Gastos!$A$2:$A$2500)=AA$1)*(MONTH(Gastos!$A$2:$A$2500)=AA$3)*(Gastos!$B$2:$B$2500=$A40)*(Gastos!$D$2:$D$2500))</f>
        <v>0</v>
      </c>
      <c r="AB40" s="75">
        <f t="array" ref="AB40">SUM((YEAR(Gastos!$A$2:$A$2500)=AB$1)*(MONTH(Gastos!$A$2:$A$2500)=AB$3)*(Gastos!$B$2:$B$2500=$A40)*(Gastos!$D$2:$D$2500))</f>
        <v>0</v>
      </c>
      <c r="AC40" s="75">
        <f t="array" ref="AC40">SUM((YEAR(Gastos!$A$2:$A$2500)=AC$1)*(MONTH(Gastos!$A$2:$A$2500)=AC$3)*(Gastos!$B$2:$B$2500=$A40)*(Gastos!$D$2:$D$2500))</f>
        <v>0</v>
      </c>
      <c r="AD40" s="75">
        <f t="array" ref="AD40">SUM((YEAR(Gastos!$A$2:$A$2500)=AD$1)*(MONTH(Gastos!$A$2:$A$2500)=AD$3)*(Gastos!$B$2:$B$2500=$A40)*(Gastos!$D$2:$D$2500))</f>
        <v>0</v>
      </c>
      <c r="AE40" s="75">
        <f t="array" ref="AE40">SUM((YEAR(Gastos!$A$2:$A$2500)=AE$1)*(MONTH(Gastos!$A$2:$A$2500)=AE$3)*(Gastos!$B$2:$B$2500=$A40)*(Gastos!$D$2:$D$2500))</f>
        <v>0</v>
      </c>
      <c r="AF40" s="75">
        <f t="array" ref="AF40">SUM((YEAR(Gastos!$A$2:$A$2500)=AF$1)*(MONTH(Gastos!$A$2:$A$2500)=AF$3)*(Gastos!$B$2:$B$2500=$A40)*(Gastos!$D$2:$D$2500))</f>
        <v>0</v>
      </c>
      <c r="AG40" s="75">
        <f t="array" ref="AG40">SUM((YEAR(Gastos!$A$2:$A$2500)=AG$1)*(MONTH(Gastos!$A$2:$A$2500)=AG$3)*(Gastos!$B$2:$B$2500=$A40)*(Gastos!$D$2:$D$2500))</f>
        <v>0</v>
      </c>
      <c r="AH40" s="75">
        <f t="array" ref="AH40">SUM((YEAR(Gastos!$A$2:$A$2500)=AH$1)*(MONTH(Gastos!$A$2:$A$2500)=AH$3)*(Gastos!$B$2:$B$2500=$A40)*(Gastos!$D$2:$D$2500))</f>
        <v>0</v>
      </c>
      <c r="AI40" s="75">
        <f t="array" ref="AI40">SUM((YEAR(Gastos!$A$2:$A$2500)=AI$1)*(MONTH(Gastos!$A$2:$A$2500)=AI$3)*(Gastos!$B$2:$B$2500=$A40)*(Gastos!$D$2:$D$2500))</f>
        <v>0</v>
      </c>
      <c r="AJ40" s="75">
        <f t="array" ref="AJ40">SUM((YEAR(Gastos!$A$2:$A$2500)=AJ$1)*(MONTH(Gastos!$A$2:$A$2500)=AJ$3)*(Gastos!$B$2:$B$2500=$A40)*(Gastos!$D$2:$D$2500))</f>
        <v>0</v>
      </c>
      <c r="AK40" s="75">
        <f t="array" ref="AK40">SUM((YEAR(Gastos!$A$2:$A$2500)=AK$1)*(MONTH(Gastos!$A$2:$A$2500)=AK$3)*(Gastos!$B$2:$B$2500=$A40)*(Gastos!$D$2:$D$2500))</f>
        <v>0</v>
      </c>
      <c r="AL40" s="75">
        <f t="array" ref="AL40">SUM((YEAR(Gastos!$A$2:$A$2500)=AL$1)*(MONTH(Gastos!$A$2:$A$2500)=AL$3)*(Gastos!$B$2:$B$2500=$A40)*(Gastos!$D$2:$D$2500))</f>
        <v>0</v>
      </c>
      <c r="AM40" s="75">
        <f t="array" ref="AM40">SUM((YEAR(Gastos!$A$2:$A$2500)=AM$1)*(MONTH(Gastos!$A$2:$A$2500)=AM$3)*(Gastos!$B$2:$B$2500=$A40)*(Gastos!$D$2:$D$2500))</f>
        <v>0</v>
      </c>
      <c r="AN40" s="75">
        <f t="array" ref="AN40">SUM((YEAR(Gastos!$A$2:$A$2500)=AN$1)*(MONTH(Gastos!$A$2:$A$2500)=AN$3)*(Gastos!$B$2:$B$2500=$A40)*(Gastos!$D$2:$D$2500))</f>
        <v>0</v>
      </c>
      <c r="AO40" s="75">
        <f t="array" ref="AO40">SUM((YEAR(Gastos!$A$2:$A$2500)=AO$1)*(MONTH(Gastos!$A$2:$A$2500)=AO$3)*(Gastos!$B$2:$B$2500=$A40)*(Gastos!$D$2:$D$2500))</f>
        <v>0</v>
      </c>
      <c r="AP40" s="75">
        <f t="array" ref="AP40">SUM((YEAR(Gastos!$A$2:$A$2500)=AP$1)*(MONTH(Gastos!$A$2:$A$2500)=AP$3)*(Gastos!$B$2:$B$2500=$A40)*(Gastos!$D$2:$D$2500))</f>
        <v>0</v>
      </c>
      <c r="AQ40" s="75">
        <f t="array" ref="AQ40">SUM((YEAR(Gastos!$A$2:$A$2500)=AQ$1)*(MONTH(Gastos!$A$2:$A$2500)=AQ$3)*(Gastos!$B$2:$B$2500=$A40)*(Gastos!$D$2:$D$2500))</f>
        <v>0</v>
      </c>
      <c r="AR40" s="75">
        <f t="array" ref="AR40">SUM((YEAR(Gastos!$A$2:$A$2500)=AR$1)*(MONTH(Gastos!$A$2:$A$2500)=AR$3)*(Gastos!$B$2:$B$2500=$A40)*(Gastos!$D$2:$D$2500))</f>
        <v>0</v>
      </c>
      <c r="AS40" s="75">
        <f t="array" ref="AS40">SUM((YEAR(Gastos!$A$2:$A$2500)=AS$1)*(MONTH(Gastos!$A$2:$A$2500)=AS$3)*(Gastos!$B$2:$B$2500=$A40)*(Gastos!$D$2:$D$2500))</f>
        <v>0</v>
      </c>
      <c r="AT40" s="75">
        <f t="array" ref="AT40">SUM((YEAR(Gastos!$A$2:$A$2500)=AT$1)*(MONTH(Gastos!$A$2:$A$2500)=AT$3)*(Gastos!$B$2:$B$2500=$A40)*(Gastos!$D$2:$D$2500))</f>
        <v>0</v>
      </c>
      <c r="AU40" s="75">
        <f t="array" ref="AU40">SUM((YEAR(Gastos!$A$2:$A$2500)=AU$1)*(MONTH(Gastos!$A$2:$A$2500)=AU$3)*(Gastos!$B$2:$B$2500=$A40)*(Gastos!$D$2:$D$2500))</f>
        <v>0</v>
      </c>
      <c r="AV40" s="75">
        <f t="array" ref="AV40">SUM((YEAR(Gastos!$A$2:$A$2500)=AV$1)*(MONTH(Gastos!$A$2:$A$2500)=AV$3)*(Gastos!$B$2:$B$2500=$A40)*(Gastos!$D$2:$D$2500))</f>
        <v>0</v>
      </c>
      <c r="AW40" s="75">
        <f t="array" ref="AW40">SUM((YEAR(Gastos!$A$2:$A$2500)=AW$1)*(MONTH(Gastos!$A$2:$A$2500)=AW$3)*(Gastos!$B$2:$B$2500=$A40)*(Gastos!$D$2:$D$2500))</f>
        <v>0</v>
      </c>
      <c r="AX40" s="75">
        <f t="array" ref="AX40">SUM((YEAR(Gastos!$A$2:$A$2500)=AX$1)*(MONTH(Gastos!$A$2:$A$2500)=AX$3)*(Gastos!$B$2:$B$2500=$A40)*(Gastos!$D$2:$D$2500))</f>
        <v>0</v>
      </c>
      <c r="AY40" s="75">
        <f t="array" ref="AY40">SUM((YEAR(Gastos!$A$2:$A$2500)=AY$1)*(MONTH(Gastos!$A$2:$A$2500)=AY$3)*(Gastos!$B$2:$B$2500=$A40)*(Gastos!$D$2:$D$2500))</f>
        <v>0</v>
      </c>
      <c r="AZ40" s="75">
        <f t="array" ref="AZ40">SUM((YEAR(Gastos!$A$2:$A$2500)=AZ$1)*(MONTH(Gastos!$A$2:$A$2500)=AZ$3)*(Gastos!$B$2:$B$2500=$A40)*(Gastos!$D$2:$D$2500))</f>
        <v>0</v>
      </c>
      <c r="BA40" s="75">
        <f t="array" ref="BA40">SUM((YEAR(Gastos!$A$2:$A$2500)=BA$1)*(MONTH(Gastos!$A$2:$A$2500)=BA$3)*(Gastos!$B$2:$B$2500=$A40)*(Gastos!$D$2:$D$2500))</f>
        <v>0</v>
      </c>
      <c r="BB40" s="75">
        <f t="array" ref="BB40">SUM((YEAR(Gastos!$A$2:$A$2500)=BB$1)*(MONTH(Gastos!$A$2:$A$2500)=BB$3)*(Gastos!$B$2:$B$2500=$A40)*(Gastos!$D$2:$D$2500))</f>
        <v>0</v>
      </c>
      <c r="BC40" s="75">
        <f t="array" ref="BC40">SUM((YEAR(Gastos!$A$2:$A$2500)=BC$1)*(MONTH(Gastos!$A$2:$A$2500)=BC$3)*(Gastos!$B$2:$B$2500=$A40)*(Gastos!$D$2:$D$2500))</f>
        <v>0</v>
      </c>
      <c r="BD40" s="75">
        <f t="array" ref="BD40">SUM((YEAR(Gastos!$A$2:$A$2500)=BD$1)*(MONTH(Gastos!$A$2:$A$2500)=BD$3)*(Gastos!$B$2:$B$2500=$A40)*(Gastos!$D$2:$D$2500))</f>
        <v>0</v>
      </c>
      <c r="BE40" s="75">
        <f t="array" ref="BE40">SUM((YEAR(Gastos!$A$2:$A$2500)=BE$1)*(MONTH(Gastos!$A$2:$A$2500)=BE$3)*(Gastos!$B$2:$B$2500=$A40)*(Gastos!$D$2:$D$2500))</f>
        <v>0</v>
      </c>
      <c r="BF40" s="75">
        <f t="array" ref="BF40">SUM((YEAR(Gastos!$A$2:$A$2500)=BF$1)*(MONTH(Gastos!$A$2:$A$2500)=BF$3)*(Gastos!$B$2:$B$2500=$A40)*(Gastos!$D$2:$D$2500))</f>
        <v>0</v>
      </c>
      <c r="BG40" s="75">
        <f t="array" ref="BG40">SUM((YEAR(Gastos!$A$2:$A$2500)=BG$1)*(MONTH(Gastos!$A$2:$A$2500)=BG$3)*(Gastos!$B$2:$B$2500=$A40)*(Gastos!$D$2:$D$2500))</f>
        <v>0</v>
      </c>
      <c r="BH40" s="75">
        <f t="array" ref="BH40">SUM((YEAR(Gastos!$A$2:$A$2500)=BH$1)*(MONTH(Gastos!$A$2:$A$2500)=BH$3)*(Gastos!$B$2:$B$2500=$A40)*(Gastos!$D$2:$D$2500))</f>
        <v>0</v>
      </c>
      <c r="BI40" s="75">
        <f t="array" ref="BI40">SUM((YEAR(Gastos!$A$2:$A$2500)=BI$1)*(MONTH(Gastos!$A$2:$A$2500)=BI$3)*(Gastos!$B$2:$B$2500=$A40)*(Gastos!$D$2:$D$2500))</f>
        <v>0</v>
      </c>
      <c r="BJ40" s="75">
        <f t="array" ref="BJ40">SUM((YEAR(Gastos!$A$2:$A$2500)=BJ$1)*(MONTH(Gastos!$A$2:$A$2500)=BJ$3)*(Gastos!$B$2:$B$2500=$A40)*(Gastos!$D$2:$D$2500))</f>
        <v>0</v>
      </c>
      <c r="BK40" s="75">
        <f t="array" ref="BK40">SUM((YEAR(Gastos!$A$2:$A$2500)=BK$1)*(MONTH(Gastos!$A$2:$A$2500)=BK$3)*(Gastos!$B$2:$B$2500=$A40)*(Gastos!$D$2:$D$2500))</f>
        <v>9048</v>
      </c>
      <c r="BL40" s="75">
        <f t="array" ref="BL40">SUM((YEAR(Gastos!$A$2:$A$2500)=BL$1)*(MONTH(Gastos!$A$2:$A$2500)=BL$3)*(Gastos!$B$2:$B$2500=$A40)*(Gastos!$D$2:$D$2500))</f>
        <v>5452</v>
      </c>
      <c r="BM40" s="75">
        <f t="array" ref="BM40">SUM((YEAR(Gastos!$A$2:$A$2500)=BM$1)*(MONTH(Gastos!$A$2:$A$2500)=BM$3)*(Gastos!$B$2:$B$2500=$A40)*(Gastos!$D$2:$D$2500))</f>
        <v>0</v>
      </c>
      <c r="BN40" s="75">
        <f t="array" ref="BN40">SUM((YEAR(Gastos!$A$2:$A$2500)=BN$1)*(MONTH(Gastos!$A$2:$A$2500)=BN$3)*(Gastos!$B$2:$B$2500=$A40)*(Gastos!$D$2:$D$2500))</f>
        <v>0</v>
      </c>
      <c r="BO40" s="75">
        <f t="array" ref="BO40">SUM((YEAR(Gastos!$A$2:$A$2500)=BO$1)*(MONTH(Gastos!$A$2:$A$2500)=BO$3)*(Gastos!$B$2:$B$2500=$A40)*(Gastos!$D$2:$D$2500))</f>
        <v>0</v>
      </c>
      <c r="BP40" s="75">
        <f t="array" ref="BP40">SUM((YEAR(Gastos!$A$2:$A$2500)=BP$1)*(MONTH(Gastos!$A$2:$A$2500)=BP$3)*(Gastos!$B$2:$B$2500=$A40)*(Gastos!$D$2:$D$2500))</f>
        <v>0</v>
      </c>
      <c r="BQ40" s="75">
        <f t="array" ref="BQ40">SUM((YEAR(Gastos!$A$2:$A$2500)=BQ$1)*(MONTH(Gastos!$A$2:$A$2500)=BQ$3)*(Gastos!$B$2:$B$2500=$A40)*(Gastos!$D$2:$D$2500))</f>
        <v>0</v>
      </c>
      <c r="BR40" s="75">
        <f t="array" ref="BR40">SUM((YEAR(Gastos!$A$2:$A$2500)=BR$1)*(MONTH(Gastos!$A$2:$A$2500)=BR$3)*(Gastos!$B$2:$B$2500=$A40)*(Gastos!$D$2:$D$2500))</f>
        <v>2700</v>
      </c>
      <c r="BS40" s="75">
        <f t="array" ref="BS40">SUM((YEAR(Gastos!$A$2:$A$2500)=BS$1)*(MONTH(Gastos!$A$2:$A$2500)=BS$3)*(Gastos!$B$2:$B$2500=$A40)*(Gastos!$D$2:$D$2500))</f>
        <v>0</v>
      </c>
      <c r="BT40" s="75">
        <f t="array" ref="BT40">SUM((YEAR(Gastos!$A$2:$A$2500)=BT$1)*(MONTH(Gastos!$A$2:$A$2500)=BT$3)*(Gastos!$B$2:$B$2500=$A40)*(Gastos!$D$2:$D$2500))</f>
        <v>0</v>
      </c>
      <c r="BU40" s="75">
        <f t="array" ref="BU40">SUM((YEAR(Gastos!$A$2:$A$2500)=BU$1)*(MONTH(Gastos!$A$2:$A$2500)=BU$3)*(Gastos!$B$2:$B$2500=$A40)*(Gastos!$D$2:$D$2500))</f>
        <v>0</v>
      </c>
      <c r="BV40" s="75">
        <f t="array" ref="BV40">SUM((YEAR(Gastos!$A$2:$A$2500)=BV$1)*(MONTH(Gastos!$A$2:$A$2500)=BV$3)*(Gastos!$B$2:$B$2500=$A40)*(Gastos!$D$2:$D$2500))</f>
        <v>0</v>
      </c>
      <c r="BW40" s="75">
        <f t="array" ref="BW40">SUM((YEAR(Gastos!$A$2:$A$2500)=BW$1)*(MONTH(Gastos!$A$2:$A$2500)=BW$3)*(Gastos!$B$2:$B$2500=$A40)*(Gastos!$D$2:$D$2500))</f>
        <v>0</v>
      </c>
      <c r="BX40" s="75">
        <f t="array" ref="BX40">SUM((YEAR(Gastos!$A$2:$A$2500)=BX$1)*(MONTH(Gastos!$A$2:$A$2500)=BX$3)*(Gastos!$B$2:$B$2500=$A40)*(Gastos!$D$2:$D$2500))</f>
        <v>0</v>
      </c>
      <c r="BY40" s="75">
        <f t="array" ref="BY40">SUM((YEAR(Gastos!$A$2:$A$2500)=BY$1)*(MONTH(Gastos!$A$2:$A$2500)=BY$3)*(Gastos!$B$2:$B$2500=$A40)*(Gastos!$D$2:$D$2500))</f>
        <v>0</v>
      </c>
      <c r="BZ40" s="75">
        <f t="array" ref="BZ40">SUM((YEAR(Gastos!$A$2:$A$2500)=BZ$1)*(MONTH(Gastos!$A$2:$A$2500)=BZ$3)*(Gastos!$B$2:$B$2500=$A40)*(Gastos!$D$2:$D$2500))</f>
        <v>0</v>
      </c>
      <c r="CA40" s="75">
        <f t="array" ref="CA40">SUM((YEAR(Gastos!$A$2:$A$2500)=CA$1)*(MONTH(Gastos!$A$2:$A$2500)=CA$3)*(Gastos!$B$2:$B$2500=$A40)*(Gastos!$D$2:$D$2500))</f>
        <v>0</v>
      </c>
      <c r="CB40" s="75">
        <f t="array" ref="CB40">SUM((YEAR(Gastos!$A$2:$A$2500)=CB$1)*(MONTH(Gastos!$A$2:$A$2500)=CB$3)*(Gastos!$B$2:$B$2500=$A40)*(Gastos!$D$2:$D$2500))</f>
        <v>0</v>
      </c>
      <c r="CC40" s="75">
        <f t="array" ref="CC40">SUM((YEAR(Gastos!$A$2:$A$2500)=CC$1)*(MONTH(Gastos!$A$2:$A$2500)=CC$3)*(Gastos!$B$2:$B$2500=$A40)*(Gastos!$D$2:$D$2500))</f>
        <v>0</v>
      </c>
      <c r="CD40" s="75">
        <f t="array" ref="CD40">SUM((YEAR(Gastos!$A$2:$A$2500)=CD$1)*(MONTH(Gastos!$A$2:$A$2500)=CD$3)*(Gastos!$B$2:$B$2500=$A40)*(Gastos!$D$2:$D$2500))</f>
        <v>0</v>
      </c>
      <c r="CE40" s="75">
        <f t="array" ref="CE40">SUM((YEAR(Gastos!$A$2:$A$2500)=CE$1)*(MONTH(Gastos!$A$2:$A$2500)=CE$3)*(Gastos!$B$2:$B$2500=$A40)*(Gastos!$D$2:$D$2500))</f>
        <v>0</v>
      </c>
      <c r="CF40" s="75">
        <f t="array" ref="CF40">SUM((YEAR(Gastos!$A$2:$A$2500)=CF$1)*(MONTH(Gastos!$A$2:$A$2500)=CF$3)*(Gastos!$B$2:$B$2500=$A40)*(Gastos!$D$2:$D$2500))</f>
        <v>0</v>
      </c>
      <c r="CG40" s="75">
        <f t="array" ref="CG40">SUM((YEAR(Gastos!$A$2:$A$2500)=CG$1)*(MONTH(Gastos!$A$2:$A$2500)=CG$3)*(Gastos!$B$2:$B$2500=$A40)*(Gastos!$D$2:$D$2500))</f>
        <v>0</v>
      </c>
      <c r="CH40" s="75">
        <f t="array" ref="CH40">SUM((YEAR(Gastos!$A$2:$A$2500)=CH$1)*(MONTH(Gastos!$A$2:$A$2500)=CH$3)*(Gastos!$B$2:$B$2500=$A40)*(Gastos!$D$2:$D$2500))</f>
        <v>0</v>
      </c>
      <c r="CI40" s="75">
        <f t="array" ref="CI40">SUM((YEAR(Gastos!$A$2:$A$2500)=CI$1)*(MONTH(Gastos!$A$2:$A$2500)=CI$3)*(Gastos!$B$2:$B$2500=$A40)*(Gastos!$D$2:$D$2500))</f>
        <v>0</v>
      </c>
      <c r="CJ40" s="75">
        <f t="array" ref="CJ40">SUM((YEAR(Gastos!$A$2:$A$2500)=CJ$1)*(MONTH(Gastos!$A$2:$A$2500)=CJ$3)*(Gastos!$B$2:$B$2500=$A40)*(Gastos!$D$2:$D$2500))</f>
        <v>0</v>
      </c>
      <c r="CK40" s="75">
        <f t="array" ref="CK40">SUM((YEAR(Gastos!$A$2:$A$2500)=CK$1)*(MONTH(Gastos!$A$2:$A$2500)=CK$3)*(Gastos!$B$2:$B$2500=$A40)*(Gastos!$D$2:$D$2500))</f>
        <v>0</v>
      </c>
      <c r="CL40" s="75">
        <f t="array" ref="CL40">SUM((YEAR(Gastos!$A$2:$A$2500)=CL$1)*(MONTH(Gastos!$A$2:$A$2500)=CL$3)*(Gastos!$B$2:$B$2500=$A40)*(Gastos!$D$2:$D$2500))</f>
        <v>0</v>
      </c>
      <c r="CM40" s="75">
        <f t="array" ref="CM40">SUM((YEAR(Gastos!$A$2:$A$2500)=CM$1)*(MONTH(Gastos!$A$2:$A$2500)=CM$3)*(Gastos!$B$2:$B$2500=$A40)*(Gastos!$D$2:$D$2500))</f>
        <v>0</v>
      </c>
      <c r="CN40" s="75">
        <f t="array" ref="CN40">SUM((YEAR(Gastos!$A$2:$A$2500)=CN$1)*(MONTH(Gastos!$A$2:$A$2500)=CN$3)*(Gastos!$B$2:$B$2500=$A40)*(Gastos!$D$2:$D$2500))</f>
        <v>0</v>
      </c>
      <c r="CO40" s="75">
        <f t="array" ref="CO40">SUM((YEAR(Gastos!$A$2:$A$2500)=CO$1)*(MONTH(Gastos!$A$2:$A$2500)=CO$3)*(Gastos!$B$2:$B$2500=$A40)*(Gastos!$D$2:$D$2500))</f>
        <v>0</v>
      </c>
      <c r="CP40" s="75">
        <f t="array" ref="CP40">SUM((YEAR(Gastos!$A$2:$A$2500)=CP$1)*(MONTH(Gastos!$A$2:$A$2500)=CP$3)*(Gastos!$B$2:$B$2500=$A40)*(Gastos!$D$2:$D$2500))</f>
        <v>0</v>
      </c>
      <c r="CQ40" s="75">
        <f t="array" ref="CQ40">SUM((YEAR(Gastos!$A$2:$A$2500)=CQ$1)*(MONTH(Gastos!$A$2:$A$2500)=CQ$3)*(Gastos!$B$2:$B$2500=$A40)*(Gastos!$D$2:$D$2500))</f>
        <v>0</v>
      </c>
      <c r="CR40" s="75">
        <f t="array" ref="CR40">SUM((YEAR(Gastos!$A$2:$A$2500)=CR$1)*(MONTH(Gastos!$A$2:$A$2500)=CR$3)*(Gastos!$B$2:$B$2500=$A40)*(Gastos!$D$2:$D$2500))</f>
        <v>0</v>
      </c>
      <c r="CS40" s="75">
        <f t="array" ref="CS40">SUM((YEAR(Gastos!$A$2:$A$2500)=CS$1)*(MONTH(Gastos!$A$2:$A$2500)=CS$3)*(Gastos!$B$2:$B$2500=$A40)*(Gastos!$D$2:$D$2500))</f>
        <v>0</v>
      </c>
      <c r="CT40" s="75">
        <f t="array" ref="CT40">SUM((YEAR(Gastos!$A$2:$A$2500)=CT$1)*(MONTH(Gastos!$A$2:$A$2500)=CT$3)*(Gastos!$B$2:$B$2500=$A40)*(Gastos!$D$2:$D$2500))</f>
        <v>0</v>
      </c>
      <c r="CU40" s="75">
        <f t="array" ref="CU40">SUM((YEAR(Gastos!$A$2:$A$2500)=CU$1)*(MONTH(Gastos!$A$2:$A$2500)=CU$3)*(Gastos!$B$2:$B$2500=$A40)*(Gastos!$D$2:$D$2500))</f>
        <v>0</v>
      </c>
      <c r="CV40" s="75">
        <f t="array" ref="CV40">SUM((YEAR(Gastos!$A$2:$A$2500)=CV$1)*(MONTH(Gastos!$A$2:$A$2500)=CV$3)*(Gastos!$B$2:$B$2500=$A40)*(Gastos!$D$2:$D$2500))</f>
        <v>0</v>
      </c>
      <c r="CW40" s="75">
        <f t="array" ref="CW40">SUM((YEAR(Gastos!$A$2:$A$2500)=CW$1)*(MONTH(Gastos!$A$2:$A$2500)=CW$3)*(Gastos!$B$2:$B$2500=$A40)*(Gastos!$D$2:$D$2500))</f>
        <v>0</v>
      </c>
      <c r="CX40" s="75">
        <f t="array" ref="CX40">SUM((YEAR(Gastos!$A$2:$A$2500)=CX$1)*(MONTH(Gastos!$A$2:$A$2500)=CX$3)*(Gastos!$B$2:$B$2500=$A40)*(Gastos!$D$2:$D$2500))</f>
        <v>0</v>
      </c>
      <c r="CY40" s="75">
        <f t="array" ref="CY40">SUM((YEAR(Gastos!$A$2:$A$2500)=CY$1)*(MONTH(Gastos!$A$2:$A$2500)=CY$3)*(Gastos!$B$2:$B$2500=$A40)*(Gastos!$D$2:$D$2500))</f>
        <v>0</v>
      </c>
      <c r="CZ40" s="75">
        <f t="array" ref="CZ40">SUM((YEAR(Gastos!$A$2:$A$2500)=CZ$1)*(MONTH(Gastos!$A$2:$A$2500)=CZ$3)*(Gastos!$B$2:$B$2500=$A40)*(Gastos!$D$2:$D$2500))</f>
        <v>0</v>
      </c>
      <c r="DA40" s="75">
        <f t="array" ref="DA40">SUM((YEAR(Gastos!$A$2:$A$2500)=DA$1)*(MONTH(Gastos!$A$2:$A$2500)=DA$3)*(Gastos!$B$2:$B$2500=$A40)*(Gastos!$D$2:$D$2500))</f>
        <v>0</v>
      </c>
      <c r="DB40" s="75">
        <f t="array" ref="DB40">SUM((YEAR(Gastos!$A$2:$A$2500)=DB$1)*(MONTH(Gastos!$A$2:$A$2500)=DB$3)*(Gastos!$B$2:$B$2500=$A40)*(Gastos!$D$2:$D$2500))</f>
        <v>0</v>
      </c>
      <c r="DC40" s="75">
        <f t="array" ref="DC40">SUM((YEAR(Gastos!$A$2:$A$2500)=DC$1)*(MONTH(Gastos!$A$2:$A$2500)=DC$3)*(Gastos!$B$2:$B$2500=$A40)*(Gastos!$D$2:$D$2500))</f>
        <v>0</v>
      </c>
      <c r="DD40" s="75">
        <f t="array" ref="DD40">SUM((YEAR(Gastos!$A$2:$A$2500)=DD$1)*(MONTH(Gastos!$A$2:$A$2500)=DD$3)*(Gastos!$B$2:$B$2500=$A40)*(Gastos!$D$2:$D$2500))</f>
        <v>0</v>
      </c>
      <c r="DE40" s="75">
        <f t="array" ref="DE40">SUM((YEAR(Gastos!$A$2:$A$2500)=DE$1)*(MONTH(Gastos!$A$2:$A$2500)=DE$3)*(Gastos!$B$2:$B$2500=$A40)*(Gastos!$D$2:$D$2500))</f>
        <v>0</v>
      </c>
      <c r="DF40" s="75">
        <f t="array" ref="DF40">SUM((YEAR(Gastos!$A$2:$A$2500)=DF$1)*(MONTH(Gastos!$A$2:$A$2500)=DF$3)*(Gastos!$B$2:$B$2500=$A40)*(Gastos!$D$2:$D$2500))</f>
        <v>0</v>
      </c>
      <c r="DG40" s="75">
        <f t="array" ref="DG40">SUM((YEAR(Gastos!$A$2:$A$2500)=DG$1)*(MONTH(Gastos!$A$2:$A$2500)=DG$3)*(Gastos!$B$2:$B$2500=$A40)*(Gastos!$D$2:$D$2500))</f>
        <v>0</v>
      </c>
      <c r="DH40" s="75">
        <f t="array" ref="DH40">SUM((YEAR(Gastos!$A$2:$A$2500)=DH$1)*(MONTH(Gastos!$A$2:$A$2500)=DH$3)*(Gastos!$B$2:$B$2500=$A40)*(Gastos!$D$2:$D$2500))</f>
        <v>0</v>
      </c>
      <c r="DI40" s="75">
        <f t="array" ref="DI40">SUM((YEAR(Gastos!$A$2:$A$2500)=DI$1)*(MONTH(Gastos!$A$2:$A$2500)=DI$3)*(Gastos!$B$2:$B$2500=$A40)*(Gastos!$D$2:$D$2500))</f>
        <v>0</v>
      </c>
      <c r="DJ40" s="75">
        <f t="array" ref="DJ40">SUM((YEAR(Gastos!$A$2:$A$2500)=DJ$1)*(MONTH(Gastos!$A$2:$A$2500)=DJ$3)*(Gastos!$B$2:$B$2500=$A40)*(Gastos!$D$2:$D$2500))</f>
        <v>0</v>
      </c>
      <c r="DK40" s="75">
        <f t="array" ref="DK40">SUM((YEAR(Gastos!$A$2:$A$2500)=DK$1)*(MONTH(Gastos!$A$2:$A$2500)=DK$3)*(Gastos!$B$2:$B$2500=$A40)*(Gastos!$D$2:$D$2500))</f>
        <v>0</v>
      </c>
      <c r="DL40" s="75">
        <f t="array" ref="DL40">SUM((YEAR(Gastos!$A$2:$A$2500)=DL$1)*(MONTH(Gastos!$A$2:$A$2500)=DL$3)*(Gastos!$B$2:$B$2500=$A40)*(Gastos!$D$2:$D$2500))</f>
        <v>0</v>
      </c>
      <c r="DM40" s="75">
        <f t="array" ref="DM40">SUM((YEAR(Gastos!$A$2:$A$2500)=DM$1)*(MONTH(Gastos!$A$2:$A$2500)=DM$3)*(Gastos!$B$2:$B$2500=$A40)*(Gastos!$D$2:$D$2500))</f>
        <v>0</v>
      </c>
      <c r="DN40" s="75">
        <f t="array" ref="DN40">SUM((YEAR(Gastos!$A$2:$A$2500)=DN$1)*(MONTH(Gastos!$A$2:$A$2500)=DN$3)*(Gastos!$B$2:$B$2500=$A40)*(Gastos!$D$2:$D$2500))</f>
        <v>0</v>
      </c>
      <c r="DO40" s="75">
        <f t="array" ref="DO40">SUM((YEAR(Gastos!$A$2:$A$2500)=DO$1)*(MONTH(Gastos!$A$2:$A$2500)=DO$3)*(Gastos!$B$2:$B$2500=$A40)*(Gastos!$D$2:$D$2500))</f>
        <v>0</v>
      </c>
      <c r="DP40" s="75">
        <f t="array" ref="DP40">SUM((YEAR(Gastos!$A$2:$A$2500)=DP$1)*(MONTH(Gastos!$A$2:$A$2500)=DP$3)*(Gastos!$B$2:$B$2500=$A40)*(Gastos!$D$2:$D$2500))</f>
        <v>0</v>
      </c>
      <c r="DQ40" s="75">
        <f t="array" ref="DQ40">SUM((YEAR(Gastos!$A$2:$A$2500)=DQ$1)*(MONTH(Gastos!$A$2:$A$2500)=DQ$3)*(Gastos!$B$2:$B$2500=$A40)*(Gastos!$D$2:$D$2500))</f>
        <v>0</v>
      </c>
      <c r="DR40" s="75">
        <f t="array" ref="DR40">SUM((YEAR(Gastos!$A$2:$A$2500)=DR$1)*(MONTH(Gastos!$A$2:$A$2500)=DR$3)*(Gastos!$B$2:$B$2500=$A40)*(Gastos!$D$2:$D$2500))</f>
        <v>0</v>
      </c>
      <c r="DS40" s="75">
        <f t="array" ref="DS40">SUM((YEAR(Gastos!$A$2:$A$2500)=DS$1)*(MONTH(Gastos!$A$2:$A$2500)=DS$3)*(Gastos!$B$2:$B$2500=$A40)*(Gastos!$D$2:$D$2500))</f>
        <v>0</v>
      </c>
      <c r="DT40" s="75">
        <f t="array" ref="DT40">SUM((YEAR(Gastos!$A$2:$A$2500)=DT$1)*(MONTH(Gastos!$A$2:$A$2500)=DT$3)*(Gastos!$B$2:$B$2500=$A40)*(Gastos!$D$2:$D$2500))</f>
        <v>0</v>
      </c>
      <c r="DU40" s="75">
        <f t="array" ref="DU40">SUM((YEAR(Gastos!$A$2:$A$2500)=DU$1)*(MONTH(Gastos!$A$2:$A$2500)=DU$3)*(Gastos!$B$2:$B$2500=$A40)*(Gastos!$D$2:$D$2500))</f>
        <v>0</v>
      </c>
      <c r="DV40" s="75">
        <f t="array" ref="DV40">SUM((YEAR(Gastos!$A$2:$A$2500)=DV$1)*(MONTH(Gastos!$A$2:$A$2500)=DV$3)*(Gastos!$B$2:$B$2500=$A40)*(Gastos!$D$2:$D$2500))</f>
        <v>0</v>
      </c>
      <c r="DW40" s="75">
        <f t="array" ref="DW40">SUM((YEAR(Gastos!$A$2:$A$2500)=DW$1)*(MONTH(Gastos!$A$2:$A$2500)=DW$3)*(Gastos!$B$2:$B$2500=$A40)*(Gastos!$D$2:$D$2500))</f>
        <v>0</v>
      </c>
      <c r="DX40" s="75">
        <f t="array" ref="DX40">SUM((YEAR(Gastos!$A$2:$A$2500)=DX$1)*(MONTH(Gastos!$A$2:$A$2500)=DX$3)*(Gastos!$B$2:$B$2500=$A40)*(Gastos!$D$2:$D$2500))</f>
        <v>0</v>
      </c>
      <c r="DY40" s="75">
        <f t="array" ref="DY40">SUM((YEAR(Gastos!$A$2:$A$2500)=DY$1)*(MONTH(Gastos!$A$2:$A$2500)=DY$3)*(Gastos!$B$2:$B$2500=$A40)*(Gastos!$D$2:$D$2500))</f>
        <v>0</v>
      </c>
      <c r="DZ40" s="75">
        <f t="array" ref="DZ40">SUM((YEAR(Gastos!$A$2:$A$2500)=DZ$1)*(MONTH(Gastos!$A$2:$A$2500)=DZ$3)*(Gastos!$B$2:$B$2500=$A40)*(Gastos!$D$2:$D$2500))</f>
        <v>0</v>
      </c>
      <c r="EA40" s="75">
        <f t="array" ref="EA40">SUM((YEAR(Gastos!$A$2:$A$2500)=EA$1)*(MONTH(Gastos!$A$2:$A$2500)=EA$3)*(Gastos!$B$2:$B$2500=$A40)*(Gastos!$D$2:$D$2500))</f>
        <v>0</v>
      </c>
      <c r="EB40" s="75">
        <f t="array" ref="EB40">SUM((YEAR(Gastos!$A$2:$A$2500)=EB$1)*(MONTH(Gastos!$A$2:$A$2500)=EB$3)*(Gastos!$B$2:$B$2500=$A40)*(Gastos!$D$2:$D$2500))</f>
        <v>0</v>
      </c>
      <c r="EC40" s="75">
        <f t="array" ref="EC40">SUM((YEAR(Gastos!$A$2:$A$2500)=EC$1)*(MONTH(Gastos!$A$2:$A$2500)=EC$3)*(Gastos!$B$2:$B$2500=$A40)*(Gastos!$D$2:$D$2500))</f>
        <v>0</v>
      </c>
      <c r="ED40" s="75">
        <f t="array" ref="ED40">SUM((YEAR(Gastos!$A$2:$A$2500)=ED$1)*(MONTH(Gastos!$A$2:$A$2500)=ED$3)*(Gastos!$B$2:$B$2500=$A40)*(Gastos!$D$2:$D$2500))</f>
        <v>0</v>
      </c>
      <c r="EE40" s="75">
        <f t="array" ref="EE40">SUM((YEAR(Gastos!$A$2:$A$2500)=EE$1)*(MONTH(Gastos!$A$2:$A$2500)=EE$3)*(Gastos!$B$2:$B$2500=$A40)*(Gastos!$D$2:$D$2500))</f>
        <v>0</v>
      </c>
      <c r="EF40" s="75">
        <f t="array" ref="EF40">SUM((YEAR(Gastos!$A$2:$A$2500)=EF$1)*(MONTH(Gastos!$A$2:$A$2500)=EF$3)*(Gastos!$B$2:$B$2500=$A40)*(Gastos!$D$2:$D$2500))</f>
        <v>0</v>
      </c>
      <c r="EG40" s="75">
        <f t="array" ref="EG40">SUM((YEAR(Gastos!$A$2:$A$2500)=EG$1)*(MONTH(Gastos!$A$2:$A$2500)=EG$3)*(Gastos!$B$2:$B$2500=$A40)*(Gastos!$D$2:$D$2500))</f>
        <v>0</v>
      </c>
      <c r="EH40" s="75">
        <f t="array" ref="EH40">SUM((YEAR(Gastos!$A$2:$A$2500)=EH$1)*(MONTH(Gastos!$A$2:$A$2500)=EH$3)*(Gastos!$B$2:$B$2500=$A40)*(Gastos!$D$2:$D$2500))</f>
        <v>0</v>
      </c>
      <c r="EI40" s="75">
        <f t="array" ref="EI40">SUM((YEAR(Gastos!$A$2:$A$2500)=EI$1)*(MONTH(Gastos!$A$2:$A$2500)=EI$3)*(Gastos!$B$2:$B$2500=$A40)*(Gastos!$D$2:$D$2500))</f>
        <v>0</v>
      </c>
      <c r="EJ40" s="75">
        <f t="array" ref="EJ40">SUM((YEAR(Gastos!$A$2:$A$2500)=EJ$1)*(MONTH(Gastos!$A$2:$A$2500)=EJ$3)*(Gastos!$B$2:$B$2500=$A40)*(Gastos!$D$2:$D$2500))</f>
        <v>0</v>
      </c>
      <c r="EK40" s="75">
        <f t="array" ref="EK40">SUM((YEAR(Gastos!$A$2:$A$2500)=EK$1)*(MONTH(Gastos!$A$2:$A$2500)=EK$3)*(Gastos!$B$2:$B$2500=$A40)*(Gastos!$D$2:$D$2500))</f>
        <v>0</v>
      </c>
      <c r="EL40" s="75">
        <f t="array" ref="EL40">SUM((YEAR(Gastos!$A$2:$A$2500)=EL$1)*(MONTH(Gastos!$A$2:$A$2500)=EL$3)*(Gastos!$B$2:$B$2500=$A40)*(Gastos!$D$2:$D$2500))</f>
        <v>0</v>
      </c>
      <c r="EM40" s="75">
        <f t="array" ref="EM40">SUM((YEAR(Gastos!$A$2:$A$2500)=EM$1)*(MONTH(Gastos!$A$2:$A$2500)=EM$3)*(Gastos!$B$2:$B$2500=$A40)*(Gastos!$D$2:$D$2500))</f>
        <v>0</v>
      </c>
      <c r="EN40" s="75">
        <f t="array" ref="EN40">SUM((YEAR(Gastos!$A$2:$A$2500)=EN$1)*(MONTH(Gastos!$A$2:$A$2500)=EN$3)*(Gastos!$B$2:$B$2500=$A40)*(Gastos!$D$2:$D$2500))</f>
        <v>0</v>
      </c>
      <c r="EO40" s="75">
        <f t="array" ref="EO40">SUM((YEAR(Gastos!$A$2:$A$2500)=EO$1)*(MONTH(Gastos!$A$2:$A$2500)=EO$3)*(Gastos!$B$2:$B$2500=$A40)*(Gastos!$D$2:$D$2500))</f>
        <v>0</v>
      </c>
      <c r="EP40" s="75">
        <f t="array" ref="EP40">SUM((YEAR(Gastos!$A$2:$A$2500)=EP$1)*(MONTH(Gastos!$A$2:$A$2500)=EP$3)*(Gastos!$B$2:$B$2500=$A40)*(Gastos!$D$2:$D$2500))</f>
        <v>0</v>
      </c>
      <c r="EQ40" s="75">
        <f t="array" ref="EQ40">SUM((YEAR(Gastos!$A$2:$A$2500)=EQ$1)*(MONTH(Gastos!$A$2:$A$2500)=EQ$3)*(Gastos!$B$2:$B$2500=$A40)*(Gastos!$D$2:$D$2500))</f>
        <v>0</v>
      </c>
      <c r="ER40" s="75">
        <f t="array" ref="ER40">SUM((YEAR(Gastos!$A$2:$A$2500)=ER$1)*(MONTH(Gastos!$A$2:$A$2500)=ER$3)*(Gastos!$B$2:$B$2500=$A40)*(Gastos!$D$2:$D$2500))</f>
        <v>0</v>
      </c>
      <c r="ES40" s="75">
        <f t="array" ref="ES40">SUM((YEAR(Gastos!$A$2:$A$2500)=ES$1)*(MONTH(Gastos!$A$2:$A$2500)=ES$3)*(Gastos!$B$2:$B$2500=$A40)*(Gastos!$D$2:$D$2500))</f>
        <v>0</v>
      </c>
      <c r="ET40" s="75">
        <f t="array" ref="ET40">SUM((YEAR(Gastos!$A$2:$A$2500)=ET$1)*(MONTH(Gastos!$A$2:$A$2500)=ET$3)*(Gastos!$B$2:$B$2500=$A40)*(Gastos!$D$2:$D$2500))</f>
        <v>0</v>
      </c>
      <c r="EU40" s="75">
        <f t="array" ref="EU40">SUM((YEAR(Gastos!$A$2:$A$2500)=EU$1)*(MONTH(Gastos!$A$2:$A$2500)=EU$3)*(Gastos!$B$2:$B$2500=$A40)*(Gastos!$D$2:$D$2500))</f>
        <v>0</v>
      </c>
      <c r="EV40" s="75">
        <f t="array" ref="EV40">SUM((YEAR(Gastos!$A$2:$A$2500)=EV$1)*(MONTH(Gastos!$A$2:$A$2500)=EV$3)*(Gastos!$B$2:$B$2500=$A40)*(Gastos!$D$2:$D$2500))</f>
        <v>0</v>
      </c>
      <c r="EW40" s="75">
        <f t="array" ref="EW40">SUM((YEAR(Gastos!$A$2:$A$2500)=EW$1)*(MONTH(Gastos!$A$2:$A$2500)=EW$3)*(Gastos!$B$2:$B$2500=$A40)*(Gastos!$D$2:$D$2500))</f>
        <v>0</v>
      </c>
      <c r="EX40" s="75">
        <f t="array" ref="EX40">SUM((YEAR(Gastos!$A$2:$A$2500)=EX$1)*(MONTH(Gastos!$A$2:$A$2500)=EX$3)*(Gastos!$B$2:$B$2500=$A40)*(Gastos!$D$2:$D$2500))</f>
        <v>0</v>
      </c>
      <c r="EY40" s="75">
        <f t="array" ref="EY40">SUM((YEAR(Gastos!$A$2:$A$2500)=EY$1)*(MONTH(Gastos!$A$2:$A$2500)=EY$3)*(Gastos!$B$2:$B$2500=$A40)*(Gastos!$D$2:$D$2500))</f>
        <v>0</v>
      </c>
      <c r="EZ40" s="75">
        <f t="array" ref="EZ40">SUM((YEAR(Gastos!$A$2:$A$2500)=EZ$1)*(MONTH(Gastos!$A$2:$A$2500)=EZ$3)*(Gastos!$B$2:$B$2500=$A40)*(Gastos!$D$2:$D$2500))</f>
        <v>0</v>
      </c>
      <c r="FA40" s="75">
        <f t="array" ref="FA40">SUM((YEAR(Gastos!$A$2:$A$2500)=FA$1)*(MONTH(Gastos!$A$2:$A$2500)=FA$3)*(Gastos!$B$2:$B$2500=$A40)*(Gastos!$D$2:$D$2500))</f>
        <v>0</v>
      </c>
      <c r="FB40" s="75">
        <f t="array" ref="FB40">SUM((YEAR(Gastos!$A$2:$A$2500)=FB$1)*(MONTH(Gastos!$A$2:$A$2500)=FB$3)*(Gastos!$B$2:$B$2500=$A40)*(Gastos!$D$2:$D$2500))</f>
        <v>0</v>
      </c>
      <c r="FC40" s="75">
        <f t="array" ref="FC40">SUM((YEAR(Gastos!$A$2:$A$2500)=FC$1)*(MONTH(Gastos!$A$2:$A$2500)=FC$3)*(Gastos!$B$2:$B$2500=$A40)*(Gastos!$D$2:$D$2500))</f>
        <v>0</v>
      </c>
      <c r="FD40" s="75">
        <f t="array" ref="FD40">SUM((YEAR(Gastos!$A$2:$A$2500)=FD$1)*(MONTH(Gastos!$A$2:$A$2500)=FD$3)*(Gastos!$B$2:$B$2500=$A40)*(Gastos!$D$2:$D$2500))</f>
        <v>0</v>
      </c>
      <c r="FE40" s="75">
        <f t="array" ref="FE40">SUM((YEAR(Gastos!$A$2:$A$2500)=FE$1)*(MONTH(Gastos!$A$2:$A$2500)=FE$3)*(Gastos!$B$2:$B$2500=$A40)*(Gastos!$D$2:$D$2500))</f>
        <v>0</v>
      </c>
      <c r="FF40" s="75">
        <f t="array" ref="FF40">SUM((YEAR(Gastos!$A$2:$A$2500)=FF$1)*(MONTH(Gastos!$A$2:$A$2500)=FF$3)*(Gastos!$B$2:$B$2500=$A40)*(Gastos!$D$2:$D$2500))</f>
        <v>0</v>
      </c>
      <c r="FG40" s="75">
        <f t="array" ref="FG40">SUM((YEAR(Gastos!$A$2:$A$2500)=FG$1)*(MONTH(Gastos!$A$2:$A$2500)=FG$3)*(Gastos!$B$2:$B$2500=$A40)*(Gastos!$D$2:$D$2500))</f>
        <v>0</v>
      </c>
      <c r="FH40" s="75">
        <f t="array" ref="FH40">SUM((YEAR(Gastos!$A$2:$A$2500)=FH$1)*(MONTH(Gastos!$A$2:$A$2500)=FH$3)*(Gastos!$B$2:$B$2500=$A40)*(Gastos!$D$2:$D$2500))</f>
        <v>0</v>
      </c>
      <c r="FI40" s="75">
        <f t="array" ref="FI40">SUM((YEAR(Gastos!$A$2:$A$2500)=FI$1)*(MONTH(Gastos!$A$2:$A$2500)=FI$3)*(Gastos!$B$2:$B$2500=$A40)*(Gastos!$D$2:$D$2500))</f>
        <v>0</v>
      </c>
      <c r="FJ40" s="75">
        <f t="array" ref="FJ40">SUM((YEAR(Gastos!$A$2:$A$2500)=FJ$1)*(MONTH(Gastos!$A$2:$A$2500)=FJ$3)*(Gastos!$B$2:$B$2500=$A40)*(Gastos!$D$2:$D$2500))</f>
        <v>0</v>
      </c>
      <c r="FK40" s="75">
        <f t="array" ref="FK40">SUM((YEAR(Gastos!$A$2:$A$2500)=FK$1)*(MONTH(Gastos!$A$2:$A$2500)=FK$3)*(Gastos!$B$2:$B$2500=$A40)*(Gastos!$D$2:$D$2500))</f>
        <v>0</v>
      </c>
      <c r="FL40" s="75">
        <f t="array" ref="FL40">SUM((YEAR(Gastos!$A$2:$A$2500)=FL$1)*(MONTH(Gastos!$A$2:$A$2500)=FL$3)*(Gastos!$B$2:$B$2500=$A40)*(Gastos!$D$2:$D$2500))</f>
        <v>0</v>
      </c>
      <c r="FM40" s="75">
        <f t="array" ref="FM40">SUM((YEAR(Gastos!$A$2:$A$2500)=FM$1)*(MONTH(Gastos!$A$2:$A$2500)=FM$3)*(Gastos!$B$2:$B$2500=$A40)*(Gastos!$D$2:$D$2500))</f>
        <v>0</v>
      </c>
      <c r="FN40" s="75">
        <f t="array" ref="FN40">SUM((YEAR(Gastos!$A$2:$A$2500)=FN$1)*(MONTH(Gastos!$A$2:$A$2500)=FN$3)*(Gastos!$B$2:$B$2500=$A40)*(Gastos!$D$2:$D$2500))</f>
        <v>0</v>
      </c>
      <c r="FO40" s="75">
        <f t="array" ref="FO40">SUM((YEAR(Gastos!$A$2:$A$2500)=FO$1)*(MONTH(Gastos!$A$2:$A$2500)=FO$3)*(Gastos!$B$2:$B$2500=$A40)*(Gastos!$D$2:$D$2500))</f>
        <v>0</v>
      </c>
      <c r="FP40" s="75">
        <f t="array" ref="FP40">SUM((YEAR(Gastos!$A$2:$A$2500)=FP$1)*(MONTH(Gastos!$A$2:$A$2500)=FP$3)*(Gastos!$B$2:$B$2500=$A40)*(Gastos!$D$2:$D$2500))</f>
        <v>0</v>
      </c>
      <c r="FQ40" s="75">
        <f t="array" ref="FQ40">SUM((YEAR(Gastos!$A$2:$A$2500)=FQ$1)*(MONTH(Gastos!$A$2:$A$2500)=FQ$3)*(Gastos!$B$2:$B$2500=$A40)*(Gastos!$D$2:$D$2500))</f>
        <v>0</v>
      </c>
      <c r="FR40" s="75">
        <f t="array" ref="FR40">SUM((YEAR(Gastos!$A$2:$A$2500)=FR$1)*(MONTH(Gastos!$A$2:$A$2500)=FR$3)*(Gastos!$B$2:$B$2500=$A40)*(Gastos!$D$2:$D$2500))</f>
        <v>0</v>
      </c>
      <c r="FS40" s="75">
        <f t="array" ref="FS40">SUM((YEAR(Gastos!$A$2:$A$2500)=FS$1)*(MONTH(Gastos!$A$2:$A$2500)=FS$3)*(Gastos!$B$2:$B$2500=$A40)*(Gastos!$D$2:$D$2500))</f>
        <v>0</v>
      </c>
      <c r="FT40" s="75">
        <f t="array" ref="FT40">SUM((YEAR(Gastos!$A$2:$A$2500)=FT$1)*(MONTH(Gastos!$A$2:$A$2500)=FT$3)*(Gastos!$B$2:$B$2500=$A40)*(Gastos!$D$2:$D$2500))</f>
        <v>0</v>
      </c>
      <c r="FU40" s="75">
        <f t="array" ref="FU40">SUM((YEAR(Gastos!$A$2:$A$2500)=FU$1)*(MONTH(Gastos!$A$2:$A$2500)=FU$3)*(Gastos!$B$2:$B$2500=$A40)*(Gastos!$D$2:$D$2500))</f>
        <v>0</v>
      </c>
      <c r="FV40" s="75">
        <f t="array" ref="FV40">SUM((YEAR(Gastos!$A$2:$A$2500)=FV$1)*(MONTH(Gastos!$A$2:$A$2500)=FV$3)*(Gastos!$B$2:$B$2500=$A40)*(Gastos!$D$2:$D$2500))</f>
        <v>0</v>
      </c>
      <c r="FW40" s="75">
        <f t="array" ref="FW40">SUM((YEAR(Gastos!$A$2:$A$2500)=FW$1)*(MONTH(Gastos!$A$2:$A$2500)=FW$3)*(Gastos!$B$2:$B$2500=$A40)*(Gastos!$D$2:$D$2500))</f>
        <v>0</v>
      </c>
      <c r="FX40" s="75">
        <f t="array" ref="FX40">SUM((YEAR(Gastos!$A$2:$A$2500)=FX$1)*(MONTH(Gastos!$A$2:$A$2500)=FX$3)*(Gastos!$B$2:$B$2500=$A40)*(Gastos!$D$2:$D$2500))</f>
        <v>0</v>
      </c>
      <c r="FY40" s="75">
        <f t="array" ref="FY40">SUM((YEAR(Gastos!$A$2:$A$2500)=FY$1)*(MONTH(Gastos!$A$2:$A$2500)=FY$3)*(Gastos!$B$2:$B$2500=$A40)*(Gastos!$D$2:$D$2500))</f>
        <v>0</v>
      </c>
      <c r="FZ40" s="76">
        <f t="shared" si="65"/>
        <v>17200</v>
      </c>
      <c r="GA40" s="80"/>
      <c r="GB40" s="78">
        <f t="shared" si="66"/>
        <v>17200</v>
      </c>
      <c r="GF40" s="79">
        <f t="array" ref="GF40">SUM(((Gastos!$A$2:$A$1647)&gt;=GD$3)*((Gastos!$A$2:$A$1647)&lt;=GF$3)*(Gastos!$B$2:$B$1647=$A40)*(Gastos!$D$2:$D$1647))</f>
        <v>17200</v>
      </c>
      <c r="GI40" s="79">
        <f t="array" ref="GI40">SUM(((Gastos!$A$2:$A$1647)&gt;=GG$3)*((Gastos!$A$2:$A$1647)&lt;=GI$3)*(Gastos!$B$2:$B$1647=$A40)*(Gastos!$D$2:$D$1647))</f>
        <v>0</v>
      </c>
    </row>
    <row r="41" spans="1:191" ht="15" thickBot="1" x14ac:dyDescent="0.4">
      <c r="A41" s="74" t="str">
        <f>Gastos!AA39</f>
        <v>V. PAGO INTERBANCARIO TDC</v>
      </c>
      <c r="B41" s="75">
        <f t="array" ref="B41">SUM((YEAR(Gastos!$A$2:$A$2500)=B$1)*(MONTH(Gastos!$A$2:$A$2500)=B$3)*(Gastos!$B$2:$B$2500=$A41)*(Gastos!$D$2:$D$2500))</f>
        <v>0</v>
      </c>
      <c r="C41" s="75">
        <f t="array" ref="C41">SUM((YEAR(Gastos!$A$2:$A$2500)=C$1)*(MONTH(Gastos!$A$2:$A$2500)=C$3)*(Gastos!$B$2:$B$2500=$A41)*(Gastos!$D$2:$D$2500))</f>
        <v>0</v>
      </c>
      <c r="D41" s="75">
        <f t="array" ref="D41">SUM((YEAR(Gastos!$A$2:$A$2500)=D$1)*(MONTH(Gastos!$A$2:$A$2500)=D$3)*(Gastos!$B$2:$B$2500=$A41)*(Gastos!$D$2:$D$2500))</f>
        <v>0</v>
      </c>
      <c r="E41" s="75">
        <f t="array" ref="E41">SUM((YEAR(Gastos!$A$2:$A$2500)=E$1)*(MONTH(Gastos!$A$2:$A$2500)=E$3)*(Gastos!$B$2:$B$2500=$A41)*(Gastos!$D$2:$D$2500))</f>
        <v>0</v>
      </c>
      <c r="F41" s="75">
        <f t="array" ref="F41">SUM((YEAR(Gastos!$A$2:$A$2500)=F$1)*(MONTH(Gastos!$A$2:$A$2500)=F$3)*(Gastos!$B$2:$B$2500=$A41)*(Gastos!$D$2:$D$2500))</f>
        <v>0</v>
      </c>
      <c r="G41" s="75">
        <f t="array" ref="G41">SUM((YEAR(Gastos!$A$2:$A$2500)=G$1)*(MONTH(Gastos!$A$2:$A$2500)=G$3)*(Gastos!$B$2:$B$2500=$A41)*(Gastos!$D$2:$D$2500))</f>
        <v>0</v>
      </c>
      <c r="H41" s="75">
        <f t="array" ref="H41">SUM((YEAR(Gastos!$A$2:$A$2500)=H$1)*(MONTH(Gastos!$A$2:$A$2500)=H$3)*(Gastos!$B$2:$B$2500=$A41)*(Gastos!$D$2:$D$2500))</f>
        <v>0</v>
      </c>
      <c r="I41" s="75">
        <f t="array" ref="I41">SUM((YEAR(Gastos!$A$2:$A$2500)=I$1)*(MONTH(Gastos!$A$2:$A$2500)=I$3)*(Gastos!$B$2:$B$2500=$A41)*(Gastos!$D$2:$D$2500))</f>
        <v>0</v>
      </c>
      <c r="J41" s="75">
        <f t="array" ref="J41">SUM((YEAR(Gastos!$A$2:$A$2500)=J$1)*(MONTH(Gastos!$A$2:$A$2500)=J$3)*(Gastos!$B$2:$B$2500=$A41)*(Gastos!$D$2:$D$2500))</f>
        <v>0</v>
      </c>
      <c r="K41" s="75">
        <f t="array" ref="K41">SUM((YEAR(Gastos!$A$2:$A$2500)=K$1)*(MONTH(Gastos!$A$2:$A$2500)=K$3)*(Gastos!$B$2:$B$2500=$A41)*(Gastos!$D$2:$D$2500))</f>
        <v>0</v>
      </c>
      <c r="L41" s="75">
        <f t="array" ref="L41">SUM((YEAR(Gastos!$A$2:$A$2500)=L$1)*(MONTH(Gastos!$A$2:$A$2500)=L$3)*(Gastos!$B$2:$B$2500=$A41)*(Gastos!$D$2:$D$2500))</f>
        <v>0</v>
      </c>
      <c r="M41" s="75">
        <f t="array" ref="M41">SUM((YEAR(Gastos!$A$2:$A$2500)=M$1)*(MONTH(Gastos!$A$2:$A$2500)=M$3)*(Gastos!$B$2:$B$2500=$A41)*(Gastos!$D$2:$D$2500))</f>
        <v>0</v>
      </c>
      <c r="N41" s="75">
        <f t="array" ref="N41">SUM((YEAR(Gastos!$A$2:$A$2500)=N$1)*(MONTH(Gastos!$A$2:$A$2500)=N$3)*(Gastos!$B$2:$B$2500=$A41)*(Gastos!$D$2:$D$2500))</f>
        <v>0</v>
      </c>
      <c r="O41" s="75">
        <f t="array" ref="O41">SUM((YEAR(Gastos!$A$2:$A$2500)=O$1)*(MONTH(Gastos!$A$2:$A$2500)=O$3)*(Gastos!$B$2:$B$2500=$A41)*(Gastos!$D$2:$D$2500))</f>
        <v>0</v>
      </c>
      <c r="P41" s="75">
        <f t="array" ref="P41">SUM((YEAR(Gastos!$A$2:$A$2500)=P$1)*(MONTH(Gastos!$A$2:$A$2500)=P$3)*(Gastos!$B$2:$B$2500=$A41)*(Gastos!$D$2:$D$2500))</f>
        <v>0</v>
      </c>
      <c r="Q41" s="75">
        <f t="array" ref="Q41">SUM((YEAR(Gastos!$A$2:$A$2500)=Q$1)*(MONTH(Gastos!$A$2:$A$2500)=Q$3)*(Gastos!$B$2:$B$2500=$A41)*(Gastos!$D$2:$D$2500))</f>
        <v>0</v>
      </c>
      <c r="R41" s="75">
        <f t="array" ref="R41">SUM((YEAR(Gastos!$A$2:$A$2500)=R$1)*(MONTH(Gastos!$A$2:$A$2500)=R$3)*(Gastos!$B$2:$B$2500=$A41)*(Gastos!$D$2:$D$2500))</f>
        <v>0</v>
      </c>
      <c r="S41" s="75">
        <f t="array" ref="S41">SUM((YEAR(Gastos!$A$2:$A$2500)=S$1)*(MONTH(Gastos!$A$2:$A$2500)=S$3)*(Gastos!$B$2:$B$2500=$A41)*(Gastos!$D$2:$D$2500))</f>
        <v>0</v>
      </c>
      <c r="T41" s="75">
        <f t="array" ref="T41">SUM((YEAR(Gastos!$A$2:$A$2500)=T$1)*(MONTH(Gastos!$A$2:$A$2500)=T$3)*(Gastos!$B$2:$B$2500=$A41)*(Gastos!$D$2:$D$2500))</f>
        <v>0</v>
      </c>
      <c r="U41" s="75">
        <f t="array" ref="U41">SUM((YEAR(Gastos!$A$2:$A$2500)=U$1)*(MONTH(Gastos!$A$2:$A$2500)=U$3)*(Gastos!$B$2:$B$2500=$A41)*(Gastos!$D$2:$D$2500))</f>
        <v>0</v>
      </c>
      <c r="V41" s="75">
        <f t="array" ref="V41">SUM((YEAR(Gastos!$A$2:$A$2500)=V$1)*(MONTH(Gastos!$A$2:$A$2500)=V$3)*(Gastos!$B$2:$B$2500=$A41)*(Gastos!$D$2:$D$2500))</f>
        <v>4710</v>
      </c>
      <c r="W41" s="75">
        <f t="array" ref="W41">SUM((YEAR(Gastos!$A$2:$A$2500)=W$1)*(MONTH(Gastos!$A$2:$A$2500)=W$3)*(Gastos!$B$2:$B$2500=$A41)*(Gastos!$D$2:$D$2500))</f>
        <v>3500</v>
      </c>
      <c r="X41" s="75">
        <f t="array" ref="X41">SUM((YEAR(Gastos!$A$2:$A$2500)=X$1)*(MONTH(Gastos!$A$2:$A$2500)=X$3)*(Gastos!$B$2:$B$2500=$A41)*(Gastos!$D$2:$D$2500))</f>
        <v>3500</v>
      </c>
      <c r="Y41" s="75">
        <f t="array" ref="Y41">SUM((YEAR(Gastos!$A$2:$A$2500)=Y$1)*(MONTH(Gastos!$A$2:$A$2500)=Y$3)*(Gastos!$B$2:$B$2500=$A41)*(Gastos!$D$2:$D$2500))</f>
        <v>15500</v>
      </c>
      <c r="Z41" s="75">
        <f t="array" ref="Z41">SUM((YEAR(Gastos!$A$2:$A$2500)=Z$1)*(MONTH(Gastos!$A$2:$A$2500)=Z$3)*(Gastos!$B$2:$B$2500=$A41)*(Gastos!$D$2:$D$2500))</f>
        <v>0</v>
      </c>
      <c r="AA41" s="75">
        <f t="array" ref="AA41">SUM((YEAR(Gastos!$A$2:$A$2500)=AA$1)*(MONTH(Gastos!$A$2:$A$2500)=AA$3)*(Gastos!$B$2:$B$2500=$A41)*(Gastos!$D$2:$D$2500))</f>
        <v>0</v>
      </c>
      <c r="AB41" s="75">
        <f t="array" ref="AB41">SUM((YEAR(Gastos!$A$2:$A$2500)=AB$1)*(MONTH(Gastos!$A$2:$A$2500)=AB$3)*(Gastos!$B$2:$B$2500=$A41)*(Gastos!$D$2:$D$2500))</f>
        <v>0</v>
      </c>
      <c r="AC41" s="75">
        <f t="array" ref="AC41">SUM((YEAR(Gastos!$A$2:$A$2500)=AC$1)*(MONTH(Gastos!$A$2:$A$2500)=AC$3)*(Gastos!$B$2:$B$2500=$A41)*(Gastos!$D$2:$D$2500))</f>
        <v>0</v>
      </c>
      <c r="AD41" s="75">
        <f t="array" ref="AD41">SUM((YEAR(Gastos!$A$2:$A$2500)=AD$1)*(MONTH(Gastos!$A$2:$A$2500)=AD$3)*(Gastos!$B$2:$B$2500=$A41)*(Gastos!$D$2:$D$2500))</f>
        <v>0</v>
      </c>
      <c r="AE41" s="75">
        <f t="array" ref="AE41">SUM((YEAR(Gastos!$A$2:$A$2500)=AE$1)*(MONTH(Gastos!$A$2:$A$2500)=AE$3)*(Gastos!$B$2:$B$2500=$A41)*(Gastos!$D$2:$D$2500))</f>
        <v>0</v>
      </c>
      <c r="AF41" s="75">
        <f t="array" ref="AF41">SUM((YEAR(Gastos!$A$2:$A$2500)=AF$1)*(MONTH(Gastos!$A$2:$A$2500)=AF$3)*(Gastos!$B$2:$B$2500=$A41)*(Gastos!$D$2:$D$2500))</f>
        <v>0</v>
      </c>
      <c r="AG41" s="75">
        <f t="array" ref="AG41">SUM((YEAR(Gastos!$A$2:$A$2500)=AG$1)*(MONTH(Gastos!$A$2:$A$2500)=AG$3)*(Gastos!$B$2:$B$2500=$A41)*(Gastos!$D$2:$D$2500))</f>
        <v>0</v>
      </c>
      <c r="AH41" s="75">
        <f t="array" ref="AH41">SUM((YEAR(Gastos!$A$2:$A$2500)=AH$1)*(MONTH(Gastos!$A$2:$A$2500)=AH$3)*(Gastos!$B$2:$B$2500=$A41)*(Gastos!$D$2:$D$2500))</f>
        <v>0</v>
      </c>
      <c r="AI41" s="75">
        <f t="array" ref="AI41">SUM((YEAR(Gastos!$A$2:$A$2500)=AI$1)*(MONTH(Gastos!$A$2:$A$2500)=AI$3)*(Gastos!$B$2:$B$2500=$A41)*(Gastos!$D$2:$D$2500))</f>
        <v>0</v>
      </c>
      <c r="AJ41" s="75">
        <f t="array" ref="AJ41">SUM((YEAR(Gastos!$A$2:$A$2500)=AJ$1)*(MONTH(Gastos!$A$2:$A$2500)=AJ$3)*(Gastos!$B$2:$B$2500=$A41)*(Gastos!$D$2:$D$2500))</f>
        <v>0</v>
      </c>
      <c r="AK41" s="75">
        <f t="array" ref="AK41">SUM((YEAR(Gastos!$A$2:$A$2500)=AK$1)*(MONTH(Gastos!$A$2:$A$2500)=AK$3)*(Gastos!$B$2:$B$2500=$A41)*(Gastos!$D$2:$D$2500))</f>
        <v>0</v>
      </c>
      <c r="AL41" s="75">
        <f t="array" ref="AL41">SUM((YEAR(Gastos!$A$2:$A$2500)=AL$1)*(MONTH(Gastos!$A$2:$A$2500)=AL$3)*(Gastos!$B$2:$B$2500=$A41)*(Gastos!$D$2:$D$2500))</f>
        <v>0</v>
      </c>
      <c r="AM41" s="75">
        <f t="array" ref="AM41">SUM((YEAR(Gastos!$A$2:$A$2500)=AM$1)*(MONTH(Gastos!$A$2:$A$2500)=AM$3)*(Gastos!$B$2:$B$2500=$A41)*(Gastos!$D$2:$D$2500))</f>
        <v>0</v>
      </c>
      <c r="AN41" s="75">
        <f t="array" ref="AN41">SUM((YEAR(Gastos!$A$2:$A$2500)=AN$1)*(MONTH(Gastos!$A$2:$A$2500)=AN$3)*(Gastos!$B$2:$B$2500=$A41)*(Gastos!$D$2:$D$2500))</f>
        <v>0</v>
      </c>
      <c r="AO41" s="75">
        <f t="array" ref="AO41">SUM((YEAR(Gastos!$A$2:$A$2500)=AO$1)*(MONTH(Gastos!$A$2:$A$2500)=AO$3)*(Gastos!$B$2:$B$2500=$A41)*(Gastos!$D$2:$D$2500))</f>
        <v>0</v>
      </c>
      <c r="AP41" s="75">
        <f t="array" ref="AP41">SUM((YEAR(Gastos!$A$2:$A$2500)=AP$1)*(MONTH(Gastos!$A$2:$A$2500)=AP$3)*(Gastos!$B$2:$B$2500=$A41)*(Gastos!$D$2:$D$2500))</f>
        <v>0</v>
      </c>
      <c r="AQ41" s="75">
        <f t="array" ref="AQ41">SUM((YEAR(Gastos!$A$2:$A$2500)=AQ$1)*(MONTH(Gastos!$A$2:$A$2500)=AQ$3)*(Gastos!$B$2:$B$2500=$A41)*(Gastos!$D$2:$D$2500))</f>
        <v>0</v>
      </c>
      <c r="AR41" s="75">
        <f t="array" ref="AR41">SUM((YEAR(Gastos!$A$2:$A$2500)=AR$1)*(MONTH(Gastos!$A$2:$A$2500)=AR$3)*(Gastos!$B$2:$B$2500=$A41)*(Gastos!$D$2:$D$2500))</f>
        <v>0</v>
      </c>
      <c r="AS41" s="75">
        <f t="array" ref="AS41">SUM((YEAR(Gastos!$A$2:$A$2500)=AS$1)*(MONTH(Gastos!$A$2:$A$2500)=AS$3)*(Gastos!$B$2:$B$2500=$A41)*(Gastos!$D$2:$D$2500))</f>
        <v>0</v>
      </c>
      <c r="AT41" s="75">
        <f t="array" ref="AT41">SUM((YEAR(Gastos!$A$2:$A$2500)=AT$1)*(MONTH(Gastos!$A$2:$A$2500)=AT$3)*(Gastos!$B$2:$B$2500=$A41)*(Gastos!$D$2:$D$2500))</f>
        <v>0</v>
      </c>
      <c r="AU41" s="75">
        <f t="array" ref="AU41">SUM((YEAR(Gastos!$A$2:$A$2500)=AU$1)*(MONTH(Gastos!$A$2:$A$2500)=AU$3)*(Gastos!$B$2:$B$2500=$A41)*(Gastos!$D$2:$D$2500))</f>
        <v>0</v>
      </c>
      <c r="AV41" s="75">
        <f t="array" ref="AV41">SUM((YEAR(Gastos!$A$2:$A$2500)=AV$1)*(MONTH(Gastos!$A$2:$A$2500)=AV$3)*(Gastos!$B$2:$B$2500=$A41)*(Gastos!$D$2:$D$2500))</f>
        <v>0</v>
      </c>
      <c r="AW41" s="75">
        <f t="array" ref="AW41">SUM((YEAR(Gastos!$A$2:$A$2500)=AW$1)*(MONTH(Gastos!$A$2:$A$2500)=AW$3)*(Gastos!$B$2:$B$2500=$A41)*(Gastos!$D$2:$D$2500))</f>
        <v>0</v>
      </c>
      <c r="AX41" s="75">
        <f t="array" ref="AX41">SUM((YEAR(Gastos!$A$2:$A$2500)=AX$1)*(MONTH(Gastos!$A$2:$A$2500)=AX$3)*(Gastos!$B$2:$B$2500=$A41)*(Gastos!$D$2:$D$2500))</f>
        <v>0</v>
      </c>
      <c r="AY41" s="75">
        <f t="array" ref="AY41">SUM((YEAR(Gastos!$A$2:$A$2500)=AY$1)*(MONTH(Gastos!$A$2:$A$2500)=AY$3)*(Gastos!$B$2:$B$2500=$A41)*(Gastos!$D$2:$D$2500))</f>
        <v>0</v>
      </c>
      <c r="AZ41" s="75">
        <f t="array" ref="AZ41">SUM((YEAR(Gastos!$A$2:$A$2500)=AZ$1)*(MONTH(Gastos!$A$2:$A$2500)=AZ$3)*(Gastos!$B$2:$B$2500=$A41)*(Gastos!$D$2:$D$2500))</f>
        <v>0</v>
      </c>
      <c r="BA41" s="75">
        <f t="array" ref="BA41">SUM((YEAR(Gastos!$A$2:$A$2500)=BA$1)*(MONTH(Gastos!$A$2:$A$2500)=BA$3)*(Gastos!$B$2:$B$2500=$A41)*(Gastos!$D$2:$D$2500))</f>
        <v>0</v>
      </c>
      <c r="BB41" s="75">
        <f t="array" ref="BB41">SUM((YEAR(Gastos!$A$2:$A$2500)=BB$1)*(MONTH(Gastos!$A$2:$A$2500)=BB$3)*(Gastos!$B$2:$B$2500=$A41)*(Gastos!$D$2:$D$2500))</f>
        <v>0</v>
      </c>
      <c r="BC41" s="75">
        <f t="array" ref="BC41">SUM((YEAR(Gastos!$A$2:$A$2500)=BC$1)*(MONTH(Gastos!$A$2:$A$2500)=BC$3)*(Gastos!$B$2:$B$2500=$A41)*(Gastos!$D$2:$D$2500))</f>
        <v>0</v>
      </c>
      <c r="BD41" s="75">
        <f t="array" ref="BD41">SUM((YEAR(Gastos!$A$2:$A$2500)=BD$1)*(MONTH(Gastos!$A$2:$A$2500)=BD$3)*(Gastos!$B$2:$B$2500=$A41)*(Gastos!$D$2:$D$2500))</f>
        <v>0</v>
      </c>
      <c r="BE41" s="75">
        <f t="array" ref="BE41">SUM((YEAR(Gastos!$A$2:$A$2500)=BE$1)*(MONTH(Gastos!$A$2:$A$2500)=BE$3)*(Gastos!$B$2:$B$2500=$A41)*(Gastos!$D$2:$D$2500))</f>
        <v>0</v>
      </c>
      <c r="BF41" s="75">
        <f t="array" ref="BF41">SUM((YEAR(Gastos!$A$2:$A$2500)=BF$1)*(MONTH(Gastos!$A$2:$A$2500)=BF$3)*(Gastos!$B$2:$B$2500=$A41)*(Gastos!$D$2:$D$2500))</f>
        <v>0</v>
      </c>
      <c r="BG41" s="75">
        <f t="array" ref="BG41">SUM((YEAR(Gastos!$A$2:$A$2500)=BG$1)*(MONTH(Gastos!$A$2:$A$2500)=BG$3)*(Gastos!$B$2:$B$2500=$A41)*(Gastos!$D$2:$D$2500))</f>
        <v>0</v>
      </c>
      <c r="BH41" s="75">
        <f t="array" ref="BH41">SUM((YEAR(Gastos!$A$2:$A$2500)=BH$1)*(MONTH(Gastos!$A$2:$A$2500)=BH$3)*(Gastos!$B$2:$B$2500=$A41)*(Gastos!$D$2:$D$2500))</f>
        <v>0</v>
      </c>
      <c r="BI41" s="75">
        <f t="array" ref="BI41">SUM((YEAR(Gastos!$A$2:$A$2500)=BI$1)*(MONTH(Gastos!$A$2:$A$2500)=BI$3)*(Gastos!$B$2:$B$2500=$A41)*(Gastos!$D$2:$D$2500))</f>
        <v>0</v>
      </c>
      <c r="BJ41" s="75">
        <f t="array" ref="BJ41">SUM((YEAR(Gastos!$A$2:$A$2500)=BJ$1)*(MONTH(Gastos!$A$2:$A$2500)=BJ$3)*(Gastos!$B$2:$B$2500=$A41)*(Gastos!$D$2:$D$2500))</f>
        <v>0</v>
      </c>
      <c r="BK41" s="75">
        <f t="array" ref="BK41">SUM((YEAR(Gastos!$A$2:$A$2500)=BK$1)*(MONTH(Gastos!$A$2:$A$2500)=BK$3)*(Gastos!$B$2:$B$2500=$A41)*(Gastos!$D$2:$D$2500))</f>
        <v>0</v>
      </c>
      <c r="BL41" s="75">
        <f t="array" ref="BL41">SUM((YEAR(Gastos!$A$2:$A$2500)=BL$1)*(MONTH(Gastos!$A$2:$A$2500)=BL$3)*(Gastos!$B$2:$B$2500=$A41)*(Gastos!$D$2:$D$2500))</f>
        <v>0</v>
      </c>
      <c r="BM41" s="75">
        <f t="array" ref="BM41">SUM((YEAR(Gastos!$A$2:$A$2500)=BM$1)*(MONTH(Gastos!$A$2:$A$2500)=BM$3)*(Gastos!$B$2:$B$2500=$A41)*(Gastos!$D$2:$D$2500))</f>
        <v>0</v>
      </c>
      <c r="BN41" s="75">
        <f t="array" ref="BN41">SUM((YEAR(Gastos!$A$2:$A$2500)=BN$1)*(MONTH(Gastos!$A$2:$A$2500)=BN$3)*(Gastos!$B$2:$B$2500=$A41)*(Gastos!$D$2:$D$2500))</f>
        <v>0</v>
      </c>
      <c r="BO41" s="75">
        <f t="array" ref="BO41">SUM((YEAR(Gastos!$A$2:$A$2500)=BO$1)*(MONTH(Gastos!$A$2:$A$2500)=BO$3)*(Gastos!$B$2:$B$2500=$A41)*(Gastos!$D$2:$D$2500))</f>
        <v>0</v>
      </c>
      <c r="BP41" s="75">
        <f t="array" ref="BP41">SUM((YEAR(Gastos!$A$2:$A$2500)=BP$1)*(MONTH(Gastos!$A$2:$A$2500)=BP$3)*(Gastos!$B$2:$B$2500=$A41)*(Gastos!$D$2:$D$2500))</f>
        <v>0</v>
      </c>
      <c r="BQ41" s="75">
        <f t="array" ref="BQ41">SUM((YEAR(Gastos!$A$2:$A$2500)=BQ$1)*(MONTH(Gastos!$A$2:$A$2500)=BQ$3)*(Gastos!$B$2:$B$2500=$A41)*(Gastos!$D$2:$D$2500))</f>
        <v>0</v>
      </c>
      <c r="BR41" s="75">
        <f t="array" ref="BR41">SUM((YEAR(Gastos!$A$2:$A$2500)=BR$1)*(MONTH(Gastos!$A$2:$A$2500)=BR$3)*(Gastos!$B$2:$B$2500=$A41)*(Gastos!$D$2:$D$2500))</f>
        <v>0</v>
      </c>
      <c r="BS41" s="75">
        <f t="array" ref="BS41">SUM((YEAR(Gastos!$A$2:$A$2500)=BS$1)*(MONTH(Gastos!$A$2:$A$2500)=BS$3)*(Gastos!$B$2:$B$2500=$A41)*(Gastos!$D$2:$D$2500))</f>
        <v>0</v>
      </c>
      <c r="BT41" s="75">
        <f t="array" ref="BT41">SUM((YEAR(Gastos!$A$2:$A$2500)=BT$1)*(MONTH(Gastos!$A$2:$A$2500)=BT$3)*(Gastos!$B$2:$B$2500=$A41)*(Gastos!$D$2:$D$2500))</f>
        <v>0</v>
      </c>
      <c r="BU41" s="75">
        <f t="array" ref="BU41">SUM((YEAR(Gastos!$A$2:$A$2500)=BU$1)*(MONTH(Gastos!$A$2:$A$2500)=BU$3)*(Gastos!$B$2:$B$2500=$A41)*(Gastos!$D$2:$D$2500))</f>
        <v>0</v>
      </c>
      <c r="BV41" s="75">
        <f t="array" ref="BV41">SUM((YEAR(Gastos!$A$2:$A$2500)=BV$1)*(MONTH(Gastos!$A$2:$A$2500)=BV$3)*(Gastos!$B$2:$B$2500=$A41)*(Gastos!$D$2:$D$2500))</f>
        <v>0</v>
      </c>
      <c r="BW41" s="75">
        <f t="array" ref="BW41">SUM((YEAR(Gastos!$A$2:$A$2500)=BW$1)*(MONTH(Gastos!$A$2:$A$2500)=BW$3)*(Gastos!$B$2:$B$2500=$A41)*(Gastos!$D$2:$D$2500))</f>
        <v>0</v>
      </c>
      <c r="BX41" s="75">
        <f t="array" ref="BX41">SUM((YEAR(Gastos!$A$2:$A$2500)=BX$1)*(MONTH(Gastos!$A$2:$A$2500)=BX$3)*(Gastos!$B$2:$B$2500=$A41)*(Gastos!$D$2:$D$2500))</f>
        <v>0</v>
      </c>
      <c r="BY41" s="75">
        <f t="array" ref="BY41">SUM((YEAR(Gastos!$A$2:$A$2500)=BY$1)*(MONTH(Gastos!$A$2:$A$2500)=BY$3)*(Gastos!$B$2:$B$2500=$A41)*(Gastos!$D$2:$D$2500))</f>
        <v>0</v>
      </c>
      <c r="BZ41" s="75">
        <f t="array" ref="BZ41">SUM((YEAR(Gastos!$A$2:$A$2500)=BZ$1)*(MONTH(Gastos!$A$2:$A$2500)=BZ$3)*(Gastos!$B$2:$B$2500=$A41)*(Gastos!$D$2:$D$2500))</f>
        <v>0</v>
      </c>
      <c r="CA41" s="75">
        <f t="array" ref="CA41">SUM((YEAR(Gastos!$A$2:$A$2500)=CA$1)*(MONTH(Gastos!$A$2:$A$2500)=CA$3)*(Gastos!$B$2:$B$2500=$A41)*(Gastos!$D$2:$D$2500))</f>
        <v>0</v>
      </c>
      <c r="CB41" s="75">
        <f t="array" ref="CB41">SUM((YEAR(Gastos!$A$2:$A$2500)=CB$1)*(MONTH(Gastos!$A$2:$A$2500)=CB$3)*(Gastos!$B$2:$B$2500=$A41)*(Gastos!$D$2:$D$2500))</f>
        <v>0</v>
      </c>
      <c r="CC41" s="75">
        <f t="array" ref="CC41">SUM((YEAR(Gastos!$A$2:$A$2500)=CC$1)*(MONTH(Gastos!$A$2:$A$2500)=CC$3)*(Gastos!$B$2:$B$2500=$A41)*(Gastos!$D$2:$D$2500))</f>
        <v>0</v>
      </c>
      <c r="CD41" s="75">
        <f t="array" ref="CD41">SUM((YEAR(Gastos!$A$2:$A$2500)=CD$1)*(MONTH(Gastos!$A$2:$A$2500)=CD$3)*(Gastos!$B$2:$B$2500=$A41)*(Gastos!$D$2:$D$2500))</f>
        <v>0</v>
      </c>
      <c r="CE41" s="75">
        <f t="array" ref="CE41">SUM((YEAR(Gastos!$A$2:$A$2500)=CE$1)*(MONTH(Gastos!$A$2:$A$2500)=CE$3)*(Gastos!$B$2:$B$2500=$A41)*(Gastos!$D$2:$D$2500))</f>
        <v>0</v>
      </c>
      <c r="CF41" s="75">
        <f t="array" ref="CF41">SUM((YEAR(Gastos!$A$2:$A$2500)=CF$1)*(MONTH(Gastos!$A$2:$A$2500)=CF$3)*(Gastos!$B$2:$B$2500=$A41)*(Gastos!$D$2:$D$2500))</f>
        <v>0</v>
      </c>
      <c r="CG41" s="75">
        <f t="array" ref="CG41">SUM((YEAR(Gastos!$A$2:$A$2500)=CG$1)*(MONTH(Gastos!$A$2:$A$2500)=CG$3)*(Gastos!$B$2:$B$2500=$A41)*(Gastos!$D$2:$D$2500))</f>
        <v>0</v>
      </c>
      <c r="CH41" s="75">
        <f t="array" ref="CH41">SUM((YEAR(Gastos!$A$2:$A$2500)=CH$1)*(MONTH(Gastos!$A$2:$A$2500)=CH$3)*(Gastos!$B$2:$B$2500=$A41)*(Gastos!$D$2:$D$2500))</f>
        <v>0</v>
      </c>
      <c r="CI41" s="75">
        <f t="array" ref="CI41">SUM((YEAR(Gastos!$A$2:$A$2500)=CI$1)*(MONTH(Gastos!$A$2:$A$2500)=CI$3)*(Gastos!$B$2:$B$2500=$A41)*(Gastos!$D$2:$D$2500))</f>
        <v>0</v>
      </c>
      <c r="CJ41" s="75">
        <f t="array" ref="CJ41">SUM((YEAR(Gastos!$A$2:$A$2500)=CJ$1)*(MONTH(Gastos!$A$2:$A$2500)=CJ$3)*(Gastos!$B$2:$B$2500=$A41)*(Gastos!$D$2:$D$2500))</f>
        <v>0</v>
      </c>
      <c r="CK41" s="75">
        <f t="array" ref="CK41">SUM((YEAR(Gastos!$A$2:$A$2500)=CK$1)*(MONTH(Gastos!$A$2:$A$2500)=CK$3)*(Gastos!$B$2:$B$2500=$A41)*(Gastos!$D$2:$D$2500))</f>
        <v>0</v>
      </c>
      <c r="CL41" s="75">
        <f t="array" ref="CL41">SUM((YEAR(Gastos!$A$2:$A$2500)=CL$1)*(MONTH(Gastos!$A$2:$A$2500)=CL$3)*(Gastos!$B$2:$B$2500=$A41)*(Gastos!$D$2:$D$2500))</f>
        <v>0</v>
      </c>
      <c r="CM41" s="75">
        <f t="array" ref="CM41">SUM((YEAR(Gastos!$A$2:$A$2500)=CM$1)*(MONTH(Gastos!$A$2:$A$2500)=CM$3)*(Gastos!$B$2:$B$2500=$A41)*(Gastos!$D$2:$D$2500))</f>
        <v>0</v>
      </c>
      <c r="CN41" s="75">
        <f t="array" ref="CN41">SUM((YEAR(Gastos!$A$2:$A$2500)=CN$1)*(MONTH(Gastos!$A$2:$A$2500)=CN$3)*(Gastos!$B$2:$B$2500=$A41)*(Gastos!$D$2:$D$2500))</f>
        <v>0</v>
      </c>
      <c r="CO41" s="75">
        <f t="array" ref="CO41">SUM((YEAR(Gastos!$A$2:$A$2500)=CO$1)*(MONTH(Gastos!$A$2:$A$2500)=CO$3)*(Gastos!$B$2:$B$2500=$A41)*(Gastos!$D$2:$D$2500))</f>
        <v>0</v>
      </c>
      <c r="CP41" s="75">
        <f t="array" ref="CP41">SUM((YEAR(Gastos!$A$2:$A$2500)=CP$1)*(MONTH(Gastos!$A$2:$A$2500)=CP$3)*(Gastos!$B$2:$B$2500=$A41)*(Gastos!$D$2:$D$2500))</f>
        <v>0</v>
      </c>
      <c r="CQ41" s="75">
        <f t="array" ref="CQ41">SUM((YEAR(Gastos!$A$2:$A$2500)=CQ$1)*(MONTH(Gastos!$A$2:$A$2500)=CQ$3)*(Gastos!$B$2:$B$2500=$A41)*(Gastos!$D$2:$D$2500))</f>
        <v>0</v>
      </c>
      <c r="CR41" s="75">
        <f t="array" ref="CR41">SUM((YEAR(Gastos!$A$2:$A$2500)=CR$1)*(MONTH(Gastos!$A$2:$A$2500)=CR$3)*(Gastos!$B$2:$B$2500=$A41)*(Gastos!$D$2:$D$2500))</f>
        <v>0</v>
      </c>
      <c r="CS41" s="75">
        <f t="array" ref="CS41">SUM((YEAR(Gastos!$A$2:$A$2500)=CS$1)*(MONTH(Gastos!$A$2:$A$2500)=CS$3)*(Gastos!$B$2:$B$2500=$A41)*(Gastos!$D$2:$D$2500))</f>
        <v>0</v>
      </c>
      <c r="CT41" s="75">
        <f t="array" ref="CT41">SUM((YEAR(Gastos!$A$2:$A$2500)=CT$1)*(MONTH(Gastos!$A$2:$A$2500)=CT$3)*(Gastos!$B$2:$B$2500=$A41)*(Gastos!$D$2:$D$2500))</f>
        <v>0</v>
      </c>
      <c r="CU41" s="75">
        <f t="array" ref="CU41">SUM((YEAR(Gastos!$A$2:$A$2500)=CU$1)*(MONTH(Gastos!$A$2:$A$2500)=CU$3)*(Gastos!$B$2:$B$2500=$A41)*(Gastos!$D$2:$D$2500))</f>
        <v>0</v>
      </c>
      <c r="CV41" s="75">
        <f t="array" ref="CV41">SUM((YEAR(Gastos!$A$2:$A$2500)=CV$1)*(MONTH(Gastos!$A$2:$A$2500)=CV$3)*(Gastos!$B$2:$B$2500=$A41)*(Gastos!$D$2:$D$2500))</f>
        <v>0</v>
      </c>
      <c r="CW41" s="75">
        <f t="array" ref="CW41">SUM((YEAR(Gastos!$A$2:$A$2500)=CW$1)*(MONTH(Gastos!$A$2:$A$2500)=CW$3)*(Gastos!$B$2:$B$2500=$A41)*(Gastos!$D$2:$D$2500))</f>
        <v>0</v>
      </c>
      <c r="CX41" s="75">
        <f t="array" ref="CX41">SUM((YEAR(Gastos!$A$2:$A$2500)=CX$1)*(MONTH(Gastos!$A$2:$A$2500)=CX$3)*(Gastos!$B$2:$B$2500=$A41)*(Gastos!$D$2:$D$2500))</f>
        <v>0</v>
      </c>
      <c r="CY41" s="75">
        <f t="array" ref="CY41">SUM((YEAR(Gastos!$A$2:$A$2500)=CY$1)*(MONTH(Gastos!$A$2:$A$2500)=CY$3)*(Gastos!$B$2:$B$2500=$A41)*(Gastos!$D$2:$D$2500))</f>
        <v>0</v>
      </c>
      <c r="CZ41" s="75">
        <f t="array" ref="CZ41">SUM((YEAR(Gastos!$A$2:$A$2500)=CZ$1)*(MONTH(Gastos!$A$2:$A$2500)=CZ$3)*(Gastos!$B$2:$B$2500=$A41)*(Gastos!$D$2:$D$2500))</f>
        <v>0</v>
      </c>
      <c r="DA41" s="75">
        <f t="array" ref="DA41">SUM((YEAR(Gastos!$A$2:$A$2500)=DA$1)*(MONTH(Gastos!$A$2:$A$2500)=DA$3)*(Gastos!$B$2:$B$2500=$A41)*(Gastos!$D$2:$D$2500))</f>
        <v>0</v>
      </c>
      <c r="DB41" s="75">
        <f t="array" ref="DB41">SUM((YEAR(Gastos!$A$2:$A$2500)=DB$1)*(MONTH(Gastos!$A$2:$A$2500)=DB$3)*(Gastos!$B$2:$B$2500=$A41)*(Gastos!$D$2:$D$2500))</f>
        <v>0</v>
      </c>
      <c r="DC41" s="75">
        <f t="array" ref="DC41">SUM((YEAR(Gastos!$A$2:$A$2500)=DC$1)*(MONTH(Gastos!$A$2:$A$2500)=DC$3)*(Gastos!$B$2:$B$2500=$A41)*(Gastos!$D$2:$D$2500))</f>
        <v>0</v>
      </c>
      <c r="DD41" s="75">
        <f t="array" ref="DD41">SUM((YEAR(Gastos!$A$2:$A$2500)=DD$1)*(MONTH(Gastos!$A$2:$A$2500)=DD$3)*(Gastos!$B$2:$B$2500=$A41)*(Gastos!$D$2:$D$2500))</f>
        <v>0</v>
      </c>
      <c r="DE41" s="75">
        <f t="array" ref="DE41">SUM((YEAR(Gastos!$A$2:$A$2500)=DE$1)*(MONTH(Gastos!$A$2:$A$2500)=DE$3)*(Gastos!$B$2:$B$2500=$A41)*(Gastos!$D$2:$D$2500))</f>
        <v>0</v>
      </c>
      <c r="DF41" s="75">
        <f t="array" ref="DF41">SUM((YEAR(Gastos!$A$2:$A$2500)=DF$1)*(MONTH(Gastos!$A$2:$A$2500)=DF$3)*(Gastos!$B$2:$B$2500=$A41)*(Gastos!$D$2:$D$2500))</f>
        <v>0</v>
      </c>
      <c r="DG41" s="75">
        <f t="array" ref="DG41">SUM((YEAR(Gastos!$A$2:$A$2500)=DG$1)*(MONTH(Gastos!$A$2:$A$2500)=DG$3)*(Gastos!$B$2:$B$2500=$A41)*(Gastos!$D$2:$D$2500))</f>
        <v>0</v>
      </c>
      <c r="DH41" s="75">
        <f t="array" ref="DH41">SUM((YEAR(Gastos!$A$2:$A$2500)=DH$1)*(MONTH(Gastos!$A$2:$A$2500)=DH$3)*(Gastos!$B$2:$B$2500=$A41)*(Gastos!$D$2:$D$2500))</f>
        <v>0</v>
      </c>
      <c r="DI41" s="75">
        <f t="array" ref="DI41">SUM((YEAR(Gastos!$A$2:$A$2500)=DI$1)*(MONTH(Gastos!$A$2:$A$2500)=DI$3)*(Gastos!$B$2:$B$2500=$A41)*(Gastos!$D$2:$D$2500))</f>
        <v>0</v>
      </c>
      <c r="DJ41" s="75">
        <f t="array" ref="DJ41">SUM((YEAR(Gastos!$A$2:$A$2500)=DJ$1)*(MONTH(Gastos!$A$2:$A$2500)=DJ$3)*(Gastos!$B$2:$B$2500=$A41)*(Gastos!$D$2:$D$2500))</f>
        <v>0</v>
      </c>
      <c r="DK41" s="75">
        <f t="array" ref="DK41">SUM((YEAR(Gastos!$A$2:$A$2500)=DK$1)*(MONTH(Gastos!$A$2:$A$2500)=DK$3)*(Gastos!$B$2:$B$2500=$A41)*(Gastos!$D$2:$D$2500))</f>
        <v>0</v>
      </c>
      <c r="DL41" s="75">
        <f t="array" ref="DL41">SUM((YEAR(Gastos!$A$2:$A$2500)=DL$1)*(MONTH(Gastos!$A$2:$A$2500)=DL$3)*(Gastos!$B$2:$B$2500=$A41)*(Gastos!$D$2:$D$2500))</f>
        <v>0</v>
      </c>
      <c r="DM41" s="75">
        <f t="array" ref="DM41">SUM((YEAR(Gastos!$A$2:$A$2500)=DM$1)*(MONTH(Gastos!$A$2:$A$2500)=DM$3)*(Gastos!$B$2:$B$2500=$A41)*(Gastos!$D$2:$D$2500))</f>
        <v>0</v>
      </c>
      <c r="DN41" s="75">
        <f t="array" ref="DN41">SUM((YEAR(Gastos!$A$2:$A$2500)=DN$1)*(MONTH(Gastos!$A$2:$A$2500)=DN$3)*(Gastos!$B$2:$B$2500=$A41)*(Gastos!$D$2:$D$2500))</f>
        <v>0</v>
      </c>
      <c r="DO41" s="75">
        <f t="array" ref="DO41">SUM((YEAR(Gastos!$A$2:$A$2500)=DO$1)*(MONTH(Gastos!$A$2:$A$2500)=DO$3)*(Gastos!$B$2:$B$2500=$A41)*(Gastos!$D$2:$D$2500))</f>
        <v>0</v>
      </c>
      <c r="DP41" s="75">
        <f t="array" ref="DP41">SUM((YEAR(Gastos!$A$2:$A$2500)=DP$1)*(MONTH(Gastos!$A$2:$A$2500)=DP$3)*(Gastos!$B$2:$B$2500=$A41)*(Gastos!$D$2:$D$2500))</f>
        <v>0</v>
      </c>
      <c r="DQ41" s="75">
        <f t="array" ref="DQ41">SUM((YEAR(Gastos!$A$2:$A$2500)=DQ$1)*(MONTH(Gastos!$A$2:$A$2500)=DQ$3)*(Gastos!$B$2:$B$2500=$A41)*(Gastos!$D$2:$D$2500))</f>
        <v>0</v>
      </c>
      <c r="DR41" s="75">
        <f t="array" ref="DR41">SUM((YEAR(Gastos!$A$2:$A$2500)=DR$1)*(MONTH(Gastos!$A$2:$A$2500)=DR$3)*(Gastos!$B$2:$B$2500=$A41)*(Gastos!$D$2:$D$2500))</f>
        <v>0</v>
      </c>
      <c r="DS41" s="75">
        <f t="array" ref="DS41">SUM((YEAR(Gastos!$A$2:$A$2500)=DS$1)*(MONTH(Gastos!$A$2:$A$2500)=DS$3)*(Gastos!$B$2:$B$2500=$A41)*(Gastos!$D$2:$D$2500))</f>
        <v>0</v>
      </c>
      <c r="DT41" s="75">
        <f t="array" ref="DT41">SUM((YEAR(Gastos!$A$2:$A$2500)=DT$1)*(MONTH(Gastos!$A$2:$A$2500)=DT$3)*(Gastos!$B$2:$B$2500=$A41)*(Gastos!$D$2:$D$2500))</f>
        <v>0</v>
      </c>
      <c r="DU41" s="75">
        <f t="array" ref="DU41">SUM((YEAR(Gastos!$A$2:$A$2500)=DU$1)*(MONTH(Gastos!$A$2:$A$2500)=DU$3)*(Gastos!$B$2:$B$2500=$A41)*(Gastos!$D$2:$D$2500))</f>
        <v>0</v>
      </c>
      <c r="DV41" s="75">
        <f t="array" ref="DV41">SUM((YEAR(Gastos!$A$2:$A$2500)=DV$1)*(MONTH(Gastos!$A$2:$A$2500)=DV$3)*(Gastos!$B$2:$B$2500=$A41)*(Gastos!$D$2:$D$2500))</f>
        <v>0</v>
      </c>
      <c r="DW41" s="75">
        <f t="array" ref="DW41">SUM((YEAR(Gastos!$A$2:$A$2500)=DW$1)*(MONTH(Gastos!$A$2:$A$2500)=DW$3)*(Gastos!$B$2:$B$2500=$A41)*(Gastos!$D$2:$D$2500))</f>
        <v>0</v>
      </c>
      <c r="DX41" s="75">
        <f t="array" ref="DX41">SUM((YEAR(Gastos!$A$2:$A$2500)=DX$1)*(MONTH(Gastos!$A$2:$A$2500)=DX$3)*(Gastos!$B$2:$B$2500=$A41)*(Gastos!$D$2:$D$2500))</f>
        <v>0</v>
      </c>
      <c r="DY41" s="75">
        <f t="array" ref="DY41">SUM((YEAR(Gastos!$A$2:$A$2500)=DY$1)*(MONTH(Gastos!$A$2:$A$2500)=DY$3)*(Gastos!$B$2:$B$2500=$A41)*(Gastos!$D$2:$D$2500))</f>
        <v>0</v>
      </c>
      <c r="DZ41" s="75">
        <f t="array" ref="DZ41">SUM((YEAR(Gastos!$A$2:$A$2500)=DZ$1)*(MONTH(Gastos!$A$2:$A$2500)=DZ$3)*(Gastos!$B$2:$B$2500=$A41)*(Gastos!$D$2:$D$2500))</f>
        <v>0</v>
      </c>
      <c r="EA41" s="75">
        <f t="array" ref="EA41">SUM((YEAR(Gastos!$A$2:$A$2500)=EA$1)*(MONTH(Gastos!$A$2:$A$2500)=EA$3)*(Gastos!$B$2:$B$2500=$A41)*(Gastos!$D$2:$D$2500))</f>
        <v>0</v>
      </c>
      <c r="EB41" s="75">
        <f t="array" ref="EB41">SUM((YEAR(Gastos!$A$2:$A$2500)=EB$1)*(MONTH(Gastos!$A$2:$A$2500)=EB$3)*(Gastos!$B$2:$B$2500=$A41)*(Gastos!$D$2:$D$2500))</f>
        <v>0</v>
      </c>
      <c r="EC41" s="75">
        <f t="array" ref="EC41">SUM((YEAR(Gastos!$A$2:$A$2500)=EC$1)*(MONTH(Gastos!$A$2:$A$2500)=EC$3)*(Gastos!$B$2:$B$2500=$A41)*(Gastos!$D$2:$D$2500))</f>
        <v>0</v>
      </c>
      <c r="ED41" s="75">
        <f t="array" ref="ED41">SUM((YEAR(Gastos!$A$2:$A$2500)=ED$1)*(MONTH(Gastos!$A$2:$A$2500)=ED$3)*(Gastos!$B$2:$B$2500=$A41)*(Gastos!$D$2:$D$2500))</f>
        <v>0</v>
      </c>
      <c r="EE41" s="75">
        <f t="array" ref="EE41">SUM((YEAR(Gastos!$A$2:$A$2500)=EE$1)*(MONTH(Gastos!$A$2:$A$2500)=EE$3)*(Gastos!$B$2:$B$2500=$A41)*(Gastos!$D$2:$D$2500))</f>
        <v>0</v>
      </c>
      <c r="EF41" s="75">
        <f t="array" ref="EF41">SUM((YEAR(Gastos!$A$2:$A$2500)=EF$1)*(MONTH(Gastos!$A$2:$A$2500)=EF$3)*(Gastos!$B$2:$B$2500=$A41)*(Gastos!$D$2:$D$2500))</f>
        <v>0</v>
      </c>
      <c r="EG41" s="75">
        <f t="array" ref="EG41">SUM((YEAR(Gastos!$A$2:$A$2500)=EG$1)*(MONTH(Gastos!$A$2:$A$2500)=EG$3)*(Gastos!$B$2:$B$2500=$A41)*(Gastos!$D$2:$D$2500))</f>
        <v>0</v>
      </c>
      <c r="EH41" s="75">
        <f t="array" ref="EH41">SUM((YEAR(Gastos!$A$2:$A$2500)=EH$1)*(MONTH(Gastos!$A$2:$A$2500)=EH$3)*(Gastos!$B$2:$B$2500=$A41)*(Gastos!$D$2:$D$2500))</f>
        <v>0</v>
      </c>
      <c r="EI41" s="75">
        <f t="array" ref="EI41">SUM((YEAR(Gastos!$A$2:$A$2500)=EI$1)*(MONTH(Gastos!$A$2:$A$2500)=EI$3)*(Gastos!$B$2:$B$2500=$A41)*(Gastos!$D$2:$D$2500))</f>
        <v>0</v>
      </c>
      <c r="EJ41" s="75">
        <f t="array" ref="EJ41">SUM((YEAR(Gastos!$A$2:$A$2500)=EJ$1)*(MONTH(Gastos!$A$2:$A$2500)=EJ$3)*(Gastos!$B$2:$B$2500=$A41)*(Gastos!$D$2:$D$2500))</f>
        <v>0</v>
      </c>
      <c r="EK41" s="75">
        <f t="array" ref="EK41">SUM((YEAR(Gastos!$A$2:$A$2500)=EK$1)*(MONTH(Gastos!$A$2:$A$2500)=EK$3)*(Gastos!$B$2:$B$2500=$A41)*(Gastos!$D$2:$D$2500))</f>
        <v>0</v>
      </c>
      <c r="EL41" s="75">
        <f t="array" ref="EL41">SUM((YEAR(Gastos!$A$2:$A$2500)=EL$1)*(MONTH(Gastos!$A$2:$A$2500)=EL$3)*(Gastos!$B$2:$B$2500=$A41)*(Gastos!$D$2:$D$2500))</f>
        <v>0</v>
      </c>
      <c r="EM41" s="75">
        <f t="array" ref="EM41">SUM((YEAR(Gastos!$A$2:$A$2500)=EM$1)*(MONTH(Gastos!$A$2:$A$2500)=EM$3)*(Gastos!$B$2:$B$2500=$A41)*(Gastos!$D$2:$D$2500))</f>
        <v>0</v>
      </c>
      <c r="EN41" s="75">
        <f t="array" ref="EN41">SUM((YEAR(Gastos!$A$2:$A$2500)=EN$1)*(MONTH(Gastos!$A$2:$A$2500)=EN$3)*(Gastos!$B$2:$B$2500=$A41)*(Gastos!$D$2:$D$2500))</f>
        <v>0</v>
      </c>
      <c r="EO41" s="75">
        <f t="array" ref="EO41">SUM((YEAR(Gastos!$A$2:$A$2500)=EO$1)*(MONTH(Gastos!$A$2:$A$2500)=EO$3)*(Gastos!$B$2:$B$2500=$A41)*(Gastos!$D$2:$D$2500))</f>
        <v>0</v>
      </c>
      <c r="EP41" s="75">
        <f t="array" ref="EP41">SUM((YEAR(Gastos!$A$2:$A$2500)=EP$1)*(MONTH(Gastos!$A$2:$A$2500)=EP$3)*(Gastos!$B$2:$B$2500=$A41)*(Gastos!$D$2:$D$2500))</f>
        <v>0</v>
      </c>
      <c r="EQ41" s="75">
        <f t="array" ref="EQ41">SUM((YEAR(Gastos!$A$2:$A$2500)=EQ$1)*(MONTH(Gastos!$A$2:$A$2500)=EQ$3)*(Gastos!$B$2:$B$2500=$A41)*(Gastos!$D$2:$D$2500))</f>
        <v>0</v>
      </c>
      <c r="ER41" s="75">
        <f t="array" ref="ER41">SUM((YEAR(Gastos!$A$2:$A$2500)=ER$1)*(MONTH(Gastos!$A$2:$A$2500)=ER$3)*(Gastos!$B$2:$B$2500=$A41)*(Gastos!$D$2:$D$2500))</f>
        <v>0</v>
      </c>
      <c r="ES41" s="75">
        <f t="array" ref="ES41">SUM((YEAR(Gastos!$A$2:$A$2500)=ES$1)*(MONTH(Gastos!$A$2:$A$2500)=ES$3)*(Gastos!$B$2:$B$2500=$A41)*(Gastos!$D$2:$D$2500))</f>
        <v>0</v>
      </c>
      <c r="ET41" s="75">
        <f t="array" ref="ET41">SUM((YEAR(Gastos!$A$2:$A$2500)=ET$1)*(MONTH(Gastos!$A$2:$A$2500)=ET$3)*(Gastos!$B$2:$B$2500=$A41)*(Gastos!$D$2:$D$2500))</f>
        <v>0</v>
      </c>
      <c r="EU41" s="75">
        <f t="array" ref="EU41">SUM((YEAR(Gastos!$A$2:$A$2500)=EU$1)*(MONTH(Gastos!$A$2:$A$2500)=EU$3)*(Gastos!$B$2:$B$2500=$A41)*(Gastos!$D$2:$D$2500))</f>
        <v>0</v>
      </c>
      <c r="EV41" s="75">
        <f t="array" ref="EV41">SUM((YEAR(Gastos!$A$2:$A$2500)=EV$1)*(MONTH(Gastos!$A$2:$A$2500)=EV$3)*(Gastos!$B$2:$B$2500=$A41)*(Gastos!$D$2:$D$2500))</f>
        <v>0</v>
      </c>
      <c r="EW41" s="75">
        <f t="array" ref="EW41">SUM((YEAR(Gastos!$A$2:$A$2500)=EW$1)*(MONTH(Gastos!$A$2:$A$2500)=EW$3)*(Gastos!$B$2:$B$2500=$A41)*(Gastos!$D$2:$D$2500))</f>
        <v>0</v>
      </c>
      <c r="EX41" s="75">
        <f t="array" ref="EX41">SUM((YEAR(Gastos!$A$2:$A$2500)=EX$1)*(MONTH(Gastos!$A$2:$A$2500)=EX$3)*(Gastos!$B$2:$B$2500=$A41)*(Gastos!$D$2:$D$2500))</f>
        <v>0</v>
      </c>
      <c r="EY41" s="75">
        <f t="array" ref="EY41">SUM((YEAR(Gastos!$A$2:$A$2500)=EY$1)*(MONTH(Gastos!$A$2:$A$2500)=EY$3)*(Gastos!$B$2:$B$2500=$A41)*(Gastos!$D$2:$D$2500))</f>
        <v>0</v>
      </c>
      <c r="EZ41" s="75">
        <f t="array" ref="EZ41">SUM((YEAR(Gastos!$A$2:$A$2500)=EZ$1)*(MONTH(Gastos!$A$2:$A$2500)=EZ$3)*(Gastos!$B$2:$B$2500=$A41)*(Gastos!$D$2:$D$2500))</f>
        <v>0</v>
      </c>
      <c r="FA41" s="75">
        <f t="array" ref="FA41">SUM((YEAR(Gastos!$A$2:$A$2500)=FA$1)*(MONTH(Gastos!$A$2:$A$2500)=FA$3)*(Gastos!$B$2:$B$2500=$A41)*(Gastos!$D$2:$D$2500))</f>
        <v>0</v>
      </c>
      <c r="FB41" s="75">
        <f t="array" ref="FB41">SUM((YEAR(Gastos!$A$2:$A$2500)=FB$1)*(MONTH(Gastos!$A$2:$A$2500)=FB$3)*(Gastos!$B$2:$B$2500=$A41)*(Gastos!$D$2:$D$2500))</f>
        <v>0</v>
      </c>
      <c r="FC41" s="75">
        <f t="array" ref="FC41">SUM((YEAR(Gastos!$A$2:$A$2500)=FC$1)*(MONTH(Gastos!$A$2:$A$2500)=FC$3)*(Gastos!$B$2:$B$2500=$A41)*(Gastos!$D$2:$D$2500))</f>
        <v>0</v>
      </c>
      <c r="FD41" s="75">
        <f t="array" ref="FD41">SUM((YEAR(Gastos!$A$2:$A$2500)=FD$1)*(MONTH(Gastos!$A$2:$A$2500)=FD$3)*(Gastos!$B$2:$B$2500=$A41)*(Gastos!$D$2:$D$2500))</f>
        <v>0</v>
      </c>
      <c r="FE41" s="75">
        <f t="array" ref="FE41">SUM((YEAR(Gastos!$A$2:$A$2500)=FE$1)*(MONTH(Gastos!$A$2:$A$2500)=FE$3)*(Gastos!$B$2:$B$2500=$A41)*(Gastos!$D$2:$D$2500))</f>
        <v>0</v>
      </c>
      <c r="FF41" s="75">
        <f t="array" ref="FF41">SUM((YEAR(Gastos!$A$2:$A$2500)=FF$1)*(MONTH(Gastos!$A$2:$A$2500)=FF$3)*(Gastos!$B$2:$B$2500=$A41)*(Gastos!$D$2:$D$2500))</f>
        <v>0</v>
      </c>
      <c r="FG41" s="75">
        <f t="array" ref="FG41">SUM((YEAR(Gastos!$A$2:$A$2500)=FG$1)*(MONTH(Gastos!$A$2:$A$2500)=FG$3)*(Gastos!$B$2:$B$2500=$A41)*(Gastos!$D$2:$D$2500))</f>
        <v>0</v>
      </c>
      <c r="FH41" s="75">
        <f t="array" ref="FH41">SUM((YEAR(Gastos!$A$2:$A$2500)=FH$1)*(MONTH(Gastos!$A$2:$A$2500)=FH$3)*(Gastos!$B$2:$B$2500=$A41)*(Gastos!$D$2:$D$2500))</f>
        <v>0</v>
      </c>
      <c r="FI41" s="75">
        <f t="array" ref="FI41">SUM((YEAR(Gastos!$A$2:$A$2500)=FI$1)*(MONTH(Gastos!$A$2:$A$2500)=FI$3)*(Gastos!$B$2:$B$2500=$A41)*(Gastos!$D$2:$D$2500))</f>
        <v>0</v>
      </c>
      <c r="FJ41" s="75">
        <f t="array" ref="FJ41">SUM((YEAR(Gastos!$A$2:$A$2500)=FJ$1)*(MONTH(Gastos!$A$2:$A$2500)=FJ$3)*(Gastos!$B$2:$B$2500=$A41)*(Gastos!$D$2:$D$2500))</f>
        <v>0</v>
      </c>
      <c r="FK41" s="75">
        <f t="array" ref="FK41">SUM((YEAR(Gastos!$A$2:$A$2500)=FK$1)*(MONTH(Gastos!$A$2:$A$2500)=FK$3)*(Gastos!$B$2:$B$2500=$A41)*(Gastos!$D$2:$D$2500))</f>
        <v>0</v>
      </c>
      <c r="FL41" s="75">
        <f t="array" ref="FL41">SUM((YEAR(Gastos!$A$2:$A$2500)=FL$1)*(MONTH(Gastos!$A$2:$A$2500)=FL$3)*(Gastos!$B$2:$B$2500=$A41)*(Gastos!$D$2:$D$2500))</f>
        <v>0</v>
      </c>
      <c r="FM41" s="75">
        <f t="array" ref="FM41">SUM((YEAR(Gastos!$A$2:$A$2500)=FM$1)*(MONTH(Gastos!$A$2:$A$2500)=FM$3)*(Gastos!$B$2:$B$2500=$A41)*(Gastos!$D$2:$D$2500))</f>
        <v>0</v>
      </c>
      <c r="FN41" s="75">
        <f t="array" ref="FN41">SUM((YEAR(Gastos!$A$2:$A$2500)=FN$1)*(MONTH(Gastos!$A$2:$A$2500)=FN$3)*(Gastos!$B$2:$B$2500=$A41)*(Gastos!$D$2:$D$2500))</f>
        <v>0</v>
      </c>
      <c r="FO41" s="75">
        <f t="array" ref="FO41">SUM((YEAR(Gastos!$A$2:$A$2500)=FO$1)*(MONTH(Gastos!$A$2:$A$2500)=FO$3)*(Gastos!$B$2:$B$2500=$A41)*(Gastos!$D$2:$D$2500))</f>
        <v>0</v>
      </c>
      <c r="FP41" s="75">
        <f t="array" ref="FP41">SUM((YEAR(Gastos!$A$2:$A$2500)=FP$1)*(MONTH(Gastos!$A$2:$A$2500)=FP$3)*(Gastos!$B$2:$B$2500=$A41)*(Gastos!$D$2:$D$2500))</f>
        <v>0</v>
      </c>
      <c r="FQ41" s="75">
        <f t="array" ref="FQ41">SUM((YEAR(Gastos!$A$2:$A$2500)=FQ$1)*(MONTH(Gastos!$A$2:$A$2500)=FQ$3)*(Gastos!$B$2:$B$2500=$A41)*(Gastos!$D$2:$D$2500))</f>
        <v>0</v>
      </c>
      <c r="FR41" s="75">
        <f t="array" ref="FR41">SUM((YEAR(Gastos!$A$2:$A$2500)=FR$1)*(MONTH(Gastos!$A$2:$A$2500)=FR$3)*(Gastos!$B$2:$B$2500=$A41)*(Gastos!$D$2:$D$2500))</f>
        <v>0</v>
      </c>
      <c r="FS41" s="75">
        <f t="array" ref="FS41">SUM((YEAR(Gastos!$A$2:$A$2500)=FS$1)*(MONTH(Gastos!$A$2:$A$2500)=FS$3)*(Gastos!$B$2:$B$2500=$A41)*(Gastos!$D$2:$D$2500))</f>
        <v>0</v>
      </c>
      <c r="FT41" s="75">
        <f t="array" ref="FT41">SUM((YEAR(Gastos!$A$2:$A$2500)=FT$1)*(MONTH(Gastos!$A$2:$A$2500)=FT$3)*(Gastos!$B$2:$B$2500=$A41)*(Gastos!$D$2:$D$2500))</f>
        <v>0</v>
      </c>
      <c r="FU41" s="75">
        <f t="array" ref="FU41">SUM((YEAR(Gastos!$A$2:$A$2500)=FU$1)*(MONTH(Gastos!$A$2:$A$2500)=FU$3)*(Gastos!$B$2:$B$2500=$A41)*(Gastos!$D$2:$D$2500))</f>
        <v>0</v>
      </c>
      <c r="FV41" s="75">
        <f t="array" ref="FV41">SUM((YEAR(Gastos!$A$2:$A$2500)=FV$1)*(MONTH(Gastos!$A$2:$A$2500)=FV$3)*(Gastos!$B$2:$B$2500=$A41)*(Gastos!$D$2:$D$2500))</f>
        <v>0</v>
      </c>
      <c r="FW41" s="75">
        <f t="array" ref="FW41">SUM((YEAR(Gastos!$A$2:$A$2500)=FW$1)*(MONTH(Gastos!$A$2:$A$2500)=FW$3)*(Gastos!$B$2:$B$2500=$A41)*(Gastos!$D$2:$D$2500))</f>
        <v>0</v>
      </c>
      <c r="FX41" s="75">
        <f t="array" ref="FX41">SUM((YEAR(Gastos!$A$2:$A$2500)=FX$1)*(MONTH(Gastos!$A$2:$A$2500)=FX$3)*(Gastos!$B$2:$B$2500=$A41)*(Gastos!$D$2:$D$2500))</f>
        <v>0</v>
      </c>
      <c r="FY41" s="75">
        <f t="array" ref="FY41">SUM((YEAR(Gastos!$A$2:$A$2500)=FY$1)*(MONTH(Gastos!$A$2:$A$2500)=FY$3)*(Gastos!$B$2:$B$2500=$A41)*(Gastos!$D$2:$D$2500))</f>
        <v>0</v>
      </c>
      <c r="FZ41" s="76">
        <f t="shared" si="65"/>
        <v>27210</v>
      </c>
      <c r="GA41" s="80"/>
      <c r="GB41" s="78">
        <f t="shared" si="66"/>
        <v>0</v>
      </c>
      <c r="GF41" s="79">
        <f t="array" ref="GF41">SUM(((Gastos!$A$2:$A$1647)&gt;=GD$3)*((Gastos!$A$2:$A$1647)&lt;=GF$3)*(Gastos!$B$2:$B$1647=$A41)*(Gastos!$D$2:$D$1647))</f>
        <v>0</v>
      </c>
      <c r="GI41" s="79">
        <f t="array" ref="GI41">SUM(((Gastos!$A$2:$A$1647)&gt;=GG$3)*((Gastos!$A$2:$A$1647)&lt;=GI$3)*(Gastos!$B$2:$B$1647=$A41)*(Gastos!$D$2:$D$1647))</f>
        <v>0</v>
      </c>
    </row>
    <row r="42" spans="1:191" ht="15" thickBot="1" x14ac:dyDescent="0.4">
      <c r="A42" s="74" t="str">
        <f>Gastos!AA40</f>
        <v>V. PAGOS EN EFECTIVO</v>
      </c>
      <c r="B42" s="75">
        <f t="array" ref="B42">SUM((YEAR(Gastos!$A$2:$A$2500)=B$1)*(MONTH(Gastos!$A$2:$A$2500)=B$3)*(Gastos!$B$2:$B$2500=$A42)*(Gastos!$D$2:$D$2500))</f>
        <v>0</v>
      </c>
      <c r="C42" s="75">
        <f t="array" ref="C42">SUM((YEAR(Gastos!$A$2:$A$2500)=C$1)*(MONTH(Gastos!$A$2:$A$2500)=C$3)*(Gastos!$B$2:$B$2500=$A42)*(Gastos!$D$2:$D$2500))</f>
        <v>0</v>
      </c>
      <c r="D42" s="75">
        <f t="array" ref="D42">SUM((YEAR(Gastos!$A$2:$A$2500)=D$1)*(MONTH(Gastos!$A$2:$A$2500)=D$3)*(Gastos!$B$2:$B$2500=$A42)*(Gastos!$D$2:$D$2500))</f>
        <v>0</v>
      </c>
      <c r="E42" s="75">
        <f t="array" ref="E42">SUM((YEAR(Gastos!$A$2:$A$2500)=E$1)*(MONTH(Gastos!$A$2:$A$2500)=E$3)*(Gastos!$B$2:$B$2500=$A42)*(Gastos!$D$2:$D$2500))</f>
        <v>0</v>
      </c>
      <c r="F42" s="75">
        <f t="array" ref="F42">SUM((YEAR(Gastos!$A$2:$A$2500)=F$1)*(MONTH(Gastos!$A$2:$A$2500)=F$3)*(Gastos!$B$2:$B$2500=$A42)*(Gastos!$D$2:$D$2500))</f>
        <v>0</v>
      </c>
      <c r="G42" s="75">
        <f t="array" ref="G42">SUM((YEAR(Gastos!$A$2:$A$2500)=G$1)*(MONTH(Gastos!$A$2:$A$2500)=G$3)*(Gastos!$B$2:$B$2500=$A42)*(Gastos!$D$2:$D$2500))</f>
        <v>3150</v>
      </c>
      <c r="H42" s="75">
        <f t="array" ref="H42">SUM((YEAR(Gastos!$A$2:$A$2500)=H$1)*(MONTH(Gastos!$A$2:$A$2500)=H$3)*(Gastos!$B$2:$B$2500=$A42)*(Gastos!$D$2:$D$2500))</f>
        <v>937.5</v>
      </c>
      <c r="I42" s="75">
        <f t="array" ref="I42">SUM((YEAR(Gastos!$A$2:$A$2500)=I$1)*(MONTH(Gastos!$A$2:$A$2500)=I$3)*(Gastos!$B$2:$B$2500=$A42)*(Gastos!$D$2:$D$2500))</f>
        <v>0</v>
      </c>
      <c r="J42" s="75">
        <f t="array" ref="J42">SUM((YEAR(Gastos!$A$2:$A$2500)=J$1)*(MONTH(Gastos!$A$2:$A$2500)=J$3)*(Gastos!$B$2:$B$2500=$A42)*(Gastos!$D$2:$D$2500))</f>
        <v>0</v>
      </c>
      <c r="K42" s="75">
        <f t="array" ref="K42">SUM((YEAR(Gastos!$A$2:$A$2500)=K$1)*(MONTH(Gastos!$A$2:$A$2500)=K$3)*(Gastos!$B$2:$B$2500=$A42)*(Gastos!$D$2:$D$2500))</f>
        <v>0</v>
      </c>
      <c r="L42" s="75">
        <f t="array" ref="L42">SUM((YEAR(Gastos!$A$2:$A$2500)=L$1)*(MONTH(Gastos!$A$2:$A$2500)=L$3)*(Gastos!$B$2:$B$2500=$A42)*(Gastos!$D$2:$D$2500))</f>
        <v>0</v>
      </c>
      <c r="M42" s="75">
        <f t="array" ref="M42">SUM((YEAR(Gastos!$A$2:$A$2500)=M$1)*(MONTH(Gastos!$A$2:$A$2500)=M$3)*(Gastos!$B$2:$B$2500=$A42)*(Gastos!$D$2:$D$2500))</f>
        <v>0</v>
      </c>
      <c r="N42" s="75">
        <f t="array" ref="N42">SUM((YEAR(Gastos!$A$2:$A$2500)=N$1)*(MONTH(Gastos!$A$2:$A$2500)=N$3)*(Gastos!$B$2:$B$2500=$A42)*(Gastos!$D$2:$D$2500))</f>
        <v>0</v>
      </c>
      <c r="O42" s="75">
        <f t="array" ref="O42">SUM((YEAR(Gastos!$A$2:$A$2500)=O$1)*(MONTH(Gastos!$A$2:$A$2500)=O$3)*(Gastos!$B$2:$B$2500=$A42)*(Gastos!$D$2:$D$2500))</f>
        <v>0</v>
      </c>
      <c r="P42" s="75">
        <f t="array" ref="P42">SUM((YEAR(Gastos!$A$2:$A$2500)=P$1)*(MONTH(Gastos!$A$2:$A$2500)=P$3)*(Gastos!$B$2:$B$2500=$A42)*(Gastos!$D$2:$D$2500))</f>
        <v>0</v>
      </c>
      <c r="Q42" s="75">
        <f t="array" ref="Q42">SUM((YEAR(Gastos!$A$2:$A$2500)=Q$1)*(MONTH(Gastos!$A$2:$A$2500)=Q$3)*(Gastos!$B$2:$B$2500=$A42)*(Gastos!$D$2:$D$2500))</f>
        <v>0</v>
      </c>
      <c r="R42" s="75">
        <f t="array" ref="R42">SUM((YEAR(Gastos!$A$2:$A$2500)=R$1)*(MONTH(Gastos!$A$2:$A$2500)=R$3)*(Gastos!$B$2:$B$2500=$A42)*(Gastos!$D$2:$D$2500))</f>
        <v>0</v>
      </c>
      <c r="S42" s="75">
        <f t="array" ref="S42">SUM((YEAR(Gastos!$A$2:$A$2500)=S$1)*(MONTH(Gastos!$A$2:$A$2500)=S$3)*(Gastos!$B$2:$B$2500=$A42)*(Gastos!$D$2:$D$2500))</f>
        <v>0</v>
      </c>
      <c r="T42" s="75">
        <f t="array" ref="T42">SUM((YEAR(Gastos!$A$2:$A$2500)=T$1)*(MONTH(Gastos!$A$2:$A$2500)=T$3)*(Gastos!$B$2:$B$2500=$A42)*(Gastos!$D$2:$D$2500))</f>
        <v>0</v>
      </c>
      <c r="U42" s="75">
        <f t="array" ref="U42">SUM((YEAR(Gastos!$A$2:$A$2500)=U$1)*(MONTH(Gastos!$A$2:$A$2500)=U$3)*(Gastos!$B$2:$B$2500=$A42)*(Gastos!$D$2:$D$2500))</f>
        <v>12090</v>
      </c>
      <c r="V42" s="75">
        <f t="array" ref="V42">SUM((YEAR(Gastos!$A$2:$A$2500)=V$1)*(MONTH(Gastos!$A$2:$A$2500)=V$3)*(Gastos!$B$2:$B$2500=$A42)*(Gastos!$D$2:$D$2500))</f>
        <v>4030</v>
      </c>
      <c r="W42" s="75">
        <f t="array" ref="W42">SUM((YEAR(Gastos!$A$2:$A$2500)=W$1)*(MONTH(Gastos!$A$2:$A$2500)=W$3)*(Gastos!$B$2:$B$2500=$A42)*(Gastos!$D$2:$D$2500))</f>
        <v>4030</v>
      </c>
      <c r="X42" s="75">
        <f t="array" ref="X42">SUM((YEAR(Gastos!$A$2:$A$2500)=X$1)*(MONTH(Gastos!$A$2:$A$2500)=X$3)*(Gastos!$B$2:$B$2500=$A42)*(Gastos!$D$2:$D$2500))</f>
        <v>0</v>
      </c>
      <c r="Y42" s="75">
        <f t="array" ref="Y42">SUM((YEAR(Gastos!$A$2:$A$2500)=Y$1)*(MONTH(Gastos!$A$2:$A$2500)=Y$3)*(Gastos!$B$2:$B$2500=$A42)*(Gastos!$D$2:$D$2500))</f>
        <v>0</v>
      </c>
      <c r="Z42" s="75">
        <f t="array" ref="Z42">SUM((YEAR(Gastos!$A$2:$A$2500)=Z$1)*(MONTH(Gastos!$A$2:$A$2500)=Z$3)*(Gastos!$B$2:$B$2500=$A42)*(Gastos!$D$2:$D$2500))</f>
        <v>0</v>
      </c>
      <c r="AA42" s="75">
        <f t="array" ref="AA42">SUM((YEAR(Gastos!$A$2:$A$2500)=AA$1)*(MONTH(Gastos!$A$2:$A$2500)=AA$3)*(Gastos!$B$2:$B$2500=$A42)*(Gastos!$D$2:$D$2500))</f>
        <v>0</v>
      </c>
      <c r="AB42" s="75">
        <f t="array" ref="AB42">SUM((YEAR(Gastos!$A$2:$A$2500)=AB$1)*(MONTH(Gastos!$A$2:$A$2500)=AB$3)*(Gastos!$B$2:$B$2500=$A42)*(Gastos!$D$2:$D$2500))</f>
        <v>0</v>
      </c>
      <c r="AC42" s="75">
        <f t="array" ref="AC42">SUM((YEAR(Gastos!$A$2:$A$2500)=AC$1)*(MONTH(Gastos!$A$2:$A$2500)=AC$3)*(Gastos!$B$2:$B$2500=$A42)*(Gastos!$D$2:$D$2500))</f>
        <v>0</v>
      </c>
      <c r="AD42" s="75">
        <f t="array" ref="AD42">SUM((YEAR(Gastos!$A$2:$A$2500)=AD$1)*(MONTH(Gastos!$A$2:$A$2500)=AD$3)*(Gastos!$B$2:$B$2500=$A42)*(Gastos!$D$2:$D$2500))</f>
        <v>0</v>
      </c>
      <c r="AE42" s="75">
        <f t="array" ref="AE42">SUM((YEAR(Gastos!$A$2:$A$2500)=AE$1)*(MONTH(Gastos!$A$2:$A$2500)=AE$3)*(Gastos!$B$2:$B$2500=$A42)*(Gastos!$D$2:$D$2500))</f>
        <v>5000</v>
      </c>
      <c r="AF42" s="75">
        <f t="array" ref="AF42">SUM((YEAR(Gastos!$A$2:$A$2500)=AF$1)*(MONTH(Gastos!$A$2:$A$2500)=AF$3)*(Gastos!$B$2:$B$2500=$A42)*(Gastos!$D$2:$D$2500))</f>
        <v>0</v>
      </c>
      <c r="AG42" s="75">
        <f t="array" ref="AG42">SUM((YEAR(Gastos!$A$2:$A$2500)=AG$1)*(MONTH(Gastos!$A$2:$A$2500)=AG$3)*(Gastos!$B$2:$B$2500=$A42)*(Gastos!$D$2:$D$2500))</f>
        <v>0</v>
      </c>
      <c r="AH42" s="75">
        <f t="array" ref="AH42">SUM((YEAR(Gastos!$A$2:$A$2500)=AH$1)*(MONTH(Gastos!$A$2:$A$2500)=AH$3)*(Gastos!$B$2:$B$2500=$A42)*(Gastos!$D$2:$D$2500))</f>
        <v>0</v>
      </c>
      <c r="AI42" s="75">
        <f t="array" ref="AI42">SUM((YEAR(Gastos!$A$2:$A$2500)=AI$1)*(MONTH(Gastos!$A$2:$A$2500)=AI$3)*(Gastos!$B$2:$B$2500=$A42)*(Gastos!$D$2:$D$2500))</f>
        <v>0</v>
      </c>
      <c r="AJ42" s="75">
        <f t="array" ref="AJ42">SUM((YEAR(Gastos!$A$2:$A$2500)=AJ$1)*(MONTH(Gastos!$A$2:$A$2500)=AJ$3)*(Gastos!$B$2:$B$2500=$A42)*(Gastos!$D$2:$D$2500))</f>
        <v>0</v>
      </c>
      <c r="AK42" s="75">
        <f t="array" ref="AK42">SUM((YEAR(Gastos!$A$2:$A$2500)=AK$1)*(MONTH(Gastos!$A$2:$A$2500)=AK$3)*(Gastos!$B$2:$B$2500=$A42)*(Gastos!$D$2:$D$2500))</f>
        <v>0</v>
      </c>
      <c r="AL42" s="75">
        <f t="array" ref="AL42">SUM((YEAR(Gastos!$A$2:$A$2500)=AL$1)*(MONTH(Gastos!$A$2:$A$2500)=AL$3)*(Gastos!$B$2:$B$2500=$A42)*(Gastos!$D$2:$D$2500))</f>
        <v>0</v>
      </c>
      <c r="AM42" s="75">
        <f t="array" ref="AM42">SUM((YEAR(Gastos!$A$2:$A$2500)=AM$1)*(MONTH(Gastos!$A$2:$A$2500)=AM$3)*(Gastos!$B$2:$B$2500=$A42)*(Gastos!$D$2:$D$2500))</f>
        <v>0</v>
      </c>
      <c r="AN42" s="75">
        <f t="array" ref="AN42">SUM((YEAR(Gastos!$A$2:$A$2500)=AN$1)*(MONTH(Gastos!$A$2:$A$2500)=AN$3)*(Gastos!$B$2:$B$2500=$A42)*(Gastos!$D$2:$D$2500))</f>
        <v>0</v>
      </c>
      <c r="AO42" s="75">
        <f t="array" ref="AO42">SUM((YEAR(Gastos!$A$2:$A$2500)=AO$1)*(MONTH(Gastos!$A$2:$A$2500)=AO$3)*(Gastos!$B$2:$B$2500=$A42)*(Gastos!$D$2:$D$2500))</f>
        <v>0</v>
      </c>
      <c r="AP42" s="75">
        <f t="array" ref="AP42">SUM((YEAR(Gastos!$A$2:$A$2500)=AP$1)*(MONTH(Gastos!$A$2:$A$2500)=AP$3)*(Gastos!$B$2:$B$2500=$A42)*(Gastos!$D$2:$D$2500))</f>
        <v>0</v>
      </c>
      <c r="AQ42" s="75">
        <f t="array" ref="AQ42">SUM((YEAR(Gastos!$A$2:$A$2500)=AQ$1)*(MONTH(Gastos!$A$2:$A$2500)=AQ$3)*(Gastos!$B$2:$B$2500=$A42)*(Gastos!$D$2:$D$2500))</f>
        <v>0</v>
      </c>
      <c r="AR42" s="75">
        <f t="array" ref="AR42">SUM((YEAR(Gastos!$A$2:$A$2500)=AR$1)*(MONTH(Gastos!$A$2:$A$2500)=AR$3)*(Gastos!$B$2:$B$2500=$A42)*(Gastos!$D$2:$D$2500))</f>
        <v>0</v>
      </c>
      <c r="AS42" s="75">
        <f t="array" ref="AS42">SUM((YEAR(Gastos!$A$2:$A$2500)=AS$1)*(MONTH(Gastos!$A$2:$A$2500)=AS$3)*(Gastos!$B$2:$B$2500=$A42)*(Gastos!$D$2:$D$2500))</f>
        <v>0</v>
      </c>
      <c r="AT42" s="75">
        <f t="array" ref="AT42">SUM((YEAR(Gastos!$A$2:$A$2500)=AT$1)*(MONTH(Gastos!$A$2:$A$2500)=AT$3)*(Gastos!$B$2:$B$2500=$A42)*(Gastos!$D$2:$D$2500))</f>
        <v>0</v>
      </c>
      <c r="AU42" s="75">
        <f t="array" ref="AU42">SUM((YEAR(Gastos!$A$2:$A$2500)=AU$1)*(MONTH(Gastos!$A$2:$A$2500)=AU$3)*(Gastos!$B$2:$B$2500=$A42)*(Gastos!$D$2:$D$2500))</f>
        <v>0</v>
      </c>
      <c r="AV42" s="75">
        <f t="array" ref="AV42">SUM((YEAR(Gastos!$A$2:$A$2500)=AV$1)*(MONTH(Gastos!$A$2:$A$2500)=AV$3)*(Gastos!$B$2:$B$2500=$A42)*(Gastos!$D$2:$D$2500))</f>
        <v>0</v>
      </c>
      <c r="AW42" s="75">
        <f t="array" ref="AW42">SUM((YEAR(Gastos!$A$2:$A$2500)=AW$1)*(MONTH(Gastos!$A$2:$A$2500)=AW$3)*(Gastos!$B$2:$B$2500=$A42)*(Gastos!$D$2:$D$2500))</f>
        <v>0</v>
      </c>
      <c r="AX42" s="75">
        <f t="array" ref="AX42">SUM((YEAR(Gastos!$A$2:$A$2500)=AX$1)*(MONTH(Gastos!$A$2:$A$2500)=AX$3)*(Gastos!$B$2:$B$2500=$A42)*(Gastos!$D$2:$D$2500))</f>
        <v>0</v>
      </c>
      <c r="AY42" s="75">
        <f t="array" ref="AY42">SUM((YEAR(Gastos!$A$2:$A$2500)=AY$1)*(MONTH(Gastos!$A$2:$A$2500)=AY$3)*(Gastos!$B$2:$B$2500=$A42)*(Gastos!$D$2:$D$2500))</f>
        <v>0</v>
      </c>
      <c r="AZ42" s="75">
        <f t="array" ref="AZ42">SUM((YEAR(Gastos!$A$2:$A$2500)=AZ$1)*(MONTH(Gastos!$A$2:$A$2500)=AZ$3)*(Gastos!$B$2:$B$2500=$A42)*(Gastos!$D$2:$D$2500))</f>
        <v>0</v>
      </c>
      <c r="BA42" s="75">
        <f t="array" ref="BA42">SUM((YEAR(Gastos!$A$2:$A$2500)=BA$1)*(MONTH(Gastos!$A$2:$A$2500)=BA$3)*(Gastos!$B$2:$B$2500=$A42)*(Gastos!$D$2:$D$2500))</f>
        <v>0</v>
      </c>
      <c r="BB42" s="75">
        <f t="array" ref="BB42">SUM((YEAR(Gastos!$A$2:$A$2500)=BB$1)*(MONTH(Gastos!$A$2:$A$2500)=BB$3)*(Gastos!$B$2:$B$2500=$A42)*(Gastos!$D$2:$D$2500))</f>
        <v>0</v>
      </c>
      <c r="BC42" s="75">
        <f t="array" ref="BC42">SUM((YEAR(Gastos!$A$2:$A$2500)=BC$1)*(MONTH(Gastos!$A$2:$A$2500)=BC$3)*(Gastos!$B$2:$B$2500=$A42)*(Gastos!$D$2:$D$2500))</f>
        <v>0</v>
      </c>
      <c r="BD42" s="75">
        <f t="array" ref="BD42">SUM((YEAR(Gastos!$A$2:$A$2500)=BD$1)*(MONTH(Gastos!$A$2:$A$2500)=BD$3)*(Gastos!$B$2:$B$2500=$A42)*(Gastos!$D$2:$D$2500))</f>
        <v>0</v>
      </c>
      <c r="BE42" s="75">
        <f t="array" ref="BE42">SUM((YEAR(Gastos!$A$2:$A$2500)=BE$1)*(MONTH(Gastos!$A$2:$A$2500)=BE$3)*(Gastos!$B$2:$B$2500=$A42)*(Gastos!$D$2:$D$2500))</f>
        <v>0</v>
      </c>
      <c r="BF42" s="75">
        <f t="array" ref="BF42">SUM((YEAR(Gastos!$A$2:$A$2500)=BF$1)*(MONTH(Gastos!$A$2:$A$2500)=BF$3)*(Gastos!$B$2:$B$2500=$A42)*(Gastos!$D$2:$D$2500))</f>
        <v>0</v>
      </c>
      <c r="BG42" s="75">
        <f t="array" ref="BG42">SUM((YEAR(Gastos!$A$2:$A$2500)=BG$1)*(MONTH(Gastos!$A$2:$A$2500)=BG$3)*(Gastos!$B$2:$B$2500=$A42)*(Gastos!$D$2:$D$2500))</f>
        <v>0</v>
      </c>
      <c r="BH42" s="75">
        <f t="array" ref="BH42">SUM((YEAR(Gastos!$A$2:$A$2500)=BH$1)*(MONTH(Gastos!$A$2:$A$2500)=BH$3)*(Gastos!$B$2:$B$2500=$A42)*(Gastos!$D$2:$D$2500))</f>
        <v>0</v>
      </c>
      <c r="BI42" s="75">
        <f t="array" ref="BI42">SUM((YEAR(Gastos!$A$2:$A$2500)=BI$1)*(MONTH(Gastos!$A$2:$A$2500)=BI$3)*(Gastos!$B$2:$B$2500=$A42)*(Gastos!$D$2:$D$2500))</f>
        <v>0</v>
      </c>
      <c r="BJ42" s="75">
        <f t="array" ref="BJ42">SUM((YEAR(Gastos!$A$2:$A$2500)=BJ$1)*(MONTH(Gastos!$A$2:$A$2500)=BJ$3)*(Gastos!$B$2:$B$2500=$A42)*(Gastos!$D$2:$D$2500))</f>
        <v>0</v>
      </c>
      <c r="BK42" s="75">
        <f t="array" ref="BK42">SUM((YEAR(Gastos!$A$2:$A$2500)=BK$1)*(MONTH(Gastos!$A$2:$A$2500)=BK$3)*(Gastos!$B$2:$B$2500=$A42)*(Gastos!$D$2:$D$2500))</f>
        <v>0</v>
      </c>
      <c r="BL42" s="75">
        <f t="array" ref="BL42">SUM((YEAR(Gastos!$A$2:$A$2500)=BL$1)*(MONTH(Gastos!$A$2:$A$2500)=BL$3)*(Gastos!$B$2:$B$2500=$A42)*(Gastos!$D$2:$D$2500))</f>
        <v>0</v>
      </c>
      <c r="BM42" s="75">
        <f t="array" ref="BM42">SUM((YEAR(Gastos!$A$2:$A$2500)=BM$1)*(MONTH(Gastos!$A$2:$A$2500)=BM$3)*(Gastos!$B$2:$B$2500=$A42)*(Gastos!$D$2:$D$2500))</f>
        <v>0</v>
      </c>
      <c r="BN42" s="75">
        <f t="array" ref="BN42">SUM((YEAR(Gastos!$A$2:$A$2500)=BN$1)*(MONTH(Gastos!$A$2:$A$2500)=BN$3)*(Gastos!$B$2:$B$2500=$A42)*(Gastos!$D$2:$D$2500))</f>
        <v>0</v>
      </c>
      <c r="BO42" s="75">
        <f t="array" ref="BO42">SUM((YEAR(Gastos!$A$2:$A$2500)=BO$1)*(MONTH(Gastos!$A$2:$A$2500)=BO$3)*(Gastos!$B$2:$B$2500=$A42)*(Gastos!$D$2:$D$2500))</f>
        <v>0</v>
      </c>
      <c r="BP42" s="75">
        <f t="array" ref="BP42">SUM((YEAR(Gastos!$A$2:$A$2500)=BP$1)*(MONTH(Gastos!$A$2:$A$2500)=BP$3)*(Gastos!$B$2:$B$2500=$A42)*(Gastos!$D$2:$D$2500))</f>
        <v>0</v>
      </c>
      <c r="BQ42" s="75">
        <f t="array" ref="BQ42">SUM((YEAR(Gastos!$A$2:$A$2500)=BQ$1)*(MONTH(Gastos!$A$2:$A$2500)=BQ$3)*(Gastos!$B$2:$B$2500=$A42)*(Gastos!$D$2:$D$2500))</f>
        <v>0</v>
      </c>
      <c r="BR42" s="75">
        <f t="array" ref="BR42">SUM((YEAR(Gastos!$A$2:$A$2500)=BR$1)*(MONTH(Gastos!$A$2:$A$2500)=BR$3)*(Gastos!$B$2:$B$2500=$A42)*(Gastos!$D$2:$D$2500))</f>
        <v>0</v>
      </c>
      <c r="BS42" s="75">
        <f t="array" ref="BS42">SUM((YEAR(Gastos!$A$2:$A$2500)=BS$1)*(MONTH(Gastos!$A$2:$A$2500)=BS$3)*(Gastos!$B$2:$B$2500=$A42)*(Gastos!$D$2:$D$2500))</f>
        <v>0</v>
      </c>
      <c r="BT42" s="75">
        <f t="array" ref="BT42">SUM((YEAR(Gastos!$A$2:$A$2500)=BT$1)*(MONTH(Gastos!$A$2:$A$2500)=BT$3)*(Gastos!$B$2:$B$2500=$A42)*(Gastos!$D$2:$D$2500))</f>
        <v>0</v>
      </c>
      <c r="BU42" s="75">
        <f t="array" ref="BU42">SUM((YEAR(Gastos!$A$2:$A$2500)=BU$1)*(MONTH(Gastos!$A$2:$A$2500)=BU$3)*(Gastos!$B$2:$B$2500=$A42)*(Gastos!$D$2:$D$2500))</f>
        <v>0</v>
      </c>
      <c r="BV42" s="75">
        <f t="array" ref="BV42">SUM((YEAR(Gastos!$A$2:$A$2500)=BV$1)*(MONTH(Gastos!$A$2:$A$2500)=BV$3)*(Gastos!$B$2:$B$2500=$A42)*(Gastos!$D$2:$D$2500))</f>
        <v>0</v>
      </c>
      <c r="BW42" s="75">
        <f t="array" ref="BW42">SUM((YEAR(Gastos!$A$2:$A$2500)=BW$1)*(MONTH(Gastos!$A$2:$A$2500)=BW$3)*(Gastos!$B$2:$B$2500=$A42)*(Gastos!$D$2:$D$2500))</f>
        <v>0</v>
      </c>
      <c r="BX42" s="75">
        <f t="array" ref="BX42">SUM((YEAR(Gastos!$A$2:$A$2500)=BX$1)*(MONTH(Gastos!$A$2:$A$2500)=BX$3)*(Gastos!$B$2:$B$2500=$A42)*(Gastos!$D$2:$D$2500))</f>
        <v>0</v>
      </c>
      <c r="BY42" s="75">
        <f t="array" ref="BY42">SUM((YEAR(Gastos!$A$2:$A$2500)=BY$1)*(MONTH(Gastos!$A$2:$A$2500)=BY$3)*(Gastos!$B$2:$B$2500=$A42)*(Gastos!$D$2:$D$2500))</f>
        <v>0</v>
      </c>
      <c r="BZ42" s="75">
        <f t="array" ref="BZ42">SUM((YEAR(Gastos!$A$2:$A$2500)=BZ$1)*(MONTH(Gastos!$A$2:$A$2500)=BZ$3)*(Gastos!$B$2:$B$2500=$A42)*(Gastos!$D$2:$D$2500))</f>
        <v>0</v>
      </c>
      <c r="CA42" s="75">
        <f t="array" ref="CA42">SUM((YEAR(Gastos!$A$2:$A$2500)=CA$1)*(MONTH(Gastos!$A$2:$A$2500)=CA$3)*(Gastos!$B$2:$B$2500=$A42)*(Gastos!$D$2:$D$2500))</f>
        <v>0</v>
      </c>
      <c r="CB42" s="75">
        <f t="array" ref="CB42">SUM((YEAR(Gastos!$A$2:$A$2500)=CB$1)*(MONTH(Gastos!$A$2:$A$2500)=CB$3)*(Gastos!$B$2:$B$2500=$A42)*(Gastos!$D$2:$D$2500))</f>
        <v>0</v>
      </c>
      <c r="CC42" s="75">
        <f t="array" ref="CC42">SUM((YEAR(Gastos!$A$2:$A$2500)=CC$1)*(MONTH(Gastos!$A$2:$A$2500)=CC$3)*(Gastos!$B$2:$B$2500=$A42)*(Gastos!$D$2:$D$2500))</f>
        <v>0</v>
      </c>
      <c r="CD42" s="75">
        <f t="array" ref="CD42">SUM((YEAR(Gastos!$A$2:$A$2500)=CD$1)*(MONTH(Gastos!$A$2:$A$2500)=CD$3)*(Gastos!$B$2:$B$2500=$A42)*(Gastos!$D$2:$D$2500))</f>
        <v>0</v>
      </c>
      <c r="CE42" s="75">
        <f t="array" ref="CE42">SUM((YEAR(Gastos!$A$2:$A$2500)=CE$1)*(MONTH(Gastos!$A$2:$A$2500)=CE$3)*(Gastos!$B$2:$B$2500=$A42)*(Gastos!$D$2:$D$2500))</f>
        <v>0</v>
      </c>
      <c r="CF42" s="75">
        <f t="array" ref="CF42">SUM((YEAR(Gastos!$A$2:$A$2500)=CF$1)*(MONTH(Gastos!$A$2:$A$2500)=CF$3)*(Gastos!$B$2:$B$2500=$A42)*(Gastos!$D$2:$D$2500))</f>
        <v>0</v>
      </c>
      <c r="CG42" s="75">
        <f t="array" ref="CG42">SUM((YEAR(Gastos!$A$2:$A$2500)=CG$1)*(MONTH(Gastos!$A$2:$A$2500)=CG$3)*(Gastos!$B$2:$B$2500=$A42)*(Gastos!$D$2:$D$2500))</f>
        <v>0</v>
      </c>
      <c r="CH42" s="75">
        <f t="array" ref="CH42">SUM((YEAR(Gastos!$A$2:$A$2500)=CH$1)*(MONTH(Gastos!$A$2:$A$2500)=CH$3)*(Gastos!$B$2:$B$2500=$A42)*(Gastos!$D$2:$D$2500))</f>
        <v>0</v>
      </c>
      <c r="CI42" s="75">
        <f t="array" ref="CI42">SUM((YEAR(Gastos!$A$2:$A$2500)=CI$1)*(MONTH(Gastos!$A$2:$A$2500)=CI$3)*(Gastos!$B$2:$B$2500=$A42)*(Gastos!$D$2:$D$2500))</f>
        <v>0</v>
      </c>
      <c r="CJ42" s="75">
        <f t="array" ref="CJ42">SUM((YEAR(Gastos!$A$2:$A$2500)=CJ$1)*(MONTH(Gastos!$A$2:$A$2500)=CJ$3)*(Gastos!$B$2:$B$2500=$A42)*(Gastos!$D$2:$D$2500))</f>
        <v>0</v>
      </c>
      <c r="CK42" s="75">
        <f t="array" ref="CK42">SUM((YEAR(Gastos!$A$2:$A$2500)=CK$1)*(MONTH(Gastos!$A$2:$A$2500)=CK$3)*(Gastos!$B$2:$B$2500=$A42)*(Gastos!$D$2:$D$2500))</f>
        <v>0</v>
      </c>
      <c r="CL42" s="75">
        <f t="array" ref="CL42">SUM((YEAR(Gastos!$A$2:$A$2500)=CL$1)*(MONTH(Gastos!$A$2:$A$2500)=CL$3)*(Gastos!$B$2:$B$2500=$A42)*(Gastos!$D$2:$D$2500))</f>
        <v>0</v>
      </c>
      <c r="CM42" s="75">
        <f t="array" ref="CM42">SUM((YEAR(Gastos!$A$2:$A$2500)=CM$1)*(MONTH(Gastos!$A$2:$A$2500)=CM$3)*(Gastos!$B$2:$B$2500=$A42)*(Gastos!$D$2:$D$2500))</f>
        <v>0</v>
      </c>
      <c r="CN42" s="75">
        <f t="array" ref="CN42">SUM((YEAR(Gastos!$A$2:$A$2500)=CN$1)*(MONTH(Gastos!$A$2:$A$2500)=CN$3)*(Gastos!$B$2:$B$2500=$A42)*(Gastos!$D$2:$D$2500))</f>
        <v>0</v>
      </c>
      <c r="CO42" s="75">
        <f t="array" ref="CO42">SUM((YEAR(Gastos!$A$2:$A$2500)=CO$1)*(MONTH(Gastos!$A$2:$A$2500)=CO$3)*(Gastos!$B$2:$B$2500=$A42)*(Gastos!$D$2:$D$2500))</f>
        <v>0</v>
      </c>
      <c r="CP42" s="75">
        <f t="array" ref="CP42">SUM((YEAR(Gastos!$A$2:$A$2500)=CP$1)*(MONTH(Gastos!$A$2:$A$2500)=CP$3)*(Gastos!$B$2:$B$2500=$A42)*(Gastos!$D$2:$D$2500))</f>
        <v>0</v>
      </c>
      <c r="CQ42" s="75">
        <f t="array" ref="CQ42">SUM((YEAR(Gastos!$A$2:$A$2500)=CQ$1)*(MONTH(Gastos!$A$2:$A$2500)=CQ$3)*(Gastos!$B$2:$B$2500=$A42)*(Gastos!$D$2:$D$2500))</f>
        <v>0</v>
      </c>
      <c r="CR42" s="75">
        <f t="array" ref="CR42">SUM((YEAR(Gastos!$A$2:$A$2500)=CR$1)*(MONTH(Gastos!$A$2:$A$2500)=CR$3)*(Gastos!$B$2:$B$2500=$A42)*(Gastos!$D$2:$D$2500))</f>
        <v>0</v>
      </c>
      <c r="CS42" s="75">
        <f t="array" ref="CS42">SUM((YEAR(Gastos!$A$2:$A$2500)=CS$1)*(MONTH(Gastos!$A$2:$A$2500)=CS$3)*(Gastos!$B$2:$B$2500=$A42)*(Gastos!$D$2:$D$2500))</f>
        <v>0</v>
      </c>
      <c r="CT42" s="75">
        <f t="array" ref="CT42">SUM((YEAR(Gastos!$A$2:$A$2500)=CT$1)*(MONTH(Gastos!$A$2:$A$2500)=CT$3)*(Gastos!$B$2:$B$2500=$A42)*(Gastos!$D$2:$D$2500))</f>
        <v>0</v>
      </c>
      <c r="CU42" s="75">
        <f t="array" ref="CU42">SUM((YEAR(Gastos!$A$2:$A$2500)=CU$1)*(MONTH(Gastos!$A$2:$A$2500)=CU$3)*(Gastos!$B$2:$B$2500=$A42)*(Gastos!$D$2:$D$2500))</f>
        <v>0</v>
      </c>
      <c r="CV42" s="75">
        <f t="array" ref="CV42">SUM((YEAR(Gastos!$A$2:$A$2500)=CV$1)*(MONTH(Gastos!$A$2:$A$2500)=CV$3)*(Gastos!$B$2:$B$2500=$A42)*(Gastos!$D$2:$D$2500))</f>
        <v>0</v>
      </c>
      <c r="CW42" s="75">
        <f t="array" ref="CW42">SUM((YEAR(Gastos!$A$2:$A$2500)=CW$1)*(MONTH(Gastos!$A$2:$A$2500)=CW$3)*(Gastos!$B$2:$B$2500=$A42)*(Gastos!$D$2:$D$2500))</f>
        <v>0</v>
      </c>
      <c r="CX42" s="75">
        <f t="array" ref="CX42">SUM((YEAR(Gastos!$A$2:$A$2500)=CX$1)*(MONTH(Gastos!$A$2:$A$2500)=CX$3)*(Gastos!$B$2:$B$2500=$A42)*(Gastos!$D$2:$D$2500))</f>
        <v>0</v>
      </c>
      <c r="CY42" s="75">
        <f t="array" ref="CY42">SUM((YEAR(Gastos!$A$2:$A$2500)=CY$1)*(MONTH(Gastos!$A$2:$A$2500)=CY$3)*(Gastos!$B$2:$B$2500=$A42)*(Gastos!$D$2:$D$2500))</f>
        <v>0</v>
      </c>
      <c r="CZ42" s="75">
        <f t="array" ref="CZ42">SUM((YEAR(Gastos!$A$2:$A$2500)=CZ$1)*(MONTH(Gastos!$A$2:$A$2500)=CZ$3)*(Gastos!$B$2:$B$2500=$A42)*(Gastos!$D$2:$D$2500))</f>
        <v>0</v>
      </c>
      <c r="DA42" s="75">
        <f t="array" ref="DA42">SUM((YEAR(Gastos!$A$2:$A$2500)=DA$1)*(MONTH(Gastos!$A$2:$A$2500)=DA$3)*(Gastos!$B$2:$B$2500=$A42)*(Gastos!$D$2:$D$2500))</f>
        <v>0</v>
      </c>
      <c r="DB42" s="75">
        <f t="array" ref="DB42">SUM((YEAR(Gastos!$A$2:$A$2500)=DB$1)*(MONTH(Gastos!$A$2:$A$2500)=DB$3)*(Gastos!$B$2:$B$2500=$A42)*(Gastos!$D$2:$D$2500))</f>
        <v>0</v>
      </c>
      <c r="DC42" s="75">
        <f t="array" ref="DC42">SUM((YEAR(Gastos!$A$2:$A$2500)=DC$1)*(MONTH(Gastos!$A$2:$A$2500)=DC$3)*(Gastos!$B$2:$B$2500=$A42)*(Gastos!$D$2:$D$2500))</f>
        <v>0</v>
      </c>
      <c r="DD42" s="75">
        <f t="array" ref="DD42">SUM((YEAR(Gastos!$A$2:$A$2500)=DD$1)*(MONTH(Gastos!$A$2:$A$2500)=DD$3)*(Gastos!$B$2:$B$2500=$A42)*(Gastos!$D$2:$D$2500))</f>
        <v>0</v>
      </c>
      <c r="DE42" s="75">
        <f t="array" ref="DE42">SUM((YEAR(Gastos!$A$2:$A$2500)=DE$1)*(MONTH(Gastos!$A$2:$A$2500)=DE$3)*(Gastos!$B$2:$B$2500=$A42)*(Gastos!$D$2:$D$2500))</f>
        <v>0</v>
      </c>
      <c r="DF42" s="75">
        <f t="array" ref="DF42">SUM((YEAR(Gastos!$A$2:$A$2500)=DF$1)*(MONTH(Gastos!$A$2:$A$2500)=DF$3)*(Gastos!$B$2:$B$2500=$A42)*(Gastos!$D$2:$D$2500))</f>
        <v>0</v>
      </c>
      <c r="DG42" s="75">
        <f t="array" ref="DG42">SUM((YEAR(Gastos!$A$2:$A$2500)=DG$1)*(MONTH(Gastos!$A$2:$A$2500)=DG$3)*(Gastos!$B$2:$B$2500=$A42)*(Gastos!$D$2:$D$2500))</f>
        <v>0</v>
      </c>
      <c r="DH42" s="75">
        <f t="array" ref="DH42">SUM((YEAR(Gastos!$A$2:$A$2500)=DH$1)*(MONTH(Gastos!$A$2:$A$2500)=DH$3)*(Gastos!$B$2:$B$2500=$A42)*(Gastos!$D$2:$D$2500))</f>
        <v>0</v>
      </c>
      <c r="DI42" s="75">
        <f t="array" ref="DI42">SUM((YEAR(Gastos!$A$2:$A$2500)=DI$1)*(MONTH(Gastos!$A$2:$A$2500)=DI$3)*(Gastos!$B$2:$B$2500=$A42)*(Gastos!$D$2:$D$2500))</f>
        <v>0</v>
      </c>
      <c r="DJ42" s="75">
        <f t="array" ref="DJ42">SUM((YEAR(Gastos!$A$2:$A$2500)=DJ$1)*(MONTH(Gastos!$A$2:$A$2500)=DJ$3)*(Gastos!$B$2:$B$2500=$A42)*(Gastos!$D$2:$D$2500))</f>
        <v>0</v>
      </c>
      <c r="DK42" s="75">
        <f t="array" ref="DK42">SUM((YEAR(Gastos!$A$2:$A$2500)=DK$1)*(MONTH(Gastos!$A$2:$A$2500)=DK$3)*(Gastos!$B$2:$B$2500=$A42)*(Gastos!$D$2:$D$2500))</f>
        <v>0</v>
      </c>
      <c r="DL42" s="75">
        <f t="array" ref="DL42">SUM((YEAR(Gastos!$A$2:$A$2500)=DL$1)*(MONTH(Gastos!$A$2:$A$2500)=DL$3)*(Gastos!$B$2:$B$2500=$A42)*(Gastos!$D$2:$D$2500))</f>
        <v>0</v>
      </c>
      <c r="DM42" s="75">
        <f t="array" ref="DM42">SUM((YEAR(Gastos!$A$2:$A$2500)=DM$1)*(MONTH(Gastos!$A$2:$A$2500)=DM$3)*(Gastos!$B$2:$B$2500=$A42)*(Gastos!$D$2:$D$2500))</f>
        <v>0</v>
      </c>
      <c r="DN42" s="75">
        <f t="array" ref="DN42">SUM((YEAR(Gastos!$A$2:$A$2500)=DN$1)*(MONTH(Gastos!$A$2:$A$2500)=DN$3)*(Gastos!$B$2:$B$2500=$A42)*(Gastos!$D$2:$D$2500))</f>
        <v>0</v>
      </c>
      <c r="DO42" s="75">
        <f t="array" ref="DO42">SUM((YEAR(Gastos!$A$2:$A$2500)=DO$1)*(MONTH(Gastos!$A$2:$A$2500)=DO$3)*(Gastos!$B$2:$B$2500=$A42)*(Gastos!$D$2:$D$2500))</f>
        <v>0</v>
      </c>
      <c r="DP42" s="75">
        <f t="array" ref="DP42">SUM((YEAR(Gastos!$A$2:$A$2500)=DP$1)*(MONTH(Gastos!$A$2:$A$2500)=DP$3)*(Gastos!$B$2:$B$2500=$A42)*(Gastos!$D$2:$D$2500))</f>
        <v>0</v>
      </c>
      <c r="DQ42" s="75">
        <f t="array" ref="DQ42">SUM((YEAR(Gastos!$A$2:$A$2500)=DQ$1)*(MONTH(Gastos!$A$2:$A$2500)=DQ$3)*(Gastos!$B$2:$B$2500=$A42)*(Gastos!$D$2:$D$2500))</f>
        <v>0</v>
      </c>
      <c r="DR42" s="75">
        <f t="array" ref="DR42">SUM((YEAR(Gastos!$A$2:$A$2500)=DR$1)*(MONTH(Gastos!$A$2:$A$2500)=DR$3)*(Gastos!$B$2:$B$2500=$A42)*(Gastos!$D$2:$D$2500))</f>
        <v>0</v>
      </c>
      <c r="DS42" s="75">
        <f t="array" ref="DS42">SUM((YEAR(Gastos!$A$2:$A$2500)=DS$1)*(MONTH(Gastos!$A$2:$A$2500)=DS$3)*(Gastos!$B$2:$B$2500=$A42)*(Gastos!$D$2:$D$2500))</f>
        <v>0</v>
      </c>
      <c r="DT42" s="75">
        <f t="array" ref="DT42">SUM((YEAR(Gastos!$A$2:$A$2500)=DT$1)*(MONTH(Gastos!$A$2:$A$2500)=DT$3)*(Gastos!$B$2:$B$2500=$A42)*(Gastos!$D$2:$D$2500))</f>
        <v>0</v>
      </c>
      <c r="DU42" s="75">
        <f t="array" ref="DU42">SUM((YEAR(Gastos!$A$2:$A$2500)=DU$1)*(MONTH(Gastos!$A$2:$A$2500)=DU$3)*(Gastos!$B$2:$B$2500=$A42)*(Gastos!$D$2:$D$2500))</f>
        <v>0</v>
      </c>
      <c r="DV42" s="75">
        <f t="array" ref="DV42">SUM((YEAR(Gastos!$A$2:$A$2500)=DV$1)*(MONTH(Gastos!$A$2:$A$2500)=DV$3)*(Gastos!$B$2:$B$2500=$A42)*(Gastos!$D$2:$D$2500))</f>
        <v>0</v>
      </c>
      <c r="DW42" s="75">
        <f t="array" ref="DW42">SUM((YEAR(Gastos!$A$2:$A$2500)=DW$1)*(MONTH(Gastos!$A$2:$A$2500)=DW$3)*(Gastos!$B$2:$B$2500=$A42)*(Gastos!$D$2:$D$2500))</f>
        <v>0</v>
      </c>
      <c r="DX42" s="75">
        <f t="array" ref="DX42">SUM((YEAR(Gastos!$A$2:$A$2500)=DX$1)*(MONTH(Gastos!$A$2:$A$2500)=DX$3)*(Gastos!$B$2:$B$2500=$A42)*(Gastos!$D$2:$D$2500))</f>
        <v>0</v>
      </c>
      <c r="DY42" s="75">
        <f t="array" ref="DY42">SUM((YEAR(Gastos!$A$2:$A$2500)=DY$1)*(MONTH(Gastos!$A$2:$A$2500)=DY$3)*(Gastos!$B$2:$B$2500=$A42)*(Gastos!$D$2:$D$2500))</f>
        <v>0</v>
      </c>
      <c r="DZ42" s="75">
        <f t="array" ref="DZ42">SUM((YEAR(Gastos!$A$2:$A$2500)=DZ$1)*(MONTH(Gastos!$A$2:$A$2500)=DZ$3)*(Gastos!$B$2:$B$2500=$A42)*(Gastos!$D$2:$D$2500))</f>
        <v>0</v>
      </c>
      <c r="EA42" s="75">
        <f t="array" ref="EA42">SUM((YEAR(Gastos!$A$2:$A$2500)=EA$1)*(MONTH(Gastos!$A$2:$A$2500)=EA$3)*(Gastos!$B$2:$B$2500=$A42)*(Gastos!$D$2:$D$2500))</f>
        <v>0</v>
      </c>
      <c r="EB42" s="75">
        <f t="array" ref="EB42">SUM((YEAR(Gastos!$A$2:$A$2500)=EB$1)*(MONTH(Gastos!$A$2:$A$2500)=EB$3)*(Gastos!$B$2:$B$2500=$A42)*(Gastos!$D$2:$D$2500))</f>
        <v>0</v>
      </c>
      <c r="EC42" s="75">
        <f t="array" ref="EC42">SUM((YEAR(Gastos!$A$2:$A$2500)=EC$1)*(MONTH(Gastos!$A$2:$A$2500)=EC$3)*(Gastos!$B$2:$B$2500=$A42)*(Gastos!$D$2:$D$2500))</f>
        <v>0</v>
      </c>
      <c r="ED42" s="75">
        <f t="array" ref="ED42">SUM((YEAR(Gastos!$A$2:$A$2500)=ED$1)*(MONTH(Gastos!$A$2:$A$2500)=ED$3)*(Gastos!$B$2:$B$2500=$A42)*(Gastos!$D$2:$D$2500))</f>
        <v>0</v>
      </c>
      <c r="EE42" s="75">
        <f t="array" ref="EE42">SUM((YEAR(Gastos!$A$2:$A$2500)=EE$1)*(MONTH(Gastos!$A$2:$A$2500)=EE$3)*(Gastos!$B$2:$B$2500=$A42)*(Gastos!$D$2:$D$2500))</f>
        <v>0</v>
      </c>
      <c r="EF42" s="75">
        <f t="array" ref="EF42">SUM((YEAR(Gastos!$A$2:$A$2500)=EF$1)*(MONTH(Gastos!$A$2:$A$2500)=EF$3)*(Gastos!$B$2:$B$2500=$A42)*(Gastos!$D$2:$D$2500))</f>
        <v>0</v>
      </c>
      <c r="EG42" s="75">
        <f t="array" ref="EG42">SUM((YEAR(Gastos!$A$2:$A$2500)=EG$1)*(MONTH(Gastos!$A$2:$A$2500)=EG$3)*(Gastos!$B$2:$B$2500=$A42)*(Gastos!$D$2:$D$2500))</f>
        <v>0</v>
      </c>
      <c r="EH42" s="75">
        <f t="array" ref="EH42">SUM((YEAR(Gastos!$A$2:$A$2500)=EH$1)*(MONTH(Gastos!$A$2:$A$2500)=EH$3)*(Gastos!$B$2:$B$2500=$A42)*(Gastos!$D$2:$D$2500))</f>
        <v>0</v>
      </c>
      <c r="EI42" s="75">
        <f t="array" ref="EI42">SUM((YEAR(Gastos!$A$2:$A$2500)=EI$1)*(MONTH(Gastos!$A$2:$A$2500)=EI$3)*(Gastos!$B$2:$B$2500=$A42)*(Gastos!$D$2:$D$2500))</f>
        <v>0</v>
      </c>
      <c r="EJ42" s="75">
        <f t="array" ref="EJ42">SUM((YEAR(Gastos!$A$2:$A$2500)=EJ$1)*(MONTH(Gastos!$A$2:$A$2500)=EJ$3)*(Gastos!$B$2:$B$2500=$A42)*(Gastos!$D$2:$D$2500))</f>
        <v>0</v>
      </c>
      <c r="EK42" s="75">
        <f t="array" ref="EK42">SUM((YEAR(Gastos!$A$2:$A$2500)=EK$1)*(MONTH(Gastos!$A$2:$A$2500)=EK$3)*(Gastos!$B$2:$B$2500=$A42)*(Gastos!$D$2:$D$2500))</f>
        <v>0</v>
      </c>
      <c r="EL42" s="75">
        <f t="array" ref="EL42">SUM((YEAR(Gastos!$A$2:$A$2500)=EL$1)*(MONTH(Gastos!$A$2:$A$2500)=EL$3)*(Gastos!$B$2:$B$2500=$A42)*(Gastos!$D$2:$D$2500))</f>
        <v>0</v>
      </c>
      <c r="EM42" s="75">
        <f t="array" ref="EM42">SUM((YEAR(Gastos!$A$2:$A$2500)=EM$1)*(MONTH(Gastos!$A$2:$A$2500)=EM$3)*(Gastos!$B$2:$B$2500=$A42)*(Gastos!$D$2:$D$2500))</f>
        <v>0</v>
      </c>
      <c r="EN42" s="75">
        <f t="array" ref="EN42">SUM((YEAR(Gastos!$A$2:$A$2500)=EN$1)*(MONTH(Gastos!$A$2:$A$2500)=EN$3)*(Gastos!$B$2:$B$2500=$A42)*(Gastos!$D$2:$D$2500))</f>
        <v>0</v>
      </c>
      <c r="EO42" s="75">
        <f t="array" ref="EO42">SUM((YEAR(Gastos!$A$2:$A$2500)=EO$1)*(MONTH(Gastos!$A$2:$A$2500)=EO$3)*(Gastos!$B$2:$B$2500=$A42)*(Gastos!$D$2:$D$2500))</f>
        <v>0</v>
      </c>
      <c r="EP42" s="75">
        <f t="array" ref="EP42">SUM((YEAR(Gastos!$A$2:$A$2500)=EP$1)*(MONTH(Gastos!$A$2:$A$2500)=EP$3)*(Gastos!$B$2:$B$2500=$A42)*(Gastos!$D$2:$D$2500))</f>
        <v>0</v>
      </c>
      <c r="EQ42" s="75">
        <f t="array" ref="EQ42">SUM((YEAR(Gastos!$A$2:$A$2500)=EQ$1)*(MONTH(Gastos!$A$2:$A$2500)=EQ$3)*(Gastos!$B$2:$B$2500=$A42)*(Gastos!$D$2:$D$2500))</f>
        <v>0</v>
      </c>
      <c r="ER42" s="75">
        <f t="array" ref="ER42">SUM((YEAR(Gastos!$A$2:$A$2500)=ER$1)*(MONTH(Gastos!$A$2:$A$2500)=ER$3)*(Gastos!$B$2:$B$2500=$A42)*(Gastos!$D$2:$D$2500))</f>
        <v>0</v>
      </c>
      <c r="ES42" s="75">
        <f t="array" ref="ES42">SUM((YEAR(Gastos!$A$2:$A$2500)=ES$1)*(MONTH(Gastos!$A$2:$A$2500)=ES$3)*(Gastos!$B$2:$B$2500=$A42)*(Gastos!$D$2:$D$2500))</f>
        <v>0</v>
      </c>
      <c r="ET42" s="75">
        <f t="array" ref="ET42">SUM((YEAR(Gastos!$A$2:$A$2500)=ET$1)*(MONTH(Gastos!$A$2:$A$2500)=ET$3)*(Gastos!$B$2:$B$2500=$A42)*(Gastos!$D$2:$D$2500))</f>
        <v>0</v>
      </c>
      <c r="EU42" s="75">
        <f t="array" ref="EU42">SUM((YEAR(Gastos!$A$2:$A$2500)=EU$1)*(MONTH(Gastos!$A$2:$A$2500)=EU$3)*(Gastos!$B$2:$B$2500=$A42)*(Gastos!$D$2:$D$2500))</f>
        <v>0</v>
      </c>
      <c r="EV42" s="75">
        <f t="array" ref="EV42">SUM((YEAR(Gastos!$A$2:$A$2500)=EV$1)*(MONTH(Gastos!$A$2:$A$2500)=EV$3)*(Gastos!$B$2:$B$2500=$A42)*(Gastos!$D$2:$D$2500))</f>
        <v>0</v>
      </c>
      <c r="EW42" s="75">
        <f t="array" ref="EW42">SUM((YEAR(Gastos!$A$2:$A$2500)=EW$1)*(MONTH(Gastos!$A$2:$A$2500)=EW$3)*(Gastos!$B$2:$B$2500=$A42)*(Gastos!$D$2:$D$2500))</f>
        <v>0</v>
      </c>
      <c r="EX42" s="75">
        <f t="array" ref="EX42">SUM((YEAR(Gastos!$A$2:$A$2500)=EX$1)*(MONTH(Gastos!$A$2:$A$2500)=EX$3)*(Gastos!$B$2:$B$2500=$A42)*(Gastos!$D$2:$D$2500))</f>
        <v>0</v>
      </c>
      <c r="EY42" s="75">
        <f t="array" ref="EY42">SUM((YEAR(Gastos!$A$2:$A$2500)=EY$1)*(MONTH(Gastos!$A$2:$A$2500)=EY$3)*(Gastos!$B$2:$B$2500=$A42)*(Gastos!$D$2:$D$2500))</f>
        <v>0</v>
      </c>
      <c r="EZ42" s="75">
        <f t="array" ref="EZ42">SUM((YEAR(Gastos!$A$2:$A$2500)=EZ$1)*(MONTH(Gastos!$A$2:$A$2500)=EZ$3)*(Gastos!$B$2:$B$2500=$A42)*(Gastos!$D$2:$D$2500))</f>
        <v>0</v>
      </c>
      <c r="FA42" s="75">
        <f t="array" ref="FA42">SUM((YEAR(Gastos!$A$2:$A$2500)=FA$1)*(MONTH(Gastos!$A$2:$A$2500)=FA$3)*(Gastos!$B$2:$B$2500=$A42)*(Gastos!$D$2:$D$2500))</f>
        <v>0</v>
      </c>
      <c r="FB42" s="75">
        <f t="array" ref="FB42">SUM((YEAR(Gastos!$A$2:$A$2500)=FB$1)*(MONTH(Gastos!$A$2:$A$2500)=FB$3)*(Gastos!$B$2:$B$2500=$A42)*(Gastos!$D$2:$D$2500))</f>
        <v>0</v>
      </c>
      <c r="FC42" s="75">
        <f t="array" ref="FC42">SUM((YEAR(Gastos!$A$2:$A$2500)=FC$1)*(MONTH(Gastos!$A$2:$A$2500)=FC$3)*(Gastos!$B$2:$B$2500=$A42)*(Gastos!$D$2:$D$2500))</f>
        <v>0</v>
      </c>
      <c r="FD42" s="75">
        <f t="array" ref="FD42">SUM((YEAR(Gastos!$A$2:$A$2500)=FD$1)*(MONTH(Gastos!$A$2:$A$2500)=FD$3)*(Gastos!$B$2:$B$2500=$A42)*(Gastos!$D$2:$D$2500))</f>
        <v>0</v>
      </c>
      <c r="FE42" s="75">
        <f t="array" ref="FE42">SUM((YEAR(Gastos!$A$2:$A$2500)=FE$1)*(MONTH(Gastos!$A$2:$A$2500)=FE$3)*(Gastos!$B$2:$B$2500=$A42)*(Gastos!$D$2:$D$2500))</f>
        <v>0</v>
      </c>
      <c r="FF42" s="75">
        <f t="array" ref="FF42">SUM((YEAR(Gastos!$A$2:$A$2500)=FF$1)*(MONTH(Gastos!$A$2:$A$2500)=FF$3)*(Gastos!$B$2:$B$2500=$A42)*(Gastos!$D$2:$D$2500))</f>
        <v>0</v>
      </c>
      <c r="FG42" s="75">
        <f t="array" ref="FG42">SUM((YEAR(Gastos!$A$2:$A$2500)=FG$1)*(MONTH(Gastos!$A$2:$A$2500)=FG$3)*(Gastos!$B$2:$B$2500=$A42)*(Gastos!$D$2:$D$2500))</f>
        <v>0</v>
      </c>
      <c r="FH42" s="75">
        <f t="array" ref="FH42">SUM((YEAR(Gastos!$A$2:$A$2500)=FH$1)*(MONTH(Gastos!$A$2:$A$2500)=FH$3)*(Gastos!$B$2:$B$2500=$A42)*(Gastos!$D$2:$D$2500))</f>
        <v>0</v>
      </c>
      <c r="FI42" s="75">
        <f t="array" ref="FI42">SUM((YEAR(Gastos!$A$2:$A$2500)=FI$1)*(MONTH(Gastos!$A$2:$A$2500)=FI$3)*(Gastos!$B$2:$B$2500=$A42)*(Gastos!$D$2:$D$2500))</f>
        <v>0</v>
      </c>
      <c r="FJ42" s="75">
        <f t="array" ref="FJ42">SUM((YEAR(Gastos!$A$2:$A$2500)=FJ$1)*(MONTH(Gastos!$A$2:$A$2500)=FJ$3)*(Gastos!$B$2:$B$2500=$A42)*(Gastos!$D$2:$D$2500))</f>
        <v>0</v>
      </c>
      <c r="FK42" s="75">
        <f t="array" ref="FK42">SUM((YEAR(Gastos!$A$2:$A$2500)=FK$1)*(MONTH(Gastos!$A$2:$A$2500)=FK$3)*(Gastos!$B$2:$B$2500=$A42)*(Gastos!$D$2:$D$2500))</f>
        <v>0</v>
      </c>
      <c r="FL42" s="75">
        <f t="array" ref="FL42">SUM((YEAR(Gastos!$A$2:$A$2500)=FL$1)*(MONTH(Gastos!$A$2:$A$2500)=FL$3)*(Gastos!$B$2:$B$2500=$A42)*(Gastos!$D$2:$D$2500))</f>
        <v>0</v>
      </c>
      <c r="FM42" s="75">
        <f t="array" ref="FM42">SUM((YEAR(Gastos!$A$2:$A$2500)=FM$1)*(MONTH(Gastos!$A$2:$A$2500)=FM$3)*(Gastos!$B$2:$B$2500=$A42)*(Gastos!$D$2:$D$2500))</f>
        <v>0</v>
      </c>
      <c r="FN42" s="75">
        <f t="array" ref="FN42">SUM((YEAR(Gastos!$A$2:$A$2500)=FN$1)*(MONTH(Gastos!$A$2:$A$2500)=FN$3)*(Gastos!$B$2:$B$2500=$A42)*(Gastos!$D$2:$D$2500))</f>
        <v>0</v>
      </c>
      <c r="FO42" s="75">
        <f t="array" ref="FO42">SUM((YEAR(Gastos!$A$2:$A$2500)=FO$1)*(MONTH(Gastos!$A$2:$A$2500)=FO$3)*(Gastos!$B$2:$B$2500=$A42)*(Gastos!$D$2:$D$2500))</f>
        <v>0</v>
      </c>
      <c r="FP42" s="75">
        <f t="array" ref="FP42">SUM((YEAR(Gastos!$A$2:$A$2500)=FP$1)*(MONTH(Gastos!$A$2:$A$2500)=FP$3)*(Gastos!$B$2:$B$2500=$A42)*(Gastos!$D$2:$D$2500))</f>
        <v>0</v>
      </c>
      <c r="FQ42" s="75">
        <f t="array" ref="FQ42">SUM((YEAR(Gastos!$A$2:$A$2500)=FQ$1)*(MONTH(Gastos!$A$2:$A$2500)=FQ$3)*(Gastos!$B$2:$B$2500=$A42)*(Gastos!$D$2:$D$2500))</f>
        <v>0</v>
      </c>
      <c r="FR42" s="75">
        <f t="array" ref="FR42">SUM((YEAR(Gastos!$A$2:$A$2500)=FR$1)*(MONTH(Gastos!$A$2:$A$2500)=FR$3)*(Gastos!$B$2:$B$2500=$A42)*(Gastos!$D$2:$D$2500))</f>
        <v>0</v>
      </c>
      <c r="FS42" s="75">
        <f t="array" ref="FS42">SUM((YEAR(Gastos!$A$2:$A$2500)=FS$1)*(MONTH(Gastos!$A$2:$A$2500)=FS$3)*(Gastos!$B$2:$B$2500=$A42)*(Gastos!$D$2:$D$2500))</f>
        <v>0</v>
      </c>
      <c r="FT42" s="75">
        <f t="array" ref="FT42">SUM((YEAR(Gastos!$A$2:$A$2500)=FT$1)*(MONTH(Gastos!$A$2:$A$2500)=FT$3)*(Gastos!$B$2:$B$2500=$A42)*(Gastos!$D$2:$D$2500))</f>
        <v>0</v>
      </c>
      <c r="FU42" s="75">
        <f t="array" ref="FU42">SUM((YEAR(Gastos!$A$2:$A$2500)=FU$1)*(MONTH(Gastos!$A$2:$A$2500)=FU$3)*(Gastos!$B$2:$B$2500=$A42)*(Gastos!$D$2:$D$2500))</f>
        <v>0</v>
      </c>
      <c r="FV42" s="75">
        <f t="array" ref="FV42">SUM((YEAR(Gastos!$A$2:$A$2500)=FV$1)*(MONTH(Gastos!$A$2:$A$2500)=FV$3)*(Gastos!$B$2:$B$2500=$A42)*(Gastos!$D$2:$D$2500))</f>
        <v>0</v>
      </c>
      <c r="FW42" s="75">
        <f t="array" ref="FW42">SUM((YEAR(Gastos!$A$2:$A$2500)=FW$1)*(MONTH(Gastos!$A$2:$A$2500)=FW$3)*(Gastos!$B$2:$B$2500=$A42)*(Gastos!$D$2:$D$2500))</f>
        <v>0</v>
      </c>
      <c r="FX42" s="75">
        <f t="array" ref="FX42">SUM((YEAR(Gastos!$A$2:$A$2500)=FX$1)*(MONTH(Gastos!$A$2:$A$2500)=FX$3)*(Gastos!$B$2:$B$2500=$A42)*(Gastos!$D$2:$D$2500))</f>
        <v>0</v>
      </c>
      <c r="FY42" s="75">
        <f t="array" ref="FY42">SUM((YEAR(Gastos!$A$2:$A$2500)=FY$1)*(MONTH(Gastos!$A$2:$A$2500)=FY$3)*(Gastos!$B$2:$B$2500=$A42)*(Gastos!$D$2:$D$2500))</f>
        <v>0</v>
      </c>
      <c r="FZ42" s="76">
        <f t="shared" si="65"/>
        <v>29237.5</v>
      </c>
      <c r="GA42" s="80"/>
      <c r="GB42" s="78">
        <f t="shared" si="66"/>
        <v>0</v>
      </c>
      <c r="GF42" s="79">
        <f t="array" ref="GF42">SUM(((Gastos!$A$2:$A$1647)&gt;=GD$3)*((Gastos!$A$2:$A$1647)&lt;=GF$3)*(Gastos!$B$2:$B$1647=$A42)*(Gastos!$D$2:$D$1647))</f>
        <v>0</v>
      </c>
      <c r="GI42" s="79">
        <f t="array" ref="GI42">SUM(((Gastos!$A$2:$A$1647)&gt;=GG$3)*((Gastos!$A$2:$A$1647)&lt;=GI$3)*(Gastos!$B$2:$B$1647=$A42)*(Gastos!$D$2:$D$1647))</f>
        <v>0</v>
      </c>
    </row>
    <row r="43" spans="1:191" ht="15" thickBot="1" x14ac:dyDescent="0.4">
      <c r="A43" s="74" t="str">
        <f>Gastos!AA41</f>
        <v>V. PAPELERIA</v>
      </c>
      <c r="B43" s="75">
        <f t="array" ref="B43">SUM((YEAR(Gastos!$A$2:$A$2500)=B$1)*(MONTH(Gastos!$A$2:$A$2500)=B$3)*(Gastos!$B$2:$B$2500=$A43)*(Gastos!$D$2:$D$2500))</f>
        <v>0</v>
      </c>
      <c r="C43" s="75">
        <f t="array" ref="C43">SUM((YEAR(Gastos!$A$2:$A$2500)=C$1)*(MONTH(Gastos!$A$2:$A$2500)=C$3)*(Gastos!$B$2:$B$2500=$A43)*(Gastos!$D$2:$D$2500))</f>
        <v>0</v>
      </c>
      <c r="D43" s="75">
        <f t="array" ref="D43">SUM((YEAR(Gastos!$A$2:$A$2500)=D$1)*(MONTH(Gastos!$A$2:$A$2500)=D$3)*(Gastos!$B$2:$B$2500=$A43)*(Gastos!$D$2:$D$2500))</f>
        <v>0</v>
      </c>
      <c r="E43" s="75">
        <f t="array" ref="E43">SUM((YEAR(Gastos!$A$2:$A$2500)=E$1)*(MONTH(Gastos!$A$2:$A$2500)=E$3)*(Gastos!$B$2:$B$2500=$A43)*(Gastos!$D$2:$D$2500))</f>
        <v>0</v>
      </c>
      <c r="F43" s="75">
        <f t="array" ref="F43">SUM((YEAR(Gastos!$A$2:$A$2500)=F$1)*(MONTH(Gastos!$A$2:$A$2500)=F$3)*(Gastos!$B$2:$B$2500=$A43)*(Gastos!$D$2:$D$2500))</f>
        <v>0</v>
      </c>
      <c r="G43" s="75">
        <f t="array" ref="G43">SUM((YEAR(Gastos!$A$2:$A$2500)=G$1)*(MONTH(Gastos!$A$2:$A$2500)=G$3)*(Gastos!$B$2:$B$2500=$A43)*(Gastos!$D$2:$D$2500))</f>
        <v>0</v>
      </c>
      <c r="H43" s="75">
        <f t="array" ref="H43">SUM((YEAR(Gastos!$A$2:$A$2500)=H$1)*(MONTH(Gastos!$A$2:$A$2500)=H$3)*(Gastos!$B$2:$B$2500=$A43)*(Gastos!$D$2:$D$2500))</f>
        <v>0</v>
      </c>
      <c r="I43" s="75">
        <f t="array" ref="I43">SUM((YEAR(Gastos!$A$2:$A$2500)=I$1)*(MONTH(Gastos!$A$2:$A$2500)=I$3)*(Gastos!$B$2:$B$2500=$A43)*(Gastos!$D$2:$D$2500))</f>
        <v>0</v>
      </c>
      <c r="J43" s="75">
        <f t="array" ref="J43">SUM((YEAR(Gastos!$A$2:$A$2500)=J$1)*(MONTH(Gastos!$A$2:$A$2500)=J$3)*(Gastos!$B$2:$B$2500=$A43)*(Gastos!$D$2:$D$2500))</f>
        <v>0</v>
      </c>
      <c r="K43" s="75">
        <f t="array" ref="K43">SUM((YEAR(Gastos!$A$2:$A$2500)=K$1)*(MONTH(Gastos!$A$2:$A$2500)=K$3)*(Gastos!$B$2:$B$2500=$A43)*(Gastos!$D$2:$D$2500))</f>
        <v>0</v>
      </c>
      <c r="L43" s="75">
        <f t="array" ref="L43">SUM((YEAR(Gastos!$A$2:$A$2500)=L$1)*(MONTH(Gastos!$A$2:$A$2500)=L$3)*(Gastos!$B$2:$B$2500=$A43)*(Gastos!$D$2:$D$2500))</f>
        <v>0</v>
      </c>
      <c r="M43" s="75">
        <f t="array" ref="M43">SUM((YEAR(Gastos!$A$2:$A$2500)=M$1)*(MONTH(Gastos!$A$2:$A$2500)=M$3)*(Gastos!$B$2:$B$2500=$A43)*(Gastos!$D$2:$D$2500))</f>
        <v>0</v>
      </c>
      <c r="N43" s="75">
        <f t="array" ref="N43">SUM((YEAR(Gastos!$A$2:$A$2500)=N$1)*(MONTH(Gastos!$A$2:$A$2500)=N$3)*(Gastos!$B$2:$B$2500=$A43)*(Gastos!$D$2:$D$2500))</f>
        <v>0</v>
      </c>
      <c r="O43" s="75">
        <f t="array" ref="O43">SUM((YEAR(Gastos!$A$2:$A$2500)=O$1)*(MONTH(Gastos!$A$2:$A$2500)=O$3)*(Gastos!$B$2:$B$2500=$A43)*(Gastos!$D$2:$D$2500))</f>
        <v>0</v>
      </c>
      <c r="P43" s="75">
        <f t="array" ref="P43">SUM((YEAR(Gastos!$A$2:$A$2500)=P$1)*(MONTH(Gastos!$A$2:$A$2500)=P$3)*(Gastos!$B$2:$B$2500=$A43)*(Gastos!$D$2:$D$2500))</f>
        <v>0</v>
      </c>
      <c r="Q43" s="75">
        <f t="array" ref="Q43">SUM((YEAR(Gastos!$A$2:$A$2500)=Q$1)*(MONTH(Gastos!$A$2:$A$2500)=Q$3)*(Gastos!$B$2:$B$2500=$A43)*(Gastos!$D$2:$D$2500))</f>
        <v>0</v>
      </c>
      <c r="R43" s="75">
        <f t="array" ref="R43">SUM((YEAR(Gastos!$A$2:$A$2500)=R$1)*(MONTH(Gastos!$A$2:$A$2500)=R$3)*(Gastos!$B$2:$B$2500=$A43)*(Gastos!$D$2:$D$2500))</f>
        <v>0</v>
      </c>
      <c r="S43" s="75">
        <f t="array" ref="S43">SUM((YEAR(Gastos!$A$2:$A$2500)=S$1)*(MONTH(Gastos!$A$2:$A$2500)=S$3)*(Gastos!$B$2:$B$2500=$A43)*(Gastos!$D$2:$D$2500))</f>
        <v>0</v>
      </c>
      <c r="T43" s="75">
        <f t="array" ref="T43">SUM((YEAR(Gastos!$A$2:$A$2500)=T$1)*(MONTH(Gastos!$A$2:$A$2500)=T$3)*(Gastos!$B$2:$B$2500=$A43)*(Gastos!$D$2:$D$2500))</f>
        <v>0</v>
      </c>
      <c r="U43" s="75">
        <f t="array" ref="U43">SUM((YEAR(Gastos!$A$2:$A$2500)=U$1)*(MONTH(Gastos!$A$2:$A$2500)=U$3)*(Gastos!$B$2:$B$2500=$A43)*(Gastos!$D$2:$D$2500))</f>
        <v>0</v>
      </c>
      <c r="V43" s="75">
        <f t="array" ref="V43">SUM((YEAR(Gastos!$A$2:$A$2500)=V$1)*(MONTH(Gastos!$A$2:$A$2500)=V$3)*(Gastos!$B$2:$B$2500=$A43)*(Gastos!$D$2:$D$2500))</f>
        <v>0</v>
      </c>
      <c r="W43" s="75">
        <f t="array" ref="W43">SUM((YEAR(Gastos!$A$2:$A$2500)=W$1)*(MONTH(Gastos!$A$2:$A$2500)=W$3)*(Gastos!$B$2:$B$2500=$A43)*(Gastos!$D$2:$D$2500))</f>
        <v>0</v>
      </c>
      <c r="X43" s="75">
        <f t="array" ref="X43">SUM((YEAR(Gastos!$A$2:$A$2500)=X$1)*(MONTH(Gastos!$A$2:$A$2500)=X$3)*(Gastos!$B$2:$B$2500=$A43)*(Gastos!$D$2:$D$2500))</f>
        <v>0</v>
      </c>
      <c r="Y43" s="75">
        <f t="array" ref="Y43">SUM((YEAR(Gastos!$A$2:$A$2500)=Y$1)*(MONTH(Gastos!$A$2:$A$2500)=Y$3)*(Gastos!$B$2:$B$2500=$A43)*(Gastos!$D$2:$D$2500))</f>
        <v>0</v>
      </c>
      <c r="Z43" s="75">
        <f t="array" ref="Z43">SUM((YEAR(Gastos!$A$2:$A$2500)=Z$1)*(MONTH(Gastos!$A$2:$A$2500)=Z$3)*(Gastos!$B$2:$B$2500=$A43)*(Gastos!$D$2:$D$2500))</f>
        <v>0</v>
      </c>
      <c r="AA43" s="75">
        <f t="array" ref="AA43">SUM((YEAR(Gastos!$A$2:$A$2500)=AA$1)*(MONTH(Gastos!$A$2:$A$2500)=AA$3)*(Gastos!$B$2:$B$2500=$A43)*(Gastos!$D$2:$D$2500))</f>
        <v>0</v>
      </c>
      <c r="AB43" s="75">
        <f t="array" ref="AB43">SUM((YEAR(Gastos!$A$2:$A$2500)=AB$1)*(MONTH(Gastos!$A$2:$A$2500)=AB$3)*(Gastos!$B$2:$B$2500=$A43)*(Gastos!$D$2:$D$2500))</f>
        <v>0</v>
      </c>
      <c r="AC43" s="75">
        <f t="array" ref="AC43">SUM((YEAR(Gastos!$A$2:$A$2500)=AC$1)*(MONTH(Gastos!$A$2:$A$2500)=AC$3)*(Gastos!$B$2:$B$2500=$A43)*(Gastos!$D$2:$D$2500))</f>
        <v>0</v>
      </c>
      <c r="AD43" s="75">
        <f t="array" ref="AD43">SUM((YEAR(Gastos!$A$2:$A$2500)=AD$1)*(MONTH(Gastos!$A$2:$A$2500)=AD$3)*(Gastos!$B$2:$B$2500=$A43)*(Gastos!$D$2:$D$2500))</f>
        <v>0</v>
      </c>
      <c r="AE43" s="75">
        <f t="array" ref="AE43">SUM((YEAR(Gastos!$A$2:$A$2500)=AE$1)*(MONTH(Gastos!$A$2:$A$2500)=AE$3)*(Gastos!$B$2:$B$2500=$A43)*(Gastos!$D$2:$D$2500))</f>
        <v>0</v>
      </c>
      <c r="AF43" s="75">
        <f t="array" ref="AF43">SUM((YEAR(Gastos!$A$2:$A$2500)=AF$1)*(MONTH(Gastos!$A$2:$A$2500)=AF$3)*(Gastos!$B$2:$B$2500=$A43)*(Gastos!$D$2:$D$2500))</f>
        <v>0</v>
      </c>
      <c r="AG43" s="75">
        <f t="array" ref="AG43">SUM((YEAR(Gastos!$A$2:$A$2500)=AG$1)*(MONTH(Gastos!$A$2:$A$2500)=AG$3)*(Gastos!$B$2:$B$2500=$A43)*(Gastos!$D$2:$D$2500))</f>
        <v>0</v>
      </c>
      <c r="AH43" s="75">
        <f t="array" ref="AH43">SUM((YEAR(Gastos!$A$2:$A$2500)=AH$1)*(MONTH(Gastos!$A$2:$A$2500)=AH$3)*(Gastos!$B$2:$B$2500=$A43)*(Gastos!$D$2:$D$2500))</f>
        <v>0</v>
      </c>
      <c r="AI43" s="75">
        <f t="array" ref="AI43">SUM((YEAR(Gastos!$A$2:$A$2500)=AI$1)*(MONTH(Gastos!$A$2:$A$2500)=AI$3)*(Gastos!$B$2:$B$2500=$A43)*(Gastos!$D$2:$D$2500))</f>
        <v>0</v>
      </c>
      <c r="AJ43" s="75">
        <f t="array" ref="AJ43">SUM((YEAR(Gastos!$A$2:$A$2500)=AJ$1)*(MONTH(Gastos!$A$2:$A$2500)=AJ$3)*(Gastos!$B$2:$B$2500=$A43)*(Gastos!$D$2:$D$2500))</f>
        <v>0</v>
      </c>
      <c r="AK43" s="75">
        <f t="array" ref="AK43">SUM((YEAR(Gastos!$A$2:$A$2500)=AK$1)*(MONTH(Gastos!$A$2:$A$2500)=AK$3)*(Gastos!$B$2:$B$2500=$A43)*(Gastos!$D$2:$D$2500))</f>
        <v>0</v>
      </c>
      <c r="AL43" s="75">
        <f t="array" ref="AL43">SUM((YEAR(Gastos!$A$2:$A$2500)=AL$1)*(MONTH(Gastos!$A$2:$A$2500)=AL$3)*(Gastos!$B$2:$B$2500=$A43)*(Gastos!$D$2:$D$2500))</f>
        <v>0</v>
      </c>
      <c r="AM43" s="75">
        <f t="array" ref="AM43">SUM((YEAR(Gastos!$A$2:$A$2500)=AM$1)*(MONTH(Gastos!$A$2:$A$2500)=AM$3)*(Gastos!$B$2:$B$2500=$A43)*(Gastos!$D$2:$D$2500))</f>
        <v>0</v>
      </c>
      <c r="AN43" s="75">
        <f t="array" ref="AN43">SUM((YEAR(Gastos!$A$2:$A$2500)=AN$1)*(MONTH(Gastos!$A$2:$A$2500)=AN$3)*(Gastos!$B$2:$B$2500=$A43)*(Gastos!$D$2:$D$2500))</f>
        <v>0</v>
      </c>
      <c r="AO43" s="75">
        <f t="array" ref="AO43">SUM((YEAR(Gastos!$A$2:$A$2500)=AO$1)*(MONTH(Gastos!$A$2:$A$2500)=AO$3)*(Gastos!$B$2:$B$2500=$A43)*(Gastos!$D$2:$D$2500))</f>
        <v>0</v>
      </c>
      <c r="AP43" s="75">
        <f t="array" ref="AP43">SUM((YEAR(Gastos!$A$2:$A$2500)=AP$1)*(MONTH(Gastos!$A$2:$A$2500)=AP$3)*(Gastos!$B$2:$B$2500=$A43)*(Gastos!$D$2:$D$2500))</f>
        <v>0</v>
      </c>
      <c r="AQ43" s="75">
        <f t="array" ref="AQ43">SUM((YEAR(Gastos!$A$2:$A$2500)=AQ$1)*(MONTH(Gastos!$A$2:$A$2500)=AQ$3)*(Gastos!$B$2:$B$2500=$A43)*(Gastos!$D$2:$D$2500))</f>
        <v>0</v>
      </c>
      <c r="AR43" s="75">
        <f t="array" ref="AR43">SUM((YEAR(Gastos!$A$2:$A$2500)=AR$1)*(MONTH(Gastos!$A$2:$A$2500)=AR$3)*(Gastos!$B$2:$B$2500=$A43)*(Gastos!$D$2:$D$2500))</f>
        <v>0</v>
      </c>
      <c r="AS43" s="75">
        <f t="array" ref="AS43">SUM((YEAR(Gastos!$A$2:$A$2500)=AS$1)*(MONTH(Gastos!$A$2:$A$2500)=AS$3)*(Gastos!$B$2:$B$2500=$A43)*(Gastos!$D$2:$D$2500))</f>
        <v>0</v>
      </c>
      <c r="AT43" s="75">
        <f t="array" ref="AT43">SUM((YEAR(Gastos!$A$2:$A$2500)=AT$1)*(MONTH(Gastos!$A$2:$A$2500)=AT$3)*(Gastos!$B$2:$B$2500=$A43)*(Gastos!$D$2:$D$2500))</f>
        <v>0</v>
      </c>
      <c r="AU43" s="75">
        <f t="array" ref="AU43">SUM((YEAR(Gastos!$A$2:$A$2500)=AU$1)*(MONTH(Gastos!$A$2:$A$2500)=AU$3)*(Gastos!$B$2:$B$2500=$A43)*(Gastos!$D$2:$D$2500))</f>
        <v>0</v>
      </c>
      <c r="AV43" s="75">
        <f t="array" ref="AV43">SUM((YEAR(Gastos!$A$2:$A$2500)=AV$1)*(MONTH(Gastos!$A$2:$A$2500)=AV$3)*(Gastos!$B$2:$B$2500=$A43)*(Gastos!$D$2:$D$2500))</f>
        <v>0</v>
      </c>
      <c r="AW43" s="75">
        <f t="array" ref="AW43">SUM((YEAR(Gastos!$A$2:$A$2500)=AW$1)*(MONTH(Gastos!$A$2:$A$2500)=AW$3)*(Gastos!$B$2:$B$2500=$A43)*(Gastos!$D$2:$D$2500))</f>
        <v>0</v>
      </c>
      <c r="AX43" s="75">
        <f t="array" ref="AX43">SUM((YEAR(Gastos!$A$2:$A$2500)=AX$1)*(MONTH(Gastos!$A$2:$A$2500)=AX$3)*(Gastos!$B$2:$B$2500=$A43)*(Gastos!$D$2:$D$2500))</f>
        <v>0</v>
      </c>
      <c r="AY43" s="75">
        <f t="array" ref="AY43">SUM((YEAR(Gastos!$A$2:$A$2500)=AY$1)*(MONTH(Gastos!$A$2:$A$2500)=AY$3)*(Gastos!$B$2:$B$2500=$A43)*(Gastos!$D$2:$D$2500))</f>
        <v>0</v>
      </c>
      <c r="AZ43" s="75">
        <f t="array" ref="AZ43">SUM((YEAR(Gastos!$A$2:$A$2500)=AZ$1)*(MONTH(Gastos!$A$2:$A$2500)=AZ$3)*(Gastos!$B$2:$B$2500=$A43)*(Gastos!$D$2:$D$2500))</f>
        <v>0</v>
      </c>
      <c r="BA43" s="75">
        <f t="array" ref="BA43">SUM((YEAR(Gastos!$A$2:$A$2500)=BA$1)*(MONTH(Gastos!$A$2:$A$2500)=BA$3)*(Gastos!$B$2:$B$2500=$A43)*(Gastos!$D$2:$D$2500))</f>
        <v>0</v>
      </c>
      <c r="BB43" s="75">
        <f t="array" ref="BB43">SUM((YEAR(Gastos!$A$2:$A$2500)=BB$1)*(MONTH(Gastos!$A$2:$A$2500)=BB$3)*(Gastos!$B$2:$B$2500=$A43)*(Gastos!$D$2:$D$2500))</f>
        <v>0</v>
      </c>
      <c r="BC43" s="75">
        <f t="array" ref="BC43">SUM((YEAR(Gastos!$A$2:$A$2500)=BC$1)*(MONTH(Gastos!$A$2:$A$2500)=BC$3)*(Gastos!$B$2:$B$2500=$A43)*(Gastos!$D$2:$D$2500))</f>
        <v>0</v>
      </c>
      <c r="BD43" s="75">
        <f t="array" ref="BD43">SUM((YEAR(Gastos!$A$2:$A$2500)=BD$1)*(MONTH(Gastos!$A$2:$A$2500)=BD$3)*(Gastos!$B$2:$B$2500=$A43)*(Gastos!$D$2:$D$2500))</f>
        <v>0</v>
      </c>
      <c r="BE43" s="75">
        <f t="array" ref="BE43">SUM((YEAR(Gastos!$A$2:$A$2500)=BE$1)*(MONTH(Gastos!$A$2:$A$2500)=BE$3)*(Gastos!$B$2:$B$2500=$A43)*(Gastos!$D$2:$D$2500))</f>
        <v>0</v>
      </c>
      <c r="BF43" s="75">
        <f t="array" ref="BF43">SUM((YEAR(Gastos!$A$2:$A$2500)=BF$1)*(MONTH(Gastos!$A$2:$A$2500)=BF$3)*(Gastos!$B$2:$B$2500=$A43)*(Gastos!$D$2:$D$2500))</f>
        <v>0</v>
      </c>
      <c r="BG43" s="75">
        <f t="array" ref="BG43">SUM((YEAR(Gastos!$A$2:$A$2500)=BG$1)*(MONTH(Gastos!$A$2:$A$2500)=BG$3)*(Gastos!$B$2:$B$2500=$A43)*(Gastos!$D$2:$D$2500))</f>
        <v>0</v>
      </c>
      <c r="BH43" s="75">
        <f t="array" ref="BH43">SUM((YEAR(Gastos!$A$2:$A$2500)=BH$1)*(MONTH(Gastos!$A$2:$A$2500)=BH$3)*(Gastos!$B$2:$B$2500=$A43)*(Gastos!$D$2:$D$2500))</f>
        <v>0</v>
      </c>
      <c r="BI43" s="75">
        <f t="array" ref="BI43">SUM((YEAR(Gastos!$A$2:$A$2500)=BI$1)*(MONTH(Gastos!$A$2:$A$2500)=BI$3)*(Gastos!$B$2:$B$2500=$A43)*(Gastos!$D$2:$D$2500))</f>
        <v>0</v>
      </c>
      <c r="BJ43" s="75">
        <f t="array" ref="BJ43">SUM((YEAR(Gastos!$A$2:$A$2500)=BJ$1)*(MONTH(Gastos!$A$2:$A$2500)=BJ$3)*(Gastos!$B$2:$B$2500=$A43)*(Gastos!$D$2:$D$2500))</f>
        <v>0</v>
      </c>
      <c r="BK43" s="75">
        <f t="array" ref="BK43">SUM((YEAR(Gastos!$A$2:$A$2500)=BK$1)*(MONTH(Gastos!$A$2:$A$2500)=BK$3)*(Gastos!$B$2:$B$2500=$A43)*(Gastos!$D$2:$D$2500))</f>
        <v>0</v>
      </c>
      <c r="BL43" s="75">
        <f t="array" ref="BL43">SUM((YEAR(Gastos!$A$2:$A$2500)=BL$1)*(MONTH(Gastos!$A$2:$A$2500)=BL$3)*(Gastos!$B$2:$B$2500=$A43)*(Gastos!$D$2:$D$2500))</f>
        <v>603.5</v>
      </c>
      <c r="BM43" s="75">
        <f t="array" ref="BM43">SUM((YEAR(Gastos!$A$2:$A$2500)=BM$1)*(MONTH(Gastos!$A$2:$A$2500)=BM$3)*(Gastos!$B$2:$B$2500=$A43)*(Gastos!$D$2:$D$2500))</f>
        <v>0</v>
      </c>
      <c r="BN43" s="75">
        <f t="array" ref="BN43">SUM((YEAR(Gastos!$A$2:$A$2500)=BN$1)*(MONTH(Gastos!$A$2:$A$2500)=BN$3)*(Gastos!$B$2:$B$2500=$A43)*(Gastos!$D$2:$D$2500))</f>
        <v>0</v>
      </c>
      <c r="BO43" s="75">
        <f t="array" ref="BO43">SUM((YEAR(Gastos!$A$2:$A$2500)=BO$1)*(MONTH(Gastos!$A$2:$A$2500)=BO$3)*(Gastos!$B$2:$B$2500=$A43)*(Gastos!$D$2:$D$2500))</f>
        <v>0</v>
      </c>
      <c r="BP43" s="75">
        <f t="array" ref="BP43">SUM((YEAR(Gastos!$A$2:$A$2500)=BP$1)*(MONTH(Gastos!$A$2:$A$2500)=BP$3)*(Gastos!$B$2:$B$2500=$A43)*(Gastos!$D$2:$D$2500))</f>
        <v>0</v>
      </c>
      <c r="BQ43" s="75">
        <f t="array" ref="BQ43">SUM((YEAR(Gastos!$A$2:$A$2500)=BQ$1)*(MONTH(Gastos!$A$2:$A$2500)=BQ$3)*(Gastos!$B$2:$B$2500=$A43)*(Gastos!$D$2:$D$2500))</f>
        <v>0</v>
      </c>
      <c r="BR43" s="75">
        <f t="array" ref="BR43">SUM((YEAR(Gastos!$A$2:$A$2500)=BR$1)*(MONTH(Gastos!$A$2:$A$2500)=BR$3)*(Gastos!$B$2:$B$2500=$A43)*(Gastos!$D$2:$D$2500))</f>
        <v>0</v>
      </c>
      <c r="BS43" s="75">
        <f t="array" ref="BS43">SUM((YEAR(Gastos!$A$2:$A$2500)=BS$1)*(MONTH(Gastos!$A$2:$A$2500)=BS$3)*(Gastos!$B$2:$B$2500=$A43)*(Gastos!$D$2:$D$2500))</f>
        <v>0</v>
      </c>
      <c r="BT43" s="75">
        <f t="array" ref="BT43">SUM((YEAR(Gastos!$A$2:$A$2500)=BT$1)*(MONTH(Gastos!$A$2:$A$2500)=BT$3)*(Gastos!$B$2:$B$2500=$A43)*(Gastos!$D$2:$D$2500))</f>
        <v>0</v>
      </c>
      <c r="BU43" s="75">
        <f t="array" ref="BU43">SUM((YEAR(Gastos!$A$2:$A$2500)=BU$1)*(MONTH(Gastos!$A$2:$A$2500)=BU$3)*(Gastos!$B$2:$B$2500=$A43)*(Gastos!$D$2:$D$2500))</f>
        <v>0</v>
      </c>
      <c r="BV43" s="75">
        <f t="array" ref="BV43">SUM((YEAR(Gastos!$A$2:$A$2500)=BV$1)*(MONTH(Gastos!$A$2:$A$2500)=BV$3)*(Gastos!$B$2:$B$2500=$A43)*(Gastos!$D$2:$D$2500))</f>
        <v>0</v>
      </c>
      <c r="BW43" s="75">
        <f t="array" ref="BW43">SUM((YEAR(Gastos!$A$2:$A$2500)=BW$1)*(MONTH(Gastos!$A$2:$A$2500)=BW$3)*(Gastos!$B$2:$B$2500=$A43)*(Gastos!$D$2:$D$2500))</f>
        <v>813.4</v>
      </c>
      <c r="BX43" s="75">
        <f t="array" ref="BX43">SUM((YEAR(Gastos!$A$2:$A$2500)=BX$1)*(MONTH(Gastos!$A$2:$A$2500)=BX$3)*(Gastos!$B$2:$B$2500=$A43)*(Gastos!$D$2:$D$2500))</f>
        <v>912.47</v>
      </c>
      <c r="BY43" s="75">
        <f t="array" ref="BY43">SUM((YEAR(Gastos!$A$2:$A$2500)=BY$1)*(MONTH(Gastos!$A$2:$A$2500)=BY$3)*(Gastos!$B$2:$B$2500=$A43)*(Gastos!$D$2:$D$2500))</f>
        <v>0</v>
      </c>
      <c r="BZ43" s="75">
        <f t="array" ref="BZ43">SUM((YEAR(Gastos!$A$2:$A$2500)=BZ$1)*(MONTH(Gastos!$A$2:$A$2500)=BZ$3)*(Gastos!$B$2:$B$2500=$A43)*(Gastos!$D$2:$D$2500))</f>
        <v>0</v>
      </c>
      <c r="CA43" s="75">
        <f t="array" ref="CA43">SUM((YEAR(Gastos!$A$2:$A$2500)=CA$1)*(MONTH(Gastos!$A$2:$A$2500)=CA$3)*(Gastos!$B$2:$B$2500=$A43)*(Gastos!$D$2:$D$2500))</f>
        <v>0</v>
      </c>
      <c r="CB43" s="75">
        <f t="array" ref="CB43">SUM((YEAR(Gastos!$A$2:$A$2500)=CB$1)*(MONTH(Gastos!$A$2:$A$2500)=CB$3)*(Gastos!$B$2:$B$2500=$A43)*(Gastos!$D$2:$D$2500))</f>
        <v>0</v>
      </c>
      <c r="CC43" s="75">
        <f t="array" ref="CC43">SUM((YEAR(Gastos!$A$2:$A$2500)=CC$1)*(MONTH(Gastos!$A$2:$A$2500)=CC$3)*(Gastos!$B$2:$B$2500=$A43)*(Gastos!$D$2:$D$2500))</f>
        <v>0</v>
      </c>
      <c r="CD43" s="75">
        <f t="array" ref="CD43">SUM((YEAR(Gastos!$A$2:$A$2500)=CD$1)*(MONTH(Gastos!$A$2:$A$2500)=CD$3)*(Gastos!$B$2:$B$2500=$A43)*(Gastos!$D$2:$D$2500))</f>
        <v>0</v>
      </c>
      <c r="CE43" s="75">
        <f t="array" ref="CE43">SUM((YEAR(Gastos!$A$2:$A$2500)=CE$1)*(MONTH(Gastos!$A$2:$A$2500)=CE$3)*(Gastos!$B$2:$B$2500=$A43)*(Gastos!$D$2:$D$2500))</f>
        <v>0</v>
      </c>
      <c r="CF43" s="75">
        <f t="array" ref="CF43">SUM((YEAR(Gastos!$A$2:$A$2500)=CF$1)*(MONTH(Gastos!$A$2:$A$2500)=CF$3)*(Gastos!$B$2:$B$2500=$A43)*(Gastos!$D$2:$D$2500))</f>
        <v>0</v>
      </c>
      <c r="CG43" s="75">
        <f t="array" ref="CG43">SUM((YEAR(Gastos!$A$2:$A$2500)=CG$1)*(MONTH(Gastos!$A$2:$A$2500)=CG$3)*(Gastos!$B$2:$B$2500=$A43)*(Gastos!$D$2:$D$2500))</f>
        <v>0</v>
      </c>
      <c r="CH43" s="75">
        <f t="array" ref="CH43">SUM((YEAR(Gastos!$A$2:$A$2500)=CH$1)*(MONTH(Gastos!$A$2:$A$2500)=CH$3)*(Gastos!$B$2:$B$2500=$A43)*(Gastos!$D$2:$D$2500))</f>
        <v>0</v>
      </c>
      <c r="CI43" s="75">
        <f t="array" ref="CI43">SUM((YEAR(Gastos!$A$2:$A$2500)=CI$1)*(MONTH(Gastos!$A$2:$A$2500)=CI$3)*(Gastos!$B$2:$B$2500=$A43)*(Gastos!$D$2:$D$2500))</f>
        <v>0</v>
      </c>
      <c r="CJ43" s="75">
        <f t="array" ref="CJ43">SUM((YEAR(Gastos!$A$2:$A$2500)=CJ$1)*(MONTH(Gastos!$A$2:$A$2500)=CJ$3)*(Gastos!$B$2:$B$2500=$A43)*(Gastos!$D$2:$D$2500))</f>
        <v>116.24</v>
      </c>
      <c r="CK43" s="75">
        <f t="array" ref="CK43">SUM((YEAR(Gastos!$A$2:$A$2500)=CK$1)*(MONTH(Gastos!$A$2:$A$2500)=CK$3)*(Gastos!$B$2:$B$2500=$A43)*(Gastos!$D$2:$D$2500))</f>
        <v>0</v>
      </c>
      <c r="CL43" s="75">
        <f t="array" ref="CL43">SUM((YEAR(Gastos!$A$2:$A$2500)=CL$1)*(MONTH(Gastos!$A$2:$A$2500)=CL$3)*(Gastos!$B$2:$B$2500=$A43)*(Gastos!$D$2:$D$2500))</f>
        <v>0</v>
      </c>
      <c r="CM43" s="75">
        <f t="array" ref="CM43">SUM((YEAR(Gastos!$A$2:$A$2500)=CM$1)*(MONTH(Gastos!$A$2:$A$2500)=CM$3)*(Gastos!$B$2:$B$2500=$A43)*(Gastos!$D$2:$D$2500))</f>
        <v>544</v>
      </c>
      <c r="CN43" s="75">
        <f t="array" ref="CN43">SUM((YEAR(Gastos!$A$2:$A$2500)=CN$1)*(MONTH(Gastos!$A$2:$A$2500)=CN$3)*(Gastos!$B$2:$B$2500=$A43)*(Gastos!$D$2:$D$2500))</f>
        <v>670</v>
      </c>
      <c r="CO43" s="75">
        <f t="array" ref="CO43">SUM((YEAR(Gastos!$A$2:$A$2500)=CO$1)*(MONTH(Gastos!$A$2:$A$2500)=CO$3)*(Gastos!$B$2:$B$2500=$A43)*(Gastos!$D$2:$D$2500))</f>
        <v>0</v>
      </c>
      <c r="CP43" s="75">
        <f t="array" ref="CP43">SUM((YEAR(Gastos!$A$2:$A$2500)=CP$1)*(MONTH(Gastos!$A$2:$A$2500)=CP$3)*(Gastos!$B$2:$B$2500=$A43)*(Gastos!$D$2:$D$2500))</f>
        <v>0</v>
      </c>
      <c r="CQ43" s="75">
        <f t="array" ref="CQ43">SUM((YEAR(Gastos!$A$2:$A$2500)=CQ$1)*(MONTH(Gastos!$A$2:$A$2500)=CQ$3)*(Gastos!$B$2:$B$2500=$A43)*(Gastos!$D$2:$D$2500))</f>
        <v>0</v>
      </c>
      <c r="CR43" s="75">
        <f t="array" ref="CR43">SUM((YEAR(Gastos!$A$2:$A$2500)=CR$1)*(MONTH(Gastos!$A$2:$A$2500)=CR$3)*(Gastos!$B$2:$B$2500=$A43)*(Gastos!$D$2:$D$2500))</f>
        <v>1012.97</v>
      </c>
      <c r="CS43" s="75">
        <f t="array" ref="CS43">SUM((YEAR(Gastos!$A$2:$A$2500)=CS$1)*(MONTH(Gastos!$A$2:$A$2500)=CS$3)*(Gastos!$B$2:$B$2500=$A43)*(Gastos!$D$2:$D$2500))</f>
        <v>0</v>
      </c>
      <c r="CT43" s="75">
        <f t="array" ref="CT43">SUM((YEAR(Gastos!$A$2:$A$2500)=CT$1)*(MONTH(Gastos!$A$2:$A$2500)=CT$3)*(Gastos!$B$2:$B$2500=$A43)*(Gastos!$D$2:$D$2500))</f>
        <v>0</v>
      </c>
      <c r="CU43" s="75">
        <f t="array" ref="CU43">SUM((YEAR(Gastos!$A$2:$A$2500)=CU$1)*(MONTH(Gastos!$A$2:$A$2500)=CU$3)*(Gastos!$B$2:$B$2500=$A43)*(Gastos!$D$2:$D$2500))</f>
        <v>0</v>
      </c>
      <c r="CV43" s="75">
        <f t="array" ref="CV43">SUM((YEAR(Gastos!$A$2:$A$2500)=CV$1)*(MONTH(Gastos!$A$2:$A$2500)=CV$3)*(Gastos!$B$2:$B$2500=$A43)*(Gastos!$D$2:$D$2500))</f>
        <v>0</v>
      </c>
      <c r="CW43" s="75">
        <f t="array" ref="CW43">SUM((YEAR(Gastos!$A$2:$A$2500)=CW$1)*(MONTH(Gastos!$A$2:$A$2500)=CW$3)*(Gastos!$B$2:$B$2500=$A43)*(Gastos!$D$2:$D$2500))</f>
        <v>0</v>
      </c>
      <c r="CX43" s="75">
        <f t="array" ref="CX43">SUM((YEAR(Gastos!$A$2:$A$2500)=CX$1)*(MONTH(Gastos!$A$2:$A$2500)=CX$3)*(Gastos!$B$2:$B$2500=$A43)*(Gastos!$D$2:$D$2500))</f>
        <v>0</v>
      </c>
      <c r="CY43" s="75">
        <f t="array" ref="CY43">SUM((YEAR(Gastos!$A$2:$A$2500)=CY$1)*(MONTH(Gastos!$A$2:$A$2500)=CY$3)*(Gastos!$B$2:$B$2500=$A43)*(Gastos!$D$2:$D$2500))</f>
        <v>0</v>
      </c>
      <c r="CZ43" s="75">
        <f t="array" ref="CZ43">SUM((YEAR(Gastos!$A$2:$A$2500)=CZ$1)*(MONTH(Gastos!$A$2:$A$2500)=CZ$3)*(Gastos!$B$2:$B$2500=$A43)*(Gastos!$D$2:$D$2500))</f>
        <v>0</v>
      </c>
      <c r="DA43" s="75">
        <f t="array" ref="DA43">SUM((YEAR(Gastos!$A$2:$A$2500)=DA$1)*(MONTH(Gastos!$A$2:$A$2500)=DA$3)*(Gastos!$B$2:$B$2500=$A43)*(Gastos!$D$2:$D$2500))</f>
        <v>1916.8700000000001</v>
      </c>
      <c r="DB43" s="75">
        <f t="array" ref="DB43">SUM((YEAR(Gastos!$A$2:$A$2500)=DB$1)*(MONTH(Gastos!$A$2:$A$2500)=DB$3)*(Gastos!$B$2:$B$2500=$A43)*(Gastos!$D$2:$D$2500))</f>
        <v>0</v>
      </c>
      <c r="DC43" s="75">
        <f t="array" ref="DC43">SUM((YEAR(Gastos!$A$2:$A$2500)=DC$1)*(MONTH(Gastos!$A$2:$A$2500)=DC$3)*(Gastos!$B$2:$B$2500=$A43)*(Gastos!$D$2:$D$2500))</f>
        <v>0</v>
      </c>
      <c r="DD43" s="75">
        <f t="array" ref="DD43">SUM((YEAR(Gastos!$A$2:$A$2500)=DD$1)*(MONTH(Gastos!$A$2:$A$2500)=DD$3)*(Gastos!$B$2:$B$2500=$A43)*(Gastos!$D$2:$D$2500))</f>
        <v>0</v>
      </c>
      <c r="DE43" s="75">
        <f t="array" ref="DE43">SUM((YEAR(Gastos!$A$2:$A$2500)=DE$1)*(MONTH(Gastos!$A$2:$A$2500)=DE$3)*(Gastos!$B$2:$B$2500=$A43)*(Gastos!$D$2:$D$2500))</f>
        <v>835</v>
      </c>
      <c r="DF43" s="75">
        <f t="array" ref="DF43">SUM((YEAR(Gastos!$A$2:$A$2500)=DF$1)*(MONTH(Gastos!$A$2:$A$2500)=DF$3)*(Gastos!$B$2:$B$2500=$A43)*(Gastos!$D$2:$D$2500))</f>
        <v>0</v>
      </c>
      <c r="DG43" s="75">
        <f t="array" ref="DG43">SUM((YEAR(Gastos!$A$2:$A$2500)=DG$1)*(MONTH(Gastos!$A$2:$A$2500)=DG$3)*(Gastos!$B$2:$B$2500=$A43)*(Gastos!$D$2:$D$2500))</f>
        <v>0</v>
      </c>
      <c r="DH43" s="75">
        <f t="array" ref="DH43">SUM((YEAR(Gastos!$A$2:$A$2500)=DH$1)*(MONTH(Gastos!$A$2:$A$2500)=DH$3)*(Gastos!$B$2:$B$2500=$A43)*(Gastos!$D$2:$D$2500))</f>
        <v>0</v>
      </c>
      <c r="DI43" s="75">
        <f t="array" ref="DI43">SUM((YEAR(Gastos!$A$2:$A$2500)=DI$1)*(MONTH(Gastos!$A$2:$A$2500)=DI$3)*(Gastos!$B$2:$B$2500=$A43)*(Gastos!$D$2:$D$2500))</f>
        <v>0</v>
      </c>
      <c r="DJ43" s="75">
        <f t="array" ref="DJ43">SUM((YEAR(Gastos!$A$2:$A$2500)=DJ$1)*(MONTH(Gastos!$A$2:$A$2500)=DJ$3)*(Gastos!$B$2:$B$2500=$A43)*(Gastos!$D$2:$D$2500))</f>
        <v>0</v>
      </c>
      <c r="DK43" s="75">
        <f t="array" ref="DK43">SUM((YEAR(Gastos!$A$2:$A$2500)=DK$1)*(MONTH(Gastos!$A$2:$A$2500)=DK$3)*(Gastos!$B$2:$B$2500=$A43)*(Gastos!$D$2:$D$2500))</f>
        <v>0</v>
      </c>
      <c r="DL43" s="75">
        <f t="array" ref="DL43">SUM((YEAR(Gastos!$A$2:$A$2500)=DL$1)*(MONTH(Gastos!$A$2:$A$2500)=DL$3)*(Gastos!$B$2:$B$2500=$A43)*(Gastos!$D$2:$D$2500))</f>
        <v>0</v>
      </c>
      <c r="DM43" s="75">
        <f t="array" ref="DM43">SUM((YEAR(Gastos!$A$2:$A$2500)=DM$1)*(MONTH(Gastos!$A$2:$A$2500)=DM$3)*(Gastos!$B$2:$B$2500=$A43)*(Gastos!$D$2:$D$2500))</f>
        <v>0</v>
      </c>
      <c r="DN43" s="75">
        <f t="array" ref="DN43">SUM((YEAR(Gastos!$A$2:$A$2500)=DN$1)*(MONTH(Gastos!$A$2:$A$2500)=DN$3)*(Gastos!$B$2:$B$2500=$A43)*(Gastos!$D$2:$D$2500))</f>
        <v>0</v>
      </c>
      <c r="DO43" s="75">
        <f t="array" ref="DO43">SUM((YEAR(Gastos!$A$2:$A$2500)=DO$1)*(MONTH(Gastos!$A$2:$A$2500)=DO$3)*(Gastos!$B$2:$B$2500=$A43)*(Gastos!$D$2:$D$2500))</f>
        <v>0</v>
      </c>
      <c r="DP43" s="75">
        <f t="array" ref="DP43">SUM((YEAR(Gastos!$A$2:$A$2500)=DP$1)*(MONTH(Gastos!$A$2:$A$2500)=DP$3)*(Gastos!$B$2:$B$2500=$A43)*(Gastos!$D$2:$D$2500))</f>
        <v>0</v>
      </c>
      <c r="DQ43" s="75">
        <f t="array" ref="DQ43">SUM((YEAR(Gastos!$A$2:$A$2500)=DQ$1)*(MONTH(Gastos!$A$2:$A$2500)=DQ$3)*(Gastos!$B$2:$B$2500=$A43)*(Gastos!$D$2:$D$2500))</f>
        <v>1828.78</v>
      </c>
      <c r="DR43" s="75">
        <f t="array" ref="DR43">SUM((YEAR(Gastos!$A$2:$A$2500)=DR$1)*(MONTH(Gastos!$A$2:$A$2500)=DR$3)*(Gastos!$B$2:$B$2500=$A43)*(Gastos!$D$2:$D$2500))</f>
        <v>0</v>
      </c>
      <c r="DS43" s="75">
        <f t="array" ref="DS43">SUM((YEAR(Gastos!$A$2:$A$2500)=DS$1)*(MONTH(Gastos!$A$2:$A$2500)=DS$3)*(Gastos!$B$2:$B$2500=$A43)*(Gastos!$D$2:$D$2500))</f>
        <v>0</v>
      </c>
      <c r="DT43" s="75">
        <f t="array" ref="DT43">SUM((YEAR(Gastos!$A$2:$A$2500)=DT$1)*(MONTH(Gastos!$A$2:$A$2500)=DT$3)*(Gastos!$B$2:$B$2500=$A43)*(Gastos!$D$2:$D$2500))</f>
        <v>0</v>
      </c>
      <c r="DU43" s="75">
        <f t="array" ref="DU43">SUM((YEAR(Gastos!$A$2:$A$2500)=DU$1)*(MONTH(Gastos!$A$2:$A$2500)=DU$3)*(Gastos!$B$2:$B$2500=$A43)*(Gastos!$D$2:$D$2500))</f>
        <v>0</v>
      </c>
      <c r="DV43" s="75">
        <f t="array" ref="DV43">SUM((YEAR(Gastos!$A$2:$A$2500)=DV$1)*(MONTH(Gastos!$A$2:$A$2500)=DV$3)*(Gastos!$B$2:$B$2500=$A43)*(Gastos!$D$2:$D$2500))</f>
        <v>0</v>
      </c>
      <c r="DW43" s="75">
        <f t="array" ref="DW43">SUM((YEAR(Gastos!$A$2:$A$2500)=DW$1)*(MONTH(Gastos!$A$2:$A$2500)=DW$3)*(Gastos!$B$2:$B$2500=$A43)*(Gastos!$D$2:$D$2500))</f>
        <v>0</v>
      </c>
      <c r="DX43" s="75">
        <f t="array" ref="DX43">SUM((YEAR(Gastos!$A$2:$A$2500)=DX$1)*(MONTH(Gastos!$A$2:$A$2500)=DX$3)*(Gastos!$B$2:$B$2500=$A43)*(Gastos!$D$2:$D$2500))</f>
        <v>0</v>
      </c>
      <c r="DY43" s="75">
        <f t="array" ref="DY43">SUM((YEAR(Gastos!$A$2:$A$2500)=DY$1)*(MONTH(Gastos!$A$2:$A$2500)=DY$3)*(Gastos!$B$2:$B$2500=$A43)*(Gastos!$D$2:$D$2500))</f>
        <v>0</v>
      </c>
      <c r="DZ43" s="75">
        <f t="array" ref="DZ43">SUM((YEAR(Gastos!$A$2:$A$2500)=DZ$1)*(MONTH(Gastos!$A$2:$A$2500)=DZ$3)*(Gastos!$B$2:$B$2500=$A43)*(Gastos!$D$2:$D$2500))</f>
        <v>0</v>
      </c>
      <c r="EA43" s="75">
        <f t="array" ref="EA43">SUM((YEAR(Gastos!$A$2:$A$2500)=EA$1)*(MONTH(Gastos!$A$2:$A$2500)=EA$3)*(Gastos!$B$2:$B$2500=$A43)*(Gastos!$D$2:$D$2500))</f>
        <v>0</v>
      </c>
      <c r="EB43" s="75">
        <f t="array" ref="EB43">SUM((YEAR(Gastos!$A$2:$A$2500)=EB$1)*(MONTH(Gastos!$A$2:$A$2500)=EB$3)*(Gastos!$B$2:$B$2500=$A43)*(Gastos!$D$2:$D$2500))</f>
        <v>0</v>
      </c>
      <c r="EC43" s="75">
        <f t="array" ref="EC43">SUM((YEAR(Gastos!$A$2:$A$2500)=EC$1)*(MONTH(Gastos!$A$2:$A$2500)=EC$3)*(Gastos!$B$2:$B$2500=$A43)*(Gastos!$D$2:$D$2500))</f>
        <v>0</v>
      </c>
      <c r="ED43" s="75">
        <f t="array" ref="ED43">SUM((YEAR(Gastos!$A$2:$A$2500)=ED$1)*(MONTH(Gastos!$A$2:$A$2500)=ED$3)*(Gastos!$B$2:$B$2500=$A43)*(Gastos!$D$2:$D$2500))</f>
        <v>0</v>
      </c>
      <c r="EE43" s="75">
        <f t="array" ref="EE43">SUM((YEAR(Gastos!$A$2:$A$2500)=EE$1)*(MONTH(Gastos!$A$2:$A$2500)=EE$3)*(Gastos!$B$2:$B$2500=$A43)*(Gastos!$D$2:$D$2500))</f>
        <v>0</v>
      </c>
      <c r="EF43" s="75">
        <f t="array" ref="EF43">SUM((YEAR(Gastos!$A$2:$A$2500)=EF$1)*(MONTH(Gastos!$A$2:$A$2500)=EF$3)*(Gastos!$B$2:$B$2500=$A43)*(Gastos!$D$2:$D$2500))</f>
        <v>0</v>
      </c>
      <c r="EG43" s="75">
        <f t="array" ref="EG43">SUM((YEAR(Gastos!$A$2:$A$2500)=EG$1)*(MONTH(Gastos!$A$2:$A$2500)=EG$3)*(Gastos!$B$2:$B$2500=$A43)*(Gastos!$D$2:$D$2500))</f>
        <v>0</v>
      </c>
      <c r="EH43" s="75">
        <f t="array" ref="EH43">SUM((YEAR(Gastos!$A$2:$A$2500)=EH$1)*(MONTH(Gastos!$A$2:$A$2500)=EH$3)*(Gastos!$B$2:$B$2500=$A43)*(Gastos!$D$2:$D$2500))</f>
        <v>0</v>
      </c>
      <c r="EI43" s="75">
        <f t="array" ref="EI43">SUM((YEAR(Gastos!$A$2:$A$2500)=EI$1)*(MONTH(Gastos!$A$2:$A$2500)=EI$3)*(Gastos!$B$2:$B$2500=$A43)*(Gastos!$D$2:$D$2500))</f>
        <v>0</v>
      </c>
      <c r="EJ43" s="75">
        <f t="array" ref="EJ43">SUM((YEAR(Gastos!$A$2:$A$2500)=EJ$1)*(MONTH(Gastos!$A$2:$A$2500)=EJ$3)*(Gastos!$B$2:$B$2500=$A43)*(Gastos!$D$2:$D$2500))</f>
        <v>0</v>
      </c>
      <c r="EK43" s="75">
        <f t="array" ref="EK43">SUM((YEAR(Gastos!$A$2:$A$2500)=EK$1)*(MONTH(Gastos!$A$2:$A$2500)=EK$3)*(Gastos!$B$2:$B$2500=$A43)*(Gastos!$D$2:$D$2500))</f>
        <v>0</v>
      </c>
      <c r="EL43" s="75">
        <f t="array" ref="EL43">SUM((YEAR(Gastos!$A$2:$A$2500)=EL$1)*(MONTH(Gastos!$A$2:$A$2500)=EL$3)*(Gastos!$B$2:$B$2500=$A43)*(Gastos!$D$2:$D$2500))</f>
        <v>0</v>
      </c>
      <c r="EM43" s="75">
        <f t="array" ref="EM43">SUM((YEAR(Gastos!$A$2:$A$2500)=EM$1)*(MONTH(Gastos!$A$2:$A$2500)=EM$3)*(Gastos!$B$2:$B$2500=$A43)*(Gastos!$D$2:$D$2500))</f>
        <v>0</v>
      </c>
      <c r="EN43" s="75">
        <f t="array" ref="EN43">SUM((YEAR(Gastos!$A$2:$A$2500)=EN$1)*(MONTH(Gastos!$A$2:$A$2500)=EN$3)*(Gastos!$B$2:$B$2500=$A43)*(Gastos!$D$2:$D$2500))</f>
        <v>0</v>
      </c>
      <c r="EO43" s="75">
        <f t="array" ref="EO43">SUM((YEAR(Gastos!$A$2:$A$2500)=EO$1)*(MONTH(Gastos!$A$2:$A$2500)=EO$3)*(Gastos!$B$2:$B$2500=$A43)*(Gastos!$D$2:$D$2500))</f>
        <v>0</v>
      </c>
      <c r="EP43" s="75">
        <f t="array" ref="EP43">SUM((YEAR(Gastos!$A$2:$A$2500)=EP$1)*(MONTH(Gastos!$A$2:$A$2500)=EP$3)*(Gastos!$B$2:$B$2500=$A43)*(Gastos!$D$2:$D$2500))</f>
        <v>0</v>
      </c>
      <c r="EQ43" s="75">
        <f t="array" ref="EQ43">SUM((YEAR(Gastos!$A$2:$A$2500)=EQ$1)*(MONTH(Gastos!$A$2:$A$2500)=EQ$3)*(Gastos!$B$2:$B$2500=$A43)*(Gastos!$D$2:$D$2500))</f>
        <v>0</v>
      </c>
      <c r="ER43" s="75">
        <f t="array" ref="ER43">SUM((YEAR(Gastos!$A$2:$A$2500)=ER$1)*(MONTH(Gastos!$A$2:$A$2500)=ER$3)*(Gastos!$B$2:$B$2500=$A43)*(Gastos!$D$2:$D$2500))</f>
        <v>0</v>
      </c>
      <c r="ES43" s="75">
        <f t="array" ref="ES43">SUM((YEAR(Gastos!$A$2:$A$2500)=ES$1)*(MONTH(Gastos!$A$2:$A$2500)=ES$3)*(Gastos!$B$2:$B$2500=$A43)*(Gastos!$D$2:$D$2500))</f>
        <v>0</v>
      </c>
      <c r="ET43" s="75">
        <f t="array" ref="ET43">SUM((YEAR(Gastos!$A$2:$A$2500)=ET$1)*(MONTH(Gastos!$A$2:$A$2500)=ET$3)*(Gastos!$B$2:$B$2500=$A43)*(Gastos!$D$2:$D$2500))</f>
        <v>0</v>
      </c>
      <c r="EU43" s="75">
        <f t="array" ref="EU43">SUM((YEAR(Gastos!$A$2:$A$2500)=EU$1)*(MONTH(Gastos!$A$2:$A$2500)=EU$3)*(Gastos!$B$2:$B$2500=$A43)*(Gastos!$D$2:$D$2500))</f>
        <v>0</v>
      </c>
      <c r="EV43" s="75">
        <f t="array" ref="EV43">SUM((YEAR(Gastos!$A$2:$A$2500)=EV$1)*(MONTH(Gastos!$A$2:$A$2500)=EV$3)*(Gastos!$B$2:$B$2500=$A43)*(Gastos!$D$2:$D$2500))</f>
        <v>0</v>
      </c>
      <c r="EW43" s="75">
        <f t="array" ref="EW43">SUM((YEAR(Gastos!$A$2:$A$2500)=EW$1)*(MONTH(Gastos!$A$2:$A$2500)=EW$3)*(Gastos!$B$2:$B$2500=$A43)*(Gastos!$D$2:$D$2500))</f>
        <v>0</v>
      </c>
      <c r="EX43" s="75">
        <f t="array" ref="EX43">SUM((YEAR(Gastos!$A$2:$A$2500)=EX$1)*(MONTH(Gastos!$A$2:$A$2500)=EX$3)*(Gastos!$B$2:$B$2500=$A43)*(Gastos!$D$2:$D$2500))</f>
        <v>0</v>
      </c>
      <c r="EY43" s="75">
        <f t="array" ref="EY43">SUM((YEAR(Gastos!$A$2:$A$2500)=EY$1)*(MONTH(Gastos!$A$2:$A$2500)=EY$3)*(Gastos!$B$2:$B$2500=$A43)*(Gastos!$D$2:$D$2500))</f>
        <v>0</v>
      </c>
      <c r="EZ43" s="75">
        <f t="array" ref="EZ43">SUM((YEAR(Gastos!$A$2:$A$2500)=EZ$1)*(MONTH(Gastos!$A$2:$A$2500)=EZ$3)*(Gastos!$B$2:$B$2500=$A43)*(Gastos!$D$2:$D$2500))</f>
        <v>0</v>
      </c>
      <c r="FA43" s="75">
        <f t="array" ref="FA43">SUM((YEAR(Gastos!$A$2:$A$2500)=FA$1)*(MONTH(Gastos!$A$2:$A$2500)=FA$3)*(Gastos!$B$2:$B$2500=$A43)*(Gastos!$D$2:$D$2500))</f>
        <v>0</v>
      </c>
      <c r="FB43" s="75">
        <f t="array" ref="FB43">SUM((YEAR(Gastos!$A$2:$A$2500)=FB$1)*(MONTH(Gastos!$A$2:$A$2500)=FB$3)*(Gastos!$B$2:$B$2500=$A43)*(Gastos!$D$2:$D$2500))</f>
        <v>0</v>
      </c>
      <c r="FC43" s="75">
        <f t="array" ref="FC43">SUM((YEAR(Gastos!$A$2:$A$2500)=FC$1)*(MONTH(Gastos!$A$2:$A$2500)=FC$3)*(Gastos!$B$2:$B$2500=$A43)*(Gastos!$D$2:$D$2500))</f>
        <v>0</v>
      </c>
      <c r="FD43" s="75">
        <f t="array" ref="FD43">SUM((YEAR(Gastos!$A$2:$A$2500)=FD$1)*(MONTH(Gastos!$A$2:$A$2500)=FD$3)*(Gastos!$B$2:$B$2500=$A43)*(Gastos!$D$2:$D$2500))</f>
        <v>0</v>
      </c>
      <c r="FE43" s="75">
        <f t="array" ref="FE43">SUM((YEAR(Gastos!$A$2:$A$2500)=FE$1)*(MONTH(Gastos!$A$2:$A$2500)=FE$3)*(Gastos!$B$2:$B$2500=$A43)*(Gastos!$D$2:$D$2500))</f>
        <v>0</v>
      </c>
      <c r="FF43" s="75">
        <f t="array" ref="FF43">SUM((YEAR(Gastos!$A$2:$A$2500)=FF$1)*(MONTH(Gastos!$A$2:$A$2500)=FF$3)*(Gastos!$B$2:$B$2500=$A43)*(Gastos!$D$2:$D$2500))</f>
        <v>0</v>
      </c>
      <c r="FG43" s="75">
        <f t="array" ref="FG43">SUM((YEAR(Gastos!$A$2:$A$2500)=FG$1)*(MONTH(Gastos!$A$2:$A$2500)=FG$3)*(Gastos!$B$2:$B$2500=$A43)*(Gastos!$D$2:$D$2500))</f>
        <v>0</v>
      </c>
      <c r="FH43" s="75">
        <f t="array" ref="FH43">SUM((YEAR(Gastos!$A$2:$A$2500)=FH$1)*(MONTH(Gastos!$A$2:$A$2500)=FH$3)*(Gastos!$B$2:$B$2500=$A43)*(Gastos!$D$2:$D$2500))</f>
        <v>0</v>
      </c>
      <c r="FI43" s="75">
        <f t="array" ref="FI43">SUM((YEAR(Gastos!$A$2:$A$2500)=FI$1)*(MONTH(Gastos!$A$2:$A$2500)=FI$3)*(Gastos!$B$2:$B$2500=$A43)*(Gastos!$D$2:$D$2500))</f>
        <v>0</v>
      </c>
      <c r="FJ43" s="75">
        <f t="array" ref="FJ43">SUM((YEAR(Gastos!$A$2:$A$2500)=FJ$1)*(MONTH(Gastos!$A$2:$A$2500)=FJ$3)*(Gastos!$B$2:$B$2500=$A43)*(Gastos!$D$2:$D$2500))</f>
        <v>0</v>
      </c>
      <c r="FK43" s="75">
        <f t="array" ref="FK43">SUM((YEAR(Gastos!$A$2:$A$2500)=FK$1)*(MONTH(Gastos!$A$2:$A$2500)=FK$3)*(Gastos!$B$2:$B$2500=$A43)*(Gastos!$D$2:$D$2500))</f>
        <v>0</v>
      </c>
      <c r="FL43" s="75">
        <f t="array" ref="FL43">SUM((YEAR(Gastos!$A$2:$A$2500)=FL$1)*(MONTH(Gastos!$A$2:$A$2500)=FL$3)*(Gastos!$B$2:$B$2500=$A43)*(Gastos!$D$2:$D$2500))</f>
        <v>0</v>
      </c>
      <c r="FM43" s="75">
        <f t="array" ref="FM43">SUM((YEAR(Gastos!$A$2:$A$2500)=FM$1)*(MONTH(Gastos!$A$2:$A$2500)=FM$3)*(Gastos!$B$2:$B$2500=$A43)*(Gastos!$D$2:$D$2500))</f>
        <v>0</v>
      </c>
      <c r="FN43" s="75">
        <f t="array" ref="FN43">SUM((YEAR(Gastos!$A$2:$A$2500)=FN$1)*(MONTH(Gastos!$A$2:$A$2500)=FN$3)*(Gastos!$B$2:$B$2500=$A43)*(Gastos!$D$2:$D$2500))</f>
        <v>0</v>
      </c>
      <c r="FO43" s="75">
        <f t="array" ref="FO43">SUM((YEAR(Gastos!$A$2:$A$2500)=FO$1)*(MONTH(Gastos!$A$2:$A$2500)=FO$3)*(Gastos!$B$2:$B$2500=$A43)*(Gastos!$D$2:$D$2500))</f>
        <v>0</v>
      </c>
      <c r="FP43" s="75">
        <f t="array" ref="FP43">SUM((YEAR(Gastos!$A$2:$A$2500)=FP$1)*(MONTH(Gastos!$A$2:$A$2500)=FP$3)*(Gastos!$B$2:$B$2500=$A43)*(Gastos!$D$2:$D$2500))</f>
        <v>0</v>
      </c>
      <c r="FQ43" s="75">
        <f t="array" ref="FQ43">SUM((YEAR(Gastos!$A$2:$A$2500)=FQ$1)*(MONTH(Gastos!$A$2:$A$2500)=FQ$3)*(Gastos!$B$2:$B$2500=$A43)*(Gastos!$D$2:$D$2500))</f>
        <v>0</v>
      </c>
      <c r="FR43" s="75">
        <f t="array" ref="FR43">SUM((YEAR(Gastos!$A$2:$A$2500)=FR$1)*(MONTH(Gastos!$A$2:$A$2500)=FR$3)*(Gastos!$B$2:$B$2500=$A43)*(Gastos!$D$2:$D$2500))</f>
        <v>0</v>
      </c>
      <c r="FS43" s="75">
        <f t="array" ref="FS43">SUM((YEAR(Gastos!$A$2:$A$2500)=FS$1)*(MONTH(Gastos!$A$2:$A$2500)=FS$3)*(Gastos!$B$2:$B$2500=$A43)*(Gastos!$D$2:$D$2500))</f>
        <v>0</v>
      </c>
      <c r="FT43" s="75">
        <f t="array" ref="FT43">SUM((YEAR(Gastos!$A$2:$A$2500)=FT$1)*(MONTH(Gastos!$A$2:$A$2500)=FT$3)*(Gastos!$B$2:$B$2500=$A43)*(Gastos!$D$2:$D$2500))</f>
        <v>0</v>
      </c>
      <c r="FU43" s="75">
        <f t="array" ref="FU43">SUM((YEAR(Gastos!$A$2:$A$2500)=FU$1)*(MONTH(Gastos!$A$2:$A$2500)=FU$3)*(Gastos!$B$2:$B$2500=$A43)*(Gastos!$D$2:$D$2500))</f>
        <v>0</v>
      </c>
      <c r="FV43" s="75">
        <f t="array" ref="FV43">SUM((YEAR(Gastos!$A$2:$A$2500)=FV$1)*(MONTH(Gastos!$A$2:$A$2500)=FV$3)*(Gastos!$B$2:$B$2500=$A43)*(Gastos!$D$2:$D$2500))</f>
        <v>0</v>
      </c>
      <c r="FW43" s="75">
        <f t="array" ref="FW43">SUM((YEAR(Gastos!$A$2:$A$2500)=FW$1)*(MONTH(Gastos!$A$2:$A$2500)=FW$3)*(Gastos!$B$2:$B$2500=$A43)*(Gastos!$D$2:$D$2500))</f>
        <v>0</v>
      </c>
      <c r="FX43" s="75">
        <f t="array" ref="FX43">SUM((YEAR(Gastos!$A$2:$A$2500)=FX$1)*(MONTH(Gastos!$A$2:$A$2500)=FX$3)*(Gastos!$B$2:$B$2500=$A43)*(Gastos!$D$2:$D$2500))</f>
        <v>0</v>
      </c>
      <c r="FY43" s="75">
        <f t="array" ref="FY43">SUM((YEAR(Gastos!$A$2:$A$2500)=FY$1)*(MONTH(Gastos!$A$2:$A$2500)=FY$3)*(Gastos!$B$2:$B$2500=$A43)*(Gastos!$D$2:$D$2500))</f>
        <v>0</v>
      </c>
      <c r="FZ43" s="76">
        <f t="shared" si="65"/>
        <v>9253.23</v>
      </c>
      <c r="GA43" s="80"/>
      <c r="GB43" s="78">
        <f t="shared" si="66"/>
        <v>-1122.3699999999999</v>
      </c>
      <c r="GF43" s="79">
        <f t="array" ref="GF43">SUM(((Gastos!$A$2:$A$1647)&gt;=GD$3)*((Gastos!$A$2:$A$1647)&lt;=GF$3)*(Gastos!$B$2:$B$1647=$A43)*(Gastos!$D$2:$D$1647))</f>
        <v>603.5</v>
      </c>
      <c r="GI43" s="79">
        <f t="array" ref="GI43">SUM(((Gastos!$A$2:$A$1647)&gt;=GG$3)*((Gastos!$A$2:$A$1647)&lt;=GI$3)*(Gastos!$B$2:$B$1647=$A43)*(Gastos!$D$2:$D$1647))</f>
        <v>1725.87</v>
      </c>
    </row>
    <row r="44" spans="1:191" ht="15" thickBot="1" x14ac:dyDescent="0.4">
      <c r="A44" s="74" t="str">
        <f>Gastos!AA42</f>
        <v>V. PATRICIA</v>
      </c>
      <c r="B44" s="75">
        <f t="array" ref="B44">SUM((YEAR(Gastos!$A$2:$A$2500)=B$1)*(MONTH(Gastos!$A$2:$A$2500)=B$3)*(Gastos!$B$2:$B$2500=$A44)*(Gastos!$D$2:$D$2500))</f>
        <v>0</v>
      </c>
      <c r="C44" s="75">
        <f t="array" ref="C44">SUM((YEAR(Gastos!$A$2:$A$2500)=C$1)*(MONTH(Gastos!$A$2:$A$2500)=C$3)*(Gastos!$B$2:$B$2500=$A44)*(Gastos!$D$2:$D$2500))</f>
        <v>0</v>
      </c>
      <c r="D44" s="75">
        <f t="array" ref="D44">SUM((YEAR(Gastos!$A$2:$A$2500)=D$1)*(MONTH(Gastos!$A$2:$A$2500)=D$3)*(Gastos!$B$2:$B$2500=$A44)*(Gastos!$D$2:$D$2500))</f>
        <v>0</v>
      </c>
      <c r="E44" s="75">
        <f t="array" ref="E44">SUM((YEAR(Gastos!$A$2:$A$2500)=E$1)*(MONTH(Gastos!$A$2:$A$2500)=E$3)*(Gastos!$B$2:$B$2500=$A44)*(Gastos!$D$2:$D$2500))</f>
        <v>0</v>
      </c>
      <c r="F44" s="75">
        <f t="array" ref="F44">SUM((YEAR(Gastos!$A$2:$A$2500)=F$1)*(MONTH(Gastos!$A$2:$A$2500)=F$3)*(Gastos!$B$2:$B$2500=$A44)*(Gastos!$D$2:$D$2500))</f>
        <v>0</v>
      </c>
      <c r="G44" s="75">
        <f t="array" ref="G44">SUM((YEAR(Gastos!$A$2:$A$2500)=G$1)*(MONTH(Gastos!$A$2:$A$2500)=G$3)*(Gastos!$B$2:$B$2500=$A44)*(Gastos!$D$2:$D$2500))</f>
        <v>0</v>
      </c>
      <c r="H44" s="75">
        <f t="array" ref="H44">SUM((YEAR(Gastos!$A$2:$A$2500)=H$1)*(MONTH(Gastos!$A$2:$A$2500)=H$3)*(Gastos!$B$2:$B$2500=$A44)*(Gastos!$D$2:$D$2500))</f>
        <v>0</v>
      </c>
      <c r="I44" s="75">
        <f t="array" ref="I44">SUM((YEAR(Gastos!$A$2:$A$2500)=I$1)*(MONTH(Gastos!$A$2:$A$2500)=I$3)*(Gastos!$B$2:$B$2500=$A44)*(Gastos!$D$2:$D$2500))</f>
        <v>0</v>
      </c>
      <c r="J44" s="75">
        <f t="array" ref="J44">SUM((YEAR(Gastos!$A$2:$A$2500)=J$1)*(MONTH(Gastos!$A$2:$A$2500)=J$3)*(Gastos!$B$2:$B$2500=$A44)*(Gastos!$D$2:$D$2500))</f>
        <v>0</v>
      </c>
      <c r="K44" s="75">
        <f t="array" ref="K44">SUM((YEAR(Gastos!$A$2:$A$2500)=K$1)*(MONTH(Gastos!$A$2:$A$2500)=K$3)*(Gastos!$B$2:$B$2500=$A44)*(Gastos!$D$2:$D$2500))</f>
        <v>0</v>
      </c>
      <c r="L44" s="75">
        <f t="array" ref="L44">SUM((YEAR(Gastos!$A$2:$A$2500)=L$1)*(MONTH(Gastos!$A$2:$A$2500)=L$3)*(Gastos!$B$2:$B$2500=$A44)*(Gastos!$D$2:$D$2500))</f>
        <v>0</v>
      </c>
      <c r="M44" s="75">
        <f t="array" ref="M44">SUM((YEAR(Gastos!$A$2:$A$2500)=M$1)*(MONTH(Gastos!$A$2:$A$2500)=M$3)*(Gastos!$B$2:$B$2500=$A44)*(Gastos!$D$2:$D$2500))</f>
        <v>0</v>
      </c>
      <c r="N44" s="75">
        <f t="array" ref="N44">SUM((YEAR(Gastos!$A$2:$A$2500)=N$1)*(MONTH(Gastos!$A$2:$A$2500)=N$3)*(Gastos!$B$2:$B$2500=$A44)*(Gastos!$D$2:$D$2500))</f>
        <v>0</v>
      </c>
      <c r="O44" s="75">
        <f t="array" ref="O44">SUM((YEAR(Gastos!$A$2:$A$2500)=O$1)*(MONTH(Gastos!$A$2:$A$2500)=O$3)*(Gastos!$B$2:$B$2500=$A44)*(Gastos!$D$2:$D$2500))</f>
        <v>0</v>
      </c>
      <c r="P44" s="75">
        <f t="array" ref="P44">SUM((YEAR(Gastos!$A$2:$A$2500)=P$1)*(MONTH(Gastos!$A$2:$A$2500)=P$3)*(Gastos!$B$2:$B$2500=$A44)*(Gastos!$D$2:$D$2500))</f>
        <v>0</v>
      </c>
      <c r="Q44" s="75">
        <f t="array" ref="Q44">SUM((YEAR(Gastos!$A$2:$A$2500)=Q$1)*(MONTH(Gastos!$A$2:$A$2500)=Q$3)*(Gastos!$B$2:$B$2500=$A44)*(Gastos!$D$2:$D$2500))</f>
        <v>0</v>
      </c>
      <c r="R44" s="75">
        <f t="array" ref="R44">SUM((YEAR(Gastos!$A$2:$A$2500)=R$1)*(MONTH(Gastos!$A$2:$A$2500)=R$3)*(Gastos!$B$2:$B$2500=$A44)*(Gastos!$D$2:$D$2500))</f>
        <v>0</v>
      </c>
      <c r="S44" s="75">
        <f t="array" ref="S44">SUM((YEAR(Gastos!$A$2:$A$2500)=S$1)*(MONTH(Gastos!$A$2:$A$2500)=S$3)*(Gastos!$B$2:$B$2500=$A44)*(Gastos!$D$2:$D$2500))</f>
        <v>0</v>
      </c>
      <c r="T44" s="75">
        <f t="array" ref="T44">SUM((YEAR(Gastos!$A$2:$A$2500)=T$1)*(MONTH(Gastos!$A$2:$A$2500)=T$3)*(Gastos!$B$2:$B$2500=$A44)*(Gastos!$D$2:$D$2500))</f>
        <v>0</v>
      </c>
      <c r="U44" s="75">
        <f t="array" ref="U44">SUM((YEAR(Gastos!$A$2:$A$2500)=U$1)*(MONTH(Gastos!$A$2:$A$2500)=U$3)*(Gastos!$B$2:$B$2500=$A44)*(Gastos!$D$2:$D$2500))</f>
        <v>0</v>
      </c>
      <c r="V44" s="75">
        <f t="array" ref="V44">SUM((YEAR(Gastos!$A$2:$A$2500)=V$1)*(MONTH(Gastos!$A$2:$A$2500)=V$3)*(Gastos!$B$2:$B$2500=$A44)*(Gastos!$D$2:$D$2500))</f>
        <v>0</v>
      </c>
      <c r="W44" s="75">
        <f t="array" ref="W44">SUM((YEAR(Gastos!$A$2:$A$2500)=W$1)*(MONTH(Gastos!$A$2:$A$2500)=W$3)*(Gastos!$B$2:$B$2500=$A44)*(Gastos!$D$2:$D$2500))</f>
        <v>0</v>
      </c>
      <c r="X44" s="75">
        <f t="array" ref="X44">SUM((YEAR(Gastos!$A$2:$A$2500)=X$1)*(MONTH(Gastos!$A$2:$A$2500)=X$3)*(Gastos!$B$2:$B$2500=$A44)*(Gastos!$D$2:$D$2500))</f>
        <v>0</v>
      </c>
      <c r="Y44" s="75">
        <f t="array" ref="Y44">SUM((YEAR(Gastos!$A$2:$A$2500)=Y$1)*(MONTH(Gastos!$A$2:$A$2500)=Y$3)*(Gastos!$B$2:$B$2500=$A44)*(Gastos!$D$2:$D$2500))</f>
        <v>0</v>
      </c>
      <c r="Z44" s="75">
        <f t="array" ref="Z44">SUM((YEAR(Gastos!$A$2:$A$2500)=Z$1)*(MONTH(Gastos!$A$2:$A$2500)=Z$3)*(Gastos!$B$2:$B$2500=$A44)*(Gastos!$D$2:$D$2500))</f>
        <v>0</v>
      </c>
      <c r="AA44" s="75">
        <f t="array" ref="AA44">SUM((YEAR(Gastos!$A$2:$A$2500)=AA$1)*(MONTH(Gastos!$A$2:$A$2500)=AA$3)*(Gastos!$B$2:$B$2500=$A44)*(Gastos!$D$2:$D$2500))</f>
        <v>0</v>
      </c>
      <c r="AB44" s="75">
        <f t="array" ref="AB44">SUM((YEAR(Gastos!$A$2:$A$2500)=AB$1)*(MONTH(Gastos!$A$2:$A$2500)=AB$3)*(Gastos!$B$2:$B$2500=$A44)*(Gastos!$D$2:$D$2500))</f>
        <v>0</v>
      </c>
      <c r="AC44" s="75">
        <f t="array" ref="AC44">SUM((YEAR(Gastos!$A$2:$A$2500)=AC$1)*(MONTH(Gastos!$A$2:$A$2500)=AC$3)*(Gastos!$B$2:$B$2500=$A44)*(Gastos!$D$2:$D$2500))</f>
        <v>0</v>
      </c>
      <c r="AD44" s="75">
        <f t="array" ref="AD44">SUM((YEAR(Gastos!$A$2:$A$2500)=AD$1)*(MONTH(Gastos!$A$2:$A$2500)=AD$3)*(Gastos!$B$2:$B$2500=$A44)*(Gastos!$D$2:$D$2500))</f>
        <v>0</v>
      </c>
      <c r="AE44" s="75">
        <f t="array" ref="AE44">SUM((YEAR(Gastos!$A$2:$A$2500)=AE$1)*(MONTH(Gastos!$A$2:$A$2500)=AE$3)*(Gastos!$B$2:$B$2500=$A44)*(Gastos!$D$2:$D$2500))</f>
        <v>0</v>
      </c>
      <c r="AF44" s="75">
        <f t="array" ref="AF44">SUM((YEAR(Gastos!$A$2:$A$2500)=AF$1)*(MONTH(Gastos!$A$2:$A$2500)=AF$3)*(Gastos!$B$2:$B$2500=$A44)*(Gastos!$D$2:$D$2500))</f>
        <v>0</v>
      </c>
      <c r="AG44" s="75">
        <f t="array" ref="AG44">SUM((YEAR(Gastos!$A$2:$A$2500)=AG$1)*(MONTH(Gastos!$A$2:$A$2500)=AG$3)*(Gastos!$B$2:$B$2500=$A44)*(Gastos!$D$2:$D$2500))</f>
        <v>0</v>
      </c>
      <c r="AH44" s="75">
        <f t="array" ref="AH44">SUM((YEAR(Gastos!$A$2:$A$2500)=AH$1)*(MONTH(Gastos!$A$2:$A$2500)=AH$3)*(Gastos!$B$2:$B$2500=$A44)*(Gastos!$D$2:$D$2500))</f>
        <v>0</v>
      </c>
      <c r="AI44" s="75">
        <f t="array" ref="AI44">SUM((YEAR(Gastos!$A$2:$A$2500)=AI$1)*(MONTH(Gastos!$A$2:$A$2500)=AI$3)*(Gastos!$B$2:$B$2500=$A44)*(Gastos!$D$2:$D$2500))</f>
        <v>0</v>
      </c>
      <c r="AJ44" s="75">
        <f t="array" ref="AJ44">SUM((YEAR(Gastos!$A$2:$A$2500)=AJ$1)*(MONTH(Gastos!$A$2:$A$2500)=AJ$3)*(Gastos!$B$2:$B$2500=$A44)*(Gastos!$D$2:$D$2500))</f>
        <v>0</v>
      </c>
      <c r="AK44" s="75">
        <f t="array" ref="AK44">SUM((YEAR(Gastos!$A$2:$A$2500)=AK$1)*(MONTH(Gastos!$A$2:$A$2500)=AK$3)*(Gastos!$B$2:$B$2500=$A44)*(Gastos!$D$2:$D$2500))</f>
        <v>0</v>
      </c>
      <c r="AL44" s="75">
        <f t="array" ref="AL44">SUM((YEAR(Gastos!$A$2:$A$2500)=AL$1)*(MONTH(Gastos!$A$2:$A$2500)=AL$3)*(Gastos!$B$2:$B$2500=$A44)*(Gastos!$D$2:$D$2500))</f>
        <v>0</v>
      </c>
      <c r="AM44" s="75">
        <f t="array" ref="AM44">SUM((YEAR(Gastos!$A$2:$A$2500)=AM$1)*(MONTH(Gastos!$A$2:$A$2500)=AM$3)*(Gastos!$B$2:$B$2500=$A44)*(Gastos!$D$2:$D$2500))</f>
        <v>0</v>
      </c>
      <c r="AN44" s="75">
        <f t="array" ref="AN44">SUM((YEAR(Gastos!$A$2:$A$2500)=AN$1)*(MONTH(Gastos!$A$2:$A$2500)=AN$3)*(Gastos!$B$2:$B$2500=$A44)*(Gastos!$D$2:$D$2500))</f>
        <v>0</v>
      </c>
      <c r="AO44" s="75">
        <f t="array" ref="AO44">SUM((YEAR(Gastos!$A$2:$A$2500)=AO$1)*(MONTH(Gastos!$A$2:$A$2500)=AO$3)*(Gastos!$B$2:$B$2500=$A44)*(Gastos!$D$2:$D$2500))</f>
        <v>0</v>
      </c>
      <c r="AP44" s="75">
        <f t="array" ref="AP44">SUM((YEAR(Gastos!$A$2:$A$2500)=AP$1)*(MONTH(Gastos!$A$2:$A$2500)=AP$3)*(Gastos!$B$2:$B$2500=$A44)*(Gastos!$D$2:$D$2500))</f>
        <v>0</v>
      </c>
      <c r="AQ44" s="75">
        <f t="array" ref="AQ44">SUM((YEAR(Gastos!$A$2:$A$2500)=AQ$1)*(MONTH(Gastos!$A$2:$A$2500)=AQ$3)*(Gastos!$B$2:$B$2500=$A44)*(Gastos!$D$2:$D$2500))</f>
        <v>0</v>
      </c>
      <c r="AR44" s="75">
        <f t="array" ref="AR44">SUM((YEAR(Gastos!$A$2:$A$2500)=AR$1)*(MONTH(Gastos!$A$2:$A$2500)=AR$3)*(Gastos!$B$2:$B$2500=$A44)*(Gastos!$D$2:$D$2500))</f>
        <v>0</v>
      </c>
      <c r="AS44" s="75">
        <f t="array" ref="AS44">SUM((YEAR(Gastos!$A$2:$A$2500)=AS$1)*(MONTH(Gastos!$A$2:$A$2500)=AS$3)*(Gastos!$B$2:$B$2500=$A44)*(Gastos!$D$2:$D$2500))</f>
        <v>0</v>
      </c>
      <c r="AT44" s="75">
        <f t="array" ref="AT44">SUM((YEAR(Gastos!$A$2:$A$2500)=AT$1)*(MONTH(Gastos!$A$2:$A$2500)=AT$3)*(Gastos!$B$2:$B$2500=$A44)*(Gastos!$D$2:$D$2500))</f>
        <v>0</v>
      </c>
      <c r="AU44" s="75">
        <f t="array" ref="AU44">SUM((YEAR(Gastos!$A$2:$A$2500)=AU$1)*(MONTH(Gastos!$A$2:$A$2500)=AU$3)*(Gastos!$B$2:$B$2500=$A44)*(Gastos!$D$2:$D$2500))</f>
        <v>0</v>
      </c>
      <c r="AV44" s="75">
        <f t="array" ref="AV44">SUM((YEAR(Gastos!$A$2:$A$2500)=AV$1)*(MONTH(Gastos!$A$2:$A$2500)=AV$3)*(Gastos!$B$2:$B$2500=$A44)*(Gastos!$D$2:$D$2500))</f>
        <v>0</v>
      </c>
      <c r="AW44" s="75">
        <f t="array" ref="AW44">SUM((YEAR(Gastos!$A$2:$A$2500)=AW$1)*(MONTH(Gastos!$A$2:$A$2500)=AW$3)*(Gastos!$B$2:$B$2500=$A44)*(Gastos!$D$2:$D$2500))</f>
        <v>0</v>
      </c>
      <c r="AX44" s="75">
        <f t="array" ref="AX44">SUM((YEAR(Gastos!$A$2:$A$2500)=AX$1)*(MONTH(Gastos!$A$2:$A$2500)=AX$3)*(Gastos!$B$2:$B$2500=$A44)*(Gastos!$D$2:$D$2500))</f>
        <v>0</v>
      </c>
      <c r="AY44" s="75">
        <f t="array" ref="AY44">SUM((YEAR(Gastos!$A$2:$A$2500)=AY$1)*(MONTH(Gastos!$A$2:$A$2500)=AY$3)*(Gastos!$B$2:$B$2500=$A44)*(Gastos!$D$2:$D$2500))</f>
        <v>0</v>
      </c>
      <c r="AZ44" s="75">
        <f t="array" ref="AZ44">SUM((YEAR(Gastos!$A$2:$A$2500)=AZ$1)*(MONTH(Gastos!$A$2:$A$2500)=AZ$3)*(Gastos!$B$2:$B$2500=$A44)*(Gastos!$D$2:$D$2500))</f>
        <v>0</v>
      </c>
      <c r="BA44" s="75">
        <f t="array" ref="BA44">SUM((YEAR(Gastos!$A$2:$A$2500)=BA$1)*(MONTH(Gastos!$A$2:$A$2500)=BA$3)*(Gastos!$B$2:$B$2500=$A44)*(Gastos!$D$2:$D$2500))</f>
        <v>0</v>
      </c>
      <c r="BB44" s="75">
        <f t="array" ref="BB44">SUM((YEAR(Gastos!$A$2:$A$2500)=BB$1)*(MONTH(Gastos!$A$2:$A$2500)=BB$3)*(Gastos!$B$2:$B$2500=$A44)*(Gastos!$D$2:$D$2500))</f>
        <v>0</v>
      </c>
      <c r="BC44" s="75">
        <f t="array" ref="BC44">SUM((YEAR(Gastos!$A$2:$A$2500)=BC$1)*(MONTH(Gastos!$A$2:$A$2500)=BC$3)*(Gastos!$B$2:$B$2500=$A44)*(Gastos!$D$2:$D$2500))</f>
        <v>0</v>
      </c>
      <c r="BD44" s="75">
        <f t="array" ref="BD44">SUM((YEAR(Gastos!$A$2:$A$2500)=BD$1)*(MONTH(Gastos!$A$2:$A$2500)=BD$3)*(Gastos!$B$2:$B$2500=$A44)*(Gastos!$D$2:$D$2500))</f>
        <v>0</v>
      </c>
      <c r="BE44" s="75">
        <f t="array" ref="BE44">SUM((YEAR(Gastos!$A$2:$A$2500)=BE$1)*(MONTH(Gastos!$A$2:$A$2500)=BE$3)*(Gastos!$B$2:$B$2500=$A44)*(Gastos!$D$2:$D$2500))</f>
        <v>0</v>
      </c>
      <c r="BF44" s="75">
        <f t="array" ref="BF44">SUM((YEAR(Gastos!$A$2:$A$2500)=BF$1)*(MONTH(Gastos!$A$2:$A$2500)=BF$3)*(Gastos!$B$2:$B$2500=$A44)*(Gastos!$D$2:$D$2500))</f>
        <v>0</v>
      </c>
      <c r="BG44" s="75">
        <f t="array" ref="BG44">SUM((YEAR(Gastos!$A$2:$A$2500)=BG$1)*(MONTH(Gastos!$A$2:$A$2500)=BG$3)*(Gastos!$B$2:$B$2500=$A44)*(Gastos!$D$2:$D$2500))</f>
        <v>0</v>
      </c>
      <c r="BH44" s="75">
        <f t="array" ref="BH44">SUM((YEAR(Gastos!$A$2:$A$2500)=BH$1)*(MONTH(Gastos!$A$2:$A$2500)=BH$3)*(Gastos!$B$2:$B$2500=$A44)*(Gastos!$D$2:$D$2500))</f>
        <v>0</v>
      </c>
      <c r="BI44" s="75">
        <f t="array" ref="BI44">SUM((YEAR(Gastos!$A$2:$A$2500)=BI$1)*(MONTH(Gastos!$A$2:$A$2500)=BI$3)*(Gastos!$B$2:$B$2500=$A44)*(Gastos!$D$2:$D$2500))</f>
        <v>0</v>
      </c>
      <c r="BJ44" s="75">
        <f t="array" ref="BJ44">SUM((YEAR(Gastos!$A$2:$A$2500)=BJ$1)*(MONTH(Gastos!$A$2:$A$2500)=BJ$3)*(Gastos!$B$2:$B$2500=$A44)*(Gastos!$D$2:$D$2500))</f>
        <v>0</v>
      </c>
      <c r="BK44" s="75">
        <f t="array" ref="BK44">SUM((YEAR(Gastos!$A$2:$A$2500)=BK$1)*(MONTH(Gastos!$A$2:$A$2500)=BK$3)*(Gastos!$B$2:$B$2500=$A44)*(Gastos!$D$2:$D$2500))</f>
        <v>0</v>
      </c>
      <c r="BL44" s="75">
        <f t="array" ref="BL44">SUM((YEAR(Gastos!$A$2:$A$2500)=BL$1)*(MONTH(Gastos!$A$2:$A$2500)=BL$3)*(Gastos!$B$2:$B$2500=$A44)*(Gastos!$D$2:$D$2500))</f>
        <v>0</v>
      </c>
      <c r="BM44" s="75">
        <f t="array" ref="BM44">SUM((YEAR(Gastos!$A$2:$A$2500)=BM$1)*(MONTH(Gastos!$A$2:$A$2500)=BM$3)*(Gastos!$B$2:$B$2500=$A44)*(Gastos!$D$2:$D$2500))</f>
        <v>0</v>
      </c>
      <c r="BN44" s="75">
        <f t="array" ref="BN44">SUM((YEAR(Gastos!$A$2:$A$2500)=BN$1)*(MONTH(Gastos!$A$2:$A$2500)=BN$3)*(Gastos!$B$2:$B$2500=$A44)*(Gastos!$D$2:$D$2500))</f>
        <v>0</v>
      </c>
      <c r="BO44" s="75">
        <f t="array" ref="BO44">SUM((YEAR(Gastos!$A$2:$A$2500)=BO$1)*(MONTH(Gastos!$A$2:$A$2500)=BO$3)*(Gastos!$B$2:$B$2500=$A44)*(Gastos!$D$2:$D$2500))</f>
        <v>2803.3</v>
      </c>
      <c r="BP44" s="75">
        <f t="array" ref="BP44">SUM((YEAR(Gastos!$A$2:$A$2500)=BP$1)*(MONTH(Gastos!$A$2:$A$2500)=BP$3)*(Gastos!$B$2:$B$2500=$A44)*(Gastos!$D$2:$D$2500))</f>
        <v>0</v>
      </c>
      <c r="BQ44" s="75">
        <f t="array" ref="BQ44">SUM((YEAR(Gastos!$A$2:$A$2500)=BQ$1)*(MONTH(Gastos!$A$2:$A$2500)=BQ$3)*(Gastos!$B$2:$B$2500=$A44)*(Gastos!$D$2:$D$2500))</f>
        <v>0</v>
      </c>
      <c r="BR44" s="75">
        <f t="array" ref="BR44">SUM((YEAR(Gastos!$A$2:$A$2500)=BR$1)*(MONTH(Gastos!$A$2:$A$2500)=BR$3)*(Gastos!$B$2:$B$2500=$A44)*(Gastos!$D$2:$D$2500))</f>
        <v>0</v>
      </c>
      <c r="BS44" s="75">
        <f t="array" ref="BS44">SUM((YEAR(Gastos!$A$2:$A$2500)=BS$1)*(MONTH(Gastos!$A$2:$A$2500)=BS$3)*(Gastos!$B$2:$B$2500=$A44)*(Gastos!$D$2:$D$2500))</f>
        <v>0</v>
      </c>
      <c r="BT44" s="75">
        <f t="array" ref="BT44">SUM((YEAR(Gastos!$A$2:$A$2500)=BT$1)*(MONTH(Gastos!$A$2:$A$2500)=BT$3)*(Gastos!$B$2:$B$2500=$A44)*(Gastos!$D$2:$D$2500))</f>
        <v>0</v>
      </c>
      <c r="BU44" s="75">
        <f t="array" ref="BU44">SUM((YEAR(Gastos!$A$2:$A$2500)=BU$1)*(MONTH(Gastos!$A$2:$A$2500)=BU$3)*(Gastos!$B$2:$B$2500=$A44)*(Gastos!$D$2:$D$2500))</f>
        <v>0</v>
      </c>
      <c r="BV44" s="75">
        <f t="array" ref="BV44">SUM((YEAR(Gastos!$A$2:$A$2500)=BV$1)*(MONTH(Gastos!$A$2:$A$2500)=BV$3)*(Gastos!$B$2:$B$2500=$A44)*(Gastos!$D$2:$D$2500))</f>
        <v>0</v>
      </c>
      <c r="BW44" s="75">
        <f t="array" ref="BW44">SUM((YEAR(Gastos!$A$2:$A$2500)=BW$1)*(MONTH(Gastos!$A$2:$A$2500)=BW$3)*(Gastos!$B$2:$B$2500=$A44)*(Gastos!$D$2:$D$2500))</f>
        <v>0</v>
      </c>
      <c r="BX44" s="75">
        <f t="array" ref="BX44">SUM((YEAR(Gastos!$A$2:$A$2500)=BX$1)*(MONTH(Gastos!$A$2:$A$2500)=BX$3)*(Gastos!$B$2:$B$2500=$A44)*(Gastos!$D$2:$D$2500))</f>
        <v>0</v>
      </c>
      <c r="BY44" s="75">
        <f t="array" ref="BY44">SUM((YEAR(Gastos!$A$2:$A$2500)=BY$1)*(MONTH(Gastos!$A$2:$A$2500)=BY$3)*(Gastos!$B$2:$B$2500=$A44)*(Gastos!$D$2:$D$2500))</f>
        <v>0</v>
      </c>
      <c r="BZ44" s="75">
        <f t="array" ref="BZ44">SUM((YEAR(Gastos!$A$2:$A$2500)=BZ$1)*(MONTH(Gastos!$A$2:$A$2500)=BZ$3)*(Gastos!$B$2:$B$2500=$A44)*(Gastos!$D$2:$D$2500))</f>
        <v>0</v>
      </c>
      <c r="CA44" s="75">
        <f t="array" ref="CA44">SUM((YEAR(Gastos!$A$2:$A$2500)=CA$1)*(MONTH(Gastos!$A$2:$A$2500)=CA$3)*(Gastos!$B$2:$B$2500=$A44)*(Gastos!$D$2:$D$2500))</f>
        <v>0</v>
      </c>
      <c r="CB44" s="75">
        <f t="array" ref="CB44">SUM((YEAR(Gastos!$A$2:$A$2500)=CB$1)*(MONTH(Gastos!$A$2:$A$2500)=CB$3)*(Gastos!$B$2:$B$2500=$A44)*(Gastos!$D$2:$D$2500))</f>
        <v>0</v>
      </c>
      <c r="CC44" s="75">
        <f t="array" ref="CC44">SUM((YEAR(Gastos!$A$2:$A$2500)=CC$1)*(MONTH(Gastos!$A$2:$A$2500)=CC$3)*(Gastos!$B$2:$B$2500=$A44)*(Gastos!$D$2:$D$2500))</f>
        <v>0</v>
      </c>
      <c r="CD44" s="75">
        <f t="array" ref="CD44">SUM((YEAR(Gastos!$A$2:$A$2500)=CD$1)*(MONTH(Gastos!$A$2:$A$2500)=CD$3)*(Gastos!$B$2:$B$2500=$A44)*(Gastos!$D$2:$D$2500))</f>
        <v>0</v>
      </c>
      <c r="CE44" s="75">
        <f t="array" ref="CE44">SUM((YEAR(Gastos!$A$2:$A$2500)=CE$1)*(MONTH(Gastos!$A$2:$A$2500)=CE$3)*(Gastos!$B$2:$B$2500=$A44)*(Gastos!$D$2:$D$2500))</f>
        <v>0</v>
      </c>
      <c r="CF44" s="75">
        <f t="array" ref="CF44">SUM((YEAR(Gastos!$A$2:$A$2500)=CF$1)*(MONTH(Gastos!$A$2:$A$2500)=CF$3)*(Gastos!$B$2:$B$2500=$A44)*(Gastos!$D$2:$D$2500))</f>
        <v>0</v>
      </c>
      <c r="CG44" s="75">
        <f t="array" ref="CG44">SUM((YEAR(Gastos!$A$2:$A$2500)=CG$1)*(MONTH(Gastos!$A$2:$A$2500)=CG$3)*(Gastos!$B$2:$B$2500=$A44)*(Gastos!$D$2:$D$2500))</f>
        <v>0</v>
      </c>
      <c r="CH44" s="75">
        <f t="array" ref="CH44">SUM((YEAR(Gastos!$A$2:$A$2500)=CH$1)*(MONTH(Gastos!$A$2:$A$2500)=CH$3)*(Gastos!$B$2:$B$2500=$A44)*(Gastos!$D$2:$D$2500))</f>
        <v>0</v>
      </c>
      <c r="CI44" s="75">
        <f t="array" ref="CI44">SUM((YEAR(Gastos!$A$2:$A$2500)=CI$1)*(MONTH(Gastos!$A$2:$A$2500)=CI$3)*(Gastos!$B$2:$B$2500=$A44)*(Gastos!$D$2:$D$2500))</f>
        <v>0</v>
      </c>
      <c r="CJ44" s="75">
        <f t="array" ref="CJ44">SUM((YEAR(Gastos!$A$2:$A$2500)=CJ$1)*(MONTH(Gastos!$A$2:$A$2500)=CJ$3)*(Gastos!$B$2:$B$2500=$A44)*(Gastos!$D$2:$D$2500))</f>
        <v>0</v>
      </c>
      <c r="CK44" s="75">
        <f t="array" ref="CK44">SUM((YEAR(Gastos!$A$2:$A$2500)=CK$1)*(MONTH(Gastos!$A$2:$A$2500)=CK$3)*(Gastos!$B$2:$B$2500=$A44)*(Gastos!$D$2:$D$2500))</f>
        <v>0</v>
      </c>
      <c r="CL44" s="75">
        <f t="array" ref="CL44">SUM((YEAR(Gastos!$A$2:$A$2500)=CL$1)*(MONTH(Gastos!$A$2:$A$2500)=CL$3)*(Gastos!$B$2:$B$2500=$A44)*(Gastos!$D$2:$D$2500))</f>
        <v>0</v>
      </c>
      <c r="CM44" s="75">
        <f t="array" ref="CM44">SUM((YEAR(Gastos!$A$2:$A$2500)=CM$1)*(MONTH(Gastos!$A$2:$A$2500)=CM$3)*(Gastos!$B$2:$B$2500=$A44)*(Gastos!$D$2:$D$2500))</f>
        <v>0</v>
      </c>
      <c r="CN44" s="75">
        <f t="array" ref="CN44">SUM((YEAR(Gastos!$A$2:$A$2500)=CN$1)*(MONTH(Gastos!$A$2:$A$2500)=CN$3)*(Gastos!$B$2:$B$2500=$A44)*(Gastos!$D$2:$D$2500))</f>
        <v>0</v>
      </c>
      <c r="CO44" s="75">
        <f t="array" ref="CO44">SUM((YEAR(Gastos!$A$2:$A$2500)=CO$1)*(MONTH(Gastos!$A$2:$A$2500)=CO$3)*(Gastos!$B$2:$B$2500=$A44)*(Gastos!$D$2:$D$2500))</f>
        <v>0</v>
      </c>
      <c r="CP44" s="75">
        <f t="array" ref="CP44">SUM((YEAR(Gastos!$A$2:$A$2500)=CP$1)*(MONTH(Gastos!$A$2:$A$2500)=CP$3)*(Gastos!$B$2:$B$2500=$A44)*(Gastos!$D$2:$D$2500))</f>
        <v>0</v>
      </c>
      <c r="CQ44" s="75">
        <f t="array" ref="CQ44">SUM((YEAR(Gastos!$A$2:$A$2500)=CQ$1)*(MONTH(Gastos!$A$2:$A$2500)=CQ$3)*(Gastos!$B$2:$B$2500=$A44)*(Gastos!$D$2:$D$2500))</f>
        <v>0</v>
      </c>
      <c r="CR44" s="75">
        <f t="array" ref="CR44">SUM((YEAR(Gastos!$A$2:$A$2500)=CR$1)*(MONTH(Gastos!$A$2:$A$2500)=CR$3)*(Gastos!$B$2:$B$2500=$A44)*(Gastos!$D$2:$D$2500))</f>
        <v>0</v>
      </c>
      <c r="CS44" s="75">
        <f t="array" ref="CS44">SUM((YEAR(Gastos!$A$2:$A$2500)=CS$1)*(MONTH(Gastos!$A$2:$A$2500)=CS$3)*(Gastos!$B$2:$B$2500=$A44)*(Gastos!$D$2:$D$2500))</f>
        <v>0</v>
      </c>
      <c r="CT44" s="75">
        <f t="array" ref="CT44">SUM((YEAR(Gastos!$A$2:$A$2500)=CT$1)*(MONTH(Gastos!$A$2:$A$2500)=CT$3)*(Gastos!$B$2:$B$2500=$A44)*(Gastos!$D$2:$D$2500))</f>
        <v>0</v>
      </c>
      <c r="CU44" s="75">
        <f t="array" ref="CU44">SUM((YEAR(Gastos!$A$2:$A$2500)=CU$1)*(MONTH(Gastos!$A$2:$A$2500)=CU$3)*(Gastos!$B$2:$B$2500=$A44)*(Gastos!$D$2:$D$2500))</f>
        <v>0</v>
      </c>
      <c r="CV44" s="75">
        <f t="array" ref="CV44">SUM((YEAR(Gastos!$A$2:$A$2500)=CV$1)*(MONTH(Gastos!$A$2:$A$2500)=CV$3)*(Gastos!$B$2:$B$2500=$A44)*(Gastos!$D$2:$D$2500))</f>
        <v>0</v>
      </c>
      <c r="CW44" s="75">
        <f t="array" ref="CW44">SUM((YEAR(Gastos!$A$2:$A$2500)=CW$1)*(MONTH(Gastos!$A$2:$A$2500)=CW$3)*(Gastos!$B$2:$B$2500=$A44)*(Gastos!$D$2:$D$2500))</f>
        <v>0</v>
      </c>
      <c r="CX44" s="75">
        <f t="array" ref="CX44">SUM((YEAR(Gastos!$A$2:$A$2500)=CX$1)*(MONTH(Gastos!$A$2:$A$2500)=CX$3)*(Gastos!$B$2:$B$2500=$A44)*(Gastos!$D$2:$D$2500))</f>
        <v>0</v>
      </c>
      <c r="CY44" s="75">
        <f t="array" ref="CY44">SUM((YEAR(Gastos!$A$2:$A$2500)=CY$1)*(MONTH(Gastos!$A$2:$A$2500)=CY$3)*(Gastos!$B$2:$B$2500=$A44)*(Gastos!$D$2:$D$2500))</f>
        <v>0</v>
      </c>
      <c r="CZ44" s="75">
        <f t="array" ref="CZ44">SUM((YEAR(Gastos!$A$2:$A$2500)=CZ$1)*(MONTH(Gastos!$A$2:$A$2500)=CZ$3)*(Gastos!$B$2:$B$2500=$A44)*(Gastos!$D$2:$D$2500))</f>
        <v>0</v>
      </c>
      <c r="DA44" s="75">
        <f t="array" ref="DA44">SUM((YEAR(Gastos!$A$2:$A$2500)=DA$1)*(MONTH(Gastos!$A$2:$A$2500)=DA$3)*(Gastos!$B$2:$B$2500=$A44)*(Gastos!$D$2:$D$2500))</f>
        <v>0</v>
      </c>
      <c r="DB44" s="75">
        <f t="array" ref="DB44">SUM((YEAR(Gastos!$A$2:$A$2500)=DB$1)*(MONTH(Gastos!$A$2:$A$2500)=DB$3)*(Gastos!$B$2:$B$2500=$A44)*(Gastos!$D$2:$D$2500))</f>
        <v>0</v>
      </c>
      <c r="DC44" s="75">
        <f t="array" ref="DC44">SUM((YEAR(Gastos!$A$2:$A$2500)=DC$1)*(MONTH(Gastos!$A$2:$A$2500)=DC$3)*(Gastos!$B$2:$B$2500=$A44)*(Gastos!$D$2:$D$2500))</f>
        <v>0</v>
      </c>
      <c r="DD44" s="75">
        <f t="array" ref="DD44">SUM((YEAR(Gastos!$A$2:$A$2500)=DD$1)*(MONTH(Gastos!$A$2:$A$2500)=DD$3)*(Gastos!$B$2:$B$2500=$A44)*(Gastos!$D$2:$D$2500))</f>
        <v>0</v>
      </c>
      <c r="DE44" s="75">
        <f t="array" ref="DE44">SUM((YEAR(Gastos!$A$2:$A$2500)=DE$1)*(MONTH(Gastos!$A$2:$A$2500)=DE$3)*(Gastos!$B$2:$B$2500=$A44)*(Gastos!$D$2:$D$2500))</f>
        <v>0</v>
      </c>
      <c r="DF44" s="75">
        <f t="array" ref="DF44">SUM((YEAR(Gastos!$A$2:$A$2500)=DF$1)*(MONTH(Gastos!$A$2:$A$2500)=DF$3)*(Gastos!$B$2:$B$2500=$A44)*(Gastos!$D$2:$D$2500))</f>
        <v>0</v>
      </c>
      <c r="DG44" s="75">
        <f t="array" ref="DG44">SUM((YEAR(Gastos!$A$2:$A$2500)=DG$1)*(MONTH(Gastos!$A$2:$A$2500)=DG$3)*(Gastos!$B$2:$B$2500=$A44)*(Gastos!$D$2:$D$2500))</f>
        <v>0</v>
      </c>
      <c r="DH44" s="75">
        <f t="array" ref="DH44">SUM((YEAR(Gastos!$A$2:$A$2500)=DH$1)*(MONTH(Gastos!$A$2:$A$2500)=DH$3)*(Gastos!$B$2:$B$2500=$A44)*(Gastos!$D$2:$D$2500))</f>
        <v>0</v>
      </c>
      <c r="DI44" s="75">
        <f t="array" ref="DI44">SUM((YEAR(Gastos!$A$2:$A$2500)=DI$1)*(MONTH(Gastos!$A$2:$A$2500)=DI$3)*(Gastos!$B$2:$B$2500=$A44)*(Gastos!$D$2:$D$2500))</f>
        <v>0</v>
      </c>
      <c r="DJ44" s="75">
        <f t="array" ref="DJ44">SUM((YEAR(Gastos!$A$2:$A$2500)=DJ$1)*(MONTH(Gastos!$A$2:$A$2500)=DJ$3)*(Gastos!$B$2:$B$2500=$A44)*(Gastos!$D$2:$D$2500))</f>
        <v>0</v>
      </c>
      <c r="DK44" s="75">
        <f t="array" ref="DK44">SUM((YEAR(Gastos!$A$2:$A$2500)=DK$1)*(MONTH(Gastos!$A$2:$A$2500)=DK$3)*(Gastos!$B$2:$B$2500=$A44)*(Gastos!$D$2:$D$2500))</f>
        <v>0</v>
      </c>
      <c r="DL44" s="75">
        <f t="array" ref="DL44">SUM((YEAR(Gastos!$A$2:$A$2500)=DL$1)*(MONTH(Gastos!$A$2:$A$2500)=DL$3)*(Gastos!$B$2:$B$2500=$A44)*(Gastos!$D$2:$D$2500))</f>
        <v>0</v>
      </c>
      <c r="DM44" s="75">
        <f t="array" ref="DM44">SUM((YEAR(Gastos!$A$2:$A$2500)=DM$1)*(MONTH(Gastos!$A$2:$A$2500)=DM$3)*(Gastos!$B$2:$B$2500=$A44)*(Gastos!$D$2:$D$2500))</f>
        <v>0</v>
      </c>
      <c r="DN44" s="75">
        <f t="array" ref="DN44">SUM((YEAR(Gastos!$A$2:$A$2500)=DN$1)*(MONTH(Gastos!$A$2:$A$2500)=DN$3)*(Gastos!$B$2:$B$2500=$A44)*(Gastos!$D$2:$D$2500))</f>
        <v>0</v>
      </c>
      <c r="DO44" s="75">
        <f t="array" ref="DO44">SUM((YEAR(Gastos!$A$2:$A$2500)=DO$1)*(MONTH(Gastos!$A$2:$A$2500)=DO$3)*(Gastos!$B$2:$B$2500=$A44)*(Gastos!$D$2:$D$2500))</f>
        <v>0</v>
      </c>
      <c r="DP44" s="75">
        <f t="array" ref="DP44">SUM((YEAR(Gastos!$A$2:$A$2500)=DP$1)*(MONTH(Gastos!$A$2:$A$2500)=DP$3)*(Gastos!$B$2:$B$2500=$A44)*(Gastos!$D$2:$D$2500))</f>
        <v>0</v>
      </c>
      <c r="DQ44" s="75">
        <f t="array" ref="DQ44">SUM((YEAR(Gastos!$A$2:$A$2500)=DQ$1)*(MONTH(Gastos!$A$2:$A$2500)=DQ$3)*(Gastos!$B$2:$B$2500=$A44)*(Gastos!$D$2:$D$2500))</f>
        <v>0</v>
      </c>
      <c r="DR44" s="75">
        <f t="array" ref="DR44">SUM((YEAR(Gastos!$A$2:$A$2500)=DR$1)*(MONTH(Gastos!$A$2:$A$2500)=DR$3)*(Gastos!$B$2:$B$2500=$A44)*(Gastos!$D$2:$D$2500))</f>
        <v>0</v>
      </c>
      <c r="DS44" s="75">
        <f t="array" ref="DS44">SUM((YEAR(Gastos!$A$2:$A$2500)=DS$1)*(MONTH(Gastos!$A$2:$A$2500)=DS$3)*(Gastos!$B$2:$B$2500=$A44)*(Gastos!$D$2:$D$2500))</f>
        <v>0</v>
      </c>
      <c r="DT44" s="75">
        <f t="array" ref="DT44">SUM((YEAR(Gastos!$A$2:$A$2500)=DT$1)*(MONTH(Gastos!$A$2:$A$2500)=DT$3)*(Gastos!$B$2:$B$2500=$A44)*(Gastos!$D$2:$D$2500))</f>
        <v>0</v>
      </c>
      <c r="DU44" s="75">
        <f t="array" ref="DU44">SUM((YEAR(Gastos!$A$2:$A$2500)=DU$1)*(MONTH(Gastos!$A$2:$A$2500)=DU$3)*(Gastos!$B$2:$B$2500=$A44)*(Gastos!$D$2:$D$2500))</f>
        <v>0</v>
      </c>
      <c r="DV44" s="75">
        <f t="array" ref="DV44">SUM((YEAR(Gastos!$A$2:$A$2500)=DV$1)*(MONTH(Gastos!$A$2:$A$2500)=DV$3)*(Gastos!$B$2:$B$2500=$A44)*(Gastos!$D$2:$D$2500))</f>
        <v>0</v>
      </c>
      <c r="DW44" s="75">
        <f t="array" ref="DW44">SUM((YEAR(Gastos!$A$2:$A$2500)=DW$1)*(MONTH(Gastos!$A$2:$A$2500)=DW$3)*(Gastos!$B$2:$B$2500=$A44)*(Gastos!$D$2:$D$2500))</f>
        <v>0</v>
      </c>
      <c r="DX44" s="75">
        <f t="array" ref="DX44">SUM((YEAR(Gastos!$A$2:$A$2500)=DX$1)*(MONTH(Gastos!$A$2:$A$2500)=DX$3)*(Gastos!$B$2:$B$2500=$A44)*(Gastos!$D$2:$D$2500))</f>
        <v>0</v>
      </c>
      <c r="DY44" s="75">
        <f t="array" ref="DY44">SUM((YEAR(Gastos!$A$2:$A$2500)=DY$1)*(MONTH(Gastos!$A$2:$A$2500)=DY$3)*(Gastos!$B$2:$B$2500=$A44)*(Gastos!$D$2:$D$2500))</f>
        <v>0</v>
      </c>
      <c r="DZ44" s="75">
        <f t="array" ref="DZ44">SUM((YEAR(Gastos!$A$2:$A$2500)=DZ$1)*(MONTH(Gastos!$A$2:$A$2500)=DZ$3)*(Gastos!$B$2:$B$2500=$A44)*(Gastos!$D$2:$D$2500))</f>
        <v>0</v>
      </c>
      <c r="EA44" s="75">
        <f t="array" ref="EA44">SUM((YEAR(Gastos!$A$2:$A$2500)=EA$1)*(MONTH(Gastos!$A$2:$A$2500)=EA$3)*(Gastos!$B$2:$B$2500=$A44)*(Gastos!$D$2:$D$2500))</f>
        <v>0</v>
      </c>
      <c r="EB44" s="75">
        <f t="array" ref="EB44">SUM((YEAR(Gastos!$A$2:$A$2500)=EB$1)*(MONTH(Gastos!$A$2:$A$2500)=EB$3)*(Gastos!$B$2:$B$2500=$A44)*(Gastos!$D$2:$D$2500))</f>
        <v>0</v>
      </c>
      <c r="EC44" s="75">
        <f t="array" ref="EC44">SUM((YEAR(Gastos!$A$2:$A$2500)=EC$1)*(MONTH(Gastos!$A$2:$A$2500)=EC$3)*(Gastos!$B$2:$B$2500=$A44)*(Gastos!$D$2:$D$2500))</f>
        <v>0</v>
      </c>
      <c r="ED44" s="75">
        <f t="array" ref="ED44">SUM((YEAR(Gastos!$A$2:$A$2500)=ED$1)*(MONTH(Gastos!$A$2:$A$2500)=ED$3)*(Gastos!$B$2:$B$2500=$A44)*(Gastos!$D$2:$D$2500))</f>
        <v>0</v>
      </c>
      <c r="EE44" s="75">
        <f t="array" ref="EE44">SUM((YEAR(Gastos!$A$2:$A$2500)=EE$1)*(MONTH(Gastos!$A$2:$A$2500)=EE$3)*(Gastos!$B$2:$B$2500=$A44)*(Gastos!$D$2:$D$2500))</f>
        <v>0</v>
      </c>
      <c r="EF44" s="75">
        <f t="array" ref="EF44">SUM((YEAR(Gastos!$A$2:$A$2500)=EF$1)*(MONTH(Gastos!$A$2:$A$2500)=EF$3)*(Gastos!$B$2:$B$2500=$A44)*(Gastos!$D$2:$D$2500))</f>
        <v>0</v>
      </c>
      <c r="EG44" s="75">
        <f t="array" ref="EG44">SUM((YEAR(Gastos!$A$2:$A$2500)=EG$1)*(MONTH(Gastos!$A$2:$A$2500)=EG$3)*(Gastos!$B$2:$B$2500=$A44)*(Gastos!$D$2:$D$2500))</f>
        <v>0</v>
      </c>
      <c r="EH44" s="75">
        <f t="array" ref="EH44">SUM((YEAR(Gastos!$A$2:$A$2500)=EH$1)*(MONTH(Gastos!$A$2:$A$2500)=EH$3)*(Gastos!$B$2:$B$2500=$A44)*(Gastos!$D$2:$D$2500))</f>
        <v>0</v>
      </c>
      <c r="EI44" s="75">
        <f t="array" ref="EI44">SUM((YEAR(Gastos!$A$2:$A$2500)=EI$1)*(MONTH(Gastos!$A$2:$A$2500)=EI$3)*(Gastos!$B$2:$B$2500=$A44)*(Gastos!$D$2:$D$2500))</f>
        <v>0</v>
      </c>
      <c r="EJ44" s="75">
        <f t="array" ref="EJ44">SUM((YEAR(Gastos!$A$2:$A$2500)=EJ$1)*(MONTH(Gastos!$A$2:$A$2500)=EJ$3)*(Gastos!$B$2:$B$2500=$A44)*(Gastos!$D$2:$D$2500))</f>
        <v>0</v>
      </c>
      <c r="EK44" s="75">
        <f t="array" ref="EK44">SUM((YEAR(Gastos!$A$2:$A$2500)=EK$1)*(MONTH(Gastos!$A$2:$A$2500)=EK$3)*(Gastos!$B$2:$B$2500=$A44)*(Gastos!$D$2:$D$2500))</f>
        <v>0</v>
      </c>
      <c r="EL44" s="75">
        <f t="array" ref="EL44">SUM((YEAR(Gastos!$A$2:$A$2500)=EL$1)*(MONTH(Gastos!$A$2:$A$2500)=EL$3)*(Gastos!$B$2:$B$2500=$A44)*(Gastos!$D$2:$D$2500))</f>
        <v>0</v>
      </c>
      <c r="EM44" s="75">
        <f t="array" ref="EM44">SUM((YEAR(Gastos!$A$2:$A$2500)=EM$1)*(MONTH(Gastos!$A$2:$A$2500)=EM$3)*(Gastos!$B$2:$B$2500=$A44)*(Gastos!$D$2:$D$2500))</f>
        <v>0</v>
      </c>
      <c r="EN44" s="75">
        <f t="array" ref="EN44">SUM((YEAR(Gastos!$A$2:$A$2500)=EN$1)*(MONTH(Gastos!$A$2:$A$2500)=EN$3)*(Gastos!$B$2:$B$2500=$A44)*(Gastos!$D$2:$D$2500))</f>
        <v>0</v>
      </c>
      <c r="EO44" s="75">
        <f t="array" ref="EO44">SUM((YEAR(Gastos!$A$2:$A$2500)=EO$1)*(MONTH(Gastos!$A$2:$A$2500)=EO$3)*(Gastos!$B$2:$B$2500=$A44)*(Gastos!$D$2:$D$2500))</f>
        <v>0</v>
      </c>
      <c r="EP44" s="75">
        <f t="array" ref="EP44">SUM((YEAR(Gastos!$A$2:$A$2500)=EP$1)*(MONTH(Gastos!$A$2:$A$2500)=EP$3)*(Gastos!$B$2:$B$2500=$A44)*(Gastos!$D$2:$D$2500))</f>
        <v>0</v>
      </c>
      <c r="EQ44" s="75">
        <f t="array" ref="EQ44">SUM((YEAR(Gastos!$A$2:$A$2500)=EQ$1)*(MONTH(Gastos!$A$2:$A$2500)=EQ$3)*(Gastos!$B$2:$B$2500=$A44)*(Gastos!$D$2:$D$2500))</f>
        <v>0</v>
      </c>
      <c r="ER44" s="75">
        <f t="array" ref="ER44">SUM((YEAR(Gastos!$A$2:$A$2500)=ER$1)*(MONTH(Gastos!$A$2:$A$2500)=ER$3)*(Gastos!$B$2:$B$2500=$A44)*(Gastos!$D$2:$D$2500))</f>
        <v>0</v>
      </c>
      <c r="ES44" s="75">
        <f t="array" ref="ES44">SUM((YEAR(Gastos!$A$2:$A$2500)=ES$1)*(MONTH(Gastos!$A$2:$A$2500)=ES$3)*(Gastos!$B$2:$B$2500=$A44)*(Gastos!$D$2:$D$2500))</f>
        <v>0</v>
      </c>
      <c r="ET44" s="75">
        <f t="array" ref="ET44">SUM((YEAR(Gastos!$A$2:$A$2500)=ET$1)*(MONTH(Gastos!$A$2:$A$2500)=ET$3)*(Gastos!$B$2:$B$2500=$A44)*(Gastos!$D$2:$D$2500))</f>
        <v>0</v>
      </c>
      <c r="EU44" s="75">
        <f t="array" ref="EU44">SUM((YEAR(Gastos!$A$2:$A$2500)=EU$1)*(MONTH(Gastos!$A$2:$A$2500)=EU$3)*(Gastos!$B$2:$B$2500=$A44)*(Gastos!$D$2:$D$2500))</f>
        <v>0</v>
      </c>
      <c r="EV44" s="75">
        <f t="array" ref="EV44">SUM((YEAR(Gastos!$A$2:$A$2500)=EV$1)*(MONTH(Gastos!$A$2:$A$2500)=EV$3)*(Gastos!$B$2:$B$2500=$A44)*(Gastos!$D$2:$D$2500))</f>
        <v>0</v>
      </c>
      <c r="EW44" s="75">
        <f t="array" ref="EW44">SUM((YEAR(Gastos!$A$2:$A$2500)=EW$1)*(MONTH(Gastos!$A$2:$A$2500)=EW$3)*(Gastos!$B$2:$B$2500=$A44)*(Gastos!$D$2:$D$2500))</f>
        <v>0</v>
      </c>
      <c r="EX44" s="75">
        <f t="array" ref="EX44">SUM((YEAR(Gastos!$A$2:$A$2500)=EX$1)*(MONTH(Gastos!$A$2:$A$2500)=EX$3)*(Gastos!$B$2:$B$2500=$A44)*(Gastos!$D$2:$D$2500))</f>
        <v>0</v>
      </c>
      <c r="EY44" s="75">
        <f t="array" ref="EY44">SUM((YEAR(Gastos!$A$2:$A$2500)=EY$1)*(MONTH(Gastos!$A$2:$A$2500)=EY$3)*(Gastos!$B$2:$B$2500=$A44)*(Gastos!$D$2:$D$2500))</f>
        <v>0</v>
      </c>
      <c r="EZ44" s="75">
        <f t="array" ref="EZ44">SUM((YEAR(Gastos!$A$2:$A$2500)=EZ$1)*(MONTH(Gastos!$A$2:$A$2500)=EZ$3)*(Gastos!$B$2:$B$2500=$A44)*(Gastos!$D$2:$D$2500))</f>
        <v>0</v>
      </c>
      <c r="FA44" s="75">
        <f t="array" ref="FA44">SUM((YEAR(Gastos!$A$2:$A$2500)=FA$1)*(MONTH(Gastos!$A$2:$A$2500)=FA$3)*(Gastos!$B$2:$B$2500=$A44)*(Gastos!$D$2:$D$2500))</f>
        <v>0</v>
      </c>
      <c r="FB44" s="75">
        <f t="array" ref="FB44">SUM((YEAR(Gastos!$A$2:$A$2500)=FB$1)*(MONTH(Gastos!$A$2:$A$2500)=FB$3)*(Gastos!$B$2:$B$2500=$A44)*(Gastos!$D$2:$D$2500))</f>
        <v>0</v>
      </c>
      <c r="FC44" s="75">
        <f t="array" ref="FC44">SUM((YEAR(Gastos!$A$2:$A$2500)=FC$1)*(MONTH(Gastos!$A$2:$A$2500)=FC$3)*(Gastos!$B$2:$B$2500=$A44)*(Gastos!$D$2:$D$2500))</f>
        <v>0</v>
      </c>
      <c r="FD44" s="75">
        <f t="array" ref="FD44">SUM((YEAR(Gastos!$A$2:$A$2500)=FD$1)*(MONTH(Gastos!$A$2:$A$2500)=FD$3)*(Gastos!$B$2:$B$2500=$A44)*(Gastos!$D$2:$D$2500))</f>
        <v>0</v>
      </c>
      <c r="FE44" s="75">
        <f t="array" ref="FE44">SUM((YEAR(Gastos!$A$2:$A$2500)=FE$1)*(MONTH(Gastos!$A$2:$A$2500)=FE$3)*(Gastos!$B$2:$B$2500=$A44)*(Gastos!$D$2:$D$2500))</f>
        <v>0</v>
      </c>
      <c r="FF44" s="75">
        <f t="array" ref="FF44">SUM((YEAR(Gastos!$A$2:$A$2500)=FF$1)*(MONTH(Gastos!$A$2:$A$2500)=FF$3)*(Gastos!$B$2:$B$2500=$A44)*(Gastos!$D$2:$D$2500))</f>
        <v>0</v>
      </c>
      <c r="FG44" s="75">
        <f t="array" ref="FG44">SUM((YEAR(Gastos!$A$2:$A$2500)=FG$1)*(MONTH(Gastos!$A$2:$A$2500)=FG$3)*(Gastos!$B$2:$B$2500=$A44)*(Gastos!$D$2:$D$2500))</f>
        <v>0</v>
      </c>
      <c r="FH44" s="75">
        <f t="array" ref="FH44">SUM((YEAR(Gastos!$A$2:$A$2500)=FH$1)*(MONTH(Gastos!$A$2:$A$2500)=FH$3)*(Gastos!$B$2:$B$2500=$A44)*(Gastos!$D$2:$D$2500))</f>
        <v>0</v>
      </c>
      <c r="FI44" s="75">
        <f t="array" ref="FI44">SUM((YEAR(Gastos!$A$2:$A$2500)=FI$1)*(MONTH(Gastos!$A$2:$A$2500)=FI$3)*(Gastos!$B$2:$B$2500=$A44)*(Gastos!$D$2:$D$2500))</f>
        <v>0</v>
      </c>
      <c r="FJ44" s="75">
        <f t="array" ref="FJ44">SUM((YEAR(Gastos!$A$2:$A$2500)=FJ$1)*(MONTH(Gastos!$A$2:$A$2500)=FJ$3)*(Gastos!$B$2:$B$2500=$A44)*(Gastos!$D$2:$D$2500))</f>
        <v>0</v>
      </c>
      <c r="FK44" s="75">
        <f t="array" ref="FK44">SUM((YEAR(Gastos!$A$2:$A$2500)=FK$1)*(MONTH(Gastos!$A$2:$A$2500)=FK$3)*(Gastos!$B$2:$B$2500=$A44)*(Gastos!$D$2:$D$2500))</f>
        <v>0</v>
      </c>
      <c r="FL44" s="75">
        <f t="array" ref="FL44">SUM((YEAR(Gastos!$A$2:$A$2500)=FL$1)*(MONTH(Gastos!$A$2:$A$2500)=FL$3)*(Gastos!$B$2:$B$2500=$A44)*(Gastos!$D$2:$D$2500))</f>
        <v>0</v>
      </c>
      <c r="FM44" s="75">
        <f t="array" ref="FM44">SUM((YEAR(Gastos!$A$2:$A$2500)=FM$1)*(MONTH(Gastos!$A$2:$A$2500)=FM$3)*(Gastos!$B$2:$B$2500=$A44)*(Gastos!$D$2:$D$2500))</f>
        <v>0</v>
      </c>
      <c r="FN44" s="75">
        <f t="array" ref="FN44">SUM((YEAR(Gastos!$A$2:$A$2500)=FN$1)*(MONTH(Gastos!$A$2:$A$2500)=FN$3)*(Gastos!$B$2:$B$2500=$A44)*(Gastos!$D$2:$D$2500))</f>
        <v>0</v>
      </c>
      <c r="FO44" s="75">
        <f t="array" ref="FO44">SUM((YEAR(Gastos!$A$2:$A$2500)=FO$1)*(MONTH(Gastos!$A$2:$A$2500)=FO$3)*(Gastos!$B$2:$B$2500=$A44)*(Gastos!$D$2:$D$2500))</f>
        <v>0</v>
      </c>
      <c r="FP44" s="75">
        <f t="array" ref="FP44">SUM((YEAR(Gastos!$A$2:$A$2500)=FP$1)*(MONTH(Gastos!$A$2:$A$2500)=FP$3)*(Gastos!$B$2:$B$2500=$A44)*(Gastos!$D$2:$D$2500))</f>
        <v>0</v>
      </c>
      <c r="FQ44" s="75">
        <f t="array" ref="FQ44">SUM((YEAR(Gastos!$A$2:$A$2500)=FQ$1)*(MONTH(Gastos!$A$2:$A$2500)=FQ$3)*(Gastos!$B$2:$B$2500=$A44)*(Gastos!$D$2:$D$2500))</f>
        <v>0</v>
      </c>
      <c r="FR44" s="75">
        <f t="array" ref="FR44">SUM((YEAR(Gastos!$A$2:$A$2500)=FR$1)*(MONTH(Gastos!$A$2:$A$2500)=FR$3)*(Gastos!$B$2:$B$2500=$A44)*(Gastos!$D$2:$D$2500))</f>
        <v>0</v>
      </c>
      <c r="FS44" s="75">
        <f t="array" ref="FS44">SUM((YEAR(Gastos!$A$2:$A$2500)=FS$1)*(MONTH(Gastos!$A$2:$A$2500)=FS$3)*(Gastos!$B$2:$B$2500=$A44)*(Gastos!$D$2:$D$2500))</f>
        <v>0</v>
      </c>
      <c r="FT44" s="75">
        <f t="array" ref="FT44">SUM((YEAR(Gastos!$A$2:$A$2500)=FT$1)*(MONTH(Gastos!$A$2:$A$2500)=FT$3)*(Gastos!$B$2:$B$2500=$A44)*(Gastos!$D$2:$D$2500))</f>
        <v>0</v>
      </c>
      <c r="FU44" s="75">
        <f t="array" ref="FU44">SUM((YEAR(Gastos!$A$2:$A$2500)=FU$1)*(MONTH(Gastos!$A$2:$A$2500)=FU$3)*(Gastos!$B$2:$B$2500=$A44)*(Gastos!$D$2:$D$2500))</f>
        <v>0</v>
      </c>
      <c r="FV44" s="75">
        <f t="array" ref="FV44">SUM((YEAR(Gastos!$A$2:$A$2500)=FV$1)*(MONTH(Gastos!$A$2:$A$2500)=FV$3)*(Gastos!$B$2:$B$2500=$A44)*(Gastos!$D$2:$D$2500))</f>
        <v>0</v>
      </c>
      <c r="FW44" s="75">
        <f t="array" ref="FW44">SUM((YEAR(Gastos!$A$2:$A$2500)=FW$1)*(MONTH(Gastos!$A$2:$A$2500)=FW$3)*(Gastos!$B$2:$B$2500=$A44)*(Gastos!$D$2:$D$2500))</f>
        <v>0</v>
      </c>
      <c r="FX44" s="75">
        <f t="array" ref="FX44">SUM((YEAR(Gastos!$A$2:$A$2500)=FX$1)*(MONTH(Gastos!$A$2:$A$2500)=FX$3)*(Gastos!$B$2:$B$2500=$A44)*(Gastos!$D$2:$D$2500))</f>
        <v>0</v>
      </c>
      <c r="FY44" s="75">
        <f t="array" ref="FY44">SUM((YEAR(Gastos!$A$2:$A$2500)=FY$1)*(MONTH(Gastos!$A$2:$A$2500)=FY$3)*(Gastos!$B$2:$B$2500=$A44)*(Gastos!$D$2:$D$2500))</f>
        <v>0</v>
      </c>
      <c r="FZ44" s="76">
        <f t="shared" si="65"/>
        <v>2803.3</v>
      </c>
      <c r="GA44" s="80"/>
      <c r="GB44" s="78">
        <f t="shared" si="66"/>
        <v>2803.3</v>
      </c>
      <c r="GF44" s="79">
        <f t="array" ref="GF44">SUM(((Gastos!$A$2:$A$1647)&gt;=GD$3)*((Gastos!$A$2:$A$1647)&lt;=GF$3)*(Gastos!$B$2:$B$1647=$A44)*(Gastos!$D$2:$D$1647))</f>
        <v>2803.3</v>
      </c>
      <c r="GI44" s="79">
        <f t="array" ref="GI44">SUM(((Gastos!$A$2:$A$1647)&gt;=GG$3)*((Gastos!$A$2:$A$1647)&lt;=GI$3)*(Gastos!$B$2:$B$1647=$A44)*(Gastos!$D$2:$D$1647))</f>
        <v>0</v>
      </c>
    </row>
    <row r="45" spans="1:191" ht="15" thickBot="1" x14ac:dyDescent="0.4">
      <c r="A45" s="74" t="str">
        <f>Gastos!AA43</f>
        <v>V. PENALIZACIÓN ESTADO PROMEDIO SALDO INFERIOR</v>
      </c>
      <c r="B45" s="75">
        <f t="array" ref="B45">SUM((YEAR(Gastos!$A$2:$A$2500)=B$1)*(MONTH(Gastos!$A$2:$A$2500)=B$3)*(Gastos!$B$2:$B$2500=$A45)*(Gastos!$D$2:$D$2500))</f>
        <v>0</v>
      </c>
      <c r="C45" s="75">
        <f t="array" ref="C45">SUM((YEAR(Gastos!$A$2:$A$2500)=C$1)*(MONTH(Gastos!$A$2:$A$2500)=C$3)*(Gastos!$B$2:$B$2500=$A45)*(Gastos!$D$2:$D$2500))</f>
        <v>0</v>
      </c>
      <c r="D45" s="75">
        <f t="array" ref="D45">SUM((YEAR(Gastos!$A$2:$A$2500)=D$1)*(MONTH(Gastos!$A$2:$A$2500)=D$3)*(Gastos!$B$2:$B$2500=$A45)*(Gastos!$D$2:$D$2500))</f>
        <v>0</v>
      </c>
      <c r="E45" s="75">
        <f t="array" ref="E45">SUM((YEAR(Gastos!$A$2:$A$2500)=E$1)*(MONTH(Gastos!$A$2:$A$2500)=E$3)*(Gastos!$B$2:$B$2500=$A45)*(Gastos!$D$2:$D$2500))</f>
        <v>0</v>
      </c>
      <c r="F45" s="75">
        <f t="array" ref="F45">SUM((YEAR(Gastos!$A$2:$A$2500)=F$1)*(MONTH(Gastos!$A$2:$A$2500)=F$3)*(Gastos!$B$2:$B$2500=$A45)*(Gastos!$D$2:$D$2500))</f>
        <v>0</v>
      </c>
      <c r="G45" s="75">
        <f t="array" ref="G45">SUM((YEAR(Gastos!$A$2:$A$2500)=G$1)*(MONTH(Gastos!$A$2:$A$2500)=G$3)*(Gastos!$B$2:$B$2500=$A45)*(Gastos!$D$2:$D$2500))</f>
        <v>0</v>
      </c>
      <c r="H45" s="75">
        <f t="array" ref="H45">SUM((YEAR(Gastos!$A$2:$A$2500)=H$1)*(MONTH(Gastos!$A$2:$A$2500)=H$3)*(Gastos!$B$2:$B$2500=$A45)*(Gastos!$D$2:$D$2500))</f>
        <v>0</v>
      </c>
      <c r="I45" s="75">
        <f t="array" ref="I45">SUM((YEAR(Gastos!$A$2:$A$2500)=I$1)*(MONTH(Gastos!$A$2:$A$2500)=I$3)*(Gastos!$B$2:$B$2500=$A45)*(Gastos!$D$2:$D$2500))</f>
        <v>0</v>
      </c>
      <c r="J45" s="75">
        <f t="array" ref="J45">SUM((YEAR(Gastos!$A$2:$A$2500)=J$1)*(MONTH(Gastos!$A$2:$A$2500)=J$3)*(Gastos!$B$2:$B$2500=$A45)*(Gastos!$D$2:$D$2500))</f>
        <v>0</v>
      </c>
      <c r="K45" s="75">
        <f t="array" ref="K45">SUM((YEAR(Gastos!$A$2:$A$2500)=K$1)*(MONTH(Gastos!$A$2:$A$2500)=K$3)*(Gastos!$B$2:$B$2500=$A45)*(Gastos!$D$2:$D$2500))</f>
        <v>0</v>
      </c>
      <c r="L45" s="75">
        <f t="array" ref="L45">SUM((YEAR(Gastos!$A$2:$A$2500)=L$1)*(MONTH(Gastos!$A$2:$A$2500)=L$3)*(Gastos!$B$2:$B$2500=$A45)*(Gastos!$D$2:$D$2500))</f>
        <v>0</v>
      </c>
      <c r="M45" s="75">
        <f t="array" ref="M45">SUM((YEAR(Gastos!$A$2:$A$2500)=M$1)*(MONTH(Gastos!$A$2:$A$2500)=M$3)*(Gastos!$B$2:$B$2500=$A45)*(Gastos!$D$2:$D$2500))</f>
        <v>0</v>
      </c>
      <c r="N45" s="75">
        <f t="array" ref="N45">SUM((YEAR(Gastos!$A$2:$A$2500)=N$1)*(MONTH(Gastos!$A$2:$A$2500)=N$3)*(Gastos!$B$2:$B$2500=$A45)*(Gastos!$D$2:$D$2500))</f>
        <v>0</v>
      </c>
      <c r="O45" s="75">
        <f t="array" ref="O45">SUM((YEAR(Gastos!$A$2:$A$2500)=O$1)*(MONTH(Gastos!$A$2:$A$2500)=O$3)*(Gastos!$B$2:$B$2500=$A45)*(Gastos!$D$2:$D$2500))</f>
        <v>0</v>
      </c>
      <c r="P45" s="75">
        <f t="array" ref="P45">SUM((YEAR(Gastos!$A$2:$A$2500)=P$1)*(MONTH(Gastos!$A$2:$A$2500)=P$3)*(Gastos!$B$2:$B$2500=$A45)*(Gastos!$D$2:$D$2500))</f>
        <v>0</v>
      </c>
      <c r="Q45" s="75">
        <f t="array" ref="Q45">SUM((YEAR(Gastos!$A$2:$A$2500)=Q$1)*(MONTH(Gastos!$A$2:$A$2500)=Q$3)*(Gastos!$B$2:$B$2500=$A45)*(Gastos!$D$2:$D$2500))</f>
        <v>0</v>
      </c>
      <c r="R45" s="75">
        <f t="array" ref="R45">SUM((YEAR(Gastos!$A$2:$A$2500)=R$1)*(MONTH(Gastos!$A$2:$A$2500)=R$3)*(Gastos!$B$2:$B$2500=$A45)*(Gastos!$D$2:$D$2500))</f>
        <v>0</v>
      </c>
      <c r="S45" s="75">
        <f t="array" ref="S45">SUM((YEAR(Gastos!$A$2:$A$2500)=S$1)*(MONTH(Gastos!$A$2:$A$2500)=S$3)*(Gastos!$B$2:$B$2500=$A45)*(Gastos!$D$2:$D$2500))</f>
        <v>0</v>
      </c>
      <c r="T45" s="75">
        <f t="array" ref="T45">SUM((YEAR(Gastos!$A$2:$A$2500)=T$1)*(MONTH(Gastos!$A$2:$A$2500)=T$3)*(Gastos!$B$2:$B$2500=$A45)*(Gastos!$D$2:$D$2500))</f>
        <v>0</v>
      </c>
      <c r="U45" s="75">
        <f t="array" ref="U45">SUM((YEAR(Gastos!$A$2:$A$2500)=U$1)*(MONTH(Gastos!$A$2:$A$2500)=U$3)*(Gastos!$B$2:$B$2500=$A45)*(Gastos!$D$2:$D$2500))</f>
        <v>0</v>
      </c>
      <c r="V45" s="75">
        <f t="array" ref="V45">SUM((YEAR(Gastos!$A$2:$A$2500)=V$1)*(MONTH(Gastos!$A$2:$A$2500)=V$3)*(Gastos!$B$2:$B$2500=$A45)*(Gastos!$D$2:$D$2500))</f>
        <v>0</v>
      </c>
      <c r="W45" s="75">
        <f t="array" ref="W45">SUM((YEAR(Gastos!$A$2:$A$2500)=W$1)*(MONTH(Gastos!$A$2:$A$2500)=W$3)*(Gastos!$B$2:$B$2500=$A45)*(Gastos!$D$2:$D$2500))</f>
        <v>0</v>
      </c>
      <c r="X45" s="75">
        <f t="array" ref="X45">SUM((YEAR(Gastos!$A$2:$A$2500)=X$1)*(MONTH(Gastos!$A$2:$A$2500)=X$3)*(Gastos!$B$2:$B$2500=$A45)*(Gastos!$D$2:$D$2500))</f>
        <v>0</v>
      </c>
      <c r="Y45" s="75">
        <f t="array" ref="Y45">SUM((YEAR(Gastos!$A$2:$A$2500)=Y$1)*(MONTH(Gastos!$A$2:$A$2500)=Y$3)*(Gastos!$B$2:$B$2500=$A45)*(Gastos!$D$2:$D$2500))</f>
        <v>0</v>
      </c>
      <c r="Z45" s="75">
        <f t="array" ref="Z45">SUM((YEAR(Gastos!$A$2:$A$2500)=Z$1)*(MONTH(Gastos!$A$2:$A$2500)=Z$3)*(Gastos!$B$2:$B$2500=$A45)*(Gastos!$D$2:$D$2500))</f>
        <v>0</v>
      </c>
      <c r="AA45" s="75">
        <f t="array" ref="AA45">SUM((YEAR(Gastos!$A$2:$A$2500)=AA$1)*(MONTH(Gastos!$A$2:$A$2500)=AA$3)*(Gastos!$B$2:$B$2500=$A45)*(Gastos!$D$2:$D$2500))</f>
        <v>0</v>
      </c>
      <c r="AB45" s="75">
        <f t="array" ref="AB45">SUM((YEAR(Gastos!$A$2:$A$2500)=AB$1)*(MONTH(Gastos!$A$2:$A$2500)=AB$3)*(Gastos!$B$2:$B$2500=$A45)*(Gastos!$D$2:$D$2500))</f>
        <v>0</v>
      </c>
      <c r="AC45" s="75">
        <f t="array" ref="AC45">SUM((YEAR(Gastos!$A$2:$A$2500)=AC$1)*(MONTH(Gastos!$A$2:$A$2500)=AC$3)*(Gastos!$B$2:$B$2500=$A45)*(Gastos!$D$2:$D$2500))</f>
        <v>0</v>
      </c>
      <c r="AD45" s="75">
        <f t="array" ref="AD45">SUM((YEAR(Gastos!$A$2:$A$2500)=AD$1)*(MONTH(Gastos!$A$2:$A$2500)=AD$3)*(Gastos!$B$2:$B$2500=$A45)*(Gastos!$D$2:$D$2500))</f>
        <v>0</v>
      </c>
      <c r="AE45" s="75">
        <f t="array" ref="AE45">SUM((YEAR(Gastos!$A$2:$A$2500)=AE$1)*(MONTH(Gastos!$A$2:$A$2500)=AE$3)*(Gastos!$B$2:$B$2500=$A45)*(Gastos!$D$2:$D$2500))</f>
        <v>0</v>
      </c>
      <c r="AF45" s="75">
        <f t="array" ref="AF45">SUM((YEAR(Gastos!$A$2:$A$2500)=AF$1)*(MONTH(Gastos!$A$2:$A$2500)=AF$3)*(Gastos!$B$2:$B$2500=$A45)*(Gastos!$D$2:$D$2500))</f>
        <v>0</v>
      </c>
      <c r="AG45" s="75">
        <f t="array" ref="AG45">SUM((YEAR(Gastos!$A$2:$A$2500)=AG$1)*(MONTH(Gastos!$A$2:$A$2500)=AG$3)*(Gastos!$B$2:$B$2500=$A45)*(Gastos!$D$2:$D$2500))</f>
        <v>0</v>
      </c>
      <c r="AH45" s="75">
        <f t="array" ref="AH45">SUM((YEAR(Gastos!$A$2:$A$2500)=AH$1)*(MONTH(Gastos!$A$2:$A$2500)=AH$3)*(Gastos!$B$2:$B$2500=$A45)*(Gastos!$D$2:$D$2500))</f>
        <v>0</v>
      </c>
      <c r="AI45" s="75">
        <f t="array" ref="AI45">SUM((YEAR(Gastos!$A$2:$A$2500)=AI$1)*(MONTH(Gastos!$A$2:$A$2500)=AI$3)*(Gastos!$B$2:$B$2500=$A45)*(Gastos!$D$2:$D$2500))</f>
        <v>0</v>
      </c>
      <c r="AJ45" s="75">
        <f t="array" ref="AJ45">SUM((YEAR(Gastos!$A$2:$A$2500)=AJ$1)*(MONTH(Gastos!$A$2:$A$2500)=AJ$3)*(Gastos!$B$2:$B$2500=$A45)*(Gastos!$D$2:$D$2500))</f>
        <v>0</v>
      </c>
      <c r="AK45" s="75">
        <f t="array" ref="AK45">SUM((YEAR(Gastos!$A$2:$A$2500)=AK$1)*(MONTH(Gastos!$A$2:$A$2500)=AK$3)*(Gastos!$B$2:$B$2500=$A45)*(Gastos!$D$2:$D$2500))</f>
        <v>0</v>
      </c>
      <c r="AL45" s="75">
        <f t="array" ref="AL45">SUM((YEAR(Gastos!$A$2:$A$2500)=AL$1)*(MONTH(Gastos!$A$2:$A$2500)=AL$3)*(Gastos!$B$2:$B$2500=$A45)*(Gastos!$D$2:$D$2500))</f>
        <v>0</v>
      </c>
      <c r="AM45" s="75">
        <f t="array" ref="AM45">SUM((YEAR(Gastos!$A$2:$A$2500)=AM$1)*(MONTH(Gastos!$A$2:$A$2500)=AM$3)*(Gastos!$B$2:$B$2500=$A45)*(Gastos!$D$2:$D$2500))</f>
        <v>0</v>
      </c>
      <c r="AN45" s="75">
        <f t="array" ref="AN45">SUM((YEAR(Gastos!$A$2:$A$2500)=AN$1)*(MONTH(Gastos!$A$2:$A$2500)=AN$3)*(Gastos!$B$2:$B$2500=$A45)*(Gastos!$D$2:$D$2500))</f>
        <v>0</v>
      </c>
      <c r="AO45" s="75">
        <f t="array" ref="AO45">SUM((YEAR(Gastos!$A$2:$A$2500)=AO$1)*(MONTH(Gastos!$A$2:$A$2500)=AO$3)*(Gastos!$B$2:$B$2500=$A45)*(Gastos!$D$2:$D$2500))</f>
        <v>0</v>
      </c>
      <c r="AP45" s="75">
        <f t="array" ref="AP45">SUM((YEAR(Gastos!$A$2:$A$2500)=AP$1)*(MONTH(Gastos!$A$2:$A$2500)=AP$3)*(Gastos!$B$2:$B$2500=$A45)*(Gastos!$D$2:$D$2500))</f>
        <v>0</v>
      </c>
      <c r="AQ45" s="75">
        <f t="array" ref="AQ45">SUM((YEAR(Gastos!$A$2:$A$2500)=AQ$1)*(MONTH(Gastos!$A$2:$A$2500)=AQ$3)*(Gastos!$B$2:$B$2500=$A45)*(Gastos!$D$2:$D$2500))</f>
        <v>0</v>
      </c>
      <c r="AR45" s="75">
        <f t="array" ref="AR45">SUM((YEAR(Gastos!$A$2:$A$2500)=AR$1)*(MONTH(Gastos!$A$2:$A$2500)=AR$3)*(Gastos!$B$2:$B$2500=$A45)*(Gastos!$D$2:$D$2500))</f>
        <v>0</v>
      </c>
      <c r="AS45" s="75">
        <f t="array" ref="AS45">SUM((YEAR(Gastos!$A$2:$A$2500)=AS$1)*(MONTH(Gastos!$A$2:$A$2500)=AS$3)*(Gastos!$B$2:$B$2500=$A45)*(Gastos!$D$2:$D$2500))</f>
        <v>0</v>
      </c>
      <c r="AT45" s="75">
        <f t="array" ref="AT45">SUM((YEAR(Gastos!$A$2:$A$2500)=AT$1)*(MONTH(Gastos!$A$2:$A$2500)=AT$3)*(Gastos!$B$2:$B$2500=$A45)*(Gastos!$D$2:$D$2500))</f>
        <v>0</v>
      </c>
      <c r="AU45" s="75">
        <f t="array" ref="AU45">SUM((YEAR(Gastos!$A$2:$A$2500)=AU$1)*(MONTH(Gastos!$A$2:$A$2500)=AU$3)*(Gastos!$B$2:$B$2500=$A45)*(Gastos!$D$2:$D$2500))</f>
        <v>0</v>
      </c>
      <c r="AV45" s="75">
        <f t="array" ref="AV45">SUM((YEAR(Gastos!$A$2:$A$2500)=AV$1)*(MONTH(Gastos!$A$2:$A$2500)=AV$3)*(Gastos!$B$2:$B$2500=$A45)*(Gastos!$D$2:$D$2500))</f>
        <v>0</v>
      </c>
      <c r="AW45" s="75">
        <f t="array" ref="AW45">SUM((YEAR(Gastos!$A$2:$A$2500)=AW$1)*(MONTH(Gastos!$A$2:$A$2500)=AW$3)*(Gastos!$B$2:$B$2500=$A45)*(Gastos!$D$2:$D$2500))</f>
        <v>0</v>
      </c>
      <c r="AX45" s="75">
        <f t="array" ref="AX45">SUM((YEAR(Gastos!$A$2:$A$2500)=AX$1)*(MONTH(Gastos!$A$2:$A$2500)=AX$3)*(Gastos!$B$2:$B$2500=$A45)*(Gastos!$D$2:$D$2500))</f>
        <v>0</v>
      </c>
      <c r="AY45" s="75">
        <f t="array" ref="AY45">SUM((YEAR(Gastos!$A$2:$A$2500)=AY$1)*(MONTH(Gastos!$A$2:$A$2500)=AY$3)*(Gastos!$B$2:$B$2500=$A45)*(Gastos!$D$2:$D$2500))</f>
        <v>0</v>
      </c>
      <c r="AZ45" s="75">
        <f t="array" ref="AZ45">SUM((YEAR(Gastos!$A$2:$A$2500)=AZ$1)*(MONTH(Gastos!$A$2:$A$2500)=AZ$3)*(Gastos!$B$2:$B$2500=$A45)*(Gastos!$D$2:$D$2500))</f>
        <v>0</v>
      </c>
      <c r="BA45" s="75">
        <f t="array" ref="BA45">SUM((YEAR(Gastos!$A$2:$A$2500)=BA$1)*(MONTH(Gastos!$A$2:$A$2500)=BA$3)*(Gastos!$B$2:$B$2500=$A45)*(Gastos!$D$2:$D$2500))</f>
        <v>0</v>
      </c>
      <c r="BB45" s="75">
        <f t="array" ref="BB45">SUM((YEAR(Gastos!$A$2:$A$2500)=BB$1)*(MONTH(Gastos!$A$2:$A$2500)=BB$3)*(Gastos!$B$2:$B$2500=$A45)*(Gastos!$D$2:$D$2500))</f>
        <v>0</v>
      </c>
      <c r="BC45" s="75">
        <f t="array" ref="BC45">SUM((YEAR(Gastos!$A$2:$A$2500)=BC$1)*(MONTH(Gastos!$A$2:$A$2500)=BC$3)*(Gastos!$B$2:$B$2500=$A45)*(Gastos!$D$2:$D$2500))</f>
        <v>0</v>
      </c>
      <c r="BD45" s="75">
        <f t="array" ref="BD45">SUM((YEAR(Gastos!$A$2:$A$2500)=BD$1)*(MONTH(Gastos!$A$2:$A$2500)=BD$3)*(Gastos!$B$2:$B$2500=$A45)*(Gastos!$D$2:$D$2500))</f>
        <v>0</v>
      </c>
      <c r="BE45" s="75">
        <f t="array" ref="BE45">SUM((YEAR(Gastos!$A$2:$A$2500)=BE$1)*(MONTH(Gastos!$A$2:$A$2500)=BE$3)*(Gastos!$B$2:$B$2500=$A45)*(Gastos!$D$2:$D$2500))</f>
        <v>0</v>
      </c>
      <c r="BF45" s="75">
        <f t="array" ref="BF45">SUM((YEAR(Gastos!$A$2:$A$2500)=BF$1)*(MONTH(Gastos!$A$2:$A$2500)=BF$3)*(Gastos!$B$2:$B$2500=$A45)*(Gastos!$D$2:$D$2500))</f>
        <v>0</v>
      </c>
      <c r="BG45" s="75">
        <f t="array" ref="BG45">SUM((YEAR(Gastos!$A$2:$A$2500)=BG$1)*(MONTH(Gastos!$A$2:$A$2500)=BG$3)*(Gastos!$B$2:$B$2500=$A45)*(Gastos!$D$2:$D$2500))</f>
        <v>0</v>
      </c>
      <c r="BH45" s="75">
        <f t="array" ref="BH45">SUM((YEAR(Gastos!$A$2:$A$2500)=BH$1)*(MONTH(Gastos!$A$2:$A$2500)=BH$3)*(Gastos!$B$2:$B$2500=$A45)*(Gastos!$D$2:$D$2500))</f>
        <v>0</v>
      </c>
      <c r="BI45" s="75">
        <f t="array" ref="BI45">SUM((YEAR(Gastos!$A$2:$A$2500)=BI$1)*(MONTH(Gastos!$A$2:$A$2500)=BI$3)*(Gastos!$B$2:$B$2500=$A45)*(Gastos!$D$2:$D$2500))</f>
        <v>0</v>
      </c>
      <c r="BJ45" s="75">
        <f t="array" ref="BJ45">SUM((YEAR(Gastos!$A$2:$A$2500)=BJ$1)*(MONTH(Gastos!$A$2:$A$2500)=BJ$3)*(Gastos!$B$2:$B$2500=$A45)*(Gastos!$D$2:$D$2500))</f>
        <v>0</v>
      </c>
      <c r="BK45" s="75">
        <f t="array" ref="BK45">SUM((YEAR(Gastos!$A$2:$A$2500)=BK$1)*(MONTH(Gastos!$A$2:$A$2500)=BK$3)*(Gastos!$B$2:$B$2500=$A45)*(Gastos!$D$2:$D$2500))</f>
        <v>0</v>
      </c>
      <c r="BL45" s="75">
        <f t="array" ref="BL45">SUM((YEAR(Gastos!$A$2:$A$2500)=BL$1)*(MONTH(Gastos!$A$2:$A$2500)=BL$3)*(Gastos!$B$2:$B$2500=$A45)*(Gastos!$D$2:$D$2500))</f>
        <v>0</v>
      </c>
      <c r="BM45" s="75">
        <f t="array" ref="BM45">SUM((YEAR(Gastos!$A$2:$A$2500)=BM$1)*(MONTH(Gastos!$A$2:$A$2500)=BM$3)*(Gastos!$B$2:$B$2500=$A45)*(Gastos!$D$2:$D$2500))</f>
        <v>0</v>
      </c>
      <c r="BN45" s="75">
        <f t="array" ref="BN45">SUM((YEAR(Gastos!$A$2:$A$2500)=BN$1)*(MONTH(Gastos!$A$2:$A$2500)=BN$3)*(Gastos!$B$2:$B$2500=$A45)*(Gastos!$D$2:$D$2500))</f>
        <v>0</v>
      </c>
      <c r="BO45" s="75">
        <f t="array" ref="BO45">SUM((YEAR(Gastos!$A$2:$A$2500)=BO$1)*(MONTH(Gastos!$A$2:$A$2500)=BO$3)*(Gastos!$B$2:$B$2500=$A45)*(Gastos!$D$2:$D$2500))</f>
        <v>0</v>
      </c>
      <c r="BP45" s="75">
        <f t="array" ref="BP45">SUM((YEAR(Gastos!$A$2:$A$2500)=BP$1)*(MONTH(Gastos!$A$2:$A$2500)=BP$3)*(Gastos!$B$2:$B$2500=$A45)*(Gastos!$D$2:$D$2500))</f>
        <v>0</v>
      </c>
      <c r="BQ45" s="75">
        <f t="array" ref="BQ45">SUM((YEAR(Gastos!$A$2:$A$2500)=BQ$1)*(MONTH(Gastos!$A$2:$A$2500)=BQ$3)*(Gastos!$B$2:$B$2500=$A45)*(Gastos!$D$2:$D$2500))</f>
        <v>0</v>
      </c>
      <c r="BR45" s="75">
        <f t="array" ref="BR45">SUM((YEAR(Gastos!$A$2:$A$2500)=BR$1)*(MONTH(Gastos!$A$2:$A$2500)=BR$3)*(Gastos!$B$2:$B$2500=$A45)*(Gastos!$D$2:$D$2500))</f>
        <v>0</v>
      </c>
      <c r="BS45" s="75">
        <f t="array" ref="BS45">SUM((YEAR(Gastos!$A$2:$A$2500)=BS$1)*(MONTH(Gastos!$A$2:$A$2500)=BS$3)*(Gastos!$B$2:$B$2500=$A45)*(Gastos!$D$2:$D$2500))</f>
        <v>0</v>
      </c>
      <c r="BT45" s="75">
        <f t="array" ref="BT45">SUM((YEAR(Gastos!$A$2:$A$2500)=BT$1)*(MONTH(Gastos!$A$2:$A$2500)=BT$3)*(Gastos!$B$2:$B$2500=$A45)*(Gastos!$D$2:$D$2500))</f>
        <v>0</v>
      </c>
      <c r="BU45" s="75">
        <f t="array" ref="BU45">SUM((YEAR(Gastos!$A$2:$A$2500)=BU$1)*(MONTH(Gastos!$A$2:$A$2500)=BU$3)*(Gastos!$B$2:$B$2500=$A45)*(Gastos!$D$2:$D$2500))</f>
        <v>0</v>
      </c>
      <c r="BV45" s="75">
        <f t="array" ref="BV45">SUM((YEAR(Gastos!$A$2:$A$2500)=BV$1)*(MONTH(Gastos!$A$2:$A$2500)=BV$3)*(Gastos!$B$2:$B$2500=$A45)*(Gastos!$D$2:$D$2500))</f>
        <v>0</v>
      </c>
      <c r="BW45" s="75">
        <f t="array" ref="BW45">SUM((YEAR(Gastos!$A$2:$A$2500)=BW$1)*(MONTH(Gastos!$A$2:$A$2500)=BW$3)*(Gastos!$B$2:$B$2500=$A45)*(Gastos!$D$2:$D$2500))</f>
        <v>0</v>
      </c>
      <c r="BX45" s="75">
        <f t="array" ref="BX45">SUM((YEAR(Gastos!$A$2:$A$2500)=BX$1)*(MONTH(Gastos!$A$2:$A$2500)=BX$3)*(Gastos!$B$2:$B$2500=$A45)*(Gastos!$D$2:$D$2500))</f>
        <v>0</v>
      </c>
      <c r="BY45" s="75">
        <f t="array" ref="BY45">SUM((YEAR(Gastos!$A$2:$A$2500)=BY$1)*(MONTH(Gastos!$A$2:$A$2500)=BY$3)*(Gastos!$B$2:$B$2500=$A45)*(Gastos!$D$2:$D$2500))</f>
        <v>0</v>
      </c>
      <c r="BZ45" s="75">
        <f t="array" ref="BZ45">SUM((YEAR(Gastos!$A$2:$A$2500)=BZ$1)*(MONTH(Gastos!$A$2:$A$2500)=BZ$3)*(Gastos!$B$2:$B$2500=$A45)*(Gastos!$D$2:$D$2500))</f>
        <v>0</v>
      </c>
      <c r="CA45" s="75">
        <f t="array" ref="CA45">SUM((YEAR(Gastos!$A$2:$A$2500)=CA$1)*(MONTH(Gastos!$A$2:$A$2500)=CA$3)*(Gastos!$B$2:$B$2500=$A45)*(Gastos!$D$2:$D$2500))</f>
        <v>0</v>
      </c>
      <c r="CB45" s="75">
        <f t="array" ref="CB45">SUM((YEAR(Gastos!$A$2:$A$2500)=CB$1)*(MONTH(Gastos!$A$2:$A$2500)=CB$3)*(Gastos!$B$2:$B$2500=$A45)*(Gastos!$D$2:$D$2500))</f>
        <v>0</v>
      </c>
      <c r="CC45" s="75">
        <f t="array" ref="CC45">SUM((YEAR(Gastos!$A$2:$A$2500)=CC$1)*(MONTH(Gastos!$A$2:$A$2500)=CC$3)*(Gastos!$B$2:$B$2500=$A45)*(Gastos!$D$2:$D$2500))</f>
        <v>0</v>
      </c>
      <c r="CD45" s="75">
        <f t="array" ref="CD45">SUM((YEAR(Gastos!$A$2:$A$2500)=CD$1)*(MONTH(Gastos!$A$2:$A$2500)=CD$3)*(Gastos!$B$2:$B$2500=$A45)*(Gastos!$D$2:$D$2500))</f>
        <v>0</v>
      </c>
      <c r="CE45" s="75">
        <f t="array" ref="CE45">SUM((YEAR(Gastos!$A$2:$A$2500)=CE$1)*(MONTH(Gastos!$A$2:$A$2500)=CE$3)*(Gastos!$B$2:$B$2500=$A45)*(Gastos!$D$2:$D$2500))</f>
        <v>0</v>
      </c>
      <c r="CF45" s="75">
        <f t="array" ref="CF45">SUM((YEAR(Gastos!$A$2:$A$2500)=CF$1)*(MONTH(Gastos!$A$2:$A$2500)=CF$3)*(Gastos!$B$2:$B$2500=$A45)*(Gastos!$D$2:$D$2500))</f>
        <v>0</v>
      </c>
      <c r="CG45" s="75">
        <f t="array" ref="CG45">SUM((YEAR(Gastos!$A$2:$A$2500)=CG$1)*(MONTH(Gastos!$A$2:$A$2500)=CG$3)*(Gastos!$B$2:$B$2500=$A45)*(Gastos!$D$2:$D$2500))</f>
        <v>0</v>
      </c>
      <c r="CH45" s="75">
        <f t="array" ref="CH45">SUM((YEAR(Gastos!$A$2:$A$2500)=CH$1)*(MONTH(Gastos!$A$2:$A$2500)=CH$3)*(Gastos!$B$2:$B$2500=$A45)*(Gastos!$D$2:$D$2500))</f>
        <v>0</v>
      </c>
      <c r="CI45" s="75">
        <f t="array" ref="CI45">SUM((YEAR(Gastos!$A$2:$A$2500)=CI$1)*(MONTH(Gastos!$A$2:$A$2500)=CI$3)*(Gastos!$B$2:$B$2500=$A45)*(Gastos!$D$2:$D$2500))</f>
        <v>0</v>
      </c>
      <c r="CJ45" s="75">
        <f t="array" ref="CJ45">SUM((YEAR(Gastos!$A$2:$A$2500)=CJ$1)*(MONTH(Gastos!$A$2:$A$2500)=CJ$3)*(Gastos!$B$2:$B$2500=$A45)*(Gastos!$D$2:$D$2500))</f>
        <v>0</v>
      </c>
      <c r="CK45" s="75">
        <f t="array" ref="CK45">SUM((YEAR(Gastos!$A$2:$A$2500)=CK$1)*(MONTH(Gastos!$A$2:$A$2500)=CK$3)*(Gastos!$B$2:$B$2500=$A45)*(Gastos!$D$2:$D$2500))</f>
        <v>0</v>
      </c>
      <c r="CL45" s="75">
        <f t="array" ref="CL45">SUM((YEAR(Gastos!$A$2:$A$2500)=CL$1)*(MONTH(Gastos!$A$2:$A$2500)=CL$3)*(Gastos!$B$2:$B$2500=$A45)*(Gastos!$D$2:$D$2500))</f>
        <v>0</v>
      </c>
      <c r="CM45" s="75">
        <f t="array" ref="CM45">SUM((YEAR(Gastos!$A$2:$A$2500)=CM$1)*(MONTH(Gastos!$A$2:$A$2500)=CM$3)*(Gastos!$B$2:$B$2500=$A45)*(Gastos!$D$2:$D$2500))</f>
        <v>0</v>
      </c>
      <c r="CN45" s="75">
        <f t="array" ref="CN45">SUM((YEAR(Gastos!$A$2:$A$2500)=CN$1)*(MONTH(Gastos!$A$2:$A$2500)=CN$3)*(Gastos!$B$2:$B$2500=$A45)*(Gastos!$D$2:$D$2500))</f>
        <v>0</v>
      </c>
      <c r="CO45" s="75">
        <f t="array" ref="CO45">SUM((YEAR(Gastos!$A$2:$A$2500)=CO$1)*(MONTH(Gastos!$A$2:$A$2500)=CO$3)*(Gastos!$B$2:$B$2500=$A45)*(Gastos!$D$2:$D$2500))</f>
        <v>0</v>
      </c>
      <c r="CP45" s="75">
        <f t="array" ref="CP45">SUM((YEAR(Gastos!$A$2:$A$2500)=CP$1)*(MONTH(Gastos!$A$2:$A$2500)=CP$3)*(Gastos!$B$2:$B$2500=$A45)*(Gastos!$D$2:$D$2500))</f>
        <v>0</v>
      </c>
      <c r="CQ45" s="75">
        <f t="array" ref="CQ45">SUM((YEAR(Gastos!$A$2:$A$2500)=CQ$1)*(MONTH(Gastos!$A$2:$A$2500)=CQ$3)*(Gastos!$B$2:$B$2500=$A45)*(Gastos!$D$2:$D$2500))</f>
        <v>0</v>
      </c>
      <c r="CR45" s="75">
        <f t="array" ref="CR45">SUM((YEAR(Gastos!$A$2:$A$2500)=CR$1)*(MONTH(Gastos!$A$2:$A$2500)=CR$3)*(Gastos!$B$2:$B$2500=$A45)*(Gastos!$D$2:$D$2500))</f>
        <v>0</v>
      </c>
      <c r="CS45" s="75">
        <f t="array" ref="CS45">SUM((YEAR(Gastos!$A$2:$A$2500)=CS$1)*(MONTH(Gastos!$A$2:$A$2500)=CS$3)*(Gastos!$B$2:$B$2500=$A45)*(Gastos!$D$2:$D$2500))</f>
        <v>0</v>
      </c>
      <c r="CT45" s="75">
        <f t="array" ref="CT45">SUM((YEAR(Gastos!$A$2:$A$2500)=CT$1)*(MONTH(Gastos!$A$2:$A$2500)=CT$3)*(Gastos!$B$2:$B$2500=$A45)*(Gastos!$D$2:$D$2500))</f>
        <v>0</v>
      </c>
      <c r="CU45" s="75">
        <f t="array" ref="CU45">SUM((YEAR(Gastos!$A$2:$A$2500)=CU$1)*(MONTH(Gastos!$A$2:$A$2500)=CU$3)*(Gastos!$B$2:$B$2500=$A45)*(Gastos!$D$2:$D$2500))</f>
        <v>0</v>
      </c>
      <c r="CV45" s="75">
        <f t="array" ref="CV45">SUM((YEAR(Gastos!$A$2:$A$2500)=CV$1)*(MONTH(Gastos!$A$2:$A$2500)=CV$3)*(Gastos!$B$2:$B$2500=$A45)*(Gastos!$D$2:$D$2500))</f>
        <v>0</v>
      </c>
      <c r="CW45" s="75">
        <f t="array" ref="CW45">SUM((YEAR(Gastos!$A$2:$A$2500)=CW$1)*(MONTH(Gastos!$A$2:$A$2500)=CW$3)*(Gastos!$B$2:$B$2500=$A45)*(Gastos!$D$2:$D$2500))</f>
        <v>0</v>
      </c>
      <c r="CX45" s="75">
        <f t="array" ref="CX45">SUM((YEAR(Gastos!$A$2:$A$2500)=CX$1)*(MONTH(Gastos!$A$2:$A$2500)=CX$3)*(Gastos!$B$2:$B$2500=$A45)*(Gastos!$D$2:$D$2500))</f>
        <v>0</v>
      </c>
      <c r="CY45" s="75">
        <f t="array" ref="CY45">SUM((YEAR(Gastos!$A$2:$A$2500)=CY$1)*(MONTH(Gastos!$A$2:$A$2500)=CY$3)*(Gastos!$B$2:$B$2500=$A45)*(Gastos!$D$2:$D$2500))</f>
        <v>0</v>
      </c>
      <c r="CZ45" s="75">
        <f t="array" ref="CZ45">SUM((YEAR(Gastos!$A$2:$A$2500)=CZ$1)*(MONTH(Gastos!$A$2:$A$2500)=CZ$3)*(Gastos!$B$2:$B$2500=$A45)*(Gastos!$D$2:$D$2500))</f>
        <v>0</v>
      </c>
      <c r="DA45" s="75">
        <f t="array" ref="DA45">SUM((YEAR(Gastos!$A$2:$A$2500)=DA$1)*(MONTH(Gastos!$A$2:$A$2500)=DA$3)*(Gastos!$B$2:$B$2500=$A45)*(Gastos!$D$2:$D$2500))</f>
        <v>0</v>
      </c>
      <c r="DB45" s="75">
        <f t="array" ref="DB45">SUM((YEAR(Gastos!$A$2:$A$2500)=DB$1)*(MONTH(Gastos!$A$2:$A$2500)=DB$3)*(Gastos!$B$2:$B$2500=$A45)*(Gastos!$D$2:$D$2500))</f>
        <v>0</v>
      </c>
      <c r="DC45" s="75">
        <f t="array" ref="DC45">SUM((YEAR(Gastos!$A$2:$A$2500)=DC$1)*(MONTH(Gastos!$A$2:$A$2500)=DC$3)*(Gastos!$B$2:$B$2500=$A45)*(Gastos!$D$2:$D$2500))</f>
        <v>0</v>
      </c>
      <c r="DD45" s="75">
        <f t="array" ref="DD45">SUM((YEAR(Gastos!$A$2:$A$2500)=DD$1)*(MONTH(Gastos!$A$2:$A$2500)=DD$3)*(Gastos!$B$2:$B$2500=$A45)*(Gastos!$D$2:$D$2500))</f>
        <v>0</v>
      </c>
      <c r="DE45" s="75">
        <f t="array" ref="DE45">SUM((YEAR(Gastos!$A$2:$A$2500)=DE$1)*(MONTH(Gastos!$A$2:$A$2500)=DE$3)*(Gastos!$B$2:$B$2500=$A45)*(Gastos!$D$2:$D$2500))</f>
        <v>0</v>
      </c>
      <c r="DF45" s="75">
        <f t="array" ref="DF45">SUM((YEAR(Gastos!$A$2:$A$2500)=DF$1)*(MONTH(Gastos!$A$2:$A$2500)=DF$3)*(Gastos!$B$2:$B$2500=$A45)*(Gastos!$D$2:$D$2500))</f>
        <v>0</v>
      </c>
      <c r="DG45" s="75">
        <f t="array" ref="DG45">SUM((YEAR(Gastos!$A$2:$A$2500)=DG$1)*(MONTH(Gastos!$A$2:$A$2500)=DG$3)*(Gastos!$B$2:$B$2500=$A45)*(Gastos!$D$2:$D$2500))</f>
        <v>0</v>
      </c>
      <c r="DH45" s="75">
        <f t="array" ref="DH45">SUM((YEAR(Gastos!$A$2:$A$2500)=DH$1)*(MONTH(Gastos!$A$2:$A$2500)=DH$3)*(Gastos!$B$2:$B$2500=$A45)*(Gastos!$D$2:$D$2500))</f>
        <v>0</v>
      </c>
      <c r="DI45" s="75">
        <f t="array" ref="DI45">SUM((YEAR(Gastos!$A$2:$A$2500)=DI$1)*(MONTH(Gastos!$A$2:$A$2500)=DI$3)*(Gastos!$B$2:$B$2500=$A45)*(Gastos!$D$2:$D$2500))</f>
        <v>0</v>
      </c>
      <c r="DJ45" s="75">
        <f t="array" ref="DJ45">SUM((YEAR(Gastos!$A$2:$A$2500)=DJ$1)*(MONTH(Gastos!$A$2:$A$2500)=DJ$3)*(Gastos!$B$2:$B$2500=$A45)*(Gastos!$D$2:$D$2500))</f>
        <v>0</v>
      </c>
      <c r="DK45" s="75">
        <f t="array" ref="DK45">SUM((YEAR(Gastos!$A$2:$A$2500)=DK$1)*(MONTH(Gastos!$A$2:$A$2500)=DK$3)*(Gastos!$B$2:$B$2500=$A45)*(Gastos!$D$2:$D$2500))</f>
        <v>0</v>
      </c>
      <c r="DL45" s="75">
        <f t="array" ref="DL45">SUM((YEAR(Gastos!$A$2:$A$2500)=DL$1)*(MONTH(Gastos!$A$2:$A$2500)=DL$3)*(Gastos!$B$2:$B$2500=$A45)*(Gastos!$D$2:$D$2500))</f>
        <v>0</v>
      </c>
      <c r="DM45" s="75">
        <f t="array" ref="DM45">SUM((YEAR(Gastos!$A$2:$A$2500)=DM$1)*(MONTH(Gastos!$A$2:$A$2500)=DM$3)*(Gastos!$B$2:$B$2500=$A45)*(Gastos!$D$2:$D$2500))</f>
        <v>0</v>
      </c>
      <c r="DN45" s="75">
        <f t="array" ref="DN45">SUM((YEAR(Gastos!$A$2:$A$2500)=DN$1)*(MONTH(Gastos!$A$2:$A$2500)=DN$3)*(Gastos!$B$2:$B$2500=$A45)*(Gastos!$D$2:$D$2500))</f>
        <v>0</v>
      </c>
      <c r="DO45" s="75">
        <f t="array" ref="DO45">SUM((YEAR(Gastos!$A$2:$A$2500)=DO$1)*(MONTH(Gastos!$A$2:$A$2500)=DO$3)*(Gastos!$B$2:$B$2500=$A45)*(Gastos!$D$2:$D$2500))</f>
        <v>0</v>
      </c>
      <c r="DP45" s="75">
        <f t="array" ref="DP45">SUM((YEAR(Gastos!$A$2:$A$2500)=DP$1)*(MONTH(Gastos!$A$2:$A$2500)=DP$3)*(Gastos!$B$2:$B$2500=$A45)*(Gastos!$D$2:$D$2500))</f>
        <v>0</v>
      </c>
      <c r="DQ45" s="75">
        <f t="array" ref="DQ45">SUM((YEAR(Gastos!$A$2:$A$2500)=DQ$1)*(MONTH(Gastos!$A$2:$A$2500)=DQ$3)*(Gastos!$B$2:$B$2500=$A45)*(Gastos!$D$2:$D$2500))</f>
        <v>0</v>
      </c>
      <c r="DR45" s="75">
        <f t="array" ref="DR45">SUM((YEAR(Gastos!$A$2:$A$2500)=DR$1)*(MONTH(Gastos!$A$2:$A$2500)=DR$3)*(Gastos!$B$2:$B$2500=$A45)*(Gastos!$D$2:$D$2500))</f>
        <v>0</v>
      </c>
      <c r="DS45" s="75">
        <f t="array" ref="DS45">SUM((YEAR(Gastos!$A$2:$A$2500)=DS$1)*(MONTH(Gastos!$A$2:$A$2500)=DS$3)*(Gastos!$B$2:$B$2500=$A45)*(Gastos!$D$2:$D$2500))</f>
        <v>0</v>
      </c>
      <c r="DT45" s="75">
        <f t="array" ref="DT45">SUM((YEAR(Gastos!$A$2:$A$2500)=DT$1)*(MONTH(Gastos!$A$2:$A$2500)=DT$3)*(Gastos!$B$2:$B$2500=$A45)*(Gastos!$D$2:$D$2500))</f>
        <v>0</v>
      </c>
      <c r="DU45" s="75">
        <f t="array" ref="DU45">SUM((YEAR(Gastos!$A$2:$A$2500)=DU$1)*(MONTH(Gastos!$A$2:$A$2500)=DU$3)*(Gastos!$B$2:$B$2500=$A45)*(Gastos!$D$2:$D$2500))</f>
        <v>0</v>
      </c>
      <c r="DV45" s="75">
        <f t="array" ref="DV45">SUM((YEAR(Gastos!$A$2:$A$2500)=DV$1)*(MONTH(Gastos!$A$2:$A$2500)=DV$3)*(Gastos!$B$2:$B$2500=$A45)*(Gastos!$D$2:$D$2500))</f>
        <v>0</v>
      </c>
      <c r="DW45" s="75">
        <f t="array" ref="DW45">SUM((YEAR(Gastos!$A$2:$A$2500)=DW$1)*(MONTH(Gastos!$A$2:$A$2500)=DW$3)*(Gastos!$B$2:$B$2500=$A45)*(Gastos!$D$2:$D$2500))</f>
        <v>0</v>
      </c>
      <c r="DX45" s="75">
        <f t="array" ref="DX45">SUM((YEAR(Gastos!$A$2:$A$2500)=DX$1)*(MONTH(Gastos!$A$2:$A$2500)=DX$3)*(Gastos!$B$2:$B$2500=$A45)*(Gastos!$D$2:$D$2500))</f>
        <v>0</v>
      </c>
      <c r="DY45" s="75">
        <f t="array" ref="DY45">SUM((YEAR(Gastos!$A$2:$A$2500)=DY$1)*(MONTH(Gastos!$A$2:$A$2500)=DY$3)*(Gastos!$B$2:$B$2500=$A45)*(Gastos!$D$2:$D$2500))</f>
        <v>0</v>
      </c>
      <c r="DZ45" s="75">
        <f t="array" ref="DZ45">SUM((YEAR(Gastos!$A$2:$A$2500)=DZ$1)*(MONTH(Gastos!$A$2:$A$2500)=DZ$3)*(Gastos!$B$2:$B$2500=$A45)*(Gastos!$D$2:$D$2500))</f>
        <v>0</v>
      </c>
      <c r="EA45" s="75">
        <f t="array" ref="EA45">SUM((YEAR(Gastos!$A$2:$A$2500)=EA$1)*(MONTH(Gastos!$A$2:$A$2500)=EA$3)*(Gastos!$B$2:$B$2500=$A45)*(Gastos!$D$2:$D$2500))</f>
        <v>0</v>
      </c>
      <c r="EB45" s="75">
        <f t="array" ref="EB45">SUM((YEAR(Gastos!$A$2:$A$2500)=EB$1)*(MONTH(Gastos!$A$2:$A$2500)=EB$3)*(Gastos!$B$2:$B$2500=$A45)*(Gastos!$D$2:$D$2500))</f>
        <v>0</v>
      </c>
      <c r="EC45" s="75">
        <f t="array" ref="EC45">SUM((YEAR(Gastos!$A$2:$A$2500)=EC$1)*(MONTH(Gastos!$A$2:$A$2500)=EC$3)*(Gastos!$B$2:$B$2500=$A45)*(Gastos!$D$2:$D$2500))</f>
        <v>0</v>
      </c>
      <c r="ED45" s="75">
        <f t="array" ref="ED45">SUM((YEAR(Gastos!$A$2:$A$2500)=ED$1)*(MONTH(Gastos!$A$2:$A$2500)=ED$3)*(Gastos!$B$2:$B$2500=$A45)*(Gastos!$D$2:$D$2500))</f>
        <v>0</v>
      </c>
      <c r="EE45" s="75">
        <f t="array" ref="EE45">SUM((YEAR(Gastos!$A$2:$A$2500)=EE$1)*(MONTH(Gastos!$A$2:$A$2500)=EE$3)*(Gastos!$B$2:$B$2500=$A45)*(Gastos!$D$2:$D$2500))</f>
        <v>0</v>
      </c>
      <c r="EF45" s="75">
        <f t="array" ref="EF45">SUM((YEAR(Gastos!$A$2:$A$2500)=EF$1)*(MONTH(Gastos!$A$2:$A$2500)=EF$3)*(Gastos!$B$2:$B$2500=$A45)*(Gastos!$D$2:$D$2500))</f>
        <v>0</v>
      </c>
      <c r="EG45" s="75">
        <f t="array" ref="EG45">SUM((YEAR(Gastos!$A$2:$A$2500)=EG$1)*(MONTH(Gastos!$A$2:$A$2500)=EG$3)*(Gastos!$B$2:$B$2500=$A45)*(Gastos!$D$2:$D$2500))</f>
        <v>0</v>
      </c>
      <c r="EH45" s="75">
        <f t="array" ref="EH45">SUM((YEAR(Gastos!$A$2:$A$2500)=EH$1)*(MONTH(Gastos!$A$2:$A$2500)=EH$3)*(Gastos!$B$2:$B$2500=$A45)*(Gastos!$D$2:$D$2500))</f>
        <v>0</v>
      </c>
      <c r="EI45" s="75">
        <f t="array" ref="EI45">SUM((YEAR(Gastos!$A$2:$A$2500)=EI$1)*(MONTH(Gastos!$A$2:$A$2500)=EI$3)*(Gastos!$B$2:$B$2500=$A45)*(Gastos!$D$2:$D$2500))</f>
        <v>0</v>
      </c>
      <c r="EJ45" s="75">
        <f t="array" ref="EJ45">SUM((YEAR(Gastos!$A$2:$A$2500)=EJ$1)*(MONTH(Gastos!$A$2:$A$2500)=EJ$3)*(Gastos!$B$2:$B$2500=$A45)*(Gastos!$D$2:$D$2500))</f>
        <v>0</v>
      </c>
      <c r="EK45" s="75">
        <f t="array" ref="EK45">SUM((YEAR(Gastos!$A$2:$A$2500)=EK$1)*(MONTH(Gastos!$A$2:$A$2500)=EK$3)*(Gastos!$B$2:$B$2500=$A45)*(Gastos!$D$2:$D$2500))</f>
        <v>0</v>
      </c>
      <c r="EL45" s="75">
        <f t="array" ref="EL45">SUM((YEAR(Gastos!$A$2:$A$2500)=EL$1)*(MONTH(Gastos!$A$2:$A$2500)=EL$3)*(Gastos!$B$2:$B$2500=$A45)*(Gastos!$D$2:$D$2500))</f>
        <v>390</v>
      </c>
      <c r="EM45" s="75">
        <f t="array" ref="EM45">SUM((YEAR(Gastos!$A$2:$A$2500)=EM$1)*(MONTH(Gastos!$A$2:$A$2500)=EM$3)*(Gastos!$B$2:$B$2500=$A45)*(Gastos!$D$2:$D$2500))</f>
        <v>0</v>
      </c>
      <c r="EN45" s="75">
        <f t="array" ref="EN45">SUM((YEAR(Gastos!$A$2:$A$2500)=EN$1)*(MONTH(Gastos!$A$2:$A$2500)=EN$3)*(Gastos!$B$2:$B$2500=$A45)*(Gastos!$D$2:$D$2500))</f>
        <v>0</v>
      </c>
      <c r="EO45" s="75">
        <f t="array" ref="EO45">SUM((YEAR(Gastos!$A$2:$A$2500)=EO$1)*(MONTH(Gastos!$A$2:$A$2500)=EO$3)*(Gastos!$B$2:$B$2500=$A45)*(Gastos!$D$2:$D$2500))</f>
        <v>0</v>
      </c>
      <c r="EP45" s="75">
        <f t="array" ref="EP45">SUM((YEAR(Gastos!$A$2:$A$2500)=EP$1)*(MONTH(Gastos!$A$2:$A$2500)=EP$3)*(Gastos!$B$2:$B$2500=$A45)*(Gastos!$D$2:$D$2500))</f>
        <v>0</v>
      </c>
      <c r="EQ45" s="75">
        <f t="array" ref="EQ45">SUM((YEAR(Gastos!$A$2:$A$2500)=EQ$1)*(MONTH(Gastos!$A$2:$A$2500)=EQ$3)*(Gastos!$B$2:$B$2500=$A45)*(Gastos!$D$2:$D$2500))</f>
        <v>0</v>
      </c>
      <c r="ER45" s="75">
        <f t="array" ref="ER45">SUM((YEAR(Gastos!$A$2:$A$2500)=ER$1)*(MONTH(Gastos!$A$2:$A$2500)=ER$3)*(Gastos!$B$2:$B$2500=$A45)*(Gastos!$D$2:$D$2500))</f>
        <v>0</v>
      </c>
      <c r="ES45" s="75">
        <f t="array" ref="ES45">SUM((YEAR(Gastos!$A$2:$A$2500)=ES$1)*(MONTH(Gastos!$A$2:$A$2500)=ES$3)*(Gastos!$B$2:$B$2500=$A45)*(Gastos!$D$2:$D$2500))</f>
        <v>0</v>
      </c>
      <c r="ET45" s="75">
        <f t="array" ref="ET45">SUM((YEAR(Gastos!$A$2:$A$2500)=ET$1)*(MONTH(Gastos!$A$2:$A$2500)=ET$3)*(Gastos!$B$2:$B$2500=$A45)*(Gastos!$D$2:$D$2500))</f>
        <v>0</v>
      </c>
      <c r="EU45" s="75">
        <f t="array" ref="EU45">SUM((YEAR(Gastos!$A$2:$A$2500)=EU$1)*(MONTH(Gastos!$A$2:$A$2500)=EU$3)*(Gastos!$B$2:$B$2500=$A45)*(Gastos!$D$2:$D$2500))</f>
        <v>0</v>
      </c>
      <c r="EV45" s="75">
        <f t="array" ref="EV45">SUM((YEAR(Gastos!$A$2:$A$2500)=EV$1)*(MONTH(Gastos!$A$2:$A$2500)=EV$3)*(Gastos!$B$2:$B$2500=$A45)*(Gastos!$D$2:$D$2500))</f>
        <v>0</v>
      </c>
      <c r="EW45" s="75">
        <f t="array" ref="EW45">SUM((YEAR(Gastos!$A$2:$A$2500)=EW$1)*(MONTH(Gastos!$A$2:$A$2500)=EW$3)*(Gastos!$B$2:$B$2500=$A45)*(Gastos!$D$2:$D$2500))</f>
        <v>0</v>
      </c>
      <c r="EX45" s="75">
        <f t="array" ref="EX45">SUM((YEAR(Gastos!$A$2:$A$2500)=EX$1)*(MONTH(Gastos!$A$2:$A$2500)=EX$3)*(Gastos!$B$2:$B$2500=$A45)*(Gastos!$D$2:$D$2500))</f>
        <v>0</v>
      </c>
      <c r="EY45" s="75">
        <f t="array" ref="EY45">SUM((YEAR(Gastos!$A$2:$A$2500)=EY$1)*(MONTH(Gastos!$A$2:$A$2500)=EY$3)*(Gastos!$B$2:$B$2500=$A45)*(Gastos!$D$2:$D$2500))</f>
        <v>0</v>
      </c>
      <c r="EZ45" s="75">
        <f t="array" ref="EZ45">SUM((YEAR(Gastos!$A$2:$A$2500)=EZ$1)*(MONTH(Gastos!$A$2:$A$2500)=EZ$3)*(Gastos!$B$2:$B$2500=$A45)*(Gastos!$D$2:$D$2500))</f>
        <v>0</v>
      </c>
      <c r="FA45" s="75">
        <f t="array" ref="FA45">SUM((YEAR(Gastos!$A$2:$A$2500)=FA$1)*(MONTH(Gastos!$A$2:$A$2500)=FA$3)*(Gastos!$B$2:$B$2500=$A45)*(Gastos!$D$2:$D$2500))</f>
        <v>0</v>
      </c>
      <c r="FB45" s="75">
        <f t="array" ref="FB45">SUM((YEAR(Gastos!$A$2:$A$2500)=FB$1)*(MONTH(Gastos!$A$2:$A$2500)=FB$3)*(Gastos!$B$2:$B$2500=$A45)*(Gastos!$D$2:$D$2500))</f>
        <v>0</v>
      </c>
      <c r="FC45" s="75">
        <f t="array" ref="FC45">SUM((YEAR(Gastos!$A$2:$A$2500)=FC$1)*(MONTH(Gastos!$A$2:$A$2500)=FC$3)*(Gastos!$B$2:$B$2500=$A45)*(Gastos!$D$2:$D$2500))</f>
        <v>0</v>
      </c>
      <c r="FD45" s="75">
        <f t="array" ref="FD45">SUM((YEAR(Gastos!$A$2:$A$2500)=FD$1)*(MONTH(Gastos!$A$2:$A$2500)=FD$3)*(Gastos!$B$2:$B$2500=$A45)*(Gastos!$D$2:$D$2500))</f>
        <v>0</v>
      </c>
      <c r="FE45" s="75">
        <f t="array" ref="FE45">SUM((YEAR(Gastos!$A$2:$A$2500)=FE$1)*(MONTH(Gastos!$A$2:$A$2500)=FE$3)*(Gastos!$B$2:$B$2500=$A45)*(Gastos!$D$2:$D$2500))</f>
        <v>0</v>
      </c>
      <c r="FF45" s="75">
        <f t="array" ref="FF45">SUM((YEAR(Gastos!$A$2:$A$2500)=FF$1)*(MONTH(Gastos!$A$2:$A$2500)=FF$3)*(Gastos!$B$2:$B$2500=$A45)*(Gastos!$D$2:$D$2500))</f>
        <v>0</v>
      </c>
      <c r="FG45" s="75">
        <f t="array" ref="FG45">SUM((YEAR(Gastos!$A$2:$A$2500)=FG$1)*(MONTH(Gastos!$A$2:$A$2500)=FG$3)*(Gastos!$B$2:$B$2500=$A45)*(Gastos!$D$2:$D$2500))</f>
        <v>0</v>
      </c>
      <c r="FH45" s="75">
        <f t="array" ref="FH45">SUM((YEAR(Gastos!$A$2:$A$2500)=FH$1)*(MONTH(Gastos!$A$2:$A$2500)=FH$3)*(Gastos!$B$2:$B$2500=$A45)*(Gastos!$D$2:$D$2500))</f>
        <v>0</v>
      </c>
      <c r="FI45" s="75">
        <f t="array" ref="FI45">SUM((YEAR(Gastos!$A$2:$A$2500)=FI$1)*(MONTH(Gastos!$A$2:$A$2500)=FI$3)*(Gastos!$B$2:$B$2500=$A45)*(Gastos!$D$2:$D$2500))</f>
        <v>0</v>
      </c>
      <c r="FJ45" s="75">
        <f t="array" ref="FJ45">SUM((YEAR(Gastos!$A$2:$A$2500)=FJ$1)*(MONTH(Gastos!$A$2:$A$2500)=FJ$3)*(Gastos!$B$2:$B$2500=$A45)*(Gastos!$D$2:$D$2500))</f>
        <v>0</v>
      </c>
      <c r="FK45" s="75">
        <f t="array" ref="FK45">SUM((YEAR(Gastos!$A$2:$A$2500)=FK$1)*(MONTH(Gastos!$A$2:$A$2500)=FK$3)*(Gastos!$B$2:$B$2500=$A45)*(Gastos!$D$2:$D$2500))</f>
        <v>0</v>
      </c>
      <c r="FL45" s="75">
        <f t="array" ref="FL45">SUM((YEAR(Gastos!$A$2:$A$2500)=FL$1)*(MONTH(Gastos!$A$2:$A$2500)=FL$3)*(Gastos!$B$2:$B$2500=$A45)*(Gastos!$D$2:$D$2500))</f>
        <v>0</v>
      </c>
      <c r="FM45" s="75">
        <f t="array" ref="FM45">SUM((YEAR(Gastos!$A$2:$A$2500)=FM$1)*(MONTH(Gastos!$A$2:$A$2500)=FM$3)*(Gastos!$B$2:$B$2500=$A45)*(Gastos!$D$2:$D$2500))</f>
        <v>0</v>
      </c>
      <c r="FN45" s="75">
        <f t="array" ref="FN45">SUM((YEAR(Gastos!$A$2:$A$2500)=FN$1)*(MONTH(Gastos!$A$2:$A$2500)=FN$3)*(Gastos!$B$2:$B$2500=$A45)*(Gastos!$D$2:$D$2500))</f>
        <v>0</v>
      </c>
      <c r="FO45" s="75">
        <f t="array" ref="FO45">SUM((YEAR(Gastos!$A$2:$A$2500)=FO$1)*(MONTH(Gastos!$A$2:$A$2500)=FO$3)*(Gastos!$B$2:$B$2500=$A45)*(Gastos!$D$2:$D$2500))</f>
        <v>0</v>
      </c>
      <c r="FP45" s="75">
        <f t="array" ref="FP45">SUM((YEAR(Gastos!$A$2:$A$2500)=FP$1)*(MONTH(Gastos!$A$2:$A$2500)=FP$3)*(Gastos!$B$2:$B$2500=$A45)*(Gastos!$D$2:$D$2500))</f>
        <v>0</v>
      </c>
      <c r="FQ45" s="75">
        <f t="array" ref="FQ45">SUM((YEAR(Gastos!$A$2:$A$2500)=FQ$1)*(MONTH(Gastos!$A$2:$A$2500)=FQ$3)*(Gastos!$B$2:$B$2500=$A45)*(Gastos!$D$2:$D$2500))</f>
        <v>0</v>
      </c>
      <c r="FR45" s="75">
        <f t="array" ref="FR45">SUM((YEAR(Gastos!$A$2:$A$2500)=FR$1)*(MONTH(Gastos!$A$2:$A$2500)=FR$3)*(Gastos!$B$2:$B$2500=$A45)*(Gastos!$D$2:$D$2500))</f>
        <v>0</v>
      </c>
      <c r="FS45" s="75">
        <f t="array" ref="FS45">SUM((YEAR(Gastos!$A$2:$A$2500)=FS$1)*(MONTH(Gastos!$A$2:$A$2500)=FS$3)*(Gastos!$B$2:$B$2500=$A45)*(Gastos!$D$2:$D$2500))</f>
        <v>0</v>
      </c>
      <c r="FT45" s="75">
        <f t="array" ref="FT45">SUM((YEAR(Gastos!$A$2:$A$2500)=FT$1)*(MONTH(Gastos!$A$2:$A$2500)=FT$3)*(Gastos!$B$2:$B$2500=$A45)*(Gastos!$D$2:$D$2500))</f>
        <v>0</v>
      </c>
      <c r="FU45" s="75">
        <f t="array" ref="FU45">SUM((YEAR(Gastos!$A$2:$A$2500)=FU$1)*(MONTH(Gastos!$A$2:$A$2500)=FU$3)*(Gastos!$B$2:$B$2500=$A45)*(Gastos!$D$2:$D$2500))</f>
        <v>0</v>
      </c>
      <c r="FV45" s="75">
        <f t="array" ref="FV45">SUM((YEAR(Gastos!$A$2:$A$2500)=FV$1)*(MONTH(Gastos!$A$2:$A$2500)=FV$3)*(Gastos!$B$2:$B$2500=$A45)*(Gastos!$D$2:$D$2500))</f>
        <v>0</v>
      </c>
      <c r="FW45" s="75">
        <f t="array" ref="FW45">SUM((YEAR(Gastos!$A$2:$A$2500)=FW$1)*(MONTH(Gastos!$A$2:$A$2500)=FW$3)*(Gastos!$B$2:$B$2500=$A45)*(Gastos!$D$2:$D$2500))</f>
        <v>0</v>
      </c>
      <c r="FX45" s="75">
        <f t="array" ref="FX45">SUM((YEAR(Gastos!$A$2:$A$2500)=FX$1)*(MONTH(Gastos!$A$2:$A$2500)=FX$3)*(Gastos!$B$2:$B$2500=$A45)*(Gastos!$D$2:$D$2500))</f>
        <v>0</v>
      </c>
      <c r="FY45" s="75">
        <f t="array" ref="FY45">SUM((YEAR(Gastos!$A$2:$A$2500)=FY$1)*(MONTH(Gastos!$A$2:$A$2500)=FY$3)*(Gastos!$B$2:$B$2500=$A45)*(Gastos!$D$2:$D$2500))</f>
        <v>0</v>
      </c>
      <c r="FZ45" s="76">
        <f t="shared" si="65"/>
        <v>390</v>
      </c>
      <c r="GA45" s="80"/>
      <c r="GB45" s="78">
        <f t="shared" si="66"/>
        <v>0</v>
      </c>
      <c r="GF45" s="79">
        <f t="array" ref="GF45">SUM(((Gastos!$A$2:$A$1647)&gt;=GD$3)*((Gastos!$A$2:$A$1647)&lt;=GF$3)*(Gastos!$B$2:$B$1647=$A45)*(Gastos!$D$2:$D$1647))</f>
        <v>0</v>
      </c>
      <c r="GI45" s="79">
        <f t="array" ref="GI45">SUM(((Gastos!$A$2:$A$1647)&gt;=GG$3)*((Gastos!$A$2:$A$1647)&lt;=GI$3)*(Gastos!$B$2:$B$1647=$A45)*(Gastos!$D$2:$D$1647))</f>
        <v>0</v>
      </c>
    </row>
    <row r="46" spans="1:191" ht="15" thickBot="1" x14ac:dyDescent="0.4">
      <c r="A46" s="74" t="str">
        <f>Gastos!AA44</f>
        <v>V. PINTURA HERRERIA FACHADA</v>
      </c>
      <c r="B46" s="75">
        <f t="array" ref="B46">SUM((YEAR(Gastos!$A$2:$A$2500)=B$1)*(MONTH(Gastos!$A$2:$A$2500)=B$3)*(Gastos!$B$2:$B$2500=$A46)*(Gastos!$D$2:$D$2500))</f>
        <v>0</v>
      </c>
      <c r="C46" s="75">
        <f t="array" ref="C46">SUM((YEAR(Gastos!$A$2:$A$2500)=C$1)*(MONTH(Gastos!$A$2:$A$2500)=C$3)*(Gastos!$B$2:$B$2500=$A46)*(Gastos!$D$2:$D$2500))</f>
        <v>0</v>
      </c>
      <c r="D46" s="75">
        <f t="array" ref="D46">SUM((YEAR(Gastos!$A$2:$A$2500)=D$1)*(MONTH(Gastos!$A$2:$A$2500)=D$3)*(Gastos!$B$2:$B$2500=$A46)*(Gastos!$D$2:$D$2500))</f>
        <v>0</v>
      </c>
      <c r="E46" s="75">
        <f t="array" ref="E46">SUM((YEAR(Gastos!$A$2:$A$2500)=E$1)*(MONTH(Gastos!$A$2:$A$2500)=E$3)*(Gastos!$B$2:$B$2500=$A46)*(Gastos!$D$2:$D$2500))</f>
        <v>0</v>
      </c>
      <c r="F46" s="75">
        <f t="array" ref="F46">SUM((YEAR(Gastos!$A$2:$A$2500)=F$1)*(MONTH(Gastos!$A$2:$A$2500)=F$3)*(Gastos!$B$2:$B$2500=$A46)*(Gastos!$D$2:$D$2500))</f>
        <v>0</v>
      </c>
      <c r="G46" s="75">
        <f t="array" ref="G46">SUM((YEAR(Gastos!$A$2:$A$2500)=G$1)*(MONTH(Gastos!$A$2:$A$2500)=G$3)*(Gastos!$B$2:$B$2500=$A46)*(Gastos!$D$2:$D$2500))</f>
        <v>0</v>
      </c>
      <c r="H46" s="75">
        <f t="array" ref="H46">SUM((YEAR(Gastos!$A$2:$A$2500)=H$1)*(MONTH(Gastos!$A$2:$A$2500)=H$3)*(Gastos!$B$2:$B$2500=$A46)*(Gastos!$D$2:$D$2500))</f>
        <v>0</v>
      </c>
      <c r="I46" s="75">
        <f t="array" ref="I46">SUM((YEAR(Gastos!$A$2:$A$2500)=I$1)*(MONTH(Gastos!$A$2:$A$2500)=I$3)*(Gastos!$B$2:$B$2500=$A46)*(Gastos!$D$2:$D$2500))</f>
        <v>0</v>
      </c>
      <c r="J46" s="75">
        <f t="array" ref="J46">SUM((YEAR(Gastos!$A$2:$A$2500)=J$1)*(MONTH(Gastos!$A$2:$A$2500)=J$3)*(Gastos!$B$2:$B$2500=$A46)*(Gastos!$D$2:$D$2500))</f>
        <v>0</v>
      </c>
      <c r="K46" s="75">
        <f t="array" ref="K46">SUM((YEAR(Gastos!$A$2:$A$2500)=K$1)*(MONTH(Gastos!$A$2:$A$2500)=K$3)*(Gastos!$B$2:$B$2500=$A46)*(Gastos!$D$2:$D$2500))</f>
        <v>0</v>
      </c>
      <c r="L46" s="75">
        <f t="array" ref="L46">SUM((YEAR(Gastos!$A$2:$A$2500)=L$1)*(MONTH(Gastos!$A$2:$A$2500)=L$3)*(Gastos!$B$2:$B$2500=$A46)*(Gastos!$D$2:$D$2500))</f>
        <v>0</v>
      </c>
      <c r="M46" s="75">
        <f t="array" ref="M46">SUM((YEAR(Gastos!$A$2:$A$2500)=M$1)*(MONTH(Gastos!$A$2:$A$2500)=M$3)*(Gastos!$B$2:$B$2500=$A46)*(Gastos!$D$2:$D$2500))</f>
        <v>0</v>
      </c>
      <c r="N46" s="75">
        <f t="array" ref="N46">SUM((YEAR(Gastos!$A$2:$A$2500)=N$1)*(MONTH(Gastos!$A$2:$A$2500)=N$3)*(Gastos!$B$2:$B$2500=$A46)*(Gastos!$D$2:$D$2500))</f>
        <v>0</v>
      </c>
      <c r="O46" s="75">
        <f t="array" ref="O46">SUM((YEAR(Gastos!$A$2:$A$2500)=O$1)*(MONTH(Gastos!$A$2:$A$2500)=O$3)*(Gastos!$B$2:$B$2500=$A46)*(Gastos!$D$2:$D$2500))</f>
        <v>0</v>
      </c>
      <c r="P46" s="75">
        <f t="array" ref="P46">SUM((YEAR(Gastos!$A$2:$A$2500)=P$1)*(MONTH(Gastos!$A$2:$A$2500)=P$3)*(Gastos!$B$2:$B$2500=$A46)*(Gastos!$D$2:$D$2500))</f>
        <v>0</v>
      </c>
      <c r="Q46" s="75">
        <f t="array" ref="Q46">SUM((YEAR(Gastos!$A$2:$A$2500)=Q$1)*(MONTH(Gastos!$A$2:$A$2500)=Q$3)*(Gastos!$B$2:$B$2500=$A46)*(Gastos!$D$2:$D$2500))</f>
        <v>0</v>
      </c>
      <c r="R46" s="75">
        <f t="array" ref="R46">SUM((YEAR(Gastos!$A$2:$A$2500)=R$1)*(MONTH(Gastos!$A$2:$A$2500)=R$3)*(Gastos!$B$2:$B$2500=$A46)*(Gastos!$D$2:$D$2500))</f>
        <v>0</v>
      </c>
      <c r="S46" s="75">
        <f t="array" ref="S46">SUM((YEAR(Gastos!$A$2:$A$2500)=S$1)*(MONTH(Gastos!$A$2:$A$2500)=S$3)*(Gastos!$B$2:$B$2500=$A46)*(Gastos!$D$2:$D$2500))</f>
        <v>0</v>
      </c>
      <c r="T46" s="75">
        <f t="array" ref="T46">SUM((YEAR(Gastos!$A$2:$A$2500)=T$1)*(MONTH(Gastos!$A$2:$A$2500)=T$3)*(Gastos!$B$2:$B$2500=$A46)*(Gastos!$D$2:$D$2500))</f>
        <v>0</v>
      </c>
      <c r="U46" s="75">
        <f t="array" ref="U46">SUM((YEAR(Gastos!$A$2:$A$2500)=U$1)*(MONTH(Gastos!$A$2:$A$2500)=U$3)*(Gastos!$B$2:$B$2500=$A46)*(Gastos!$D$2:$D$2500))</f>
        <v>0</v>
      </c>
      <c r="V46" s="75">
        <f t="array" ref="V46">SUM((YEAR(Gastos!$A$2:$A$2500)=V$1)*(MONTH(Gastos!$A$2:$A$2500)=V$3)*(Gastos!$B$2:$B$2500=$A46)*(Gastos!$D$2:$D$2500))</f>
        <v>0</v>
      </c>
      <c r="W46" s="75">
        <f t="array" ref="W46">SUM((YEAR(Gastos!$A$2:$A$2500)=W$1)*(MONTH(Gastos!$A$2:$A$2500)=W$3)*(Gastos!$B$2:$B$2500=$A46)*(Gastos!$D$2:$D$2500))</f>
        <v>0</v>
      </c>
      <c r="X46" s="75">
        <f t="array" ref="X46">SUM((YEAR(Gastos!$A$2:$A$2500)=X$1)*(MONTH(Gastos!$A$2:$A$2500)=X$3)*(Gastos!$B$2:$B$2500=$A46)*(Gastos!$D$2:$D$2500))</f>
        <v>0</v>
      </c>
      <c r="Y46" s="75">
        <f t="array" ref="Y46">SUM((YEAR(Gastos!$A$2:$A$2500)=Y$1)*(MONTH(Gastos!$A$2:$A$2500)=Y$3)*(Gastos!$B$2:$B$2500=$A46)*(Gastos!$D$2:$D$2500))</f>
        <v>0</v>
      </c>
      <c r="Z46" s="75">
        <f t="array" ref="Z46">SUM((YEAR(Gastos!$A$2:$A$2500)=Z$1)*(MONTH(Gastos!$A$2:$A$2500)=Z$3)*(Gastos!$B$2:$B$2500=$A46)*(Gastos!$D$2:$D$2500))</f>
        <v>0</v>
      </c>
      <c r="AA46" s="75">
        <f t="array" ref="AA46">SUM((YEAR(Gastos!$A$2:$A$2500)=AA$1)*(MONTH(Gastos!$A$2:$A$2500)=AA$3)*(Gastos!$B$2:$B$2500=$A46)*(Gastos!$D$2:$D$2500))</f>
        <v>0</v>
      </c>
      <c r="AB46" s="75">
        <f t="array" ref="AB46">SUM((YEAR(Gastos!$A$2:$A$2500)=AB$1)*(MONTH(Gastos!$A$2:$A$2500)=AB$3)*(Gastos!$B$2:$B$2500=$A46)*(Gastos!$D$2:$D$2500))</f>
        <v>0</v>
      </c>
      <c r="AC46" s="75">
        <f t="array" ref="AC46">SUM((YEAR(Gastos!$A$2:$A$2500)=AC$1)*(MONTH(Gastos!$A$2:$A$2500)=AC$3)*(Gastos!$B$2:$B$2500=$A46)*(Gastos!$D$2:$D$2500))</f>
        <v>0</v>
      </c>
      <c r="AD46" s="75">
        <f t="array" ref="AD46">SUM((YEAR(Gastos!$A$2:$A$2500)=AD$1)*(MONTH(Gastos!$A$2:$A$2500)=AD$3)*(Gastos!$B$2:$B$2500=$A46)*(Gastos!$D$2:$D$2500))</f>
        <v>0</v>
      </c>
      <c r="AE46" s="75">
        <f t="array" ref="AE46">SUM((YEAR(Gastos!$A$2:$A$2500)=AE$1)*(MONTH(Gastos!$A$2:$A$2500)=AE$3)*(Gastos!$B$2:$B$2500=$A46)*(Gastos!$D$2:$D$2500))</f>
        <v>0</v>
      </c>
      <c r="AF46" s="75">
        <f t="array" ref="AF46">SUM((YEAR(Gastos!$A$2:$A$2500)=AF$1)*(MONTH(Gastos!$A$2:$A$2500)=AF$3)*(Gastos!$B$2:$B$2500=$A46)*(Gastos!$D$2:$D$2500))</f>
        <v>0</v>
      </c>
      <c r="AG46" s="75">
        <f t="array" ref="AG46">SUM((YEAR(Gastos!$A$2:$A$2500)=AG$1)*(MONTH(Gastos!$A$2:$A$2500)=AG$3)*(Gastos!$B$2:$B$2500=$A46)*(Gastos!$D$2:$D$2500))</f>
        <v>0</v>
      </c>
      <c r="AH46" s="75">
        <f t="array" ref="AH46">SUM((YEAR(Gastos!$A$2:$A$2500)=AH$1)*(MONTH(Gastos!$A$2:$A$2500)=AH$3)*(Gastos!$B$2:$B$2500=$A46)*(Gastos!$D$2:$D$2500))</f>
        <v>0</v>
      </c>
      <c r="AI46" s="75">
        <f t="array" ref="AI46">SUM((YEAR(Gastos!$A$2:$A$2500)=AI$1)*(MONTH(Gastos!$A$2:$A$2500)=AI$3)*(Gastos!$B$2:$B$2500=$A46)*(Gastos!$D$2:$D$2500))</f>
        <v>0</v>
      </c>
      <c r="AJ46" s="75">
        <f t="array" ref="AJ46">SUM((YEAR(Gastos!$A$2:$A$2500)=AJ$1)*(MONTH(Gastos!$A$2:$A$2500)=AJ$3)*(Gastos!$B$2:$B$2500=$A46)*(Gastos!$D$2:$D$2500))</f>
        <v>0</v>
      </c>
      <c r="AK46" s="75">
        <f t="array" ref="AK46">SUM((YEAR(Gastos!$A$2:$A$2500)=AK$1)*(MONTH(Gastos!$A$2:$A$2500)=AK$3)*(Gastos!$B$2:$B$2500=$A46)*(Gastos!$D$2:$D$2500))</f>
        <v>0</v>
      </c>
      <c r="AL46" s="75">
        <f t="array" ref="AL46">SUM((YEAR(Gastos!$A$2:$A$2500)=AL$1)*(MONTH(Gastos!$A$2:$A$2500)=AL$3)*(Gastos!$B$2:$B$2500=$A46)*(Gastos!$D$2:$D$2500))</f>
        <v>0</v>
      </c>
      <c r="AM46" s="75">
        <f t="array" ref="AM46">SUM((YEAR(Gastos!$A$2:$A$2500)=AM$1)*(MONTH(Gastos!$A$2:$A$2500)=AM$3)*(Gastos!$B$2:$B$2500=$A46)*(Gastos!$D$2:$D$2500))</f>
        <v>0</v>
      </c>
      <c r="AN46" s="75">
        <f t="array" ref="AN46">SUM((YEAR(Gastos!$A$2:$A$2500)=AN$1)*(MONTH(Gastos!$A$2:$A$2500)=AN$3)*(Gastos!$B$2:$B$2500=$A46)*(Gastos!$D$2:$D$2500))</f>
        <v>0</v>
      </c>
      <c r="AO46" s="75">
        <f t="array" ref="AO46">SUM((YEAR(Gastos!$A$2:$A$2500)=AO$1)*(MONTH(Gastos!$A$2:$A$2500)=AO$3)*(Gastos!$B$2:$B$2500=$A46)*(Gastos!$D$2:$D$2500))</f>
        <v>0</v>
      </c>
      <c r="AP46" s="75">
        <f t="array" ref="AP46">SUM((YEAR(Gastos!$A$2:$A$2500)=AP$1)*(MONTH(Gastos!$A$2:$A$2500)=AP$3)*(Gastos!$B$2:$B$2500=$A46)*(Gastos!$D$2:$D$2500))</f>
        <v>0</v>
      </c>
      <c r="AQ46" s="75">
        <f t="array" ref="AQ46">SUM((YEAR(Gastos!$A$2:$A$2500)=AQ$1)*(MONTH(Gastos!$A$2:$A$2500)=AQ$3)*(Gastos!$B$2:$B$2500=$A46)*(Gastos!$D$2:$D$2500))</f>
        <v>0</v>
      </c>
      <c r="AR46" s="75">
        <f t="array" ref="AR46">SUM((YEAR(Gastos!$A$2:$A$2500)=AR$1)*(MONTH(Gastos!$A$2:$A$2500)=AR$3)*(Gastos!$B$2:$B$2500=$A46)*(Gastos!$D$2:$D$2500))</f>
        <v>0</v>
      </c>
      <c r="AS46" s="75">
        <f t="array" ref="AS46">SUM((YEAR(Gastos!$A$2:$A$2500)=AS$1)*(MONTH(Gastos!$A$2:$A$2500)=AS$3)*(Gastos!$B$2:$B$2500=$A46)*(Gastos!$D$2:$D$2500))</f>
        <v>0</v>
      </c>
      <c r="AT46" s="75">
        <f t="array" ref="AT46">SUM((YEAR(Gastos!$A$2:$A$2500)=AT$1)*(MONTH(Gastos!$A$2:$A$2500)=AT$3)*(Gastos!$B$2:$B$2500=$A46)*(Gastos!$D$2:$D$2500))</f>
        <v>0</v>
      </c>
      <c r="AU46" s="75">
        <f t="array" ref="AU46">SUM((YEAR(Gastos!$A$2:$A$2500)=AU$1)*(MONTH(Gastos!$A$2:$A$2500)=AU$3)*(Gastos!$B$2:$B$2500=$A46)*(Gastos!$D$2:$D$2500))</f>
        <v>0</v>
      </c>
      <c r="AV46" s="75">
        <f t="array" ref="AV46">SUM((YEAR(Gastos!$A$2:$A$2500)=AV$1)*(MONTH(Gastos!$A$2:$A$2500)=AV$3)*(Gastos!$B$2:$B$2500=$A46)*(Gastos!$D$2:$D$2500))</f>
        <v>0</v>
      </c>
      <c r="AW46" s="75">
        <f t="array" ref="AW46">SUM((YEAR(Gastos!$A$2:$A$2500)=AW$1)*(MONTH(Gastos!$A$2:$A$2500)=AW$3)*(Gastos!$B$2:$B$2500=$A46)*(Gastos!$D$2:$D$2500))</f>
        <v>0</v>
      </c>
      <c r="AX46" s="75">
        <f t="array" ref="AX46">SUM((YEAR(Gastos!$A$2:$A$2500)=AX$1)*(MONTH(Gastos!$A$2:$A$2500)=AX$3)*(Gastos!$B$2:$B$2500=$A46)*(Gastos!$D$2:$D$2500))</f>
        <v>0</v>
      </c>
      <c r="AY46" s="75">
        <f t="array" ref="AY46">SUM((YEAR(Gastos!$A$2:$A$2500)=AY$1)*(MONTH(Gastos!$A$2:$A$2500)=AY$3)*(Gastos!$B$2:$B$2500=$A46)*(Gastos!$D$2:$D$2500))</f>
        <v>0</v>
      </c>
      <c r="AZ46" s="75">
        <f t="array" ref="AZ46">SUM((YEAR(Gastos!$A$2:$A$2500)=AZ$1)*(MONTH(Gastos!$A$2:$A$2500)=AZ$3)*(Gastos!$B$2:$B$2500=$A46)*(Gastos!$D$2:$D$2500))</f>
        <v>0</v>
      </c>
      <c r="BA46" s="75">
        <f t="array" ref="BA46">SUM((YEAR(Gastos!$A$2:$A$2500)=BA$1)*(MONTH(Gastos!$A$2:$A$2500)=BA$3)*(Gastos!$B$2:$B$2500=$A46)*(Gastos!$D$2:$D$2500))</f>
        <v>0</v>
      </c>
      <c r="BB46" s="75">
        <f t="array" ref="BB46">SUM((YEAR(Gastos!$A$2:$A$2500)=BB$1)*(MONTH(Gastos!$A$2:$A$2500)=BB$3)*(Gastos!$B$2:$B$2500=$A46)*(Gastos!$D$2:$D$2500))</f>
        <v>0</v>
      </c>
      <c r="BC46" s="75">
        <f t="array" ref="BC46">SUM((YEAR(Gastos!$A$2:$A$2500)=BC$1)*(MONTH(Gastos!$A$2:$A$2500)=BC$3)*(Gastos!$B$2:$B$2500=$A46)*(Gastos!$D$2:$D$2500))</f>
        <v>0</v>
      </c>
      <c r="BD46" s="75">
        <f t="array" ref="BD46">SUM((YEAR(Gastos!$A$2:$A$2500)=BD$1)*(MONTH(Gastos!$A$2:$A$2500)=BD$3)*(Gastos!$B$2:$B$2500=$A46)*(Gastos!$D$2:$D$2500))</f>
        <v>0</v>
      </c>
      <c r="BE46" s="75">
        <f t="array" ref="BE46">SUM((YEAR(Gastos!$A$2:$A$2500)=BE$1)*(MONTH(Gastos!$A$2:$A$2500)=BE$3)*(Gastos!$B$2:$B$2500=$A46)*(Gastos!$D$2:$D$2500))</f>
        <v>0</v>
      </c>
      <c r="BF46" s="75">
        <f t="array" ref="BF46">SUM((YEAR(Gastos!$A$2:$A$2500)=BF$1)*(MONTH(Gastos!$A$2:$A$2500)=BF$3)*(Gastos!$B$2:$B$2500=$A46)*(Gastos!$D$2:$D$2500))</f>
        <v>0</v>
      </c>
      <c r="BG46" s="75">
        <f t="array" ref="BG46">SUM((YEAR(Gastos!$A$2:$A$2500)=BG$1)*(MONTH(Gastos!$A$2:$A$2500)=BG$3)*(Gastos!$B$2:$B$2500=$A46)*(Gastos!$D$2:$D$2500))</f>
        <v>0</v>
      </c>
      <c r="BH46" s="75">
        <f t="array" ref="BH46">SUM((YEAR(Gastos!$A$2:$A$2500)=BH$1)*(MONTH(Gastos!$A$2:$A$2500)=BH$3)*(Gastos!$B$2:$B$2500=$A46)*(Gastos!$D$2:$D$2500))</f>
        <v>0</v>
      </c>
      <c r="BI46" s="75">
        <f t="array" ref="BI46">SUM((YEAR(Gastos!$A$2:$A$2500)=BI$1)*(MONTH(Gastos!$A$2:$A$2500)=BI$3)*(Gastos!$B$2:$B$2500=$A46)*(Gastos!$D$2:$D$2500))</f>
        <v>0</v>
      </c>
      <c r="BJ46" s="75">
        <f t="array" ref="BJ46">SUM((YEAR(Gastos!$A$2:$A$2500)=BJ$1)*(MONTH(Gastos!$A$2:$A$2500)=BJ$3)*(Gastos!$B$2:$B$2500=$A46)*(Gastos!$D$2:$D$2500))</f>
        <v>0</v>
      </c>
      <c r="BK46" s="75">
        <f t="array" ref="BK46">SUM((YEAR(Gastos!$A$2:$A$2500)=BK$1)*(MONTH(Gastos!$A$2:$A$2500)=BK$3)*(Gastos!$B$2:$B$2500=$A46)*(Gastos!$D$2:$D$2500))</f>
        <v>0</v>
      </c>
      <c r="BL46" s="75">
        <f t="array" ref="BL46">SUM((YEAR(Gastos!$A$2:$A$2500)=BL$1)*(MONTH(Gastos!$A$2:$A$2500)=BL$3)*(Gastos!$B$2:$B$2500=$A46)*(Gastos!$D$2:$D$2500))</f>
        <v>0</v>
      </c>
      <c r="BM46" s="75">
        <f t="array" ref="BM46">SUM((YEAR(Gastos!$A$2:$A$2500)=BM$1)*(MONTH(Gastos!$A$2:$A$2500)=BM$3)*(Gastos!$B$2:$B$2500=$A46)*(Gastos!$D$2:$D$2500))</f>
        <v>0</v>
      </c>
      <c r="BN46" s="75">
        <f t="array" ref="BN46">SUM((YEAR(Gastos!$A$2:$A$2500)=BN$1)*(MONTH(Gastos!$A$2:$A$2500)=BN$3)*(Gastos!$B$2:$B$2500=$A46)*(Gastos!$D$2:$D$2500))</f>
        <v>0</v>
      </c>
      <c r="BO46" s="75">
        <f t="array" ref="BO46">SUM((YEAR(Gastos!$A$2:$A$2500)=BO$1)*(MONTH(Gastos!$A$2:$A$2500)=BO$3)*(Gastos!$B$2:$B$2500=$A46)*(Gastos!$D$2:$D$2500))</f>
        <v>0</v>
      </c>
      <c r="BP46" s="75">
        <f t="array" ref="BP46">SUM((YEAR(Gastos!$A$2:$A$2500)=BP$1)*(MONTH(Gastos!$A$2:$A$2500)=BP$3)*(Gastos!$B$2:$B$2500=$A46)*(Gastos!$D$2:$D$2500))</f>
        <v>0</v>
      </c>
      <c r="BQ46" s="75">
        <f t="array" ref="BQ46">SUM((YEAR(Gastos!$A$2:$A$2500)=BQ$1)*(MONTH(Gastos!$A$2:$A$2500)=BQ$3)*(Gastos!$B$2:$B$2500=$A46)*(Gastos!$D$2:$D$2500))</f>
        <v>0</v>
      </c>
      <c r="BR46" s="75">
        <f t="array" ref="BR46">SUM((YEAR(Gastos!$A$2:$A$2500)=BR$1)*(MONTH(Gastos!$A$2:$A$2500)=BR$3)*(Gastos!$B$2:$B$2500=$A46)*(Gastos!$D$2:$D$2500))</f>
        <v>0</v>
      </c>
      <c r="BS46" s="75">
        <f t="array" ref="BS46">SUM((YEAR(Gastos!$A$2:$A$2500)=BS$1)*(MONTH(Gastos!$A$2:$A$2500)=BS$3)*(Gastos!$B$2:$B$2500=$A46)*(Gastos!$D$2:$D$2500))</f>
        <v>0</v>
      </c>
      <c r="BT46" s="75">
        <f t="array" ref="BT46">SUM((YEAR(Gastos!$A$2:$A$2500)=BT$1)*(MONTH(Gastos!$A$2:$A$2500)=BT$3)*(Gastos!$B$2:$B$2500=$A46)*(Gastos!$D$2:$D$2500))</f>
        <v>0</v>
      </c>
      <c r="BU46" s="75">
        <f t="array" ref="BU46">SUM((YEAR(Gastos!$A$2:$A$2500)=BU$1)*(MONTH(Gastos!$A$2:$A$2500)=BU$3)*(Gastos!$B$2:$B$2500=$A46)*(Gastos!$D$2:$D$2500))</f>
        <v>0</v>
      </c>
      <c r="BV46" s="75">
        <f t="array" ref="BV46">SUM((YEAR(Gastos!$A$2:$A$2500)=BV$1)*(MONTH(Gastos!$A$2:$A$2500)=BV$3)*(Gastos!$B$2:$B$2500=$A46)*(Gastos!$D$2:$D$2500))</f>
        <v>0</v>
      </c>
      <c r="BW46" s="75">
        <f t="array" ref="BW46">SUM((YEAR(Gastos!$A$2:$A$2500)=BW$1)*(MONTH(Gastos!$A$2:$A$2500)=BW$3)*(Gastos!$B$2:$B$2500=$A46)*(Gastos!$D$2:$D$2500))</f>
        <v>0</v>
      </c>
      <c r="BX46" s="75">
        <f t="array" ref="BX46">SUM((YEAR(Gastos!$A$2:$A$2500)=BX$1)*(MONTH(Gastos!$A$2:$A$2500)=BX$3)*(Gastos!$B$2:$B$2500=$A46)*(Gastos!$D$2:$D$2500))</f>
        <v>0</v>
      </c>
      <c r="BY46" s="75">
        <f t="array" ref="BY46">SUM((YEAR(Gastos!$A$2:$A$2500)=BY$1)*(MONTH(Gastos!$A$2:$A$2500)=BY$3)*(Gastos!$B$2:$B$2500=$A46)*(Gastos!$D$2:$D$2500))</f>
        <v>0</v>
      </c>
      <c r="BZ46" s="75">
        <f t="array" ref="BZ46">SUM((YEAR(Gastos!$A$2:$A$2500)=BZ$1)*(MONTH(Gastos!$A$2:$A$2500)=BZ$3)*(Gastos!$B$2:$B$2500=$A46)*(Gastos!$D$2:$D$2500))</f>
        <v>0</v>
      </c>
      <c r="CA46" s="75">
        <f t="array" ref="CA46">SUM((YEAR(Gastos!$A$2:$A$2500)=CA$1)*(MONTH(Gastos!$A$2:$A$2500)=CA$3)*(Gastos!$B$2:$B$2500=$A46)*(Gastos!$D$2:$D$2500))</f>
        <v>0</v>
      </c>
      <c r="CB46" s="75">
        <f t="array" ref="CB46">SUM((YEAR(Gastos!$A$2:$A$2500)=CB$1)*(MONTH(Gastos!$A$2:$A$2500)=CB$3)*(Gastos!$B$2:$B$2500=$A46)*(Gastos!$D$2:$D$2500))</f>
        <v>0</v>
      </c>
      <c r="CC46" s="75">
        <f t="array" ref="CC46">SUM((YEAR(Gastos!$A$2:$A$2500)=CC$1)*(MONTH(Gastos!$A$2:$A$2500)=CC$3)*(Gastos!$B$2:$B$2500=$A46)*(Gastos!$D$2:$D$2500))</f>
        <v>0</v>
      </c>
      <c r="CD46" s="75">
        <f t="array" ref="CD46">SUM((YEAR(Gastos!$A$2:$A$2500)=CD$1)*(MONTH(Gastos!$A$2:$A$2500)=CD$3)*(Gastos!$B$2:$B$2500=$A46)*(Gastos!$D$2:$D$2500))</f>
        <v>0</v>
      </c>
      <c r="CE46" s="75">
        <f t="array" ref="CE46">SUM((YEAR(Gastos!$A$2:$A$2500)=CE$1)*(MONTH(Gastos!$A$2:$A$2500)=CE$3)*(Gastos!$B$2:$B$2500=$A46)*(Gastos!$D$2:$D$2500))</f>
        <v>0</v>
      </c>
      <c r="CF46" s="75">
        <f t="array" ref="CF46">SUM((YEAR(Gastos!$A$2:$A$2500)=CF$1)*(MONTH(Gastos!$A$2:$A$2500)=CF$3)*(Gastos!$B$2:$B$2500=$A46)*(Gastos!$D$2:$D$2500))</f>
        <v>0</v>
      </c>
      <c r="CG46" s="75">
        <f t="array" ref="CG46">SUM((YEAR(Gastos!$A$2:$A$2500)=CG$1)*(MONTH(Gastos!$A$2:$A$2500)=CG$3)*(Gastos!$B$2:$B$2500=$A46)*(Gastos!$D$2:$D$2500))</f>
        <v>0</v>
      </c>
      <c r="CH46" s="75">
        <f t="array" ref="CH46">SUM((YEAR(Gastos!$A$2:$A$2500)=CH$1)*(MONTH(Gastos!$A$2:$A$2500)=CH$3)*(Gastos!$B$2:$B$2500=$A46)*(Gastos!$D$2:$D$2500))</f>
        <v>0</v>
      </c>
      <c r="CI46" s="75">
        <f t="array" ref="CI46">SUM((YEAR(Gastos!$A$2:$A$2500)=CI$1)*(MONTH(Gastos!$A$2:$A$2500)=CI$3)*(Gastos!$B$2:$B$2500=$A46)*(Gastos!$D$2:$D$2500))</f>
        <v>0</v>
      </c>
      <c r="CJ46" s="75">
        <f t="array" ref="CJ46">SUM((YEAR(Gastos!$A$2:$A$2500)=CJ$1)*(MONTH(Gastos!$A$2:$A$2500)=CJ$3)*(Gastos!$B$2:$B$2500=$A46)*(Gastos!$D$2:$D$2500))</f>
        <v>0</v>
      </c>
      <c r="CK46" s="75">
        <f t="array" ref="CK46">SUM((YEAR(Gastos!$A$2:$A$2500)=CK$1)*(MONTH(Gastos!$A$2:$A$2500)=CK$3)*(Gastos!$B$2:$B$2500=$A46)*(Gastos!$D$2:$D$2500))</f>
        <v>0</v>
      </c>
      <c r="CL46" s="75">
        <f t="array" ref="CL46">SUM((YEAR(Gastos!$A$2:$A$2500)=CL$1)*(MONTH(Gastos!$A$2:$A$2500)=CL$3)*(Gastos!$B$2:$B$2500=$A46)*(Gastos!$D$2:$D$2500))</f>
        <v>0</v>
      </c>
      <c r="CM46" s="75">
        <f t="array" ref="CM46">SUM((YEAR(Gastos!$A$2:$A$2500)=CM$1)*(MONTH(Gastos!$A$2:$A$2500)=CM$3)*(Gastos!$B$2:$B$2500=$A46)*(Gastos!$D$2:$D$2500))</f>
        <v>0</v>
      </c>
      <c r="CN46" s="75">
        <f t="array" ref="CN46">SUM((YEAR(Gastos!$A$2:$A$2500)=CN$1)*(MONTH(Gastos!$A$2:$A$2500)=CN$3)*(Gastos!$B$2:$B$2500=$A46)*(Gastos!$D$2:$D$2500))</f>
        <v>0</v>
      </c>
      <c r="CO46" s="75">
        <f t="array" ref="CO46">SUM((YEAR(Gastos!$A$2:$A$2500)=CO$1)*(MONTH(Gastos!$A$2:$A$2500)=CO$3)*(Gastos!$B$2:$B$2500=$A46)*(Gastos!$D$2:$D$2500))</f>
        <v>0</v>
      </c>
      <c r="CP46" s="75">
        <f t="array" ref="CP46">SUM((YEAR(Gastos!$A$2:$A$2500)=CP$1)*(MONTH(Gastos!$A$2:$A$2500)=CP$3)*(Gastos!$B$2:$B$2500=$A46)*(Gastos!$D$2:$D$2500))</f>
        <v>0</v>
      </c>
      <c r="CQ46" s="75">
        <f t="array" ref="CQ46">SUM((YEAR(Gastos!$A$2:$A$2500)=CQ$1)*(MONTH(Gastos!$A$2:$A$2500)=CQ$3)*(Gastos!$B$2:$B$2500=$A46)*(Gastos!$D$2:$D$2500))</f>
        <v>0</v>
      </c>
      <c r="CR46" s="75">
        <f t="array" ref="CR46">SUM((YEAR(Gastos!$A$2:$A$2500)=CR$1)*(MONTH(Gastos!$A$2:$A$2500)=CR$3)*(Gastos!$B$2:$B$2500=$A46)*(Gastos!$D$2:$D$2500))</f>
        <v>0</v>
      </c>
      <c r="CS46" s="75">
        <f t="array" ref="CS46">SUM((YEAR(Gastos!$A$2:$A$2500)=CS$1)*(MONTH(Gastos!$A$2:$A$2500)=CS$3)*(Gastos!$B$2:$B$2500=$A46)*(Gastos!$D$2:$D$2500))</f>
        <v>0</v>
      </c>
      <c r="CT46" s="75">
        <f t="array" ref="CT46">SUM((YEAR(Gastos!$A$2:$A$2500)=CT$1)*(MONTH(Gastos!$A$2:$A$2500)=CT$3)*(Gastos!$B$2:$B$2500=$A46)*(Gastos!$D$2:$D$2500))</f>
        <v>0</v>
      </c>
      <c r="CU46" s="75">
        <f t="array" ref="CU46">SUM((YEAR(Gastos!$A$2:$A$2500)=CU$1)*(MONTH(Gastos!$A$2:$A$2500)=CU$3)*(Gastos!$B$2:$B$2500=$A46)*(Gastos!$D$2:$D$2500))</f>
        <v>0</v>
      </c>
      <c r="CV46" s="75">
        <f t="array" ref="CV46">SUM((YEAR(Gastos!$A$2:$A$2500)=CV$1)*(MONTH(Gastos!$A$2:$A$2500)=CV$3)*(Gastos!$B$2:$B$2500=$A46)*(Gastos!$D$2:$D$2500))</f>
        <v>0</v>
      </c>
      <c r="CW46" s="75">
        <f t="array" ref="CW46">SUM((YEAR(Gastos!$A$2:$A$2500)=CW$1)*(MONTH(Gastos!$A$2:$A$2500)=CW$3)*(Gastos!$B$2:$B$2500=$A46)*(Gastos!$D$2:$D$2500))</f>
        <v>0</v>
      </c>
      <c r="CX46" s="75">
        <f t="array" ref="CX46">SUM((YEAR(Gastos!$A$2:$A$2500)=CX$1)*(MONTH(Gastos!$A$2:$A$2500)=CX$3)*(Gastos!$B$2:$B$2500=$A46)*(Gastos!$D$2:$D$2500))</f>
        <v>0</v>
      </c>
      <c r="CY46" s="75">
        <f t="array" ref="CY46">SUM((YEAR(Gastos!$A$2:$A$2500)=CY$1)*(MONTH(Gastos!$A$2:$A$2500)=CY$3)*(Gastos!$B$2:$B$2500=$A46)*(Gastos!$D$2:$D$2500))</f>
        <v>0</v>
      </c>
      <c r="CZ46" s="75">
        <f t="array" ref="CZ46">SUM((YEAR(Gastos!$A$2:$A$2500)=CZ$1)*(MONTH(Gastos!$A$2:$A$2500)=CZ$3)*(Gastos!$B$2:$B$2500=$A46)*(Gastos!$D$2:$D$2500))</f>
        <v>0</v>
      </c>
      <c r="DA46" s="75">
        <f t="array" ref="DA46">SUM((YEAR(Gastos!$A$2:$A$2500)=DA$1)*(MONTH(Gastos!$A$2:$A$2500)=DA$3)*(Gastos!$B$2:$B$2500=$A46)*(Gastos!$D$2:$D$2500))</f>
        <v>0</v>
      </c>
      <c r="DB46" s="75">
        <f t="array" ref="DB46">SUM((YEAR(Gastos!$A$2:$A$2500)=DB$1)*(MONTH(Gastos!$A$2:$A$2500)=DB$3)*(Gastos!$B$2:$B$2500=$A46)*(Gastos!$D$2:$D$2500))</f>
        <v>0</v>
      </c>
      <c r="DC46" s="75">
        <f t="array" ref="DC46">SUM((YEAR(Gastos!$A$2:$A$2500)=DC$1)*(MONTH(Gastos!$A$2:$A$2500)=DC$3)*(Gastos!$B$2:$B$2500=$A46)*(Gastos!$D$2:$D$2500))</f>
        <v>0</v>
      </c>
      <c r="DD46" s="75">
        <f t="array" ref="DD46">SUM((YEAR(Gastos!$A$2:$A$2500)=DD$1)*(MONTH(Gastos!$A$2:$A$2500)=DD$3)*(Gastos!$B$2:$B$2500=$A46)*(Gastos!$D$2:$D$2500))</f>
        <v>0</v>
      </c>
      <c r="DE46" s="75">
        <f t="array" ref="DE46">SUM((YEAR(Gastos!$A$2:$A$2500)=DE$1)*(MONTH(Gastos!$A$2:$A$2500)=DE$3)*(Gastos!$B$2:$B$2500=$A46)*(Gastos!$D$2:$D$2500))</f>
        <v>0</v>
      </c>
      <c r="DF46" s="75">
        <f t="array" ref="DF46">SUM((YEAR(Gastos!$A$2:$A$2500)=DF$1)*(MONTH(Gastos!$A$2:$A$2500)=DF$3)*(Gastos!$B$2:$B$2500=$A46)*(Gastos!$D$2:$D$2500))</f>
        <v>0</v>
      </c>
      <c r="DG46" s="75">
        <f t="array" ref="DG46">SUM((YEAR(Gastos!$A$2:$A$2500)=DG$1)*(MONTH(Gastos!$A$2:$A$2500)=DG$3)*(Gastos!$B$2:$B$2500=$A46)*(Gastos!$D$2:$D$2500))</f>
        <v>0</v>
      </c>
      <c r="DH46" s="75">
        <f t="array" ref="DH46">SUM((YEAR(Gastos!$A$2:$A$2500)=DH$1)*(MONTH(Gastos!$A$2:$A$2500)=DH$3)*(Gastos!$B$2:$B$2500=$A46)*(Gastos!$D$2:$D$2500))</f>
        <v>0</v>
      </c>
      <c r="DI46" s="75">
        <f t="array" ref="DI46">SUM((YEAR(Gastos!$A$2:$A$2500)=DI$1)*(MONTH(Gastos!$A$2:$A$2500)=DI$3)*(Gastos!$B$2:$B$2500=$A46)*(Gastos!$D$2:$D$2500))</f>
        <v>0</v>
      </c>
      <c r="DJ46" s="75">
        <f t="array" ref="DJ46">SUM((YEAR(Gastos!$A$2:$A$2500)=DJ$1)*(MONTH(Gastos!$A$2:$A$2500)=DJ$3)*(Gastos!$B$2:$B$2500=$A46)*(Gastos!$D$2:$D$2500))</f>
        <v>0</v>
      </c>
      <c r="DK46" s="75">
        <f t="array" ref="DK46">SUM((YEAR(Gastos!$A$2:$A$2500)=DK$1)*(MONTH(Gastos!$A$2:$A$2500)=DK$3)*(Gastos!$B$2:$B$2500=$A46)*(Gastos!$D$2:$D$2500))</f>
        <v>0</v>
      </c>
      <c r="DL46" s="75">
        <f t="array" ref="DL46">SUM((YEAR(Gastos!$A$2:$A$2500)=DL$1)*(MONTH(Gastos!$A$2:$A$2500)=DL$3)*(Gastos!$B$2:$B$2500=$A46)*(Gastos!$D$2:$D$2500))</f>
        <v>0</v>
      </c>
      <c r="DM46" s="75">
        <f t="array" ref="DM46">SUM((YEAR(Gastos!$A$2:$A$2500)=DM$1)*(MONTH(Gastos!$A$2:$A$2500)=DM$3)*(Gastos!$B$2:$B$2500=$A46)*(Gastos!$D$2:$D$2500))</f>
        <v>0</v>
      </c>
      <c r="DN46" s="75">
        <f t="array" ref="DN46">SUM((YEAR(Gastos!$A$2:$A$2500)=DN$1)*(MONTH(Gastos!$A$2:$A$2500)=DN$3)*(Gastos!$B$2:$B$2500=$A46)*(Gastos!$D$2:$D$2500))</f>
        <v>0</v>
      </c>
      <c r="DO46" s="75">
        <f t="array" ref="DO46">SUM((YEAR(Gastos!$A$2:$A$2500)=DO$1)*(MONTH(Gastos!$A$2:$A$2500)=DO$3)*(Gastos!$B$2:$B$2500=$A46)*(Gastos!$D$2:$D$2500))</f>
        <v>0</v>
      </c>
      <c r="DP46" s="75">
        <f t="array" ref="DP46">SUM((YEAR(Gastos!$A$2:$A$2500)=DP$1)*(MONTH(Gastos!$A$2:$A$2500)=DP$3)*(Gastos!$B$2:$B$2500=$A46)*(Gastos!$D$2:$D$2500))</f>
        <v>0</v>
      </c>
      <c r="DQ46" s="75">
        <f t="array" ref="DQ46">SUM((YEAR(Gastos!$A$2:$A$2500)=DQ$1)*(MONTH(Gastos!$A$2:$A$2500)=DQ$3)*(Gastos!$B$2:$B$2500=$A46)*(Gastos!$D$2:$D$2500))</f>
        <v>0</v>
      </c>
      <c r="DR46" s="75">
        <f t="array" ref="DR46">SUM((YEAR(Gastos!$A$2:$A$2500)=DR$1)*(MONTH(Gastos!$A$2:$A$2500)=DR$3)*(Gastos!$B$2:$B$2500=$A46)*(Gastos!$D$2:$D$2500))</f>
        <v>0</v>
      </c>
      <c r="DS46" s="75">
        <f t="array" ref="DS46">SUM((YEAR(Gastos!$A$2:$A$2500)=DS$1)*(MONTH(Gastos!$A$2:$A$2500)=DS$3)*(Gastos!$B$2:$B$2500=$A46)*(Gastos!$D$2:$D$2500))</f>
        <v>0</v>
      </c>
      <c r="DT46" s="75">
        <f t="array" ref="DT46">SUM((YEAR(Gastos!$A$2:$A$2500)=DT$1)*(MONTH(Gastos!$A$2:$A$2500)=DT$3)*(Gastos!$B$2:$B$2500=$A46)*(Gastos!$D$2:$D$2500))</f>
        <v>0</v>
      </c>
      <c r="DU46" s="75">
        <f t="array" ref="DU46">SUM((YEAR(Gastos!$A$2:$A$2500)=DU$1)*(MONTH(Gastos!$A$2:$A$2500)=DU$3)*(Gastos!$B$2:$B$2500=$A46)*(Gastos!$D$2:$D$2500))</f>
        <v>0</v>
      </c>
      <c r="DV46" s="75">
        <f t="array" ref="DV46">SUM((YEAR(Gastos!$A$2:$A$2500)=DV$1)*(MONTH(Gastos!$A$2:$A$2500)=DV$3)*(Gastos!$B$2:$B$2500=$A46)*(Gastos!$D$2:$D$2500))</f>
        <v>0</v>
      </c>
      <c r="DW46" s="75">
        <f t="array" ref="DW46">SUM((YEAR(Gastos!$A$2:$A$2500)=DW$1)*(MONTH(Gastos!$A$2:$A$2500)=DW$3)*(Gastos!$B$2:$B$2500=$A46)*(Gastos!$D$2:$D$2500))</f>
        <v>0</v>
      </c>
      <c r="DX46" s="75">
        <f t="array" ref="DX46">SUM((YEAR(Gastos!$A$2:$A$2500)=DX$1)*(MONTH(Gastos!$A$2:$A$2500)=DX$3)*(Gastos!$B$2:$B$2500=$A46)*(Gastos!$D$2:$D$2500))</f>
        <v>0</v>
      </c>
      <c r="DY46" s="75">
        <f t="array" ref="DY46">SUM((YEAR(Gastos!$A$2:$A$2500)=DY$1)*(MONTH(Gastos!$A$2:$A$2500)=DY$3)*(Gastos!$B$2:$B$2500=$A46)*(Gastos!$D$2:$D$2500))</f>
        <v>0</v>
      </c>
      <c r="DZ46" s="75">
        <f t="array" ref="DZ46">SUM((YEAR(Gastos!$A$2:$A$2500)=DZ$1)*(MONTH(Gastos!$A$2:$A$2500)=DZ$3)*(Gastos!$B$2:$B$2500=$A46)*(Gastos!$D$2:$D$2500))</f>
        <v>0</v>
      </c>
      <c r="EA46" s="75">
        <f t="array" ref="EA46">SUM((YEAR(Gastos!$A$2:$A$2500)=EA$1)*(MONTH(Gastos!$A$2:$A$2500)=EA$3)*(Gastos!$B$2:$B$2500=$A46)*(Gastos!$D$2:$D$2500))</f>
        <v>0</v>
      </c>
      <c r="EB46" s="75">
        <f t="array" ref="EB46">SUM((YEAR(Gastos!$A$2:$A$2500)=EB$1)*(MONTH(Gastos!$A$2:$A$2500)=EB$3)*(Gastos!$B$2:$B$2500=$A46)*(Gastos!$D$2:$D$2500))</f>
        <v>0</v>
      </c>
      <c r="EC46" s="75">
        <f t="array" ref="EC46">SUM((YEAR(Gastos!$A$2:$A$2500)=EC$1)*(MONTH(Gastos!$A$2:$A$2500)=EC$3)*(Gastos!$B$2:$B$2500=$A46)*(Gastos!$D$2:$D$2500))</f>
        <v>0</v>
      </c>
      <c r="ED46" s="75">
        <f t="array" ref="ED46">SUM((YEAR(Gastos!$A$2:$A$2500)=ED$1)*(MONTH(Gastos!$A$2:$A$2500)=ED$3)*(Gastos!$B$2:$B$2500=$A46)*(Gastos!$D$2:$D$2500))</f>
        <v>0</v>
      </c>
      <c r="EE46" s="75">
        <f t="array" ref="EE46">SUM((YEAR(Gastos!$A$2:$A$2500)=EE$1)*(MONTH(Gastos!$A$2:$A$2500)=EE$3)*(Gastos!$B$2:$B$2500=$A46)*(Gastos!$D$2:$D$2500))</f>
        <v>0</v>
      </c>
      <c r="EF46" s="75">
        <f t="array" ref="EF46">SUM((YEAR(Gastos!$A$2:$A$2500)=EF$1)*(MONTH(Gastos!$A$2:$A$2500)=EF$3)*(Gastos!$B$2:$B$2500=$A46)*(Gastos!$D$2:$D$2500))</f>
        <v>0</v>
      </c>
      <c r="EG46" s="75">
        <f t="array" ref="EG46">SUM((YEAR(Gastos!$A$2:$A$2500)=EG$1)*(MONTH(Gastos!$A$2:$A$2500)=EG$3)*(Gastos!$B$2:$B$2500=$A46)*(Gastos!$D$2:$D$2500))</f>
        <v>0</v>
      </c>
      <c r="EH46" s="75">
        <f t="array" ref="EH46">SUM((YEAR(Gastos!$A$2:$A$2500)=EH$1)*(MONTH(Gastos!$A$2:$A$2500)=EH$3)*(Gastos!$B$2:$B$2500=$A46)*(Gastos!$D$2:$D$2500))</f>
        <v>0</v>
      </c>
      <c r="EI46" s="75">
        <f t="array" ref="EI46">SUM((YEAR(Gastos!$A$2:$A$2500)=EI$1)*(MONTH(Gastos!$A$2:$A$2500)=EI$3)*(Gastos!$B$2:$B$2500=$A46)*(Gastos!$D$2:$D$2500))</f>
        <v>0</v>
      </c>
      <c r="EJ46" s="75">
        <f t="array" ref="EJ46">SUM((YEAR(Gastos!$A$2:$A$2500)=EJ$1)*(MONTH(Gastos!$A$2:$A$2500)=EJ$3)*(Gastos!$B$2:$B$2500=$A46)*(Gastos!$D$2:$D$2500))</f>
        <v>0</v>
      </c>
      <c r="EK46" s="75">
        <f t="array" ref="EK46">SUM((YEAR(Gastos!$A$2:$A$2500)=EK$1)*(MONTH(Gastos!$A$2:$A$2500)=EK$3)*(Gastos!$B$2:$B$2500=$A46)*(Gastos!$D$2:$D$2500))</f>
        <v>0</v>
      </c>
      <c r="EL46" s="75">
        <f t="array" ref="EL46">SUM((YEAR(Gastos!$A$2:$A$2500)=EL$1)*(MONTH(Gastos!$A$2:$A$2500)=EL$3)*(Gastos!$B$2:$B$2500=$A46)*(Gastos!$D$2:$D$2500))</f>
        <v>0</v>
      </c>
      <c r="EM46" s="75">
        <f t="array" ref="EM46">SUM((YEAR(Gastos!$A$2:$A$2500)=EM$1)*(MONTH(Gastos!$A$2:$A$2500)=EM$3)*(Gastos!$B$2:$B$2500=$A46)*(Gastos!$D$2:$D$2500))</f>
        <v>0</v>
      </c>
      <c r="EN46" s="75">
        <f t="array" ref="EN46">SUM((YEAR(Gastos!$A$2:$A$2500)=EN$1)*(MONTH(Gastos!$A$2:$A$2500)=EN$3)*(Gastos!$B$2:$B$2500=$A46)*(Gastos!$D$2:$D$2500))</f>
        <v>0</v>
      </c>
      <c r="EO46" s="75">
        <f t="array" ref="EO46">SUM((YEAR(Gastos!$A$2:$A$2500)=EO$1)*(MONTH(Gastos!$A$2:$A$2500)=EO$3)*(Gastos!$B$2:$B$2500=$A46)*(Gastos!$D$2:$D$2500))</f>
        <v>0</v>
      </c>
      <c r="EP46" s="75">
        <f t="array" ref="EP46">SUM((YEAR(Gastos!$A$2:$A$2500)=EP$1)*(MONTH(Gastos!$A$2:$A$2500)=EP$3)*(Gastos!$B$2:$B$2500=$A46)*(Gastos!$D$2:$D$2500))</f>
        <v>0</v>
      </c>
      <c r="EQ46" s="75">
        <f t="array" ref="EQ46">SUM((YEAR(Gastos!$A$2:$A$2500)=EQ$1)*(MONTH(Gastos!$A$2:$A$2500)=EQ$3)*(Gastos!$B$2:$B$2500=$A46)*(Gastos!$D$2:$D$2500))</f>
        <v>0</v>
      </c>
      <c r="ER46" s="75">
        <f t="array" ref="ER46">SUM((YEAR(Gastos!$A$2:$A$2500)=ER$1)*(MONTH(Gastos!$A$2:$A$2500)=ER$3)*(Gastos!$B$2:$B$2500=$A46)*(Gastos!$D$2:$D$2500))</f>
        <v>0</v>
      </c>
      <c r="ES46" s="75">
        <f t="array" ref="ES46">SUM((YEAR(Gastos!$A$2:$A$2500)=ES$1)*(MONTH(Gastos!$A$2:$A$2500)=ES$3)*(Gastos!$B$2:$B$2500=$A46)*(Gastos!$D$2:$D$2500))</f>
        <v>0</v>
      </c>
      <c r="ET46" s="75">
        <f t="array" ref="ET46">SUM((YEAR(Gastos!$A$2:$A$2500)=ET$1)*(MONTH(Gastos!$A$2:$A$2500)=ET$3)*(Gastos!$B$2:$B$2500=$A46)*(Gastos!$D$2:$D$2500))</f>
        <v>0</v>
      </c>
      <c r="EU46" s="75">
        <f t="array" ref="EU46">SUM((YEAR(Gastos!$A$2:$A$2500)=EU$1)*(MONTH(Gastos!$A$2:$A$2500)=EU$3)*(Gastos!$B$2:$B$2500=$A46)*(Gastos!$D$2:$D$2500))</f>
        <v>0</v>
      </c>
      <c r="EV46" s="75">
        <f t="array" ref="EV46">SUM((YEAR(Gastos!$A$2:$A$2500)=EV$1)*(MONTH(Gastos!$A$2:$A$2500)=EV$3)*(Gastos!$B$2:$B$2500=$A46)*(Gastos!$D$2:$D$2500))</f>
        <v>0</v>
      </c>
      <c r="EW46" s="75">
        <f t="array" ref="EW46">SUM((YEAR(Gastos!$A$2:$A$2500)=EW$1)*(MONTH(Gastos!$A$2:$A$2500)=EW$3)*(Gastos!$B$2:$B$2500=$A46)*(Gastos!$D$2:$D$2500))</f>
        <v>0</v>
      </c>
      <c r="EX46" s="75">
        <f t="array" ref="EX46">SUM((YEAR(Gastos!$A$2:$A$2500)=EX$1)*(MONTH(Gastos!$A$2:$A$2500)=EX$3)*(Gastos!$B$2:$B$2500=$A46)*(Gastos!$D$2:$D$2500))</f>
        <v>0</v>
      </c>
      <c r="EY46" s="75">
        <f t="array" ref="EY46">SUM((YEAR(Gastos!$A$2:$A$2500)=EY$1)*(MONTH(Gastos!$A$2:$A$2500)=EY$3)*(Gastos!$B$2:$B$2500=$A46)*(Gastos!$D$2:$D$2500))</f>
        <v>0</v>
      </c>
      <c r="EZ46" s="75">
        <f t="array" ref="EZ46">SUM((YEAR(Gastos!$A$2:$A$2500)=EZ$1)*(MONTH(Gastos!$A$2:$A$2500)=EZ$3)*(Gastos!$B$2:$B$2500=$A46)*(Gastos!$D$2:$D$2500))</f>
        <v>0</v>
      </c>
      <c r="FA46" s="75">
        <f t="array" ref="FA46">SUM((YEAR(Gastos!$A$2:$A$2500)=FA$1)*(MONTH(Gastos!$A$2:$A$2500)=FA$3)*(Gastos!$B$2:$B$2500=$A46)*(Gastos!$D$2:$D$2500))</f>
        <v>0</v>
      </c>
      <c r="FB46" s="75">
        <f t="array" ref="FB46">SUM((YEAR(Gastos!$A$2:$A$2500)=FB$1)*(MONTH(Gastos!$A$2:$A$2500)=FB$3)*(Gastos!$B$2:$B$2500=$A46)*(Gastos!$D$2:$D$2500))</f>
        <v>0</v>
      </c>
      <c r="FC46" s="75">
        <f t="array" ref="FC46">SUM((YEAR(Gastos!$A$2:$A$2500)=FC$1)*(MONTH(Gastos!$A$2:$A$2500)=FC$3)*(Gastos!$B$2:$B$2500=$A46)*(Gastos!$D$2:$D$2500))</f>
        <v>0</v>
      </c>
      <c r="FD46" s="75">
        <f t="array" ref="FD46">SUM((YEAR(Gastos!$A$2:$A$2500)=FD$1)*(MONTH(Gastos!$A$2:$A$2500)=FD$3)*(Gastos!$B$2:$B$2500=$A46)*(Gastos!$D$2:$D$2500))</f>
        <v>0</v>
      </c>
      <c r="FE46" s="75">
        <f t="array" ref="FE46">SUM((YEAR(Gastos!$A$2:$A$2500)=FE$1)*(MONTH(Gastos!$A$2:$A$2500)=FE$3)*(Gastos!$B$2:$B$2500=$A46)*(Gastos!$D$2:$D$2500))</f>
        <v>0</v>
      </c>
      <c r="FF46" s="75">
        <f t="array" ref="FF46">SUM((YEAR(Gastos!$A$2:$A$2500)=FF$1)*(MONTH(Gastos!$A$2:$A$2500)=FF$3)*(Gastos!$B$2:$B$2500=$A46)*(Gastos!$D$2:$D$2500))</f>
        <v>0</v>
      </c>
      <c r="FG46" s="75">
        <f t="array" ref="FG46">SUM((YEAR(Gastos!$A$2:$A$2500)=FG$1)*(MONTH(Gastos!$A$2:$A$2500)=FG$3)*(Gastos!$B$2:$B$2500=$A46)*(Gastos!$D$2:$D$2500))</f>
        <v>0</v>
      </c>
      <c r="FH46" s="75">
        <f t="array" ref="FH46">SUM((YEAR(Gastos!$A$2:$A$2500)=FH$1)*(MONTH(Gastos!$A$2:$A$2500)=FH$3)*(Gastos!$B$2:$B$2500=$A46)*(Gastos!$D$2:$D$2500))</f>
        <v>0</v>
      </c>
      <c r="FI46" s="75">
        <f t="array" ref="FI46">SUM((YEAR(Gastos!$A$2:$A$2500)=FI$1)*(MONTH(Gastos!$A$2:$A$2500)=FI$3)*(Gastos!$B$2:$B$2500=$A46)*(Gastos!$D$2:$D$2500))</f>
        <v>0</v>
      </c>
      <c r="FJ46" s="75">
        <f t="array" ref="FJ46">SUM((YEAR(Gastos!$A$2:$A$2500)=FJ$1)*(MONTH(Gastos!$A$2:$A$2500)=FJ$3)*(Gastos!$B$2:$B$2500=$A46)*(Gastos!$D$2:$D$2500))</f>
        <v>0</v>
      </c>
      <c r="FK46" s="75">
        <f t="array" ref="FK46">SUM((YEAR(Gastos!$A$2:$A$2500)=FK$1)*(MONTH(Gastos!$A$2:$A$2500)=FK$3)*(Gastos!$B$2:$B$2500=$A46)*(Gastos!$D$2:$D$2500))</f>
        <v>0</v>
      </c>
      <c r="FL46" s="75">
        <f t="array" ref="FL46">SUM((YEAR(Gastos!$A$2:$A$2500)=FL$1)*(MONTH(Gastos!$A$2:$A$2500)=FL$3)*(Gastos!$B$2:$B$2500=$A46)*(Gastos!$D$2:$D$2500))</f>
        <v>0</v>
      </c>
      <c r="FM46" s="75">
        <f t="array" ref="FM46">SUM((YEAR(Gastos!$A$2:$A$2500)=FM$1)*(MONTH(Gastos!$A$2:$A$2500)=FM$3)*(Gastos!$B$2:$B$2500=$A46)*(Gastos!$D$2:$D$2500))</f>
        <v>0</v>
      </c>
      <c r="FN46" s="75">
        <f t="array" ref="FN46">SUM((YEAR(Gastos!$A$2:$A$2500)=FN$1)*(MONTH(Gastos!$A$2:$A$2500)=FN$3)*(Gastos!$B$2:$B$2500=$A46)*(Gastos!$D$2:$D$2500))</f>
        <v>0</v>
      </c>
      <c r="FO46" s="75">
        <f t="array" ref="FO46">SUM((YEAR(Gastos!$A$2:$A$2500)=FO$1)*(MONTH(Gastos!$A$2:$A$2500)=FO$3)*(Gastos!$B$2:$B$2500=$A46)*(Gastos!$D$2:$D$2500))</f>
        <v>0</v>
      </c>
      <c r="FP46" s="75">
        <f t="array" ref="FP46">SUM((YEAR(Gastos!$A$2:$A$2500)=FP$1)*(MONTH(Gastos!$A$2:$A$2500)=FP$3)*(Gastos!$B$2:$B$2500=$A46)*(Gastos!$D$2:$D$2500))</f>
        <v>0</v>
      </c>
      <c r="FQ46" s="75">
        <f t="array" ref="FQ46">SUM((YEAR(Gastos!$A$2:$A$2500)=FQ$1)*(MONTH(Gastos!$A$2:$A$2500)=FQ$3)*(Gastos!$B$2:$B$2500=$A46)*(Gastos!$D$2:$D$2500))</f>
        <v>0</v>
      </c>
      <c r="FR46" s="75">
        <f t="array" ref="FR46">SUM((YEAR(Gastos!$A$2:$A$2500)=FR$1)*(MONTH(Gastos!$A$2:$A$2500)=FR$3)*(Gastos!$B$2:$B$2500=$A46)*(Gastos!$D$2:$D$2500))</f>
        <v>0</v>
      </c>
      <c r="FS46" s="75">
        <f t="array" ref="FS46">SUM((YEAR(Gastos!$A$2:$A$2500)=FS$1)*(MONTH(Gastos!$A$2:$A$2500)=FS$3)*(Gastos!$B$2:$B$2500=$A46)*(Gastos!$D$2:$D$2500))</f>
        <v>0</v>
      </c>
      <c r="FT46" s="75">
        <f t="array" ref="FT46">SUM((YEAR(Gastos!$A$2:$A$2500)=FT$1)*(MONTH(Gastos!$A$2:$A$2500)=FT$3)*(Gastos!$B$2:$B$2500=$A46)*(Gastos!$D$2:$D$2500))</f>
        <v>0</v>
      </c>
      <c r="FU46" s="75">
        <f t="array" ref="FU46">SUM((YEAR(Gastos!$A$2:$A$2500)=FU$1)*(MONTH(Gastos!$A$2:$A$2500)=FU$3)*(Gastos!$B$2:$B$2500=$A46)*(Gastos!$D$2:$D$2500))</f>
        <v>0</v>
      </c>
      <c r="FV46" s="75">
        <f t="array" ref="FV46">SUM((YEAR(Gastos!$A$2:$A$2500)=FV$1)*(MONTH(Gastos!$A$2:$A$2500)=FV$3)*(Gastos!$B$2:$B$2500=$A46)*(Gastos!$D$2:$D$2500))</f>
        <v>0</v>
      </c>
      <c r="FW46" s="75">
        <f t="array" ref="FW46">SUM((YEAR(Gastos!$A$2:$A$2500)=FW$1)*(MONTH(Gastos!$A$2:$A$2500)=FW$3)*(Gastos!$B$2:$B$2500=$A46)*(Gastos!$D$2:$D$2500))</f>
        <v>0</v>
      </c>
      <c r="FX46" s="75">
        <f t="array" ref="FX46">SUM((YEAR(Gastos!$A$2:$A$2500)=FX$1)*(MONTH(Gastos!$A$2:$A$2500)=FX$3)*(Gastos!$B$2:$B$2500=$A46)*(Gastos!$D$2:$D$2500))</f>
        <v>0</v>
      </c>
      <c r="FY46" s="75">
        <f t="array" ref="FY46">SUM((YEAR(Gastos!$A$2:$A$2500)=FY$1)*(MONTH(Gastos!$A$2:$A$2500)=FY$3)*(Gastos!$B$2:$B$2500=$A46)*(Gastos!$D$2:$D$2500))</f>
        <v>0</v>
      </c>
      <c r="FZ46" s="76">
        <f t="shared" si="65"/>
        <v>0</v>
      </c>
      <c r="GA46" s="80"/>
      <c r="GB46" s="78">
        <f t="shared" si="66"/>
        <v>0</v>
      </c>
      <c r="GF46" s="79">
        <f t="array" ref="GF46">SUM(((Gastos!$A$2:$A$1647)&gt;=GD$3)*((Gastos!$A$2:$A$1647)&lt;=GF$3)*(Gastos!$B$2:$B$1647=$A46)*(Gastos!$D$2:$D$1647))</f>
        <v>0</v>
      </c>
      <c r="GI46" s="79">
        <f t="array" ref="GI46">SUM(((Gastos!$A$2:$A$1647)&gt;=GG$3)*((Gastos!$A$2:$A$1647)&lt;=GI$3)*(Gastos!$B$2:$B$1647=$A46)*(Gastos!$D$2:$D$1647))</f>
        <v>0</v>
      </c>
    </row>
    <row r="47" spans="1:191" ht="15" thickBot="1" x14ac:dyDescent="0.4">
      <c r="A47" s="74" t="str">
        <f>Gastos!AA45</f>
        <v>V. PORTON</v>
      </c>
      <c r="B47" s="75">
        <f t="array" ref="B47">SUM((YEAR(Gastos!$A$2:$A$2500)=B$1)*(MONTH(Gastos!$A$2:$A$2500)=B$3)*(Gastos!$B$2:$B$2500=$A47)*(Gastos!$D$2:$D$2500))</f>
        <v>0</v>
      </c>
      <c r="C47" s="75">
        <f t="array" ref="C47">SUM((YEAR(Gastos!$A$2:$A$2500)=C$1)*(MONTH(Gastos!$A$2:$A$2500)=C$3)*(Gastos!$B$2:$B$2500=$A47)*(Gastos!$D$2:$D$2500))</f>
        <v>0</v>
      </c>
      <c r="D47" s="75">
        <f t="array" ref="D47">SUM((YEAR(Gastos!$A$2:$A$2500)=D$1)*(MONTH(Gastos!$A$2:$A$2500)=D$3)*(Gastos!$B$2:$B$2500=$A47)*(Gastos!$D$2:$D$2500))</f>
        <v>0</v>
      </c>
      <c r="E47" s="75">
        <f t="array" ref="E47">SUM((YEAR(Gastos!$A$2:$A$2500)=E$1)*(MONTH(Gastos!$A$2:$A$2500)=E$3)*(Gastos!$B$2:$B$2500=$A47)*(Gastos!$D$2:$D$2500))</f>
        <v>0</v>
      </c>
      <c r="F47" s="75">
        <f t="array" ref="F47">SUM((YEAR(Gastos!$A$2:$A$2500)=F$1)*(MONTH(Gastos!$A$2:$A$2500)=F$3)*(Gastos!$B$2:$B$2500=$A47)*(Gastos!$D$2:$D$2500))</f>
        <v>0</v>
      </c>
      <c r="G47" s="75">
        <f t="array" ref="G47">SUM((YEAR(Gastos!$A$2:$A$2500)=G$1)*(MONTH(Gastos!$A$2:$A$2500)=G$3)*(Gastos!$B$2:$B$2500=$A47)*(Gastos!$D$2:$D$2500))</f>
        <v>0</v>
      </c>
      <c r="H47" s="75">
        <f t="array" ref="H47">SUM((YEAR(Gastos!$A$2:$A$2500)=H$1)*(MONTH(Gastos!$A$2:$A$2500)=H$3)*(Gastos!$B$2:$B$2500=$A47)*(Gastos!$D$2:$D$2500))</f>
        <v>0</v>
      </c>
      <c r="I47" s="75">
        <f t="array" ref="I47">SUM((YEAR(Gastos!$A$2:$A$2500)=I$1)*(MONTH(Gastos!$A$2:$A$2500)=I$3)*(Gastos!$B$2:$B$2500=$A47)*(Gastos!$D$2:$D$2500))</f>
        <v>0</v>
      </c>
      <c r="J47" s="75">
        <f t="array" ref="J47">SUM((YEAR(Gastos!$A$2:$A$2500)=J$1)*(MONTH(Gastos!$A$2:$A$2500)=J$3)*(Gastos!$B$2:$B$2500=$A47)*(Gastos!$D$2:$D$2500))</f>
        <v>0</v>
      </c>
      <c r="K47" s="75">
        <f t="array" ref="K47">SUM((YEAR(Gastos!$A$2:$A$2500)=K$1)*(MONTH(Gastos!$A$2:$A$2500)=K$3)*(Gastos!$B$2:$B$2500=$A47)*(Gastos!$D$2:$D$2500))</f>
        <v>0</v>
      </c>
      <c r="L47" s="75">
        <f t="array" ref="L47">SUM((YEAR(Gastos!$A$2:$A$2500)=L$1)*(MONTH(Gastos!$A$2:$A$2500)=L$3)*(Gastos!$B$2:$B$2500=$A47)*(Gastos!$D$2:$D$2500))</f>
        <v>0</v>
      </c>
      <c r="M47" s="75">
        <f t="array" ref="M47">SUM((YEAR(Gastos!$A$2:$A$2500)=M$1)*(MONTH(Gastos!$A$2:$A$2500)=M$3)*(Gastos!$B$2:$B$2500=$A47)*(Gastos!$D$2:$D$2500))</f>
        <v>0</v>
      </c>
      <c r="N47" s="75">
        <f t="array" ref="N47">SUM((YEAR(Gastos!$A$2:$A$2500)=N$1)*(MONTH(Gastos!$A$2:$A$2500)=N$3)*(Gastos!$B$2:$B$2500=$A47)*(Gastos!$D$2:$D$2500))</f>
        <v>0</v>
      </c>
      <c r="O47" s="75">
        <f t="array" ref="O47">SUM((YEAR(Gastos!$A$2:$A$2500)=O$1)*(MONTH(Gastos!$A$2:$A$2500)=O$3)*(Gastos!$B$2:$B$2500=$A47)*(Gastos!$D$2:$D$2500))</f>
        <v>0</v>
      </c>
      <c r="P47" s="75">
        <f t="array" ref="P47">SUM((YEAR(Gastos!$A$2:$A$2500)=P$1)*(MONTH(Gastos!$A$2:$A$2500)=P$3)*(Gastos!$B$2:$B$2500=$A47)*(Gastos!$D$2:$D$2500))</f>
        <v>0</v>
      </c>
      <c r="Q47" s="75">
        <f t="array" ref="Q47">SUM((YEAR(Gastos!$A$2:$A$2500)=Q$1)*(MONTH(Gastos!$A$2:$A$2500)=Q$3)*(Gastos!$B$2:$B$2500=$A47)*(Gastos!$D$2:$D$2500))</f>
        <v>0</v>
      </c>
      <c r="R47" s="75">
        <f t="array" ref="R47">SUM((YEAR(Gastos!$A$2:$A$2500)=R$1)*(MONTH(Gastos!$A$2:$A$2500)=R$3)*(Gastos!$B$2:$B$2500=$A47)*(Gastos!$D$2:$D$2500))</f>
        <v>0</v>
      </c>
      <c r="S47" s="75">
        <f t="array" ref="S47">SUM((YEAR(Gastos!$A$2:$A$2500)=S$1)*(MONTH(Gastos!$A$2:$A$2500)=S$3)*(Gastos!$B$2:$B$2500=$A47)*(Gastos!$D$2:$D$2500))</f>
        <v>0</v>
      </c>
      <c r="T47" s="75">
        <f t="array" ref="T47">SUM((YEAR(Gastos!$A$2:$A$2500)=T$1)*(MONTH(Gastos!$A$2:$A$2500)=T$3)*(Gastos!$B$2:$B$2500=$A47)*(Gastos!$D$2:$D$2500))</f>
        <v>0</v>
      </c>
      <c r="U47" s="75">
        <f t="array" ref="U47">SUM((YEAR(Gastos!$A$2:$A$2500)=U$1)*(MONTH(Gastos!$A$2:$A$2500)=U$3)*(Gastos!$B$2:$B$2500=$A47)*(Gastos!$D$2:$D$2500))</f>
        <v>0</v>
      </c>
      <c r="V47" s="75">
        <f t="array" ref="V47">SUM((YEAR(Gastos!$A$2:$A$2500)=V$1)*(MONTH(Gastos!$A$2:$A$2500)=V$3)*(Gastos!$B$2:$B$2500=$A47)*(Gastos!$D$2:$D$2500))</f>
        <v>0</v>
      </c>
      <c r="W47" s="75">
        <f t="array" ref="W47">SUM((YEAR(Gastos!$A$2:$A$2500)=W$1)*(MONTH(Gastos!$A$2:$A$2500)=W$3)*(Gastos!$B$2:$B$2500=$A47)*(Gastos!$D$2:$D$2500))</f>
        <v>0</v>
      </c>
      <c r="X47" s="75">
        <f t="array" ref="X47">SUM((YEAR(Gastos!$A$2:$A$2500)=X$1)*(MONTH(Gastos!$A$2:$A$2500)=X$3)*(Gastos!$B$2:$B$2500=$A47)*(Gastos!$D$2:$D$2500))</f>
        <v>0</v>
      </c>
      <c r="Y47" s="75">
        <f t="array" ref="Y47">SUM((YEAR(Gastos!$A$2:$A$2500)=Y$1)*(MONTH(Gastos!$A$2:$A$2500)=Y$3)*(Gastos!$B$2:$B$2500=$A47)*(Gastos!$D$2:$D$2500))</f>
        <v>0</v>
      </c>
      <c r="Z47" s="75">
        <f t="array" ref="Z47">SUM((YEAR(Gastos!$A$2:$A$2500)=Z$1)*(MONTH(Gastos!$A$2:$A$2500)=Z$3)*(Gastos!$B$2:$B$2500=$A47)*(Gastos!$D$2:$D$2500))</f>
        <v>0</v>
      </c>
      <c r="AA47" s="75">
        <f t="array" ref="AA47">SUM((YEAR(Gastos!$A$2:$A$2500)=AA$1)*(MONTH(Gastos!$A$2:$A$2500)=AA$3)*(Gastos!$B$2:$B$2500=$A47)*(Gastos!$D$2:$D$2500))</f>
        <v>0</v>
      </c>
      <c r="AB47" s="75">
        <f t="array" ref="AB47">SUM((YEAR(Gastos!$A$2:$A$2500)=AB$1)*(MONTH(Gastos!$A$2:$A$2500)=AB$3)*(Gastos!$B$2:$B$2500=$A47)*(Gastos!$D$2:$D$2500))</f>
        <v>0</v>
      </c>
      <c r="AC47" s="75">
        <f t="array" ref="AC47">SUM((YEAR(Gastos!$A$2:$A$2500)=AC$1)*(MONTH(Gastos!$A$2:$A$2500)=AC$3)*(Gastos!$B$2:$B$2500=$A47)*(Gastos!$D$2:$D$2500))</f>
        <v>0</v>
      </c>
      <c r="AD47" s="75">
        <f t="array" ref="AD47">SUM((YEAR(Gastos!$A$2:$A$2500)=AD$1)*(MONTH(Gastos!$A$2:$A$2500)=AD$3)*(Gastos!$B$2:$B$2500=$A47)*(Gastos!$D$2:$D$2500))</f>
        <v>0</v>
      </c>
      <c r="AE47" s="75">
        <f t="array" ref="AE47">SUM((YEAR(Gastos!$A$2:$A$2500)=AE$1)*(MONTH(Gastos!$A$2:$A$2500)=AE$3)*(Gastos!$B$2:$B$2500=$A47)*(Gastos!$D$2:$D$2500))</f>
        <v>0</v>
      </c>
      <c r="AF47" s="75">
        <f t="array" ref="AF47">SUM((YEAR(Gastos!$A$2:$A$2500)=AF$1)*(MONTH(Gastos!$A$2:$A$2500)=AF$3)*(Gastos!$B$2:$B$2500=$A47)*(Gastos!$D$2:$D$2500))</f>
        <v>0</v>
      </c>
      <c r="AG47" s="75">
        <f t="array" ref="AG47">SUM((YEAR(Gastos!$A$2:$A$2500)=AG$1)*(MONTH(Gastos!$A$2:$A$2500)=AG$3)*(Gastos!$B$2:$B$2500=$A47)*(Gastos!$D$2:$D$2500))</f>
        <v>0</v>
      </c>
      <c r="AH47" s="75">
        <f t="array" ref="AH47">SUM((YEAR(Gastos!$A$2:$A$2500)=AH$1)*(MONTH(Gastos!$A$2:$A$2500)=AH$3)*(Gastos!$B$2:$B$2500=$A47)*(Gastos!$D$2:$D$2500))</f>
        <v>0</v>
      </c>
      <c r="AI47" s="75">
        <f t="array" ref="AI47">SUM((YEAR(Gastos!$A$2:$A$2500)=AI$1)*(MONTH(Gastos!$A$2:$A$2500)=AI$3)*(Gastos!$B$2:$B$2500=$A47)*(Gastos!$D$2:$D$2500))</f>
        <v>0</v>
      </c>
      <c r="AJ47" s="75">
        <f t="array" ref="AJ47">SUM((YEAR(Gastos!$A$2:$A$2500)=AJ$1)*(MONTH(Gastos!$A$2:$A$2500)=AJ$3)*(Gastos!$B$2:$B$2500=$A47)*(Gastos!$D$2:$D$2500))</f>
        <v>0</v>
      </c>
      <c r="AK47" s="75">
        <f t="array" ref="AK47">SUM((YEAR(Gastos!$A$2:$A$2500)=AK$1)*(MONTH(Gastos!$A$2:$A$2500)=AK$3)*(Gastos!$B$2:$B$2500=$A47)*(Gastos!$D$2:$D$2500))</f>
        <v>0</v>
      </c>
      <c r="AL47" s="75">
        <f t="array" ref="AL47">SUM((YEAR(Gastos!$A$2:$A$2500)=AL$1)*(MONTH(Gastos!$A$2:$A$2500)=AL$3)*(Gastos!$B$2:$B$2500=$A47)*(Gastos!$D$2:$D$2500))</f>
        <v>0</v>
      </c>
      <c r="AM47" s="75">
        <f t="array" ref="AM47">SUM((YEAR(Gastos!$A$2:$A$2500)=AM$1)*(MONTH(Gastos!$A$2:$A$2500)=AM$3)*(Gastos!$B$2:$B$2500=$A47)*(Gastos!$D$2:$D$2500))</f>
        <v>0</v>
      </c>
      <c r="AN47" s="75">
        <f t="array" ref="AN47">SUM((YEAR(Gastos!$A$2:$A$2500)=AN$1)*(MONTH(Gastos!$A$2:$A$2500)=AN$3)*(Gastos!$B$2:$B$2500=$A47)*(Gastos!$D$2:$D$2500))</f>
        <v>0</v>
      </c>
      <c r="AO47" s="75">
        <f t="array" ref="AO47">SUM((YEAR(Gastos!$A$2:$A$2500)=AO$1)*(MONTH(Gastos!$A$2:$A$2500)=AO$3)*(Gastos!$B$2:$B$2500=$A47)*(Gastos!$D$2:$D$2500))</f>
        <v>0</v>
      </c>
      <c r="AP47" s="75">
        <f t="array" ref="AP47">SUM((YEAR(Gastos!$A$2:$A$2500)=AP$1)*(MONTH(Gastos!$A$2:$A$2500)=AP$3)*(Gastos!$B$2:$B$2500=$A47)*(Gastos!$D$2:$D$2500))</f>
        <v>0</v>
      </c>
      <c r="AQ47" s="75">
        <f t="array" ref="AQ47">SUM((YEAR(Gastos!$A$2:$A$2500)=AQ$1)*(MONTH(Gastos!$A$2:$A$2500)=AQ$3)*(Gastos!$B$2:$B$2500=$A47)*(Gastos!$D$2:$D$2500))</f>
        <v>0</v>
      </c>
      <c r="AR47" s="75">
        <f t="array" ref="AR47">SUM((YEAR(Gastos!$A$2:$A$2500)=AR$1)*(MONTH(Gastos!$A$2:$A$2500)=AR$3)*(Gastos!$B$2:$B$2500=$A47)*(Gastos!$D$2:$D$2500))</f>
        <v>0</v>
      </c>
      <c r="AS47" s="75">
        <f t="array" ref="AS47">SUM((YEAR(Gastos!$A$2:$A$2500)=AS$1)*(MONTH(Gastos!$A$2:$A$2500)=AS$3)*(Gastos!$B$2:$B$2500=$A47)*(Gastos!$D$2:$D$2500))</f>
        <v>0</v>
      </c>
      <c r="AT47" s="75">
        <f t="array" ref="AT47">SUM((YEAR(Gastos!$A$2:$A$2500)=AT$1)*(MONTH(Gastos!$A$2:$A$2500)=AT$3)*(Gastos!$B$2:$B$2500=$A47)*(Gastos!$D$2:$D$2500))</f>
        <v>0</v>
      </c>
      <c r="AU47" s="75">
        <f t="array" ref="AU47">SUM((YEAR(Gastos!$A$2:$A$2500)=AU$1)*(MONTH(Gastos!$A$2:$A$2500)=AU$3)*(Gastos!$B$2:$B$2500=$A47)*(Gastos!$D$2:$D$2500))</f>
        <v>0</v>
      </c>
      <c r="AV47" s="75">
        <f t="array" ref="AV47">SUM((YEAR(Gastos!$A$2:$A$2500)=AV$1)*(MONTH(Gastos!$A$2:$A$2500)=AV$3)*(Gastos!$B$2:$B$2500=$A47)*(Gastos!$D$2:$D$2500))</f>
        <v>0</v>
      </c>
      <c r="AW47" s="75">
        <f t="array" ref="AW47">SUM((YEAR(Gastos!$A$2:$A$2500)=AW$1)*(MONTH(Gastos!$A$2:$A$2500)=AW$3)*(Gastos!$B$2:$B$2500=$A47)*(Gastos!$D$2:$D$2500))</f>
        <v>0</v>
      </c>
      <c r="AX47" s="75">
        <f t="array" ref="AX47">SUM((YEAR(Gastos!$A$2:$A$2500)=AX$1)*(MONTH(Gastos!$A$2:$A$2500)=AX$3)*(Gastos!$B$2:$B$2500=$A47)*(Gastos!$D$2:$D$2500))</f>
        <v>0</v>
      </c>
      <c r="AY47" s="75">
        <f t="array" ref="AY47">SUM((YEAR(Gastos!$A$2:$A$2500)=AY$1)*(MONTH(Gastos!$A$2:$A$2500)=AY$3)*(Gastos!$B$2:$B$2500=$A47)*(Gastos!$D$2:$D$2500))</f>
        <v>0</v>
      </c>
      <c r="AZ47" s="75">
        <f t="array" ref="AZ47">SUM((YEAR(Gastos!$A$2:$A$2500)=AZ$1)*(MONTH(Gastos!$A$2:$A$2500)=AZ$3)*(Gastos!$B$2:$B$2500=$A47)*(Gastos!$D$2:$D$2500))</f>
        <v>0</v>
      </c>
      <c r="BA47" s="75">
        <f t="array" ref="BA47">SUM((YEAR(Gastos!$A$2:$A$2500)=BA$1)*(MONTH(Gastos!$A$2:$A$2500)=BA$3)*(Gastos!$B$2:$B$2500=$A47)*(Gastos!$D$2:$D$2500))</f>
        <v>0</v>
      </c>
      <c r="BB47" s="75">
        <f t="array" ref="BB47">SUM((YEAR(Gastos!$A$2:$A$2500)=BB$1)*(MONTH(Gastos!$A$2:$A$2500)=BB$3)*(Gastos!$B$2:$B$2500=$A47)*(Gastos!$D$2:$D$2500))</f>
        <v>0</v>
      </c>
      <c r="BC47" s="75">
        <f t="array" ref="BC47">SUM((YEAR(Gastos!$A$2:$A$2500)=BC$1)*(MONTH(Gastos!$A$2:$A$2500)=BC$3)*(Gastos!$B$2:$B$2500=$A47)*(Gastos!$D$2:$D$2500))</f>
        <v>0</v>
      </c>
      <c r="BD47" s="75">
        <f t="array" ref="BD47">SUM((YEAR(Gastos!$A$2:$A$2500)=BD$1)*(MONTH(Gastos!$A$2:$A$2500)=BD$3)*(Gastos!$B$2:$B$2500=$A47)*(Gastos!$D$2:$D$2500))</f>
        <v>0</v>
      </c>
      <c r="BE47" s="75">
        <f t="array" ref="BE47">SUM((YEAR(Gastos!$A$2:$A$2500)=BE$1)*(MONTH(Gastos!$A$2:$A$2500)=BE$3)*(Gastos!$B$2:$B$2500=$A47)*(Gastos!$D$2:$D$2500))</f>
        <v>0</v>
      </c>
      <c r="BF47" s="75">
        <f t="array" ref="BF47">SUM((YEAR(Gastos!$A$2:$A$2500)=BF$1)*(MONTH(Gastos!$A$2:$A$2500)=BF$3)*(Gastos!$B$2:$B$2500=$A47)*(Gastos!$D$2:$D$2500))</f>
        <v>0</v>
      </c>
      <c r="BG47" s="75">
        <f t="array" ref="BG47">SUM((YEAR(Gastos!$A$2:$A$2500)=BG$1)*(MONTH(Gastos!$A$2:$A$2500)=BG$3)*(Gastos!$B$2:$B$2500=$A47)*(Gastos!$D$2:$D$2500))</f>
        <v>0</v>
      </c>
      <c r="BH47" s="75">
        <f t="array" ref="BH47">SUM((YEAR(Gastos!$A$2:$A$2500)=BH$1)*(MONTH(Gastos!$A$2:$A$2500)=BH$3)*(Gastos!$B$2:$B$2500=$A47)*(Gastos!$D$2:$D$2500))</f>
        <v>0</v>
      </c>
      <c r="BI47" s="75">
        <f t="array" ref="BI47">SUM((YEAR(Gastos!$A$2:$A$2500)=BI$1)*(MONTH(Gastos!$A$2:$A$2500)=BI$3)*(Gastos!$B$2:$B$2500=$A47)*(Gastos!$D$2:$D$2500))</f>
        <v>0</v>
      </c>
      <c r="BJ47" s="75">
        <f t="array" ref="BJ47">SUM((YEAR(Gastos!$A$2:$A$2500)=BJ$1)*(MONTH(Gastos!$A$2:$A$2500)=BJ$3)*(Gastos!$B$2:$B$2500=$A47)*(Gastos!$D$2:$D$2500))</f>
        <v>0</v>
      </c>
      <c r="BK47" s="75">
        <f t="array" ref="BK47">SUM((YEAR(Gastos!$A$2:$A$2500)=BK$1)*(MONTH(Gastos!$A$2:$A$2500)=BK$3)*(Gastos!$B$2:$B$2500=$A47)*(Gastos!$D$2:$D$2500))</f>
        <v>8468</v>
      </c>
      <c r="BL47" s="75">
        <f t="array" ref="BL47">SUM((YEAR(Gastos!$A$2:$A$2500)=BL$1)*(MONTH(Gastos!$A$2:$A$2500)=BL$3)*(Gastos!$B$2:$B$2500=$A47)*(Gastos!$D$2:$D$2500))</f>
        <v>2890</v>
      </c>
      <c r="BM47" s="75">
        <f t="array" ref="BM47">SUM((YEAR(Gastos!$A$2:$A$2500)=BM$1)*(MONTH(Gastos!$A$2:$A$2500)=BM$3)*(Gastos!$B$2:$B$2500=$A47)*(Gastos!$D$2:$D$2500))</f>
        <v>0</v>
      </c>
      <c r="BN47" s="75">
        <f t="array" ref="BN47">SUM((YEAR(Gastos!$A$2:$A$2500)=BN$1)*(MONTH(Gastos!$A$2:$A$2500)=BN$3)*(Gastos!$B$2:$B$2500=$A47)*(Gastos!$D$2:$D$2500))</f>
        <v>1740</v>
      </c>
      <c r="BO47" s="75">
        <f t="array" ref="BO47">SUM((YEAR(Gastos!$A$2:$A$2500)=BO$1)*(MONTH(Gastos!$A$2:$A$2500)=BO$3)*(Gastos!$B$2:$B$2500=$A47)*(Gastos!$D$2:$D$2500))</f>
        <v>0</v>
      </c>
      <c r="BP47" s="75">
        <f t="array" ref="BP47">SUM((YEAR(Gastos!$A$2:$A$2500)=BP$1)*(MONTH(Gastos!$A$2:$A$2500)=BP$3)*(Gastos!$B$2:$B$2500=$A47)*(Gastos!$D$2:$D$2500))</f>
        <v>0</v>
      </c>
      <c r="BQ47" s="75">
        <f t="array" ref="BQ47">SUM((YEAR(Gastos!$A$2:$A$2500)=BQ$1)*(MONTH(Gastos!$A$2:$A$2500)=BQ$3)*(Gastos!$B$2:$B$2500=$A47)*(Gastos!$D$2:$D$2500))</f>
        <v>0</v>
      </c>
      <c r="BR47" s="75">
        <f t="array" ref="BR47">SUM((YEAR(Gastos!$A$2:$A$2500)=BR$1)*(MONTH(Gastos!$A$2:$A$2500)=BR$3)*(Gastos!$B$2:$B$2500=$A47)*(Gastos!$D$2:$D$2500))</f>
        <v>0</v>
      </c>
      <c r="BS47" s="75">
        <f t="array" ref="BS47">SUM((YEAR(Gastos!$A$2:$A$2500)=BS$1)*(MONTH(Gastos!$A$2:$A$2500)=BS$3)*(Gastos!$B$2:$B$2500=$A47)*(Gastos!$D$2:$D$2500))</f>
        <v>0</v>
      </c>
      <c r="BT47" s="75">
        <f t="array" ref="BT47">SUM((YEAR(Gastos!$A$2:$A$2500)=BT$1)*(MONTH(Gastos!$A$2:$A$2500)=BT$3)*(Gastos!$B$2:$B$2500=$A47)*(Gastos!$D$2:$D$2500))</f>
        <v>0</v>
      </c>
      <c r="BU47" s="75">
        <f t="array" ref="BU47">SUM((YEAR(Gastos!$A$2:$A$2500)=BU$1)*(MONTH(Gastos!$A$2:$A$2500)=BU$3)*(Gastos!$B$2:$B$2500=$A47)*(Gastos!$D$2:$D$2500))</f>
        <v>0</v>
      </c>
      <c r="BV47" s="75">
        <f t="array" ref="BV47">SUM((YEAR(Gastos!$A$2:$A$2500)=BV$1)*(MONTH(Gastos!$A$2:$A$2500)=BV$3)*(Gastos!$B$2:$B$2500=$A47)*(Gastos!$D$2:$D$2500))</f>
        <v>0</v>
      </c>
      <c r="BW47" s="75">
        <f t="array" ref="BW47">SUM((YEAR(Gastos!$A$2:$A$2500)=BW$1)*(MONTH(Gastos!$A$2:$A$2500)=BW$3)*(Gastos!$B$2:$B$2500=$A47)*(Gastos!$D$2:$D$2500))</f>
        <v>0</v>
      </c>
      <c r="BX47" s="75">
        <f t="array" ref="BX47">SUM((YEAR(Gastos!$A$2:$A$2500)=BX$1)*(MONTH(Gastos!$A$2:$A$2500)=BX$3)*(Gastos!$B$2:$B$2500=$A47)*(Gastos!$D$2:$D$2500))</f>
        <v>0</v>
      </c>
      <c r="BY47" s="75">
        <f t="array" ref="BY47">SUM((YEAR(Gastos!$A$2:$A$2500)=BY$1)*(MONTH(Gastos!$A$2:$A$2500)=BY$3)*(Gastos!$B$2:$B$2500=$A47)*(Gastos!$D$2:$D$2500))</f>
        <v>16585.099999999999</v>
      </c>
      <c r="BZ47" s="75">
        <f t="array" ref="BZ47">SUM((YEAR(Gastos!$A$2:$A$2500)=BZ$1)*(MONTH(Gastos!$A$2:$A$2500)=BZ$3)*(Gastos!$B$2:$B$2500=$A47)*(Gastos!$D$2:$D$2500))</f>
        <v>7107.9</v>
      </c>
      <c r="CA47" s="75">
        <f t="array" ref="CA47">SUM((YEAR(Gastos!$A$2:$A$2500)=CA$1)*(MONTH(Gastos!$A$2:$A$2500)=CA$3)*(Gastos!$B$2:$B$2500=$A47)*(Gastos!$D$2:$D$2500))</f>
        <v>0</v>
      </c>
      <c r="CB47" s="75">
        <f t="array" ref="CB47">SUM((YEAR(Gastos!$A$2:$A$2500)=CB$1)*(MONTH(Gastos!$A$2:$A$2500)=CB$3)*(Gastos!$B$2:$B$2500=$A47)*(Gastos!$D$2:$D$2500))</f>
        <v>0</v>
      </c>
      <c r="CC47" s="75">
        <f t="array" ref="CC47">SUM((YEAR(Gastos!$A$2:$A$2500)=CC$1)*(MONTH(Gastos!$A$2:$A$2500)=CC$3)*(Gastos!$B$2:$B$2500=$A47)*(Gastos!$D$2:$D$2500))</f>
        <v>0</v>
      </c>
      <c r="CD47" s="75">
        <f t="array" ref="CD47">SUM((YEAR(Gastos!$A$2:$A$2500)=CD$1)*(MONTH(Gastos!$A$2:$A$2500)=CD$3)*(Gastos!$B$2:$B$2500=$A47)*(Gastos!$D$2:$D$2500))</f>
        <v>0</v>
      </c>
      <c r="CE47" s="75">
        <f t="array" ref="CE47">SUM((YEAR(Gastos!$A$2:$A$2500)=CE$1)*(MONTH(Gastos!$A$2:$A$2500)=CE$3)*(Gastos!$B$2:$B$2500=$A47)*(Gastos!$D$2:$D$2500))</f>
        <v>0</v>
      </c>
      <c r="CF47" s="75">
        <f t="array" ref="CF47">SUM((YEAR(Gastos!$A$2:$A$2500)=CF$1)*(MONTH(Gastos!$A$2:$A$2500)=CF$3)*(Gastos!$B$2:$B$2500=$A47)*(Gastos!$D$2:$D$2500))</f>
        <v>0</v>
      </c>
      <c r="CG47" s="75">
        <f t="array" ref="CG47">SUM((YEAR(Gastos!$A$2:$A$2500)=CG$1)*(MONTH(Gastos!$A$2:$A$2500)=CG$3)*(Gastos!$B$2:$B$2500=$A47)*(Gastos!$D$2:$D$2500))</f>
        <v>0</v>
      </c>
      <c r="CH47" s="75">
        <f t="array" ref="CH47">SUM((YEAR(Gastos!$A$2:$A$2500)=CH$1)*(MONTH(Gastos!$A$2:$A$2500)=CH$3)*(Gastos!$B$2:$B$2500=$A47)*(Gastos!$D$2:$D$2500))</f>
        <v>0</v>
      </c>
      <c r="CI47" s="75">
        <f t="array" ref="CI47">SUM((YEAR(Gastos!$A$2:$A$2500)=CI$1)*(MONTH(Gastos!$A$2:$A$2500)=CI$3)*(Gastos!$B$2:$B$2500=$A47)*(Gastos!$D$2:$D$2500))</f>
        <v>0</v>
      </c>
      <c r="CJ47" s="75">
        <f t="array" ref="CJ47">SUM((YEAR(Gastos!$A$2:$A$2500)=CJ$1)*(MONTH(Gastos!$A$2:$A$2500)=CJ$3)*(Gastos!$B$2:$B$2500=$A47)*(Gastos!$D$2:$D$2500))</f>
        <v>0</v>
      </c>
      <c r="CK47" s="75">
        <f t="array" ref="CK47">SUM((YEAR(Gastos!$A$2:$A$2500)=CK$1)*(MONTH(Gastos!$A$2:$A$2500)=CK$3)*(Gastos!$B$2:$B$2500=$A47)*(Gastos!$D$2:$D$2500))</f>
        <v>2950</v>
      </c>
      <c r="CL47" s="75">
        <f t="array" ref="CL47">SUM((YEAR(Gastos!$A$2:$A$2500)=CL$1)*(MONTH(Gastos!$A$2:$A$2500)=CL$3)*(Gastos!$B$2:$B$2500=$A47)*(Gastos!$D$2:$D$2500))</f>
        <v>0</v>
      </c>
      <c r="CM47" s="75">
        <f t="array" ref="CM47">SUM((YEAR(Gastos!$A$2:$A$2500)=CM$1)*(MONTH(Gastos!$A$2:$A$2500)=CM$3)*(Gastos!$B$2:$B$2500=$A47)*(Gastos!$D$2:$D$2500))</f>
        <v>0</v>
      </c>
      <c r="CN47" s="75">
        <f t="array" ref="CN47">SUM((YEAR(Gastos!$A$2:$A$2500)=CN$1)*(MONTH(Gastos!$A$2:$A$2500)=CN$3)*(Gastos!$B$2:$B$2500=$A47)*(Gastos!$D$2:$D$2500))</f>
        <v>0</v>
      </c>
      <c r="CO47" s="75">
        <f t="array" ref="CO47">SUM((YEAR(Gastos!$A$2:$A$2500)=CO$1)*(MONTH(Gastos!$A$2:$A$2500)=CO$3)*(Gastos!$B$2:$B$2500=$A47)*(Gastos!$D$2:$D$2500))</f>
        <v>0</v>
      </c>
      <c r="CP47" s="75">
        <f t="array" ref="CP47">SUM((YEAR(Gastos!$A$2:$A$2500)=CP$1)*(MONTH(Gastos!$A$2:$A$2500)=CP$3)*(Gastos!$B$2:$B$2500=$A47)*(Gastos!$D$2:$D$2500))</f>
        <v>0</v>
      </c>
      <c r="CQ47" s="75">
        <f t="array" ref="CQ47">SUM((YEAR(Gastos!$A$2:$A$2500)=CQ$1)*(MONTH(Gastos!$A$2:$A$2500)=CQ$3)*(Gastos!$B$2:$B$2500=$A47)*(Gastos!$D$2:$D$2500))</f>
        <v>0</v>
      </c>
      <c r="CR47" s="75">
        <f t="array" ref="CR47">SUM((YEAR(Gastos!$A$2:$A$2500)=CR$1)*(MONTH(Gastos!$A$2:$A$2500)=CR$3)*(Gastos!$B$2:$B$2500=$A47)*(Gastos!$D$2:$D$2500))</f>
        <v>0</v>
      </c>
      <c r="CS47" s="75">
        <f t="array" ref="CS47">SUM((YEAR(Gastos!$A$2:$A$2500)=CS$1)*(MONTH(Gastos!$A$2:$A$2500)=CS$3)*(Gastos!$B$2:$B$2500=$A47)*(Gastos!$D$2:$D$2500))</f>
        <v>0</v>
      </c>
      <c r="CT47" s="75">
        <f t="array" ref="CT47">SUM((YEAR(Gastos!$A$2:$A$2500)=CT$1)*(MONTH(Gastos!$A$2:$A$2500)=CT$3)*(Gastos!$B$2:$B$2500=$A47)*(Gastos!$D$2:$D$2500))</f>
        <v>0</v>
      </c>
      <c r="CU47" s="75">
        <f t="array" ref="CU47">SUM((YEAR(Gastos!$A$2:$A$2500)=CU$1)*(MONTH(Gastos!$A$2:$A$2500)=CU$3)*(Gastos!$B$2:$B$2500=$A47)*(Gastos!$D$2:$D$2500))</f>
        <v>0</v>
      </c>
      <c r="CV47" s="75">
        <f t="array" ref="CV47">SUM((YEAR(Gastos!$A$2:$A$2500)=CV$1)*(MONTH(Gastos!$A$2:$A$2500)=CV$3)*(Gastos!$B$2:$B$2500=$A47)*(Gastos!$D$2:$D$2500))</f>
        <v>0</v>
      </c>
      <c r="CW47" s="75">
        <f t="array" ref="CW47">SUM((YEAR(Gastos!$A$2:$A$2500)=CW$1)*(MONTH(Gastos!$A$2:$A$2500)=CW$3)*(Gastos!$B$2:$B$2500=$A47)*(Gastos!$D$2:$D$2500))</f>
        <v>0</v>
      </c>
      <c r="CX47" s="75">
        <f t="array" ref="CX47">SUM((YEAR(Gastos!$A$2:$A$2500)=CX$1)*(MONTH(Gastos!$A$2:$A$2500)=CX$3)*(Gastos!$B$2:$B$2500=$A47)*(Gastos!$D$2:$D$2500))</f>
        <v>0</v>
      </c>
      <c r="CY47" s="75">
        <f t="array" ref="CY47">SUM((YEAR(Gastos!$A$2:$A$2500)=CY$1)*(MONTH(Gastos!$A$2:$A$2500)=CY$3)*(Gastos!$B$2:$B$2500=$A47)*(Gastos!$D$2:$D$2500))</f>
        <v>0</v>
      </c>
      <c r="CZ47" s="75">
        <f t="array" ref="CZ47">SUM((YEAR(Gastos!$A$2:$A$2500)=CZ$1)*(MONTH(Gastos!$A$2:$A$2500)=CZ$3)*(Gastos!$B$2:$B$2500=$A47)*(Gastos!$D$2:$D$2500))</f>
        <v>2552</v>
      </c>
      <c r="DA47" s="75">
        <f t="array" ref="DA47">SUM((YEAR(Gastos!$A$2:$A$2500)=DA$1)*(MONTH(Gastos!$A$2:$A$2500)=DA$3)*(Gastos!$B$2:$B$2500=$A47)*(Gastos!$D$2:$D$2500))</f>
        <v>0</v>
      </c>
      <c r="DB47" s="75">
        <f t="array" ref="DB47">SUM((YEAR(Gastos!$A$2:$A$2500)=DB$1)*(MONTH(Gastos!$A$2:$A$2500)=DB$3)*(Gastos!$B$2:$B$2500=$A47)*(Gastos!$D$2:$D$2500))</f>
        <v>0</v>
      </c>
      <c r="DC47" s="75">
        <f t="array" ref="DC47">SUM((YEAR(Gastos!$A$2:$A$2500)=DC$1)*(MONTH(Gastos!$A$2:$A$2500)=DC$3)*(Gastos!$B$2:$B$2500=$A47)*(Gastos!$D$2:$D$2500))</f>
        <v>0</v>
      </c>
      <c r="DD47" s="75">
        <f t="array" ref="DD47">SUM((YEAR(Gastos!$A$2:$A$2500)=DD$1)*(MONTH(Gastos!$A$2:$A$2500)=DD$3)*(Gastos!$B$2:$B$2500=$A47)*(Gastos!$D$2:$D$2500))</f>
        <v>0</v>
      </c>
      <c r="DE47" s="75">
        <f t="array" ref="DE47">SUM((YEAR(Gastos!$A$2:$A$2500)=DE$1)*(MONTH(Gastos!$A$2:$A$2500)=DE$3)*(Gastos!$B$2:$B$2500=$A47)*(Gastos!$D$2:$D$2500))</f>
        <v>0</v>
      </c>
      <c r="DF47" s="75">
        <f t="array" ref="DF47">SUM((YEAR(Gastos!$A$2:$A$2500)=DF$1)*(MONTH(Gastos!$A$2:$A$2500)=DF$3)*(Gastos!$B$2:$B$2500=$A47)*(Gastos!$D$2:$D$2500))</f>
        <v>0</v>
      </c>
      <c r="DG47" s="75">
        <f t="array" ref="DG47">SUM((YEAR(Gastos!$A$2:$A$2500)=DG$1)*(MONTH(Gastos!$A$2:$A$2500)=DG$3)*(Gastos!$B$2:$B$2500=$A47)*(Gastos!$D$2:$D$2500))</f>
        <v>0</v>
      </c>
      <c r="DH47" s="75">
        <f t="array" ref="DH47">SUM((YEAR(Gastos!$A$2:$A$2500)=DH$1)*(MONTH(Gastos!$A$2:$A$2500)=DH$3)*(Gastos!$B$2:$B$2500=$A47)*(Gastos!$D$2:$D$2500))</f>
        <v>0</v>
      </c>
      <c r="DI47" s="75">
        <f t="array" ref="DI47">SUM((YEAR(Gastos!$A$2:$A$2500)=DI$1)*(MONTH(Gastos!$A$2:$A$2500)=DI$3)*(Gastos!$B$2:$B$2500=$A47)*(Gastos!$D$2:$D$2500))</f>
        <v>0</v>
      </c>
      <c r="DJ47" s="75">
        <f t="array" ref="DJ47">SUM((YEAR(Gastos!$A$2:$A$2500)=DJ$1)*(MONTH(Gastos!$A$2:$A$2500)=DJ$3)*(Gastos!$B$2:$B$2500=$A47)*(Gastos!$D$2:$D$2500))</f>
        <v>0</v>
      </c>
      <c r="DK47" s="75">
        <f t="array" ref="DK47">SUM((YEAR(Gastos!$A$2:$A$2500)=DK$1)*(MONTH(Gastos!$A$2:$A$2500)=DK$3)*(Gastos!$B$2:$B$2500=$A47)*(Gastos!$D$2:$D$2500))</f>
        <v>0</v>
      </c>
      <c r="DL47" s="75">
        <f t="array" ref="DL47">SUM((YEAR(Gastos!$A$2:$A$2500)=DL$1)*(MONTH(Gastos!$A$2:$A$2500)=DL$3)*(Gastos!$B$2:$B$2500=$A47)*(Gastos!$D$2:$D$2500))</f>
        <v>0</v>
      </c>
      <c r="DM47" s="75">
        <f t="array" ref="DM47">SUM((YEAR(Gastos!$A$2:$A$2500)=DM$1)*(MONTH(Gastos!$A$2:$A$2500)=DM$3)*(Gastos!$B$2:$B$2500=$A47)*(Gastos!$D$2:$D$2500))</f>
        <v>0</v>
      </c>
      <c r="DN47" s="75">
        <f t="array" ref="DN47">SUM((YEAR(Gastos!$A$2:$A$2500)=DN$1)*(MONTH(Gastos!$A$2:$A$2500)=DN$3)*(Gastos!$B$2:$B$2500=$A47)*(Gastos!$D$2:$D$2500))</f>
        <v>0</v>
      </c>
      <c r="DO47" s="75">
        <f t="array" ref="DO47">SUM((YEAR(Gastos!$A$2:$A$2500)=DO$1)*(MONTH(Gastos!$A$2:$A$2500)=DO$3)*(Gastos!$B$2:$B$2500=$A47)*(Gastos!$D$2:$D$2500))</f>
        <v>0</v>
      </c>
      <c r="DP47" s="75">
        <f t="array" ref="DP47">SUM((YEAR(Gastos!$A$2:$A$2500)=DP$1)*(MONTH(Gastos!$A$2:$A$2500)=DP$3)*(Gastos!$B$2:$B$2500=$A47)*(Gastos!$D$2:$D$2500))</f>
        <v>0</v>
      </c>
      <c r="DQ47" s="75">
        <f t="array" ref="DQ47">SUM((YEAR(Gastos!$A$2:$A$2500)=DQ$1)*(MONTH(Gastos!$A$2:$A$2500)=DQ$3)*(Gastos!$B$2:$B$2500=$A47)*(Gastos!$D$2:$D$2500))</f>
        <v>0</v>
      </c>
      <c r="DR47" s="75">
        <f t="array" ref="DR47">SUM((YEAR(Gastos!$A$2:$A$2500)=DR$1)*(MONTH(Gastos!$A$2:$A$2500)=DR$3)*(Gastos!$B$2:$B$2500=$A47)*(Gastos!$D$2:$D$2500))</f>
        <v>0</v>
      </c>
      <c r="DS47" s="75">
        <f t="array" ref="DS47">SUM((YEAR(Gastos!$A$2:$A$2500)=DS$1)*(MONTH(Gastos!$A$2:$A$2500)=DS$3)*(Gastos!$B$2:$B$2500=$A47)*(Gastos!$D$2:$D$2500))</f>
        <v>0</v>
      </c>
      <c r="DT47" s="75">
        <f t="array" ref="DT47">SUM((YEAR(Gastos!$A$2:$A$2500)=DT$1)*(MONTH(Gastos!$A$2:$A$2500)=DT$3)*(Gastos!$B$2:$B$2500=$A47)*(Gastos!$D$2:$D$2500))</f>
        <v>0</v>
      </c>
      <c r="DU47" s="75">
        <f t="array" ref="DU47">SUM((YEAR(Gastos!$A$2:$A$2500)=DU$1)*(MONTH(Gastos!$A$2:$A$2500)=DU$3)*(Gastos!$B$2:$B$2500=$A47)*(Gastos!$D$2:$D$2500))</f>
        <v>0</v>
      </c>
      <c r="DV47" s="75">
        <f t="array" ref="DV47">SUM((YEAR(Gastos!$A$2:$A$2500)=DV$1)*(MONTH(Gastos!$A$2:$A$2500)=DV$3)*(Gastos!$B$2:$B$2500=$A47)*(Gastos!$D$2:$D$2500))</f>
        <v>0</v>
      </c>
      <c r="DW47" s="75">
        <f t="array" ref="DW47">SUM((YEAR(Gastos!$A$2:$A$2500)=DW$1)*(MONTH(Gastos!$A$2:$A$2500)=DW$3)*(Gastos!$B$2:$B$2500=$A47)*(Gastos!$D$2:$D$2500))</f>
        <v>0</v>
      </c>
      <c r="DX47" s="75">
        <f t="array" ref="DX47">SUM((YEAR(Gastos!$A$2:$A$2500)=DX$1)*(MONTH(Gastos!$A$2:$A$2500)=DX$3)*(Gastos!$B$2:$B$2500=$A47)*(Gastos!$D$2:$D$2500))</f>
        <v>1491.75</v>
      </c>
      <c r="DY47" s="75">
        <f t="array" ref="DY47">SUM((YEAR(Gastos!$A$2:$A$2500)=DY$1)*(MONTH(Gastos!$A$2:$A$2500)=DY$3)*(Gastos!$B$2:$B$2500=$A47)*(Gastos!$D$2:$D$2500))</f>
        <v>0</v>
      </c>
      <c r="DZ47" s="75">
        <f t="array" ref="DZ47">SUM((YEAR(Gastos!$A$2:$A$2500)=DZ$1)*(MONTH(Gastos!$A$2:$A$2500)=DZ$3)*(Gastos!$B$2:$B$2500=$A47)*(Gastos!$D$2:$D$2500))</f>
        <v>1500</v>
      </c>
      <c r="EA47" s="75">
        <f t="array" ref="EA47">SUM((YEAR(Gastos!$A$2:$A$2500)=EA$1)*(MONTH(Gastos!$A$2:$A$2500)=EA$3)*(Gastos!$B$2:$B$2500=$A47)*(Gastos!$D$2:$D$2500))</f>
        <v>0</v>
      </c>
      <c r="EB47" s="75">
        <f t="array" ref="EB47">SUM((YEAR(Gastos!$A$2:$A$2500)=EB$1)*(MONTH(Gastos!$A$2:$A$2500)=EB$3)*(Gastos!$B$2:$B$2500=$A47)*(Gastos!$D$2:$D$2500))</f>
        <v>0</v>
      </c>
      <c r="EC47" s="75">
        <f t="array" ref="EC47">SUM((YEAR(Gastos!$A$2:$A$2500)=EC$1)*(MONTH(Gastos!$A$2:$A$2500)=EC$3)*(Gastos!$B$2:$B$2500=$A47)*(Gastos!$D$2:$D$2500))</f>
        <v>0</v>
      </c>
      <c r="ED47" s="75">
        <f t="array" ref="ED47">SUM((YEAR(Gastos!$A$2:$A$2500)=ED$1)*(MONTH(Gastos!$A$2:$A$2500)=ED$3)*(Gastos!$B$2:$B$2500=$A47)*(Gastos!$D$2:$D$2500))</f>
        <v>0</v>
      </c>
      <c r="EE47" s="75">
        <f t="array" ref="EE47">SUM((YEAR(Gastos!$A$2:$A$2500)=EE$1)*(MONTH(Gastos!$A$2:$A$2500)=EE$3)*(Gastos!$B$2:$B$2500=$A47)*(Gastos!$D$2:$D$2500))</f>
        <v>0</v>
      </c>
      <c r="EF47" s="75">
        <f t="array" ref="EF47">SUM((YEAR(Gastos!$A$2:$A$2500)=EF$1)*(MONTH(Gastos!$A$2:$A$2500)=EF$3)*(Gastos!$B$2:$B$2500=$A47)*(Gastos!$D$2:$D$2500))</f>
        <v>0</v>
      </c>
      <c r="EG47" s="75">
        <f t="array" ref="EG47">SUM((YEAR(Gastos!$A$2:$A$2500)=EG$1)*(MONTH(Gastos!$A$2:$A$2500)=EG$3)*(Gastos!$B$2:$B$2500=$A47)*(Gastos!$D$2:$D$2500))</f>
        <v>0</v>
      </c>
      <c r="EH47" s="75">
        <f t="array" ref="EH47">SUM((YEAR(Gastos!$A$2:$A$2500)=EH$1)*(MONTH(Gastos!$A$2:$A$2500)=EH$3)*(Gastos!$B$2:$B$2500=$A47)*(Gastos!$D$2:$D$2500))</f>
        <v>0</v>
      </c>
      <c r="EI47" s="75">
        <f t="array" ref="EI47">SUM((YEAR(Gastos!$A$2:$A$2500)=EI$1)*(MONTH(Gastos!$A$2:$A$2500)=EI$3)*(Gastos!$B$2:$B$2500=$A47)*(Gastos!$D$2:$D$2500))</f>
        <v>2295</v>
      </c>
      <c r="EJ47" s="75">
        <f t="array" ref="EJ47">SUM((YEAR(Gastos!$A$2:$A$2500)=EJ$1)*(MONTH(Gastos!$A$2:$A$2500)=EJ$3)*(Gastos!$B$2:$B$2500=$A47)*(Gastos!$D$2:$D$2500))</f>
        <v>0</v>
      </c>
      <c r="EK47" s="75">
        <f t="array" ref="EK47">SUM((YEAR(Gastos!$A$2:$A$2500)=EK$1)*(MONTH(Gastos!$A$2:$A$2500)=EK$3)*(Gastos!$B$2:$B$2500=$A47)*(Gastos!$D$2:$D$2500))</f>
        <v>0</v>
      </c>
      <c r="EL47" s="75">
        <f t="array" ref="EL47">SUM((YEAR(Gastos!$A$2:$A$2500)=EL$1)*(MONTH(Gastos!$A$2:$A$2500)=EL$3)*(Gastos!$B$2:$B$2500=$A47)*(Gastos!$D$2:$D$2500))</f>
        <v>0</v>
      </c>
      <c r="EM47" s="75">
        <f t="array" ref="EM47">SUM((YEAR(Gastos!$A$2:$A$2500)=EM$1)*(MONTH(Gastos!$A$2:$A$2500)=EM$3)*(Gastos!$B$2:$B$2500=$A47)*(Gastos!$D$2:$D$2500))</f>
        <v>0</v>
      </c>
      <c r="EN47" s="75">
        <f t="array" ref="EN47">SUM((YEAR(Gastos!$A$2:$A$2500)=EN$1)*(MONTH(Gastos!$A$2:$A$2500)=EN$3)*(Gastos!$B$2:$B$2500=$A47)*(Gastos!$D$2:$D$2500))</f>
        <v>10208</v>
      </c>
      <c r="EO47" s="75">
        <f t="array" ref="EO47">SUM((YEAR(Gastos!$A$2:$A$2500)=EO$1)*(MONTH(Gastos!$A$2:$A$2500)=EO$3)*(Gastos!$B$2:$B$2500=$A47)*(Gastos!$D$2:$D$2500))</f>
        <v>0</v>
      </c>
      <c r="EP47" s="75">
        <f t="array" ref="EP47">SUM((YEAR(Gastos!$A$2:$A$2500)=EP$1)*(MONTH(Gastos!$A$2:$A$2500)=EP$3)*(Gastos!$B$2:$B$2500=$A47)*(Gastos!$D$2:$D$2500))</f>
        <v>0</v>
      </c>
      <c r="EQ47" s="75">
        <f t="array" ref="EQ47">SUM((YEAR(Gastos!$A$2:$A$2500)=EQ$1)*(MONTH(Gastos!$A$2:$A$2500)=EQ$3)*(Gastos!$B$2:$B$2500=$A47)*(Gastos!$D$2:$D$2500))</f>
        <v>0</v>
      </c>
      <c r="ER47" s="75">
        <f t="array" ref="ER47">SUM((YEAR(Gastos!$A$2:$A$2500)=ER$1)*(MONTH(Gastos!$A$2:$A$2500)=ER$3)*(Gastos!$B$2:$B$2500=$A47)*(Gastos!$D$2:$D$2500))</f>
        <v>0</v>
      </c>
      <c r="ES47" s="75">
        <f t="array" ref="ES47">SUM((YEAR(Gastos!$A$2:$A$2500)=ES$1)*(MONTH(Gastos!$A$2:$A$2500)=ES$3)*(Gastos!$B$2:$B$2500=$A47)*(Gastos!$D$2:$D$2500))</f>
        <v>0</v>
      </c>
      <c r="ET47" s="75">
        <f t="array" ref="ET47">SUM((YEAR(Gastos!$A$2:$A$2500)=ET$1)*(MONTH(Gastos!$A$2:$A$2500)=ET$3)*(Gastos!$B$2:$B$2500=$A47)*(Gastos!$D$2:$D$2500))</f>
        <v>0</v>
      </c>
      <c r="EU47" s="75">
        <f t="array" ref="EU47">SUM((YEAR(Gastos!$A$2:$A$2500)=EU$1)*(MONTH(Gastos!$A$2:$A$2500)=EU$3)*(Gastos!$B$2:$B$2500=$A47)*(Gastos!$D$2:$D$2500))</f>
        <v>0</v>
      </c>
      <c r="EV47" s="75">
        <f t="array" ref="EV47">SUM((YEAR(Gastos!$A$2:$A$2500)=EV$1)*(MONTH(Gastos!$A$2:$A$2500)=EV$3)*(Gastos!$B$2:$B$2500=$A47)*(Gastos!$D$2:$D$2500))</f>
        <v>0</v>
      </c>
      <c r="EW47" s="75">
        <f t="array" ref="EW47">SUM((YEAR(Gastos!$A$2:$A$2500)=EW$1)*(MONTH(Gastos!$A$2:$A$2500)=EW$3)*(Gastos!$B$2:$B$2500=$A47)*(Gastos!$D$2:$D$2500))</f>
        <v>0</v>
      </c>
      <c r="EX47" s="75">
        <f t="array" ref="EX47">SUM((YEAR(Gastos!$A$2:$A$2500)=EX$1)*(MONTH(Gastos!$A$2:$A$2500)=EX$3)*(Gastos!$B$2:$B$2500=$A47)*(Gastos!$D$2:$D$2500))</f>
        <v>0</v>
      </c>
      <c r="EY47" s="75">
        <f t="array" ref="EY47">SUM((YEAR(Gastos!$A$2:$A$2500)=EY$1)*(MONTH(Gastos!$A$2:$A$2500)=EY$3)*(Gastos!$B$2:$B$2500=$A47)*(Gastos!$D$2:$D$2500))</f>
        <v>0</v>
      </c>
      <c r="EZ47" s="75">
        <f t="array" ref="EZ47">SUM((YEAR(Gastos!$A$2:$A$2500)=EZ$1)*(MONTH(Gastos!$A$2:$A$2500)=EZ$3)*(Gastos!$B$2:$B$2500=$A47)*(Gastos!$D$2:$D$2500))</f>
        <v>0</v>
      </c>
      <c r="FA47" s="75">
        <f t="array" ref="FA47">SUM((YEAR(Gastos!$A$2:$A$2500)=FA$1)*(MONTH(Gastos!$A$2:$A$2500)=FA$3)*(Gastos!$B$2:$B$2500=$A47)*(Gastos!$D$2:$D$2500))</f>
        <v>0</v>
      </c>
      <c r="FB47" s="75">
        <f t="array" ref="FB47">SUM((YEAR(Gastos!$A$2:$A$2500)=FB$1)*(MONTH(Gastos!$A$2:$A$2500)=FB$3)*(Gastos!$B$2:$B$2500=$A47)*(Gastos!$D$2:$D$2500))</f>
        <v>0</v>
      </c>
      <c r="FC47" s="75">
        <f t="array" ref="FC47">SUM((YEAR(Gastos!$A$2:$A$2500)=FC$1)*(MONTH(Gastos!$A$2:$A$2500)=FC$3)*(Gastos!$B$2:$B$2500=$A47)*(Gastos!$D$2:$D$2500))</f>
        <v>0</v>
      </c>
      <c r="FD47" s="75">
        <f t="array" ref="FD47">SUM((YEAR(Gastos!$A$2:$A$2500)=FD$1)*(MONTH(Gastos!$A$2:$A$2500)=FD$3)*(Gastos!$B$2:$B$2500=$A47)*(Gastos!$D$2:$D$2500))</f>
        <v>0</v>
      </c>
      <c r="FE47" s="75">
        <f t="array" ref="FE47">SUM((YEAR(Gastos!$A$2:$A$2500)=FE$1)*(MONTH(Gastos!$A$2:$A$2500)=FE$3)*(Gastos!$B$2:$B$2500=$A47)*(Gastos!$D$2:$D$2500))</f>
        <v>0</v>
      </c>
      <c r="FF47" s="75">
        <f t="array" ref="FF47">SUM((YEAR(Gastos!$A$2:$A$2500)=FF$1)*(MONTH(Gastos!$A$2:$A$2500)=FF$3)*(Gastos!$B$2:$B$2500=$A47)*(Gastos!$D$2:$D$2500))</f>
        <v>0</v>
      </c>
      <c r="FG47" s="75">
        <f t="array" ref="FG47">SUM((YEAR(Gastos!$A$2:$A$2500)=FG$1)*(MONTH(Gastos!$A$2:$A$2500)=FG$3)*(Gastos!$B$2:$B$2500=$A47)*(Gastos!$D$2:$D$2500))</f>
        <v>0</v>
      </c>
      <c r="FH47" s="75">
        <f t="array" ref="FH47">SUM((YEAR(Gastos!$A$2:$A$2500)=FH$1)*(MONTH(Gastos!$A$2:$A$2500)=FH$3)*(Gastos!$B$2:$B$2500=$A47)*(Gastos!$D$2:$D$2500))</f>
        <v>0</v>
      </c>
      <c r="FI47" s="75">
        <f t="array" ref="FI47">SUM((YEAR(Gastos!$A$2:$A$2500)=FI$1)*(MONTH(Gastos!$A$2:$A$2500)=FI$3)*(Gastos!$B$2:$B$2500=$A47)*(Gastos!$D$2:$D$2500))</f>
        <v>0</v>
      </c>
      <c r="FJ47" s="75">
        <f t="array" ref="FJ47">SUM((YEAR(Gastos!$A$2:$A$2500)=FJ$1)*(MONTH(Gastos!$A$2:$A$2500)=FJ$3)*(Gastos!$B$2:$B$2500=$A47)*(Gastos!$D$2:$D$2500))</f>
        <v>0</v>
      </c>
      <c r="FK47" s="75">
        <f t="array" ref="FK47">SUM((YEAR(Gastos!$A$2:$A$2500)=FK$1)*(MONTH(Gastos!$A$2:$A$2500)=FK$3)*(Gastos!$B$2:$B$2500=$A47)*(Gastos!$D$2:$D$2500))</f>
        <v>0</v>
      </c>
      <c r="FL47" s="75">
        <f t="array" ref="FL47">SUM((YEAR(Gastos!$A$2:$A$2500)=FL$1)*(MONTH(Gastos!$A$2:$A$2500)=FL$3)*(Gastos!$B$2:$B$2500=$A47)*(Gastos!$D$2:$D$2500))</f>
        <v>0</v>
      </c>
      <c r="FM47" s="75">
        <f t="array" ref="FM47">SUM((YEAR(Gastos!$A$2:$A$2500)=FM$1)*(MONTH(Gastos!$A$2:$A$2500)=FM$3)*(Gastos!$B$2:$B$2500=$A47)*(Gastos!$D$2:$D$2500))</f>
        <v>0</v>
      </c>
      <c r="FN47" s="75">
        <f t="array" ref="FN47">SUM((YEAR(Gastos!$A$2:$A$2500)=FN$1)*(MONTH(Gastos!$A$2:$A$2500)=FN$3)*(Gastos!$B$2:$B$2500=$A47)*(Gastos!$D$2:$D$2500))</f>
        <v>0</v>
      </c>
      <c r="FO47" s="75">
        <f t="array" ref="FO47">SUM((YEAR(Gastos!$A$2:$A$2500)=FO$1)*(MONTH(Gastos!$A$2:$A$2500)=FO$3)*(Gastos!$B$2:$B$2500=$A47)*(Gastos!$D$2:$D$2500))</f>
        <v>0</v>
      </c>
      <c r="FP47" s="75">
        <f t="array" ref="FP47">SUM((YEAR(Gastos!$A$2:$A$2500)=FP$1)*(MONTH(Gastos!$A$2:$A$2500)=FP$3)*(Gastos!$B$2:$B$2500=$A47)*(Gastos!$D$2:$D$2500))</f>
        <v>0</v>
      </c>
      <c r="FQ47" s="75">
        <f t="array" ref="FQ47">SUM((YEAR(Gastos!$A$2:$A$2500)=FQ$1)*(MONTH(Gastos!$A$2:$A$2500)=FQ$3)*(Gastos!$B$2:$B$2500=$A47)*(Gastos!$D$2:$D$2500))</f>
        <v>0</v>
      </c>
      <c r="FR47" s="75">
        <f t="array" ref="FR47">SUM((YEAR(Gastos!$A$2:$A$2500)=FR$1)*(MONTH(Gastos!$A$2:$A$2500)=FR$3)*(Gastos!$B$2:$B$2500=$A47)*(Gastos!$D$2:$D$2500))</f>
        <v>0</v>
      </c>
      <c r="FS47" s="75">
        <f t="array" ref="FS47">SUM((YEAR(Gastos!$A$2:$A$2500)=FS$1)*(MONTH(Gastos!$A$2:$A$2500)=FS$3)*(Gastos!$B$2:$B$2500=$A47)*(Gastos!$D$2:$D$2500))</f>
        <v>0</v>
      </c>
      <c r="FT47" s="75">
        <f t="array" ref="FT47">SUM((YEAR(Gastos!$A$2:$A$2500)=FT$1)*(MONTH(Gastos!$A$2:$A$2500)=FT$3)*(Gastos!$B$2:$B$2500=$A47)*(Gastos!$D$2:$D$2500))</f>
        <v>0</v>
      </c>
      <c r="FU47" s="75">
        <f t="array" ref="FU47">SUM((YEAR(Gastos!$A$2:$A$2500)=FU$1)*(MONTH(Gastos!$A$2:$A$2500)=FU$3)*(Gastos!$B$2:$B$2500=$A47)*(Gastos!$D$2:$D$2500))</f>
        <v>0</v>
      </c>
      <c r="FV47" s="75">
        <f t="array" ref="FV47">SUM((YEAR(Gastos!$A$2:$A$2500)=FV$1)*(MONTH(Gastos!$A$2:$A$2500)=FV$3)*(Gastos!$B$2:$B$2500=$A47)*(Gastos!$D$2:$D$2500))</f>
        <v>0</v>
      </c>
      <c r="FW47" s="75">
        <f t="array" ref="FW47">SUM((YEAR(Gastos!$A$2:$A$2500)=FW$1)*(MONTH(Gastos!$A$2:$A$2500)=FW$3)*(Gastos!$B$2:$B$2500=$A47)*(Gastos!$D$2:$D$2500))</f>
        <v>0</v>
      </c>
      <c r="FX47" s="75">
        <f t="array" ref="FX47">SUM((YEAR(Gastos!$A$2:$A$2500)=FX$1)*(MONTH(Gastos!$A$2:$A$2500)=FX$3)*(Gastos!$B$2:$B$2500=$A47)*(Gastos!$D$2:$D$2500))</f>
        <v>0</v>
      </c>
      <c r="FY47" s="75">
        <f t="array" ref="FY47">SUM((YEAR(Gastos!$A$2:$A$2500)=FY$1)*(MONTH(Gastos!$A$2:$A$2500)=FY$3)*(Gastos!$B$2:$B$2500=$A47)*(Gastos!$D$2:$D$2500))</f>
        <v>0</v>
      </c>
      <c r="FZ47" s="76">
        <f t="shared" si="65"/>
        <v>57787.75</v>
      </c>
      <c r="GA47" s="80"/>
      <c r="GB47" s="78">
        <f t="shared" si="66"/>
        <v>-10595</v>
      </c>
      <c r="GF47" s="79">
        <f t="array" ref="GF47">SUM(((Gastos!$A$2:$A$1647)&gt;=GD$3)*((Gastos!$A$2:$A$1647)&lt;=GF$3)*(Gastos!$B$2:$B$1647=$A47)*(Gastos!$D$2:$D$1647))</f>
        <v>13098</v>
      </c>
      <c r="GI47" s="79">
        <f t="array" ref="GI47">SUM(((Gastos!$A$2:$A$1647)&gt;=GG$3)*((Gastos!$A$2:$A$1647)&lt;=GI$3)*(Gastos!$B$2:$B$1647=$A47)*(Gastos!$D$2:$D$1647))</f>
        <v>23693</v>
      </c>
    </row>
    <row r="48" spans="1:191" ht="15" thickBot="1" x14ac:dyDescent="0.4">
      <c r="A48" s="74" t="str">
        <f>Gastos!AA46</f>
        <v>V. PROCESOS LEGALES</v>
      </c>
      <c r="B48" s="75">
        <f t="array" ref="B48">SUM((YEAR(Gastos!$A$2:$A$2500)=B$1)*(MONTH(Gastos!$A$2:$A$2500)=B$3)*(Gastos!$B$2:$B$2500=$A48)*(Gastos!$D$2:$D$2500))</f>
        <v>0</v>
      </c>
      <c r="C48" s="75">
        <f t="array" ref="C48">SUM((YEAR(Gastos!$A$2:$A$2500)=C$1)*(MONTH(Gastos!$A$2:$A$2500)=C$3)*(Gastos!$B$2:$B$2500=$A48)*(Gastos!$D$2:$D$2500))</f>
        <v>0</v>
      </c>
      <c r="D48" s="75">
        <f t="array" ref="D48">SUM((YEAR(Gastos!$A$2:$A$2500)=D$1)*(MONTH(Gastos!$A$2:$A$2500)=D$3)*(Gastos!$B$2:$B$2500=$A48)*(Gastos!$D$2:$D$2500))</f>
        <v>0</v>
      </c>
      <c r="E48" s="75">
        <f t="array" ref="E48">SUM((YEAR(Gastos!$A$2:$A$2500)=E$1)*(MONTH(Gastos!$A$2:$A$2500)=E$3)*(Gastos!$B$2:$B$2500=$A48)*(Gastos!$D$2:$D$2500))</f>
        <v>0</v>
      </c>
      <c r="F48" s="75">
        <f t="array" ref="F48">SUM((YEAR(Gastos!$A$2:$A$2500)=F$1)*(MONTH(Gastos!$A$2:$A$2500)=F$3)*(Gastos!$B$2:$B$2500=$A48)*(Gastos!$D$2:$D$2500))</f>
        <v>0</v>
      </c>
      <c r="G48" s="75">
        <f t="array" ref="G48">SUM((YEAR(Gastos!$A$2:$A$2500)=G$1)*(MONTH(Gastos!$A$2:$A$2500)=G$3)*(Gastos!$B$2:$B$2500=$A48)*(Gastos!$D$2:$D$2500))</f>
        <v>0</v>
      </c>
      <c r="H48" s="75">
        <f t="array" ref="H48">SUM((YEAR(Gastos!$A$2:$A$2500)=H$1)*(MONTH(Gastos!$A$2:$A$2500)=H$3)*(Gastos!$B$2:$B$2500=$A48)*(Gastos!$D$2:$D$2500))</f>
        <v>0</v>
      </c>
      <c r="I48" s="75">
        <f t="array" ref="I48">SUM((YEAR(Gastos!$A$2:$A$2500)=I$1)*(MONTH(Gastos!$A$2:$A$2500)=I$3)*(Gastos!$B$2:$B$2500=$A48)*(Gastos!$D$2:$D$2500))</f>
        <v>0</v>
      </c>
      <c r="J48" s="75">
        <f t="array" ref="J48">SUM((YEAR(Gastos!$A$2:$A$2500)=J$1)*(MONTH(Gastos!$A$2:$A$2500)=J$3)*(Gastos!$B$2:$B$2500=$A48)*(Gastos!$D$2:$D$2500))</f>
        <v>0</v>
      </c>
      <c r="K48" s="75">
        <f t="array" ref="K48">SUM((YEAR(Gastos!$A$2:$A$2500)=K$1)*(MONTH(Gastos!$A$2:$A$2500)=K$3)*(Gastos!$B$2:$B$2500=$A48)*(Gastos!$D$2:$D$2500))</f>
        <v>0</v>
      </c>
      <c r="L48" s="75">
        <f t="array" ref="L48">SUM((YEAR(Gastos!$A$2:$A$2500)=L$1)*(MONTH(Gastos!$A$2:$A$2500)=L$3)*(Gastos!$B$2:$B$2500=$A48)*(Gastos!$D$2:$D$2500))</f>
        <v>0</v>
      </c>
      <c r="M48" s="75">
        <f t="array" ref="M48">SUM((YEAR(Gastos!$A$2:$A$2500)=M$1)*(MONTH(Gastos!$A$2:$A$2500)=M$3)*(Gastos!$B$2:$B$2500=$A48)*(Gastos!$D$2:$D$2500))</f>
        <v>0</v>
      </c>
      <c r="N48" s="75">
        <f t="array" ref="N48">SUM((YEAR(Gastos!$A$2:$A$2500)=N$1)*(MONTH(Gastos!$A$2:$A$2500)=N$3)*(Gastos!$B$2:$B$2500=$A48)*(Gastos!$D$2:$D$2500))</f>
        <v>0</v>
      </c>
      <c r="O48" s="75">
        <f t="array" ref="O48">SUM((YEAR(Gastos!$A$2:$A$2500)=O$1)*(MONTH(Gastos!$A$2:$A$2500)=O$3)*(Gastos!$B$2:$B$2500=$A48)*(Gastos!$D$2:$D$2500))</f>
        <v>0</v>
      </c>
      <c r="P48" s="75">
        <f t="array" ref="P48">SUM((YEAR(Gastos!$A$2:$A$2500)=P$1)*(MONTH(Gastos!$A$2:$A$2500)=P$3)*(Gastos!$B$2:$B$2500=$A48)*(Gastos!$D$2:$D$2500))</f>
        <v>0</v>
      </c>
      <c r="Q48" s="75">
        <f t="array" ref="Q48">SUM((YEAR(Gastos!$A$2:$A$2500)=Q$1)*(MONTH(Gastos!$A$2:$A$2500)=Q$3)*(Gastos!$B$2:$B$2500=$A48)*(Gastos!$D$2:$D$2500))</f>
        <v>0</v>
      </c>
      <c r="R48" s="75">
        <f t="array" ref="R48">SUM((YEAR(Gastos!$A$2:$A$2500)=R$1)*(MONTH(Gastos!$A$2:$A$2500)=R$3)*(Gastos!$B$2:$B$2500=$A48)*(Gastos!$D$2:$D$2500))</f>
        <v>0</v>
      </c>
      <c r="S48" s="75">
        <f t="array" ref="S48">SUM((YEAR(Gastos!$A$2:$A$2500)=S$1)*(MONTH(Gastos!$A$2:$A$2500)=S$3)*(Gastos!$B$2:$B$2500=$A48)*(Gastos!$D$2:$D$2500))</f>
        <v>0</v>
      </c>
      <c r="T48" s="75">
        <f t="array" ref="T48">SUM((YEAR(Gastos!$A$2:$A$2500)=T$1)*(MONTH(Gastos!$A$2:$A$2500)=T$3)*(Gastos!$B$2:$B$2500=$A48)*(Gastos!$D$2:$D$2500))</f>
        <v>0</v>
      </c>
      <c r="U48" s="75">
        <f t="array" ref="U48">SUM((YEAR(Gastos!$A$2:$A$2500)=U$1)*(MONTH(Gastos!$A$2:$A$2500)=U$3)*(Gastos!$B$2:$B$2500=$A48)*(Gastos!$D$2:$D$2500))</f>
        <v>0</v>
      </c>
      <c r="V48" s="75">
        <f t="array" ref="V48">SUM((YEAR(Gastos!$A$2:$A$2500)=V$1)*(MONTH(Gastos!$A$2:$A$2500)=V$3)*(Gastos!$B$2:$B$2500=$A48)*(Gastos!$D$2:$D$2500))</f>
        <v>0</v>
      </c>
      <c r="W48" s="75">
        <f t="array" ref="W48">SUM((YEAR(Gastos!$A$2:$A$2500)=W$1)*(MONTH(Gastos!$A$2:$A$2500)=W$3)*(Gastos!$B$2:$B$2500=$A48)*(Gastos!$D$2:$D$2500))</f>
        <v>0</v>
      </c>
      <c r="X48" s="75">
        <f t="array" ref="X48">SUM((YEAR(Gastos!$A$2:$A$2500)=X$1)*(MONTH(Gastos!$A$2:$A$2500)=X$3)*(Gastos!$B$2:$B$2500=$A48)*(Gastos!$D$2:$D$2500))</f>
        <v>0</v>
      </c>
      <c r="Y48" s="75">
        <f t="array" ref="Y48">SUM((YEAR(Gastos!$A$2:$A$2500)=Y$1)*(MONTH(Gastos!$A$2:$A$2500)=Y$3)*(Gastos!$B$2:$B$2500=$A48)*(Gastos!$D$2:$D$2500))</f>
        <v>0</v>
      </c>
      <c r="Z48" s="75">
        <f t="array" ref="Z48">SUM((YEAR(Gastos!$A$2:$A$2500)=Z$1)*(MONTH(Gastos!$A$2:$A$2500)=Z$3)*(Gastos!$B$2:$B$2500=$A48)*(Gastos!$D$2:$D$2500))</f>
        <v>0</v>
      </c>
      <c r="AA48" s="75">
        <f t="array" ref="AA48">SUM((YEAR(Gastos!$A$2:$A$2500)=AA$1)*(MONTH(Gastos!$A$2:$A$2500)=AA$3)*(Gastos!$B$2:$B$2500=$A48)*(Gastos!$D$2:$D$2500))</f>
        <v>0</v>
      </c>
      <c r="AB48" s="75">
        <f t="array" ref="AB48">SUM((YEAR(Gastos!$A$2:$A$2500)=AB$1)*(MONTH(Gastos!$A$2:$A$2500)=AB$3)*(Gastos!$B$2:$B$2500=$A48)*(Gastos!$D$2:$D$2500))</f>
        <v>0</v>
      </c>
      <c r="AC48" s="75">
        <f t="array" ref="AC48">SUM((YEAR(Gastos!$A$2:$A$2500)=AC$1)*(MONTH(Gastos!$A$2:$A$2500)=AC$3)*(Gastos!$B$2:$B$2500=$A48)*(Gastos!$D$2:$D$2500))</f>
        <v>0</v>
      </c>
      <c r="AD48" s="75">
        <f t="array" ref="AD48">SUM((YEAR(Gastos!$A$2:$A$2500)=AD$1)*(MONTH(Gastos!$A$2:$A$2500)=AD$3)*(Gastos!$B$2:$B$2500=$A48)*(Gastos!$D$2:$D$2500))</f>
        <v>0</v>
      </c>
      <c r="AE48" s="75">
        <f t="array" ref="AE48">SUM((YEAR(Gastos!$A$2:$A$2500)=AE$1)*(MONTH(Gastos!$A$2:$A$2500)=AE$3)*(Gastos!$B$2:$B$2500=$A48)*(Gastos!$D$2:$D$2500))</f>
        <v>0</v>
      </c>
      <c r="AF48" s="75">
        <f t="array" ref="AF48">SUM((YEAR(Gastos!$A$2:$A$2500)=AF$1)*(MONTH(Gastos!$A$2:$A$2500)=AF$3)*(Gastos!$B$2:$B$2500=$A48)*(Gastos!$D$2:$D$2500))</f>
        <v>0</v>
      </c>
      <c r="AG48" s="75">
        <f t="array" ref="AG48">SUM((YEAR(Gastos!$A$2:$A$2500)=AG$1)*(MONTH(Gastos!$A$2:$A$2500)=AG$3)*(Gastos!$B$2:$B$2500=$A48)*(Gastos!$D$2:$D$2500))</f>
        <v>0</v>
      </c>
      <c r="AH48" s="75">
        <f t="array" ref="AH48">SUM((YEAR(Gastos!$A$2:$A$2500)=AH$1)*(MONTH(Gastos!$A$2:$A$2500)=AH$3)*(Gastos!$B$2:$B$2500=$A48)*(Gastos!$D$2:$D$2500))</f>
        <v>0</v>
      </c>
      <c r="AI48" s="75">
        <f t="array" ref="AI48">SUM((YEAR(Gastos!$A$2:$A$2500)=AI$1)*(MONTH(Gastos!$A$2:$A$2500)=AI$3)*(Gastos!$B$2:$B$2500=$A48)*(Gastos!$D$2:$D$2500))</f>
        <v>0</v>
      </c>
      <c r="AJ48" s="75">
        <f t="array" ref="AJ48">SUM((YEAR(Gastos!$A$2:$A$2500)=AJ$1)*(MONTH(Gastos!$A$2:$A$2500)=AJ$3)*(Gastos!$B$2:$B$2500=$A48)*(Gastos!$D$2:$D$2500))</f>
        <v>0</v>
      </c>
      <c r="AK48" s="75">
        <f t="array" ref="AK48">SUM((YEAR(Gastos!$A$2:$A$2500)=AK$1)*(MONTH(Gastos!$A$2:$A$2500)=AK$3)*(Gastos!$B$2:$B$2500=$A48)*(Gastos!$D$2:$D$2500))</f>
        <v>0</v>
      </c>
      <c r="AL48" s="75">
        <f t="array" ref="AL48">SUM((YEAR(Gastos!$A$2:$A$2500)=AL$1)*(MONTH(Gastos!$A$2:$A$2500)=AL$3)*(Gastos!$B$2:$B$2500=$A48)*(Gastos!$D$2:$D$2500))</f>
        <v>0</v>
      </c>
      <c r="AM48" s="75">
        <f t="array" ref="AM48">SUM((YEAR(Gastos!$A$2:$A$2500)=AM$1)*(MONTH(Gastos!$A$2:$A$2500)=AM$3)*(Gastos!$B$2:$B$2500=$A48)*(Gastos!$D$2:$D$2500))</f>
        <v>0</v>
      </c>
      <c r="AN48" s="75">
        <f t="array" ref="AN48">SUM((YEAR(Gastos!$A$2:$A$2500)=AN$1)*(MONTH(Gastos!$A$2:$A$2500)=AN$3)*(Gastos!$B$2:$B$2500=$A48)*(Gastos!$D$2:$D$2500))</f>
        <v>0</v>
      </c>
      <c r="AO48" s="75">
        <f t="array" ref="AO48">SUM((YEAR(Gastos!$A$2:$A$2500)=AO$1)*(MONTH(Gastos!$A$2:$A$2500)=AO$3)*(Gastos!$B$2:$B$2500=$A48)*(Gastos!$D$2:$D$2500))</f>
        <v>0</v>
      </c>
      <c r="AP48" s="75">
        <f t="array" ref="AP48">SUM((YEAR(Gastos!$A$2:$A$2500)=AP$1)*(MONTH(Gastos!$A$2:$A$2500)=AP$3)*(Gastos!$B$2:$B$2500=$A48)*(Gastos!$D$2:$D$2500))</f>
        <v>0</v>
      </c>
      <c r="AQ48" s="75">
        <f t="array" ref="AQ48">SUM((YEAR(Gastos!$A$2:$A$2500)=AQ$1)*(MONTH(Gastos!$A$2:$A$2500)=AQ$3)*(Gastos!$B$2:$B$2500=$A48)*(Gastos!$D$2:$D$2500))</f>
        <v>0</v>
      </c>
      <c r="AR48" s="75">
        <f t="array" ref="AR48">SUM((YEAR(Gastos!$A$2:$A$2500)=AR$1)*(MONTH(Gastos!$A$2:$A$2500)=AR$3)*(Gastos!$B$2:$B$2500=$A48)*(Gastos!$D$2:$D$2500))</f>
        <v>0</v>
      </c>
      <c r="AS48" s="75">
        <f t="array" ref="AS48">SUM((YEAR(Gastos!$A$2:$A$2500)=AS$1)*(MONTH(Gastos!$A$2:$A$2500)=AS$3)*(Gastos!$B$2:$B$2500=$A48)*(Gastos!$D$2:$D$2500))</f>
        <v>0</v>
      </c>
      <c r="AT48" s="75">
        <f t="array" ref="AT48">SUM((YEAR(Gastos!$A$2:$A$2500)=AT$1)*(MONTH(Gastos!$A$2:$A$2500)=AT$3)*(Gastos!$B$2:$B$2500=$A48)*(Gastos!$D$2:$D$2500))</f>
        <v>0</v>
      </c>
      <c r="AU48" s="75">
        <f t="array" ref="AU48">SUM((YEAR(Gastos!$A$2:$A$2500)=AU$1)*(MONTH(Gastos!$A$2:$A$2500)=AU$3)*(Gastos!$B$2:$B$2500=$A48)*(Gastos!$D$2:$D$2500))</f>
        <v>0</v>
      </c>
      <c r="AV48" s="75">
        <f t="array" ref="AV48">SUM((YEAR(Gastos!$A$2:$A$2500)=AV$1)*(MONTH(Gastos!$A$2:$A$2500)=AV$3)*(Gastos!$B$2:$B$2500=$A48)*(Gastos!$D$2:$D$2500))</f>
        <v>0</v>
      </c>
      <c r="AW48" s="75">
        <f t="array" ref="AW48">SUM((YEAR(Gastos!$A$2:$A$2500)=AW$1)*(MONTH(Gastos!$A$2:$A$2500)=AW$3)*(Gastos!$B$2:$B$2500=$A48)*(Gastos!$D$2:$D$2500))</f>
        <v>0</v>
      </c>
      <c r="AX48" s="75">
        <f t="array" ref="AX48">SUM((YEAR(Gastos!$A$2:$A$2500)=AX$1)*(MONTH(Gastos!$A$2:$A$2500)=AX$3)*(Gastos!$B$2:$B$2500=$A48)*(Gastos!$D$2:$D$2500))</f>
        <v>0</v>
      </c>
      <c r="AY48" s="75">
        <f t="array" ref="AY48">SUM((YEAR(Gastos!$A$2:$A$2500)=AY$1)*(MONTH(Gastos!$A$2:$A$2500)=AY$3)*(Gastos!$B$2:$B$2500=$A48)*(Gastos!$D$2:$D$2500))</f>
        <v>0</v>
      </c>
      <c r="AZ48" s="75">
        <f t="array" ref="AZ48">SUM((YEAR(Gastos!$A$2:$A$2500)=AZ$1)*(MONTH(Gastos!$A$2:$A$2500)=AZ$3)*(Gastos!$B$2:$B$2500=$A48)*(Gastos!$D$2:$D$2500))</f>
        <v>0</v>
      </c>
      <c r="BA48" s="75">
        <f t="array" ref="BA48">SUM((YEAR(Gastos!$A$2:$A$2500)=BA$1)*(MONTH(Gastos!$A$2:$A$2500)=BA$3)*(Gastos!$B$2:$B$2500=$A48)*(Gastos!$D$2:$D$2500))</f>
        <v>0</v>
      </c>
      <c r="BB48" s="75">
        <f t="array" ref="BB48">SUM((YEAR(Gastos!$A$2:$A$2500)=BB$1)*(MONTH(Gastos!$A$2:$A$2500)=BB$3)*(Gastos!$B$2:$B$2500=$A48)*(Gastos!$D$2:$D$2500))</f>
        <v>0</v>
      </c>
      <c r="BC48" s="75">
        <f t="array" ref="BC48">SUM((YEAR(Gastos!$A$2:$A$2500)=BC$1)*(MONTH(Gastos!$A$2:$A$2500)=BC$3)*(Gastos!$B$2:$B$2500=$A48)*(Gastos!$D$2:$D$2500))</f>
        <v>0</v>
      </c>
      <c r="BD48" s="75">
        <f t="array" ref="BD48">SUM((YEAR(Gastos!$A$2:$A$2500)=BD$1)*(MONTH(Gastos!$A$2:$A$2500)=BD$3)*(Gastos!$B$2:$B$2500=$A48)*(Gastos!$D$2:$D$2500))</f>
        <v>0</v>
      </c>
      <c r="BE48" s="75">
        <f t="array" ref="BE48">SUM((YEAR(Gastos!$A$2:$A$2500)=BE$1)*(MONTH(Gastos!$A$2:$A$2500)=BE$3)*(Gastos!$B$2:$B$2500=$A48)*(Gastos!$D$2:$D$2500))</f>
        <v>0</v>
      </c>
      <c r="BF48" s="75">
        <f t="array" ref="BF48">SUM((YEAR(Gastos!$A$2:$A$2500)=BF$1)*(MONTH(Gastos!$A$2:$A$2500)=BF$3)*(Gastos!$B$2:$B$2500=$A48)*(Gastos!$D$2:$D$2500))</f>
        <v>0</v>
      </c>
      <c r="BG48" s="75">
        <f t="array" ref="BG48">SUM((YEAR(Gastos!$A$2:$A$2500)=BG$1)*(MONTH(Gastos!$A$2:$A$2500)=BG$3)*(Gastos!$B$2:$B$2500=$A48)*(Gastos!$D$2:$D$2500))</f>
        <v>0</v>
      </c>
      <c r="BH48" s="75">
        <f t="array" ref="BH48">SUM((YEAR(Gastos!$A$2:$A$2500)=BH$1)*(MONTH(Gastos!$A$2:$A$2500)=BH$3)*(Gastos!$B$2:$B$2500=$A48)*(Gastos!$D$2:$D$2500))</f>
        <v>0</v>
      </c>
      <c r="BI48" s="75">
        <f t="array" ref="BI48">SUM((YEAR(Gastos!$A$2:$A$2500)=BI$1)*(MONTH(Gastos!$A$2:$A$2500)=BI$3)*(Gastos!$B$2:$B$2500=$A48)*(Gastos!$D$2:$D$2500))</f>
        <v>0</v>
      </c>
      <c r="BJ48" s="75">
        <f t="array" ref="BJ48">SUM((YEAR(Gastos!$A$2:$A$2500)=BJ$1)*(MONTH(Gastos!$A$2:$A$2500)=BJ$3)*(Gastos!$B$2:$B$2500=$A48)*(Gastos!$D$2:$D$2500))</f>
        <v>0</v>
      </c>
      <c r="BK48" s="75">
        <f t="array" ref="BK48">SUM((YEAR(Gastos!$A$2:$A$2500)=BK$1)*(MONTH(Gastos!$A$2:$A$2500)=BK$3)*(Gastos!$B$2:$B$2500=$A48)*(Gastos!$D$2:$D$2500))</f>
        <v>0</v>
      </c>
      <c r="BL48" s="75">
        <f t="array" ref="BL48">SUM((YEAR(Gastos!$A$2:$A$2500)=BL$1)*(MONTH(Gastos!$A$2:$A$2500)=BL$3)*(Gastos!$B$2:$B$2500=$A48)*(Gastos!$D$2:$D$2500))</f>
        <v>0</v>
      </c>
      <c r="BM48" s="75">
        <f t="array" ref="BM48">SUM((YEAR(Gastos!$A$2:$A$2500)=BM$1)*(MONTH(Gastos!$A$2:$A$2500)=BM$3)*(Gastos!$B$2:$B$2500=$A48)*(Gastos!$D$2:$D$2500))</f>
        <v>0</v>
      </c>
      <c r="BN48" s="75">
        <f t="array" ref="BN48">SUM((YEAR(Gastos!$A$2:$A$2500)=BN$1)*(MONTH(Gastos!$A$2:$A$2500)=BN$3)*(Gastos!$B$2:$B$2500=$A48)*(Gastos!$D$2:$D$2500))</f>
        <v>0</v>
      </c>
      <c r="BO48" s="75">
        <f t="array" ref="BO48">SUM((YEAR(Gastos!$A$2:$A$2500)=BO$1)*(MONTH(Gastos!$A$2:$A$2500)=BO$3)*(Gastos!$B$2:$B$2500=$A48)*(Gastos!$D$2:$D$2500))</f>
        <v>0</v>
      </c>
      <c r="BP48" s="75">
        <f t="array" ref="BP48">SUM((YEAR(Gastos!$A$2:$A$2500)=BP$1)*(MONTH(Gastos!$A$2:$A$2500)=BP$3)*(Gastos!$B$2:$B$2500=$A48)*(Gastos!$D$2:$D$2500))</f>
        <v>0</v>
      </c>
      <c r="BQ48" s="75">
        <f t="array" ref="BQ48">SUM((YEAR(Gastos!$A$2:$A$2500)=BQ$1)*(MONTH(Gastos!$A$2:$A$2500)=BQ$3)*(Gastos!$B$2:$B$2500=$A48)*(Gastos!$D$2:$D$2500))</f>
        <v>0</v>
      </c>
      <c r="BR48" s="75">
        <f t="array" ref="BR48">SUM((YEAR(Gastos!$A$2:$A$2500)=BR$1)*(MONTH(Gastos!$A$2:$A$2500)=BR$3)*(Gastos!$B$2:$B$2500=$A48)*(Gastos!$D$2:$D$2500))</f>
        <v>0</v>
      </c>
      <c r="BS48" s="75">
        <f t="array" ref="BS48">SUM((YEAR(Gastos!$A$2:$A$2500)=BS$1)*(MONTH(Gastos!$A$2:$A$2500)=BS$3)*(Gastos!$B$2:$B$2500=$A48)*(Gastos!$D$2:$D$2500))</f>
        <v>0</v>
      </c>
      <c r="BT48" s="75">
        <f t="array" ref="BT48">SUM((YEAR(Gastos!$A$2:$A$2500)=BT$1)*(MONTH(Gastos!$A$2:$A$2500)=BT$3)*(Gastos!$B$2:$B$2500=$A48)*(Gastos!$D$2:$D$2500))</f>
        <v>0</v>
      </c>
      <c r="BU48" s="75">
        <f t="array" ref="BU48">SUM((YEAR(Gastos!$A$2:$A$2500)=BU$1)*(MONTH(Gastos!$A$2:$A$2500)=BU$3)*(Gastos!$B$2:$B$2500=$A48)*(Gastos!$D$2:$D$2500))</f>
        <v>0</v>
      </c>
      <c r="BV48" s="75">
        <f t="array" ref="BV48">SUM((YEAR(Gastos!$A$2:$A$2500)=BV$1)*(MONTH(Gastos!$A$2:$A$2500)=BV$3)*(Gastos!$B$2:$B$2500=$A48)*(Gastos!$D$2:$D$2500))</f>
        <v>0</v>
      </c>
      <c r="BW48" s="75">
        <f t="array" ref="BW48">SUM((YEAR(Gastos!$A$2:$A$2500)=BW$1)*(MONTH(Gastos!$A$2:$A$2500)=BW$3)*(Gastos!$B$2:$B$2500=$A48)*(Gastos!$D$2:$D$2500))</f>
        <v>0</v>
      </c>
      <c r="BX48" s="75">
        <f t="array" ref="BX48">SUM((YEAR(Gastos!$A$2:$A$2500)=BX$1)*(MONTH(Gastos!$A$2:$A$2500)=BX$3)*(Gastos!$B$2:$B$2500=$A48)*(Gastos!$D$2:$D$2500))</f>
        <v>0</v>
      </c>
      <c r="BY48" s="75">
        <f t="array" ref="BY48">SUM((YEAR(Gastos!$A$2:$A$2500)=BY$1)*(MONTH(Gastos!$A$2:$A$2500)=BY$3)*(Gastos!$B$2:$B$2500=$A48)*(Gastos!$D$2:$D$2500))</f>
        <v>0</v>
      </c>
      <c r="BZ48" s="75">
        <f t="array" ref="BZ48">SUM((YEAR(Gastos!$A$2:$A$2500)=BZ$1)*(MONTH(Gastos!$A$2:$A$2500)=BZ$3)*(Gastos!$B$2:$B$2500=$A48)*(Gastos!$D$2:$D$2500))</f>
        <v>0</v>
      </c>
      <c r="CA48" s="75">
        <f t="array" ref="CA48">SUM((YEAR(Gastos!$A$2:$A$2500)=CA$1)*(MONTH(Gastos!$A$2:$A$2500)=CA$3)*(Gastos!$B$2:$B$2500=$A48)*(Gastos!$D$2:$D$2500))</f>
        <v>0</v>
      </c>
      <c r="CB48" s="75">
        <f t="array" ref="CB48">SUM((YEAR(Gastos!$A$2:$A$2500)=CB$1)*(MONTH(Gastos!$A$2:$A$2500)=CB$3)*(Gastos!$B$2:$B$2500=$A48)*(Gastos!$D$2:$D$2500))</f>
        <v>0</v>
      </c>
      <c r="CC48" s="75">
        <f t="array" ref="CC48">SUM((YEAR(Gastos!$A$2:$A$2500)=CC$1)*(MONTH(Gastos!$A$2:$A$2500)=CC$3)*(Gastos!$B$2:$B$2500=$A48)*(Gastos!$D$2:$D$2500))</f>
        <v>0</v>
      </c>
      <c r="CD48" s="75">
        <f t="array" ref="CD48">SUM((YEAR(Gastos!$A$2:$A$2500)=CD$1)*(MONTH(Gastos!$A$2:$A$2500)=CD$3)*(Gastos!$B$2:$B$2500=$A48)*(Gastos!$D$2:$D$2500))</f>
        <v>0</v>
      </c>
      <c r="CE48" s="75">
        <f t="array" ref="CE48">SUM((YEAR(Gastos!$A$2:$A$2500)=CE$1)*(MONTH(Gastos!$A$2:$A$2500)=CE$3)*(Gastos!$B$2:$B$2500=$A48)*(Gastos!$D$2:$D$2500))</f>
        <v>0</v>
      </c>
      <c r="CF48" s="75">
        <f t="array" ref="CF48">SUM((YEAR(Gastos!$A$2:$A$2500)=CF$1)*(MONTH(Gastos!$A$2:$A$2500)=CF$3)*(Gastos!$B$2:$B$2500=$A48)*(Gastos!$D$2:$D$2500))</f>
        <v>0</v>
      </c>
      <c r="CG48" s="75">
        <f t="array" ref="CG48">SUM((YEAR(Gastos!$A$2:$A$2500)=CG$1)*(MONTH(Gastos!$A$2:$A$2500)=CG$3)*(Gastos!$B$2:$B$2500=$A48)*(Gastos!$D$2:$D$2500))</f>
        <v>0</v>
      </c>
      <c r="CH48" s="75">
        <f t="array" ref="CH48">SUM((YEAR(Gastos!$A$2:$A$2500)=CH$1)*(MONTH(Gastos!$A$2:$A$2500)=CH$3)*(Gastos!$B$2:$B$2500=$A48)*(Gastos!$D$2:$D$2500))</f>
        <v>0</v>
      </c>
      <c r="CI48" s="75">
        <f t="array" ref="CI48">SUM((YEAR(Gastos!$A$2:$A$2500)=CI$1)*(MONTH(Gastos!$A$2:$A$2500)=CI$3)*(Gastos!$B$2:$B$2500=$A48)*(Gastos!$D$2:$D$2500))</f>
        <v>0</v>
      </c>
      <c r="CJ48" s="75">
        <f t="array" ref="CJ48">SUM((YEAR(Gastos!$A$2:$A$2500)=CJ$1)*(MONTH(Gastos!$A$2:$A$2500)=CJ$3)*(Gastos!$B$2:$B$2500=$A48)*(Gastos!$D$2:$D$2500))</f>
        <v>0</v>
      </c>
      <c r="CK48" s="75">
        <f t="array" ref="CK48">SUM((YEAR(Gastos!$A$2:$A$2500)=CK$1)*(MONTH(Gastos!$A$2:$A$2500)=CK$3)*(Gastos!$B$2:$B$2500=$A48)*(Gastos!$D$2:$D$2500))</f>
        <v>0</v>
      </c>
      <c r="CL48" s="75">
        <f t="array" ref="CL48">SUM((YEAR(Gastos!$A$2:$A$2500)=CL$1)*(MONTH(Gastos!$A$2:$A$2500)=CL$3)*(Gastos!$B$2:$B$2500=$A48)*(Gastos!$D$2:$D$2500))</f>
        <v>0</v>
      </c>
      <c r="CM48" s="75">
        <f t="array" ref="CM48">SUM((YEAR(Gastos!$A$2:$A$2500)=CM$1)*(MONTH(Gastos!$A$2:$A$2500)=CM$3)*(Gastos!$B$2:$B$2500=$A48)*(Gastos!$D$2:$D$2500))</f>
        <v>0</v>
      </c>
      <c r="CN48" s="75">
        <f t="array" ref="CN48">SUM((YEAR(Gastos!$A$2:$A$2500)=CN$1)*(MONTH(Gastos!$A$2:$A$2500)=CN$3)*(Gastos!$B$2:$B$2500=$A48)*(Gastos!$D$2:$D$2500))</f>
        <v>0</v>
      </c>
      <c r="CO48" s="75">
        <f t="array" ref="CO48">SUM((YEAR(Gastos!$A$2:$A$2500)=CO$1)*(MONTH(Gastos!$A$2:$A$2500)=CO$3)*(Gastos!$B$2:$B$2500=$A48)*(Gastos!$D$2:$D$2500))</f>
        <v>0</v>
      </c>
      <c r="CP48" s="75">
        <f t="array" ref="CP48">SUM((YEAR(Gastos!$A$2:$A$2500)=CP$1)*(MONTH(Gastos!$A$2:$A$2500)=CP$3)*(Gastos!$B$2:$B$2500=$A48)*(Gastos!$D$2:$D$2500))</f>
        <v>0</v>
      </c>
      <c r="CQ48" s="75">
        <f t="array" ref="CQ48">SUM((YEAR(Gastos!$A$2:$A$2500)=CQ$1)*(MONTH(Gastos!$A$2:$A$2500)=CQ$3)*(Gastos!$B$2:$B$2500=$A48)*(Gastos!$D$2:$D$2500))</f>
        <v>0</v>
      </c>
      <c r="CR48" s="75">
        <f t="array" ref="CR48">SUM((YEAR(Gastos!$A$2:$A$2500)=CR$1)*(MONTH(Gastos!$A$2:$A$2500)=CR$3)*(Gastos!$B$2:$B$2500=$A48)*(Gastos!$D$2:$D$2500))</f>
        <v>0</v>
      </c>
      <c r="CS48" s="75">
        <f t="array" ref="CS48">SUM((YEAR(Gastos!$A$2:$A$2500)=CS$1)*(MONTH(Gastos!$A$2:$A$2500)=CS$3)*(Gastos!$B$2:$B$2500=$A48)*(Gastos!$D$2:$D$2500))</f>
        <v>0</v>
      </c>
      <c r="CT48" s="75">
        <f t="array" ref="CT48">SUM((YEAR(Gastos!$A$2:$A$2500)=CT$1)*(MONTH(Gastos!$A$2:$A$2500)=CT$3)*(Gastos!$B$2:$B$2500=$A48)*(Gastos!$D$2:$D$2500))</f>
        <v>0</v>
      </c>
      <c r="CU48" s="75">
        <f t="array" ref="CU48">SUM((YEAR(Gastos!$A$2:$A$2500)=CU$1)*(MONTH(Gastos!$A$2:$A$2500)=CU$3)*(Gastos!$B$2:$B$2500=$A48)*(Gastos!$D$2:$D$2500))</f>
        <v>396</v>
      </c>
      <c r="CV48" s="75">
        <f t="array" ref="CV48">SUM((YEAR(Gastos!$A$2:$A$2500)=CV$1)*(MONTH(Gastos!$A$2:$A$2500)=CV$3)*(Gastos!$B$2:$B$2500=$A48)*(Gastos!$D$2:$D$2500))</f>
        <v>253.62</v>
      </c>
      <c r="CW48" s="75">
        <f t="array" ref="CW48">SUM((YEAR(Gastos!$A$2:$A$2500)=CW$1)*(MONTH(Gastos!$A$2:$A$2500)=CW$3)*(Gastos!$B$2:$B$2500=$A48)*(Gastos!$D$2:$D$2500))</f>
        <v>406</v>
      </c>
      <c r="CX48" s="75">
        <f t="array" ref="CX48">SUM((YEAR(Gastos!$A$2:$A$2500)=CX$1)*(MONTH(Gastos!$A$2:$A$2500)=CX$3)*(Gastos!$B$2:$B$2500=$A48)*(Gastos!$D$2:$D$2500))</f>
        <v>112.05000000000001</v>
      </c>
      <c r="CY48" s="75">
        <f t="array" ref="CY48">SUM((YEAR(Gastos!$A$2:$A$2500)=CY$1)*(MONTH(Gastos!$A$2:$A$2500)=CY$3)*(Gastos!$B$2:$B$2500=$A48)*(Gastos!$D$2:$D$2500))</f>
        <v>67.23</v>
      </c>
      <c r="CZ48" s="75">
        <f t="array" ref="CZ48">SUM((YEAR(Gastos!$A$2:$A$2500)=CZ$1)*(MONTH(Gastos!$A$2:$A$2500)=CZ$3)*(Gastos!$B$2:$B$2500=$A48)*(Gastos!$D$2:$D$2500))</f>
        <v>0</v>
      </c>
      <c r="DA48" s="75">
        <f t="array" ref="DA48">SUM((YEAR(Gastos!$A$2:$A$2500)=DA$1)*(MONTH(Gastos!$A$2:$A$2500)=DA$3)*(Gastos!$B$2:$B$2500=$A48)*(Gastos!$D$2:$D$2500))</f>
        <v>134.46</v>
      </c>
      <c r="DB48" s="75">
        <f t="array" ref="DB48">SUM((YEAR(Gastos!$A$2:$A$2500)=DB$1)*(MONTH(Gastos!$A$2:$A$2500)=DB$3)*(Gastos!$B$2:$B$2500=$A48)*(Gastos!$D$2:$D$2500))</f>
        <v>201.69</v>
      </c>
      <c r="DC48" s="75">
        <f t="array" ref="DC48">SUM((YEAR(Gastos!$A$2:$A$2500)=DC$1)*(MONTH(Gastos!$A$2:$A$2500)=DC$3)*(Gastos!$B$2:$B$2500=$A48)*(Gastos!$D$2:$D$2500))</f>
        <v>396.3</v>
      </c>
      <c r="DD48" s="75">
        <f t="array" ref="DD48">SUM((YEAR(Gastos!$A$2:$A$2500)=DD$1)*(MONTH(Gastos!$A$2:$A$2500)=DD$3)*(Gastos!$B$2:$B$2500=$A48)*(Gastos!$D$2:$D$2500))</f>
        <v>0</v>
      </c>
      <c r="DE48" s="75">
        <f t="array" ref="DE48">SUM((YEAR(Gastos!$A$2:$A$2500)=DE$1)*(MONTH(Gastos!$A$2:$A$2500)=DE$3)*(Gastos!$B$2:$B$2500=$A48)*(Gastos!$D$2:$D$2500))</f>
        <v>0</v>
      </c>
      <c r="DF48" s="75">
        <f t="array" ref="DF48">SUM((YEAR(Gastos!$A$2:$A$2500)=DF$1)*(MONTH(Gastos!$A$2:$A$2500)=DF$3)*(Gastos!$B$2:$B$2500=$A48)*(Gastos!$D$2:$D$2500))</f>
        <v>3000.01</v>
      </c>
      <c r="DG48" s="75">
        <f t="array" ref="DG48">SUM((YEAR(Gastos!$A$2:$A$2500)=DG$1)*(MONTH(Gastos!$A$2:$A$2500)=DG$3)*(Gastos!$B$2:$B$2500=$A48)*(Gastos!$D$2:$D$2500))</f>
        <v>0</v>
      </c>
      <c r="DH48" s="75">
        <f t="array" ref="DH48">SUM((YEAR(Gastos!$A$2:$A$2500)=DH$1)*(MONTH(Gastos!$A$2:$A$2500)=DH$3)*(Gastos!$B$2:$B$2500=$A48)*(Gastos!$D$2:$D$2500))</f>
        <v>9918.3799999999992</v>
      </c>
      <c r="DI48" s="75">
        <f t="array" ref="DI48">SUM((YEAR(Gastos!$A$2:$A$2500)=DI$1)*(MONTH(Gastos!$A$2:$A$2500)=DI$3)*(Gastos!$B$2:$B$2500=$A48)*(Gastos!$D$2:$D$2500))</f>
        <v>0</v>
      </c>
      <c r="DJ48" s="75">
        <f t="array" ref="DJ48">SUM((YEAR(Gastos!$A$2:$A$2500)=DJ$1)*(MONTH(Gastos!$A$2:$A$2500)=DJ$3)*(Gastos!$B$2:$B$2500=$A48)*(Gastos!$D$2:$D$2500))</f>
        <v>0</v>
      </c>
      <c r="DK48" s="75">
        <f t="array" ref="DK48">SUM((YEAR(Gastos!$A$2:$A$2500)=DK$1)*(MONTH(Gastos!$A$2:$A$2500)=DK$3)*(Gastos!$B$2:$B$2500=$A48)*(Gastos!$D$2:$D$2500))</f>
        <v>0</v>
      </c>
      <c r="DL48" s="75">
        <f t="array" ref="DL48">SUM((YEAR(Gastos!$A$2:$A$2500)=DL$1)*(MONTH(Gastos!$A$2:$A$2500)=DL$3)*(Gastos!$B$2:$B$2500=$A48)*(Gastos!$D$2:$D$2500))</f>
        <v>0</v>
      </c>
      <c r="DM48" s="75">
        <f t="array" ref="DM48">SUM((YEAR(Gastos!$A$2:$A$2500)=DM$1)*(MONTH(Gastos!$A$2:$A$2500)=DM$3)*(Gastos!$B$2:$B$2500=$A48)*(Gastos!$D$2:$D$2500))</f>
        <v>380</v>
      </c>
      <c r="DN48" s="75">
        <f t="array" ref="DN48">SUM((YEAR(Gastos!$A$2:$A$2500)=DN$1)*(MONTH(Gastos!$A$2:$A$2500)=DN$3)*(Gastos!$B$2:$B$2500=$A48)*(Gastos!$D$2:$D$2500))</f>
        <v>0</v>
      </c>
      <c r="DO48" s="75">
        <f t="array" ref="DO48">SUM((YEAR(Gastos!$A$2:$A$2500)=DO$1)*(MONTH(Gastos!$A$2:$A$2500)=DO$3)*(Gastos!$B$2:$B$2500=$A48)*(Gastos!$D$2:$D$2500))</f>
        <v>44.82</v>
      </c>
      <c r="DP48" s="75">
        <f t="array" ref="DP48">SUM((YEAR(Gastos!$A$2:$A$2500)=DP$1)*(MONTH(Gastos!$A$2:$A$2500)=DP$3)*(Gastos!$B$2:$B$2500=$A48)*(Gastos!$D$2:$D$2500))</f>
        <v>0</v>
      </c>
      <c r="DQ48" s="75">
        <f t="array" ref="DQ48">SUM((YEAR(Gastos!$A$2:$A$2500)=DQ$1)*(MONTH(Gastos!$A$2:$A$2500)=DQ$3)*(Gastos!$B$2:$B$2500=$A48)*(Gastos!$D$2:$D$2500))</f>
        <v>0</v>
      </c>
      <c r="DR48" s="75">
        <f t="array" ref="DR48">SUM((YEAR(Gastos!$A$2:$A$2500)=DR$1)*(MONTH(Gastos!$A$2:$A$2500)=DR$3)*(Gastos!$B$2:$B$2500=$A48)*(Gastos!$D$2:$D$2500))</f>
        <v>0</v>
      </c>
      <c r="DS48" s="75">
        <f t="array" ref="DS48">SUM((YEAR(Gastos!$A$2:$A$2500)=DS$1)*(MONTH(Gastos!$A$2:$A$2500)=DS$3)*(Gastos!$B$2:$B$2500=$A48)*(Gastos!$D$2:$D$2500))</f>
        <v>0</v>
      </c>
      <c r="DT48" s="75">
        <f t="array" ref="DT48">SUM((YEAR(Gastos!$A$2:$A$2500)=DT$1)*(MONTH(Gastos!$A$2:$A$2500)=DT$3)*(Gastos!$B$2:$B$2500=$A48)*(Gastos!$D$2:$D$2500))</f>
        <v>0</v>
      </c>
      <c r="DU48" s="75">
        <f t="array" ref="DU48">SUM((YEAR(Gastos!$A$2:$A$2500)=DU$1)*(MONTH(Gastos!$A$2:$A$2500)=DU$3)*(Gastos!$B$2:$B$2500=$A48)*(Gastos!$D$2:$D$2500))</f>
        <v>0</v>
      </c>
      <c r="DV48" s="75">
        <f t="array" ref="DV48">SUM((YEAR(Gastos!$A$2:$A$2500)=DV$1)*(MONTH(Gastos!$A$2:$A$2500)=DV$3)*(Gastos!$B$2:$B$2500=$A48)*(Gastos!$D$2:$D$2500))</f>
        <v>0</v>
      </c>
      <c r="DW48" s="75">
        <f t="array" ref="DW48">SUM((YEAR(Gastos!$A$2:$A$2500)=DW$1)*(MONTH(Gastos!$A$2:$A$2500)=DW$3)*(Gastos!$B$2:$B$2500=$A48)*(Gastos!$D$2:$D$2500))</f>
        <v>0</v>
      </c>
      <c r="DX48" s="75">
        <f t="array" ref="DX48">SUM((YEAR(Gastos!$A$2:$A$2500)=DX$1)*(MONTH(Gastos!$A$2:$A$2500)=DX$3)*(Gastos!$B$2:$B$2500=$A48)*(Gastos!$D$2:$D$2500))</f>
        <v>0</v>
      </c>
      <c r="DY48" s="75">
        <f t="array" ref="DY48">SUM((YEAR(Gastos!$A$2:$A$2500)=DY$1)*(MONTH(Gastos!$A$2:$A$2500)=DY$3)*(Gastos!$B$2:$B$2500=$A48)*(Gastos!$D$2:$D$2500))</f>
        <v>0</v>
      </c>
      <c r="DZ48" s="75">
        <f t="array" ref="DZ48">SUM((YEAR(Gastos!$A$2:$A$2500)=DZ$1)*(MONTH(Gastos!$A$2:$A$2500)=DZ$3)*(Gastos!$B$2:$B$2500=$A48)*(Gastos!$D$2:$D$2500))</f>
        <v>0</v>
      </c>
      <c r="EA48" s="75">
        <f t="array" ref="EA48">SUM((YEAR(Gastos!$A$2:$A$2500)=EA$1)*(MONTH(Gastos!$A$2:$A$2500)=EA$3)*(Gastos!$B$2:$B$2500=$A48)*(Gastos!$D$2:$D$2500))</f>
        <v>0</v>
      </c>
      <c r="EB48" s="75">
        <f t="array" ref="EB48">SUM((YEAR(Gastos!$A$2:$A$2500)=EB$1)*(MONTH(Gastos!$A$2:$A$2500)=EB$3)*(Gastos!$B$2:$B$2500=$A48)*(Gastos!$D$2:$D$2500))</f>
        <v>0</v>
      </c>
      <c r="EC48" s="75">
        <f t="array" ref="EC48">SUM((YEAR(Gastos!$A$2:$A$2500)=EC$1)*(MONTH(Gastos!$A$2:$A$2500)=EC$3)*(Gastos!$B$2:$B$2500=$A48)*(Gastos!$D$2:$D$2500))</f>
        <v>0</v>
      </c>
      <c r="ED48" s="75">
        <f t="array" ref="ED48">SUM((YEAR(Gastos!$A$2:$A$2500)=ED$1)*(MONTH(Gastos!$A$2:$A$2500)=ED$3)*(Gastos!$B$2:$B$2500=$A48)*(Gastos!$D$2:$D$2500))</f>
        <v>0</v>
      </c>
      <c r="EE48" s="75">
        <f t="array" ref="EE48">SUM((YEAR(Gastos!$A$2:$A$2500)=EE$1)*(MONTH(Gastos!$A$2:$A$2500)=EE$3)*(Gastos!$B$2:$B$2500=$A48)*(Gastos!$D$2:$D$2500))</f>
        <v>0</v>
      </c>
      <c r="EF48" s="75">
        <f t="array" ref="EF48">SUM((YEAR(Gastos!$A$2:$A$2500)=EF$1)*(MONTH(Gastos!$A$2:$A$2500)=EF$3)*(Gastos!$B$2:$B$2500=$A48)*(Gastos!$D$2:$D$2500))</f>
        <v>0</v>
      </c>
      <c r="EG48" s="75">
        <f t="array" ref="EG48">SUM((YEAR(Gastos!$A$2:$A$2500)=EG$1)*(MONTH(Gastos!$A$2:$A$2500)=EG$3)*(Gastos!$B$2:$B$2500=$A48)*(Gastos!$D$2:$D$2500))</f>
        <v>0</v>
      </c>
      <c r="EH48" s="75">
        <f t="array" ref="EH48">SUM((YEAR(Gastos!$A$2:$A$2500)=EH$1)*(MONTH(Gastos!$A$2:$A$2500)=EH$3)*(Gastos!$B$2:$B$2500=$A48)*(Gastos!$D$2:$D$2500))</f>
        <v>0</v>
      </c>
      <c r="EI48" s="75">
        <f t="array" ref="EI48">SUM((YEAR(Gastos!$A$2:$A$2500)=EI$1)*(MONTH(Gastos!$A$2:$A$2500)=EI$3)*(Gastos!$B$2:$B$2500=$A48)*(Gastos!$D$2:$D$2500))</f>
        <v>0</v>
      </c>
      <c r="EJ48" s="75">
        <f t="array" ref="EJ48">SUM((YEAR(Gastos!$A$2:$A$2500)=EJ$1)*(MONTH(Gastos!$A$2:$A$2500)=EJ$3)*(Gastos!$B$2:$B$2500=$A48)*(Gastos!$D$2:$D$2500))</f>
        <v>0</v>
      </c>
      <c r="EK48" s="75">
        <f t="array" ref="EK48">SUM((YEAR(Gastos!$A$2:$A$2500)=EK$1)*(MONTH(Gastos!$A$2:$A$2500)=EK$3)*(Gastos!$B$2:$B$2500=$A48)*(Gastos!$D$2:$D$2500))</f>
        <v>0</v>
      </c>
      <c r="EL48" s="75">
        <f t="array" ref="EL48">SUM((YEAR(Gastos!$A$2:$A$2500)=EL$1)*(MONTH(Gastos!$A$2:$A$2500)=EL$3)*(Gastos!$B$2:$B$2500=$A48)*(Gastos!$D$2:$D$2500))</f>
        <v>0</v>
      </c>
      <c r="EM48" s="75">
        <f t="array" ref="EM48">SUM((YEAR(Gastos!$A$2:$A$2500)=EM$1)*(MONTH(Gastos!$A$2:$A$2500)=EM$3)*(Gastos!$B$2:$B$2500=$A48)*(Gastos!$D$2:$D$2500))</f>
        <v>0</v>
      </c>
      <c r="EN48" s="75">
        <f t="array" ref="EN48">SUM((YEAR(Gastos!$A$2:$A$2500)=EN$1)*(MONTH(Gastos!$A$2:$A$2500)=EN$3)*(Gastos!$B$2:$B$2500=$A48)*(Gastos!$D$2:$D$2500))</f>
        <v>0</v>
      </c>
      <c r="EO48" s="75">
        <f t="array" ref="EO48">SUM((YEAR(Gastos!$A$2:$A$2500)=EO$1)*(MONTH(Gastos!$A$2:$A$2500)=EO$3)*(Gastos!$B$2:$B$2500=$A48)*(Gastos!$D$2:$D$2500))</f>
        <v>0</v>
      </c>
      <c r="EP48" s="75">
        <f t="array" ref="EP48">SUM((YEAR(Gastos!$A$2:$A$2500)=EP$1)*(MONTH(Gastos!$A$2:$A$2500)=EP$3)*(Gastos!$B$2:$B$2500=$A48)*(Gastos!$D$2:$D$2500))</f>
        <v>0</v>
      </c>
      <c r="EQ48" s="75">
        <f t="array" ref="EQ48">SUM((YEAR(Gastos!$A$2:$A$2500)=EQ$1)*(MONTH(Gastos!$A$2:$A$2500)=EQ$3)*(Gastos!$B$2:$B$2500=$A48)*(Gastos!$D$2:$D$2500))</f>
        <v>0</v>
      </c>
      <c r="ER48" s="75">
        <f t="array" ref="ER48">SUM((YEAR(Gastos!$A$2:$A$2500)=ER$1)*(MONTH(Gastos!$A$2:$A$2500)=ER$3)*(Gastos!$B$2:$B$2500=$A48)*(Gastos!$D$2:$D$2500))</f>
        <v>0</v>
      </c>
      <c r="ES48" s="75">
        <f t="array" ref="ES48">SUM((YEAR(Gastos!$A$2:$A$2500)=ES$1)*(MONTH(Gastos!$A$2:$A$2500)=ES$3)*(Gastos!$B$2:$B$2500=$A48)*(Gastos!$D$2:$D$2500))</f>
        <v>0</v>
      </c>
      <c r="ET48" s="75">
        <f t="array" ref="ET48">SUM((YEAR(Gastos!$A$2:$A$2500)=ET$1)*(MONTH(Gastos!$A$2:$A$2500)=ET$3)*(Gastos!$B$2:$B$2500=$A48)*(Gastos!$D$2:$D$2500))</f>
        <v>0</v>
      </c>
      <c r="EU48" s="75">
        <f t="array" ref="EU48">SUM((YEAR(Gastos!$A$2:$A$2500)=EU$1)*(MONTH(Gastos!$A$2:$A$2500)=EU$3)*(Gastos!$B$2:$B$2500=$A48)*(Gastos!$D$2:$D$2500))</f>
        <v>0</v>
      </c>
      <c r="EV48" s="75">
        <f t="array" ref="EV48">SUM((YEAR(Gastos!$A$2:$A$2500)=EV$1)*(MONTH(Gastos!$A$2:$A$2500)=EV$3)*(Gastos!$B$2:$B$2500=$A48)*(Gastos!$D$2:$D$2500))</f>
        <v>0</v>
      </c>
      <c r="EW48" s="75">
        <f t="array" ref="EW48">SUM((YEAR(Gastos!$A$2:$A$2500)=EW$1)*(MONTH(Gastos!$A$2:$A$2500)=EW$3)*(Gastos!$B$2:$B$2500=$A48)*(Gastos!$D$2:$D$2500))</f>
        <v>0</v>
      </c>
      <c r="EX48" s="75">
        <f t="array" ref="EX48">SUM((YEAR(Gastos!$A$2:$A$2500)=EX$1)*(MONTH(Gastos!$A$2:$A$2500)=EX$3)*(Gastos!$B$2:$B$2500=$A48)*(Gastos!$D$2:$D$2500))</f>
        <v>0</v>
      </c>
      <c r="EY48" s="75">
        <f t="array" ref="EY48">SUM((YEAR(Gastos!$A$2:$A$2500)=EY$1)*(MONTH(Gastos!$A$2:$A$2500)=EY$3)*(Gastos!$B$2:$B$2500=$A48)*(Gastos!$D$2:$D$2500))</f>
        <v>0</v>
      </c>
      <c r="EZ48" s="75">
        <f t="array" ref="EZ48">SUM((YEAR(Gastos!$A$2:$A$2500)=EZ$1)*(MONTH(Gastos!$A$2:$A$2500)=EZ$3)*(Gastos!$B$2:$B$2500=$A48)*(Gastos!$D$2:$D$2500))</f>
        <v>0</v>
      </c>
      <c r="FA48" s="75">
        <f t="array" ref="FA48">SUM((YEAR(Gastos!$A$2:$A$2500)=FA$1)*(MONTH(Gastos!$A$2:$A$2500)=FA$3)*(Gastos!$B$2:$B$2500=$A48)*(Gastos!$D$2:$D$2500))</f>
        <v>0</v>
      </c>
      <c r="FB48" s="75">
        <f t="array" ref="FB48">SUM((YEAR(Gastos!$A$2:$A$2500)=FB$1)*(MONTH(Gastos!$A$2:$A$2500)=FB$3)*(Gastos!$B$2:$B$2500=$A48)*(Gastos!$D$2:$D$2500))</f>
        <v>0</v>
      </c>
      <c r="FC48" s="75">
        <f t="array" ref="FC48">SUM((YEAR(Gastos!$A$2:$A$2500)=FC$1)*(MONTH(Gastos!$A$2:$A$2500)=FC$3)*(Gastos!$B$2:$B$2500=$A48)*(Gastos!$D$2:$D$2500))</f>
        <v>0</v>
      </c>
      <c r="FD48" s="75">
        <f t="array" ref="FD48">SUM((YEAR(Gastos!$A$2:$A$2500)=FD$1)*(MONTH(Gastos!$A$2:$A$2500)=FD$3)*(Gastos!$B$2:$B$2500=$A48)*(Gastos!$D$2:$D$2500))</f>
        <v>0</v>
      </c>
      <c r="FE48" s="75">
        <f t="array" ref="FE48">SUM((YEAR(Gastos!$A$2:$A$2500)=FE$1)*(MONTH(Gastos!$A$2:$A$2500)=FE$3)*(Gastos!$B$2:$B$2500=$A48)*(Gastos!$D$2:$D$2500))</f>
        <v>0</v>
      </c>
      <c r="FF48" s="75">
        <f t="array" ref="FF48">SUM((YEAR(Gastos!$A$2:$A$2500)=FF$1)*(MONTH(Gastos!$A$2:$A$2500)=FF$3)*(Gastos!$B$2:$B$2500=$A48)*(Gastos!$D$2:$D$2500))</f>
        <v>0</v>
      </c>
      <c r="FG48" s="75">
        <f t="array" ref="FG48">SUM((YEAR(Gastos!$A$2:$A$2500)=FG$1)*(MONTH(Gastos!$A$2:$A$2500)=FG$3)*(Gastos!$B$2:$B$2500=$A48)*(Gastos!$D$2:$D$2500))</f>
        <v>0</v>
      </c>
      <c r="FH48" s="75">
        <f t="array" ref="FH48">SUM((YEAR(Gastos!$A$2:$A$2500)=FH$1)*(MONTH(Gastos!$A$2:$A$2500)=FH$3)*(Gastos!$B$2:$B$2500=$A48)*(Gastos!$D$2:$D$2500))</f>
        <v>0</v>
      </c>
      <c r="FI48" s="75">
        <f t="array" ref="FI48">SUM((YEAR(Gastos!$A$2:$A$2500)=FI$1)*(MONTH(Gastos!$A$2:$A$2500)=FI$3)*(Gastos!$B$2:$B$2500=$A48)*(Gastos!$D$2:$D$2500))</f>
        <v>0</v>
      </c>
      <c r="FJ48" s="75">
        <f t="array" ref="FJ48">SUM((YEAR(Gastos!$A$2:$A$2500)=FJ$1)*(MONTH(Gastos!$A$2:$A$2500)=FJ$3)*(Gastos!$B$2:$B$2500=$A48)*(Gastos!$D$2:$D$2500))</f>
        <v>0</v>
      </c>
      <c r="FK48" s="75">
        <f t="array" ref="FK48">SUM((YEAR(Gastos!$A$2:$A$2500)=FK$1)*(MONTH(Gastos!$A$2:$A$2500)=FK$3)*(Gastos!$B$2:$B$2500=$A48)*(Gastos!$D$2:$D$2500))</f>
        <v>0</v>
      </c>
      <c r="FL48" s="75">
        <f t="array" ref="FL48">SUM((YEAR(Gastos!$A$2:$A$2500)=FL$1)*(MONTH(Gastos!$A$2:$A$2500)=FL$3)*(Gastos!$B$2:$B$2500=$A48)*(Gastos!$D$2:$D$2500))</f>
        <v>0</v>
      </c>
      <c r="FM48" s="75">
        <f t="array" ref="FM48">SUM((YEAR(Gastos!$A$2:$A$2500)=FM$1)*(MONTH(Gastos!$A$2:$A$2500)=FM$3)*(Gastos!$B$2:$B$2500=$A48)*(Gastos!$D$2:$D$2500))</f>
        <v>0</v>
      </c>
      <c r="FN48" s="75">
        <f t="array" ref="FN48">SUM((YEAR(Gastos!$A$2:$A$2500)=FN$1)*(MONTH(Gastos!$A$2:$A$2500)=FN$3)*(Gastos!$B$2:$B$2500=$A48)*(Gastos!$D$2:$D$2500))</f>
        <v>0</v>
      </c>
      <c r="FO48" s="75">
        <f t="array" ref="FO48">SUM((YEAR(Gastos!$A$2:$A$2500)=FO$1)*(MONTH(Gastos!$A$2:$A$2500)=FO$3)*(Gastos!$B$2:$B$2500=$A48)*(Gastos!$D$2:$D$2500))</f>
        <v>0</v>
      </c>
      <c r="FP48" s="75">
        <f t="array" ref="FP48">SUM((YEAR(Gastos!$A$2:$A$2500)=FP$1)*(MONTH(Gastos!$A$2:$A$2500)=FP$3)*(Gastos!$B$2:$B$2500=$A48)*(Gastos!$D$2:$D$2500))</f>
        <v>0</v>
      </c>
      <c r="FQ48" s="75">
        <f t="array" ref="FQ48">SUM((YEAR(Gastos!$A$2:$A$2500)=FQ$1)*(MONTH(Gastos!$A$2:$A$2500)=FQ$3)*(Gastos!$B$2:$B$2500=$A48)*(Gastos!$D$2:$D$2500))</f>
        <v>0</v>
      </c>
      <c r="FR48" s="75">
        <f t="array" ref="FR48">SUM((YEAR(Gastos!$A$2:$A$2500)=FR$1)*(MONTH(Gastos!$A$2:$A$2500)=FR$3)*(Gastos!$B$2:$B$2500=$A48)*(Gastos!$D$2:$D$2500))</f>
        <v>0</v>
      </c>
      <c r="FS48" s="75">
        <f t="array" ref="FS48">SUM((YEAR(Gastos!$A$2:$A$2500)=FS$1)*(MONTH(Gastos!$A$2:$A$2500)=FS$3)*(Gastos!$B$2:$B$2500=$A48)*(Gastos!$D$2:$D$2500))</f>
        <v>0</v>
      </c>
      <c r="FT48" s="75">
        <f t="array" ref="FT48">SUM((YEAR(Gastos!$A$2:$A$2500)=FT$1)*(MONTH(Gastos!$A$2:$A$2500)=FT$3)*(Gastos!$B$2:$B$2500=$A48)*(Gastos!$D$2:$D$2500))</f>
        <v>0</v>
      </c>
      <c r="FU48" s="75">
        <f t="array" ref="FU48">SUM((YEAR(Gastos!$A$2:$A$2500)=FU$1)*(MONTH(Gastos!$A$2:$A$2500)=FU$3)*(Gastos!$B$2:$B$2500=$A48)*(Gastos!$D$2:$D$2500))</f>
        <v>0</v>
      </c>
      <c r="FV48" s="75">
        <f t="array" ref="FV48">SUM((YEAR(Gastos!$A$2:$A$2500)=FV$1)*(MONTH(Gastos!$A$2:$A$2500)=FV$3)*(Gastos!$B$2:$B$2500=$A48)*(Gastos!$D$2:$D$2500))</f>
        <v>0</v>
      </c>
      <c r="FW48" s="75">
        <f t="array" ref="FW48">SUM((YEAR(Gastos!$A$2:$A$2500)=FW$1)*(MONTH(Gastos!$A$2:$A$2500)=FW$3)*(Gastos!$B$2:$B$2500=$A48)*(Gastos!$D$2:$D$2500))</f>
        <v>0</v>
      </c>
      <c r="FX48" s="75">
        <f t="array" ref="FX48">SUM((YEAR(Gastos!$A$2:$A$2500)=FX$1)*(MONTH(Gastos!$A$2:$A$2500)=FX$3)*(Gastos!$B$2:$B$2500=$A48)*(Gastos!$D$2:$D$2500))</f>
        <v>0</v>
      </c>
      <c r="FY48" s="75">
        <f t="array" ref="FY48">SUM((YEAR(Gastos!$A$2:$A$2500)=FY$1)*(MONTH(Gastos!$A$2:$A$2500)=FY$3)*(Gastos!$B$2:$B$2500=$A48)*(Gastos!$D$2:$D$2500))</f>
        <v>0</v>
      </c>
      <c r="FZ48" s="76">
        <f t="shared" si="65"/>
        <v>15310.56</v>
      </c>
      <c r="GA48" s="80"/>
      <c r="GB48" s="78">
        <f t="shared" si="66"/>
        <v>0</v>
      </c>
      <c r="GF48" s="79">
        <f t="array" ref="GF48">SUM(((Gastos!$A$2:$A$1647)&gt;=GD$3)*((Gastos!$A$2:$A$1647)&lt;=GF$3)*(Gastos!$B$2:$B$1647=$A48)*(Gastos!$D$2:$D$1647))</f>
        <v>0</v>
      </c>
      <c r="GI48" s="79">
        <f t="array" ref="GI48">SUM(((Gastos!$A$2:$A$1647)&gt;=GG$3)*((Gastos!$A$2:$A$1647)&lt;=GI$3)*(Gastos!$B$2:$B$1647=$A48)*(Gastos!$D$2:$D$1647))</f>
        <v>0</v>
      </c>
    </row>
    <row r="49" spans="1:191" ht="15" thickBot="1" x14ac:dyDescent="0.4">
      <c r="A49" s="74" t="str">
        <f>Gastos!AA47</f>
        <v>V. RECIBOS</v>
      </c>
      <c r="B49" s="75">
        <f t="array" ref="B49">SUM((YEAR(Gastos!$A$2:$A$2500)=B$1)*(MONTH(Gastos!$A$2:$A$2500)=B$3)*(Gastos!$B$2:$B$2500=$A49)*(Gastos!$D$2:$D$2500))</f>
        <v>0</v>
      </c>
      <c r="C49" s="75">
        <f t="array" ref="C49">SUM((YEAR(Gastos!$A$2:$A$2500)=C$1)*(MONTH(Gastos!$A$2:$A$2500)=C$3)*(Gastos!$B$2:$B$2500=$A49)*(Gastos!$D$2:$D$2500))</f>
        <v>0</v>
      </c>
      <c r="D49" s="75">
        <f t="array" ref="D49">SUM((YEAR(Gastos!$A$2:$A$2500)=D$1)*(MONTH(Gastos!$A$2:$A$2500)=D$3)*(Gastos!$B$2:$B$2500=$A49)*(Gastos!$D$2:$D$2500))</f>
        <v>0</v>
      </c>
      <c r="E49" s="75">
        <f t="array" ref="E49">SUM((YEAR(Gastos!$A$2:$A$2500)=E$1)*(MONTH(Gastos!$A$2:$A$2500)=E$3)*(Gastos!$B$2:$B$2500=$A49)*(Gastos!$D$2:$D$2500))</f>
        <v>0</v>
      </c>
      <c r="F49" s="75">
        <f t="array" ref="F49">SUM((YEAR(Gastos!$A$2:$A$2500)=F$1)*(MONTH(Gastos!$A$2:$A$2500)=F$3)*(Gastos!$B$2:$B$2500=$A49)*(Gastos!$D$2:$D$2500))</f>
        <v>0</v>
      </c>
      <c r="G49" s="75">
        <f t="array" ref="G49">SUM((YEAR(Gastos!$A$2:$A$2500)=G$1)*(MONTH(Gastos!$A$2:$A$2500)=G$3)*(Gastos!$B$2:$B$2500=$A49)*(Gastos!$D$2:$D$2500))</f>
        <v>0</v>
      </c>
      <c r="H49" s="75">
        <f t="array" ref="H49">SUM((YEAR(Gastos!$A$2:$A$2500)=H$1)*(MONTH(Gastos!$A$2:$A$2500)=H$3)*(Gastos!$B$2:$B$2500=$A49)*(Gastos!$D$2:$D$2500))</f>
        <v>0</v>
      </c>
      <c r="I49" s="75">
        <f t="array" ref="I49">SUM((YEAR(Gastos!$A$2:$A$2500)=I$1)*(MONTH(Gastos!$A$2:$A$2500)=I$3)*(Gastos!$B$2:$B$2500=$A49)*(Gastos!$D$2:$D$2500))</f>
        <v>0</v>
      </c>
      <c r="J49" s="75">
        <f t="array" ref="J49">SUM((YEAR(Gastos!$A$2:$A$2500)=J$1)*(MONTH(Gastos!$A$2:$A$2500)=J$3)*(Gastos!$B$2:$B$2500=$A49)*(Gastos!$D$2:$D$2500))</f>
        <v>0</v>
      </c>
      <c r="K49" s="75">
        <f t="array" ref="K49">SUM((YEAR(Gastos!$A$2:$A$2500)=K$1)*(MONTH(Gastos!$A$2:$A$2500)=K$3)*(Gastos!$B$2:$B$2500=$A49)*(Gastos!$D$2:$D$2500))</f>
        <v>0</v>
      </c>
      <c r="L49" s="75">
        <f t="array" ref="L49">SUM((YEAR(Gastos!$A$2:$A$2500)=L$1)*(MONTH(Gastos!$A$2:$A$2500)=L$3)*(Gastos!$B$2:$B$2500=$A49)*(Gastos!$D$2:$D$2500))</f>
        <v>0</v>
      </c>
      <c r="M49" s="75">
        <f t="array" ref="M49">SUM((YEAR(Gastos!$A$2:$A$2500)=M$1)*(MONTH(Gastos!$A$2:$A$2500)=M$3)*(Gastos!$B$2:$B$2500=$A49)*(Gastos!$D$2:$D$2500))</f>
        <v>0</v>
      </c>
      <c r="N49" s="75">
        <f t="array" ref="N49">SUM((YEAR(Gastos!$A$2:$A$2500)=N$1)*(MONTH(Gastos!$A$2:$A$2500)=N$3)*(Gastos!$B$2:$B$2500=$A49)*(Gastos!$D$2:$D$2500))</f>
        <v>0</v>
      </c>
      <c r="O49" s="75">
        <f t="array" ref="O49">SUM((YEAR(Gastos!$A$2:$A$2500)=O$1)*(MONTH(Gastos!$A$2:$A$2500)=O$3)*(Gastos!$B$2:$B$2500=$A49)*(Gastos!$D$2:$D$2500))</f>
        <v>0</v>
      </c>
      <c r="P49" s="75">
        <f t="array" ref="P49">SUM((YEAR(Gastos!$A$2:$A$2500)=P$1)*(MONTH(Gastos!$A$2:$A$2500)=P$3)*(Gastos!$B$2:$B$2500=$A49)*(Gastos!$D$2:$D$2500))</f>
        <v>0</v>
      </c>
      <c r="Q49" s="75">
        <f t="array" ref="Q49">SUM((YEAR(Gastos!$A$2:$A$2500)=Q$1)*(MONTH(Gastos!$A$2:$A$2500)=Q$3)*(Gastos!$B$2:$B$2500=$A49)*(Gastos!$D$2:$D$2500))</f>
        <v>0</v>
      </c>
      <c r="R49" s="75">
        <f t="array" ref="R49">SUM((YEAR(Gastos!$A$2:$A$2500)=R$1)*(MONTH(Gastos!$A$2:$A$2500)=R$3)*(Gastos!$B$2:$B$2500=$A49)*(Gastos!$D$2:$D$2500))</f>
        <v>0</v>
      </c>
      <c r="S49" s="75">
        <f t="array" ref="S49">SUM((YEAR(Gastos!$A$2:$A$2500)=S$1)*(MONTH(Gastos!$A$2:$A$2500)=S$3)*(Gastos!$B$2:$B$2500=$A49)*(Gastos!$D$2:$D$2500))</f>
        <v>0</v>
      </c>
      <c r="T49" s="75">
        <f t="array" ref="T49">SUM((YEAR(Gastos!$A$2:$A$2500)=T$1)*(MONTH(Gastos!$A$2:$A$2500)=T$3)*(Gastos!$B$2:$B$2500=$A49)*(Gastos!$D$2:$D$2500))</f>
        <v>0</v>
      </c>
      <c r="U49" s="75">
        <f t="array" ref="U49">SUM((YEAR(Gastos!$A$2:$A$2500)=U$1)*(MONTH(Gastos!$A$2:$A$2500)=U$3)*(Gastos!$B$2:$B$2500=$A49)*(Gastos!$D$2:$D$2500))</f>
        <v>0</v>
      </c>
      <c r="V49" s="75">
        <f t="array" ref="V49">SUM((YEAR(Gastos!$A$2:$A$2500)=V$1)*(MONTH(Gastos!$A$2:$A$2500)=V$3)*(Gastos!$B$2:$B$2500=$A49)*(Gastos!$D$2:$D$2500))</f>
        <v>0</v>
      </c>
      <c r="W49" s="75">
        <f t="array" ref="W49">SUM((YEAR(Gastos!$A$2:$A$2500)=W$1)*(MONTH(Gastos!$A$2:$A$2500)=W$3)*(Gastos!$B$2:$B$2500=$A49)*(Gastos!$D$2:$D$2500))</f>
        <v>0</v>
      </c>
      <c r="X49" s="75">
        <f t="array" ref="X49">SUM((YEAR(Gastos!$A$2:$A$2500)=X$1)*(MONTH(Gastos!$A$2:$A$2500)=X$3)*(Gastos!$B$2:$B$2500=$A49)*(Gastos!$D$2:$D$2500))</f>
        <v>0</v>
      </c>
      <c r="Y49" s="75">
        <f t="array" ref="Y49">SUM((YEAR(Gastos!$A$2:$A$2500)=Y$1)*(MONTH(Gastos!$A$2:$A$2500)=Y$3)*(Gastos!$B$2:$B$2500=$A49)*(Gastos!$D$2:$D$2500))</f>
        <v>0</v>
      </c>
      <c r="Z49" s="75">
        <f t="array" ref="Z49">SUM((YEAR(Gastos!$A$2:$A$2500)=Z$1)*(MONTH(Gastos!$A$2:$A$2500)=Z$3)*(Gastos!$B$2:$B$2500=$A49)*(Gastos!$D$2:$D$2500))</f>
        <v>0</v>
      </c>
      <c r="AA49" s="75">
        <f t="array" ref="AA49">SUM((YEAR(Gastos!$A$2:$A$2500)=AA$1)*(MONTH(Gastos!$A$2:$A$2500)=AA$3)*(Gastos!$B$2:$B$2500=$A49)*(Gastos!$D$2:$D$2500))</f>
        <v>0</v>
      </c>
      <c r="AB49" s="75">
        <f t="array" ref="AB49">SUM((YEAR(Gastos!$A$2:$A$2500)=AB$1)*(MONTH(Gastos!$A$2:$A$2500)=AB$3)*(Gastos!$B$2:$B$2500=$A49)*(Gastos!$D$2:$D$2500))</f>
        <v>0</v>
      </c>
      <c r="AC49" s="75">
        <f t="array" ref="AC49">SUM((YEAR(Gastos!$A$2:$A$2500)=AC$1)*(MONTH(Gastos!$A$2:$A$2500)=AC$3)*(Gastos!$B$2:$B$2500=$A49)*(Gastos!$D$2:$D$2500))</f>
        <v>0</v>
      </c>
      <c r="AD49" s="75">
        <f t="array" ref="AD49">SUM((YEAR(Gastos!$A$2:$A$2500)=AD$1)*(MONTH(Gastos!$A$2:$A$2500)=AD$3)*(Gastos!$B$2:$B$2500=$A49)*(Gastos!$D$2:$D$2500))</f>
        <v>0</v>
      </c>
      <c r="AE49" s="75">
        <f t="array" ref="AE49">SUM((YEAR(Gastos!$A$2:$A$2500)=AE$1)*(MONTH(Gastos!$A$2:$A$2500)=AE$3)*(Gastos!$B$2:$B$2500=$A49)*(Gastos!$D$2:$D$2500))</f>
        <v>0</v>
      </c>
      <c r="AF49" s="75">
        <f t="array" ref="AF49">SUM((YEAR(Gastos!$A$2:$A$2500)=AF$1)*(MONTH(Gastos!$A$2:$A$2500)=AF$3)*(Gastos!$B$2:$B$2500=$A49)*(Gastos!$D$2:$D$2500))</f>
        <v>0</v>
      </c>
      <c r="AG49" s="75">
        <f t="array" ref="AG49">SUM((YEAR(Gastos!$A$2:$A$2500)=AG$1)*(MONTH(Gastos!$A$2:$A$2500)=AG$3)*(Gastos!$B$2:$B$2500=$A49)*(Gastos!$D$2:$D$2500))</f>
        <v>0</v>
      </c>
      <c r="AH49" s="75">
        <f t="array" ref="AH49">SUM((YEAR(Gastos!$A$2:$A$2500)=AH$1)*(MONTH(Gastos!$A$2:$A$2500)=AH$3)*(Gastos!$B$2:$B$2500=$A49)*(Gastos!$D$2:$D$2500))</f>
        <v>0</v>
      </c>
      <c r="AI49" s="75">
        <f t="array" ref="AI49">SUM((YEAR(Gastos!$A$2:$A$2500)=AI$1)*(MONTH(Gastos!$A$2:$A$2500)=AI$3)*(Gastos!$B$2:$B$2500=$A49)*(Gastos!$D$2:$D$2500))</f>
        <v>0</v>
      </c>
      <c r="AJ49" s="75">
        <f t="array" ref="AJ49">SUM((YEAR(Gastos!$A$2:$A$2500)=AJ$1)*(MONTH(Gastos!$A$2:$A$2500)=AJ$3)*(Gastos!$B$2:$B$2500=$A49)*(Gastos!$D$2:$D$2500))</f>
        <v>0</v>
      </c>
      <c r="AK49" s="75">
        <f t="array" ref="AK49">SUM((YEAR(Gastos!$A$2:$A$2500)=AK$1)*(MONTH(Gastos!$A$2:$A$2500)=AK$3)*(Gastos!$B$2:$B$2500=$A49)*(Gastos!$D$2:$D$2500))</f>
        <v>0</v>
      </c>
      <c r="AL49" s="75">
        <f t="array" ref="AL49">SUM((YEAR(Gastos!$A$2:$A$2500)=AL$1)*(MONTH(Gastos!$A$2:$A$2500)=AL$3)*(Gastos!$B$2:$B$2500=$A49)*(Gastos!$D$2:$D$2500))</f>
        <v>0</v>
      </c>
      <c r="AM49" s="75">
        <f t="array" ref="AM49">SUM((YEAR(Gastos!$A$2:$A$2500)=AM$1)*(MONTH(Gastos!$A$2:$A$2500)=AM$3)*(Gastos!$B$2:$B$2500=$A49)*(Gastos!$D$2:$D$2500))</f>
        <v>0</v>
      </c>
      <c r="AN49" s="75">
        <f t="array" ref="AN49">SUM((YEAR(Gastos!$A$2:$A$2500)=AN$1)*(MONTH(Gastos!$A$2:$A$2500)=AN$3)*(Gastos!$B$2:$B$2500=$A49)*(Gastos!$D$2:$D$2500))</f>
        <v>0</v>
      </c>
      <c r="AO49" s="75">
        <f t="array" ref="AO49">SUM((YEAR(Gastos!$A$2:$A$2500)=AO$1)*(MONTH(Gastos!$A$2:$A$2500)=AO$3)*(Gastos!$B$2:$B$2500=$A49)*(Gastos!$D$2:$D$2500))</f>
        <v>0</v>
      </c>
      <c r="AP49" s="75">
        <f t="array" ref="AP49">SUM((YEAR(Gastos!$A$2:$A$2500)=AP$1)*(MONTH(Gastos!$A$2:$A$2500)=AP$3)*(Gastos!$B$2:$B$2500=$A49)*(Gastos!$D$2:$D$2500))</f>
        <v>0</v>
      </c>
      <c r="AQ49" s="75">
        <f t="array" ref="AQ49">SUM((YEAR(Gastos!$A$2:$A$2500)=AQ$1)*(MONTH(Gastos!$A$2:$A$2500)=AQ$3)*(Gastos!$B$2:$B$2500=$A49)*(Gastos!$D$2:$D$2500))</f>
        <v>0</v>
      </c>
      <c r="AR49" s="75">
        <f t="array" ref="AR49">SUM((YEAR(Gastos!$A$2:$A$2500)=AR$1)*(MONTH(Gastos!$A$2:$A$2500)=AR$3)*(Gastos!$B$2:$B$2500=$A49)*(Gastos!$D$2:$D$2500))</f>
        <v>0</v>
      </c>
      <c r="AS49" s="75">
        <f t="array" ref="AS49">SUM((YEAR(Gastos!$A$2:$A$2500)=AS$1)*(MONTH(Gastos!$A$2:$A$2500)=AS$3)*(Gastos!$B$2:$B$2500=$A49)*(Gastos!$D$2:$D$2500))</f>
        <v>0</v>
      </c>
      <c r="AT49" s="75">
        <f t="array" ref="AT49">SUM((YEAR(Gastos!$A$2:$A$2500)=AT$1)*(MONTH(Gastos!$A$2:$A$2500)=AT$3)*(Gastos!$B$2:$B$2500=$A49)*(Gastos!$D$2:$D$2500))</f>
        <v>0</v>
      </c>
      <c r="AU49" s="75">
        <f t="array" ref="AU49">SUM((YEAR(Gastos!$A$2:$A$2500)=AU$1)*(MONTH(Gastos!$A$2:$A$2500)=AU$3)*(Gastos!$B$2:$B$2500=$A49)*(Gastos!$D$2:$D$2500))</f>
        <v>0</v>
      </c>
      <c r="AV49" s="75">
        <f t="array" ref="AV49">SUM((YEAR(Gastos!$A$2:$A$2500)=AV$1)*(MONTH(Gastos!$A$2:$A$2500)=AV$3)*(Gastos!$B$2:$B$2500=$A49)*(Gastos!$D$2:$D$2500))</f>
        <v>0</v>
      </c>
      <c r="AW49" s="75">
        <f t="array" ref="AW49">SUM((YEAR(Gastos!$A$2:$A$2500)=AW$1)*(MONTH(Gastos!$A$2:$A$2500)=AW$3)*(Gastos!$B$2:$B$2500=$A49)*(Gastos!$D$2:$D$2500))</f>
        <v>0</v>
      </c>
      <c r="AX49" s="75">
        <f t="array" ref="AX49">SUM((YEAR(Gastos!$A$2:$A$2500)=AX$1)*(MONTH(Gastos!$A$2:$A$2500)=AX$3)*(Gastos!$B$2:$B$2500=$A49)*(Gastos!$D$2:$D$2500))</f>
        <v>0</v>
      </c>
      <c r="AY49" s="75">
        <f t="array" ref="AY49">SUM((YEAR(Gastos!$A$2:$A$2500)=AY$1)*(MONTH(Gastos!$A$2:$A$2500)=AY$3)*(Gastos!$B$2:$B$2500=$A49)*(Gastos!$D$2:$D$2500))</f>
        <v>0</v>
      </c>
      <c r="AZ49" s="75">
        <f t="array" ref="AZ49">SUM((YEAR(Gastos!$A$2:$A$2500)=AZ$1)*(MONTH(Gastos!$A$2:$A$2500)=AZ$3)*(Gastos!$B$2:$B$2500=$A49)*(Gastos!$D$2:$D$2500))</f>
        <v>0</v>
      </c>
      <c r="BA49" s="75">
        <f t="array" ref="BA49">SUM((YEAR(Gastos!$A$2:$A$2500)=BA$1)*(MONTH(Gastos!$A$2:$A$2500)=BA$3)*(Gastos!$B$2:$B$2500=$A49)*(Gastos!$D$2:$D$2500))</f>
        <v>0</v>
      </c>
      <c r="BB49" s="75">
        <f t="array" ref="BB49">SUM((YEAR(Gastos!$A$2:$A$2500)=BB$1)*(MONTH(Gastos!$A$2:$A$2500)=BB$3)*(Gastos!$B$2:$B$2500=$A49)*(Gastos!$D$2:$D$2500))</f>
        <v>0</v>
      </c>
      <c r="BC49" s="75">
        <f t="array" ref="BC49">SUM((YEAR(Gastos!$A$2:$A$2500)=BC$1)*(MONTH(Gastos!$A$2:$A$2500)=BC$3)*(Gastos!$B$2:$B$2500=$A49)*(Gastos!$D$2:$D$2500))</f>
        <v>0</v>
      </c>
      <c r="BD49" s="75">
        <f t="array" ref="BD49">SUM((YEAR(Gastos!$A$2:$A$2500)=BD$1)*(MONTH(Gastos!$A$2:$A$2500)=BD$3)*(Gastos!$B$2:$B$2500=$A49)*(Gastos!$D$2:$D$2500))</f>
        <v>0</v>
      </c>
      <c r="BE49" s="75">
        <f t="array" ref="BE49">SUM((YEAR(Gastos!$A$2:$A$2500)=BE$1)*(MONTH(Gastos!$A$2:$A$2500)=BE$3)*(Gastos!$B$2:$B$2500=$A49)*(Gastos!$D$2:$D$2500))</f>
        <v>0</v>
      </c>
      <c r="BF49" s="75">
        <f t="array" ref="BF49">SUM((YEAR(Gastos!$A$2:$A$2500)=BF$1)*(MONTH(Gastos!$A$2:$A$2500)=BF$3)*(Gastos!$B$2:$B$2500=$A49)*(Gastos!$D$2:$D$2500))</f>
        <v>0</v>
      </c>
      <c r="BG49" s="75">
        <f t="array" ref="BG49">SUM((YEAR(Gastos!$A$2:$A$2500)=BG$1)*(MONTH(Gastos!$A$2:$A$2500)=BG$3)*(Gastos!$B$2:$B$2500=$A49)*(Gastos!$D$2:$D$2500))</f>
        <v>0</v>
      </c>
      <c r="BH49" s="75">
        <f t="array" ref="BH49">SUM((YEAR(Gastos!$A$2:$A$2500)=BH$1)*(MONTH(Gastos!$A$2:$A$2500)=BH$3)*(Gastos!$B$2:$B$2500=$A49)*(Gastos!$D$2:$D$2500))</f>
        <v>0</v>
      </c>
      <c r="BI49" s="75">
        <f t="array" ref="BI49">SUM((YEAR(Gastos!$A$2:$A$2500)=BI$1)*(MONTH(Gastos!$A$2:$A$2500)=BI$3)*(Gastos!$B$2:$B$2500=$A49)*(Gastos!$D$2:$D$2500))</f>
        <v>0</v>
      </c>
      <c r="BJ49" s="75">
        <f t="array" ref="BJ49">SUM((YEAR(Gastos!$A$2:$A$2500)=BJ$1)*(MONTH(Gastos!$A$2:$A$2500)=BJ$3)*(Gastos!$B$2:$B$2500=$A49)*(Gastos!$D$2:$D$2500))</f>
        <v>0</v>
      </c>
      <c r="BK49" s="75">
        <f t="array" ref="BK49">SUM((YEAR(Gastos!$A$2:$A$2500)=BK$1)*(MONTH(Gastos!$A$2:$A$2500)=BK$3)*(Gastos!$B$2:$B$2500=$A49)*(Gastos!$D$2:$D$2500))</f>
        <v>0</v>
      </c>
      <c r="BL49" s="75">
        <f t="array" ref="BL49">SUM((YEAR(Gastos!$A$2:$A$2500)=BL$1)*(MONTH(Gastos!$A$2:$A$2500)=BL$3)*(Gastos!$B$2:$B$2500=$A49)*(Gastos!$D$2:$D$2500))</f>
        <v>0</v>
      </c>
      <c r="BM49" s="75">
        <f t="array" ref="BM49">SUM((YEAR(Gastos!$A$2:$A$2500)=BM$1)*(MONTH(Gastos!$A$2:$A$2500)=BM$3)*(Gastos!$B$2:$B$2500=$A49)*(Gastos!$D$2:$D$2500))</f>
        <v>0</v>
      </c>
      <c r="BN49" s="75">
        <f t="array" ref="BN49">SUM((YEAR(Gastos!$A$2:$A$2500)=BN$1)*(MONTH(Gastos!$A$2:$A$2500)=BN$3)*(Gastos!$B$2:$B$2500=$A49)*(Gastos!$D$2:$D$2500))</f>
        <v>0</v>
      </c>
      <c r="BO49" s="75">
        <f t="array" ref="BO49">SUM((YEAR(Gastos!$A$2:$A$2500)=BO$1)*(MONTH(Gastos!$A$2:$A$2500)=BO$3)*(Gastos!$B$2:$B$2500=$A49)*(Gastos!$D$2:$D$2500))</f>
        <v>0</v>
      </c>
      <c r="BP49" s="75">
        <f t="array" ref="BP49">SUM((YEAR(Gastos!$A$2:$A$2500)=BP$1)*(MONTH(Gastos!$A$2:$A$2500)=BP$3)*(Gastos!$B$2:$B$2500=$A49)*(Gastos!$D$2:$D$2500))</f>
        <v>0</v>
      </c>
      <c r="BQ49" s="75">
        <f t="array" ref="BQ49">SUM((YEAR(Gastos!$A$2:$A$2500)=BQ$1)*(MONTH(Gastos!$A$2:$A$2500)=BQ$3)*(Gastos!$B$2:$B$2500=$A49)*(Gastos!$D$2:$D$2500))</f>
        <v>0</v>
      </c>
      <c r="BR49" s="75">
        <f t="array" ref="BR49">SUM((YEAR(Gastos!$A$2:$A$2500)=BR$1)*(MONTH(Gastos!$A$2:$A$2500)=BR$3)*(Gastos!$B$2:$B$2500=$A49)*(Gastos!$D$2:$D$2500))</f>
        <v>0</v>
      </c>
      <c r="BS49" s="75">
        <f t="array" ref="BS49">SUM((YEAR(Gastos!$A$2:$A$2500)=BS$1)*(MONTH(Gastos!$A$2:$A$2500)=BS$3)*(Gastos!$B$2:$B$2500=$A49)*(Gastos!$D$2:$D$2500))</f>
        <v>0</v>
      </c>
      <c r="BT49" s="75">
        <f t="array" ref="BT49">SUM((YEAR(Gastos!$A$2:$A$2500)=BT$1)*(MONTH(Gastos!$A$2:$A$2500)=BT$3)*(Gastos!$B$2:$B$2500=$A49)*(Gastos!$D$2:$D$2500))</f>
        <v>0</v>
      </c>
      <c r="BU49" s="75">
        <f t="array" ref="BU49">SUM((YEAR(Gastos!$A$2:$A$2500)=BU$1)*(MONTH(Gastos!$A$2:$A$2500)=BU$3)*(Gastos!$B$2:$B$2500=$A49)*(Gastos!$D$2:$D$2500))</f>
        <v>0</v>
      </c>
      <c r="BV49" s="75">
        <f t="array" ref="BV49">SUM((YEAR(Gastos!$A$2:$A$2500)=BV$1)*(MONTH(Gastos!$A$2:$A$2500)=BV$3)*(Gastos!$B$2:$B$2500=$A49)*(Gastos!$D$2:$D$2500))</f>
        <v>0</v>
      </c>
      <c r="BW49" s="75">
        <f t="array" ref="BW49">SUM((YEAR(Gastos!$A$2:$A$2500)=BW$1)*(MONTH(Gastos!$A$2:$A$2500)=BW$3)*(Gastos!$B$2:$B$2500=$A49)*(Gastos!$D$2:$D$2500))</f>
        <v>1015</v>
      </c>
      <c r="BX49" s="75">
        <f t="array" ref="BX49">SUM((YEAR(Gastos!$A$2:$A$2500)=BX$1)*(MONTH(Gastos!$A$2:$A$2500)=BX$3)*(Gastos!$B$2:$B$2500=$A49)*(Gastos!$D$2:$D$2500))</f>
        <v>0</v>
      </c>
      <c r="BY49" s="75">
        <f t="array" ref="BY49">SUM((YEAR(Gastos!$A$2:$A$2500)=BY$1)*(MONTH(Gastos!$A$2:$A$2500)=BY$3)*(Gastos!$B$2:$B$2500=$A49)*(Gastos!$D$2:$D$2500))</f>
        <v>0</v>
      </c>
      <c r="BZ49" s="75">
        <f t="array" ref="BZ49">SUM((YEAR(Gastos!$A$2:$A$2500)=BZ$1)*(MONTH(Gastos!$A$2:$A$2500)=BZ$3)*(Gastos!$B$2:$B$2500=$A49)*(Gastos!$D$2:$D$2500))</f>
        <v>0</v>
      </c>
      <c r="CA49" s="75">
        <f t="array" ref="CA49">SUM((YEAR(Gastos!$A$2:$A$2500)=CA$1)*(MONTH(Gastos!$A$2:$A$2500)=CA$3)*(Gastos!$B$2:$B$2500=$A49)*(Gastos!$D$2:$D$2500))</f>
        <v>0</v>
      </c>
      <c r="CB49" s="75">
        <f t="array" ref="CB49">SUM((YEAR(Gastos!$A$2:$A$2500)=CB$1)*(MONTH(Gastos!$A$2:$A$2500)=CB$3)*(Gastos!$B$2:$B$2500=$A49)*(Gastos!$D$2:$D$2500))</f>
        <v>0</v>
      </c>
      <c r="CC49" s="75">
        <f t="array" ref="CC49">SUM((YEAR(Gastos!$A$2:$A$2500)=CC$1)*(MONTH(Gastos!$A$2:$A$2500)=CC$3)*(Gastos!$B$2:$B$2500=$A49)*(Gastos!$D$2:$D$2500))</f>
        <v>0</v>
      </c>
      <c r="CD49" s="75">
        <f t="array" ref="CD49">SUM((YEAR(Gastos!$A$2:$A$2500)=CD$1)*(MONTH(Gastos!$A$2:$A$2500)=CD$3)*(Gastos!$B$2:$B$2500=$A49)*(Gastos!$D$2:$D$2500))</f>
        <v>0</v>
      </c>
      <c r="CE49" s="75">
        <f t="array" ref="CE49">SUM((YEAR(Gastos!$A$2:$A$2500)=CE$1)*(MONTH(Gastos!$A$2:$A$2500)=CE$3)*(Gastos!$B$2:$B$2500=$A49)*(Gastos!$D$2:$D$2500))</f>
        <v>0</v>
      </c>
      <c r="CF49" s="75">
        <f t="array" ref="CF49">SUM((YEAR(Gastos!$A$2:$A$2500)=CF$1)*(MONTH(Gastos!$A$2:$A$2500)=CF$3)*(Gastos!$B$2:$B$2500=$A49)*(Gastos!$D$2:$D$2500))</f>
        <v>0</v>
      </c>
      <c r="CG49" s="75">
        <f t="array" ref="CG49">SUM((YEAR(Gastos!$A$2:$A$2500)=CG$1)*(MONTH(Gastos!$A$2:$A$2500)=CG$3)*(Gastos!$B$2:$B$2500=$A49)*(Gastos!$D$2:$D$2500))</f>
        <v>0</v>
      </c>
      <c r="CH49" s="75">
        <f t="array" ref="CH49">SUM((YEAR(Gastos!$A$2:$A$2500)=CH$1)*(MONTH(Gastos!$A$2:$A$2500)=CH$3)*(Gastos!$B$2:$B$2500=$A49)*(Gastos!$D$2:$D$2500))</f>
        <v>0</v>
      </c>
      <c r="CI49" s="75">
        <f t="array" ref="CI49">SUM((YEAR(Gastos!$A$2:$A$2500)=CI$1)*(MONTH(Gastos!$A$2:$A$2500)=CI$3)*(Gastos!$B$2:$B$2500=$A49)*(Gastos!$D$2:$D$2500))</f>
        <v>0</v>
      </c>
      <c r="CJ49" s="75">
        <f t="array" ref="CJ49">SUM((YEAR(Gastos!$A$2:$A$2500)=CJ$1)*(MONTH(Gastos!$A$2:$A$2500)=CJ$3)*(Gastos!$B$2:$B$2500=$A49)*(Gastos!$D$2:$D$2500))</f>
        <v>0</v>
      </c>
      <c r="CK49" s="75">
        <f t="array" ref="CK49">SUM((YEAR(Gastos!$A$2:$A$2500)=CK$1)*(MONTH(Gastos!$A$2:$A$2500)=CK$3)*(Gastos!$B$2:$B$2500=$A49)*(Gastos!$D$2:$D$2500))</f>
        <v>0</v>
      </c>
      <c r="CL49" s="75">
        <f t="array" ref="CL49">SUM((YEAR(Gastos!$A$2:$A$2500)=CL$1)*(MONTH(Gastos!$A$2:$A$2500)=CL$3)*(Gastos!$B$2:$B$2500=$A49)*(Gastos!$D$2:$D$2500))</f>
        <v>0</v>
      </c>
      <c r="CM49" s="75">
        <f t="array" ref="CM49">SUM((YEAR(Gastos!$A$2:$A$2500)=CM$1)*(MONTH(Gastos!$A$2:$A$2500)=CM$3)*(Gastos!$B$2:$B$2500=$A49)*(Gastos!$D$2:$D$2500))</f>
        <v>0</v>
      </c>
      <c r="CN49" s="75">
        <f t="array" ref="CN49">SUM((YEAR(Gastos!$A$2:$A$2500)=CN$1)*(MONTH(Gastos!$A$2:$A$2500)=CN$3)*(Gastos!$B$2:$B$2500=$A49)*(Gastos!$D$2:$D$2500))</f>
        <v>0</v>
      </c>
      <c r="CO49" s="75">
        <f t="array" ref="CO49">SUM((YEAR(Gastos!$A$2:$A$2500)=CO$1)*(MONTH(Gastos!$A$2:$A$2500)=CO$3)*(Gastos!$B$2:$B$2500=$A49)*(Gastos!$D$2:$D$2500))</f>
        <v>0</v>
      </c>
      <c r="CP49" s="75">
        <f t="array" ref="CP49">SUM((YEAR(Gastos!$A$2:$A$2500)=CP$1)*(MONTH(Gastos!$A$2:$A$2500)=CP$3)*(Gastos!$B$2:$B$2500=$A49)*(Gastos!$D$2:$D$2500))</f>
        <v>0</v>
      </c>
      <c r="CQ49" s="75">
        <f t="array" ref="CQ49">SUM((YEAR(Gastos!$A$2:$A$2500)=CQ$1)*(MONTH(Gastos!$A$2:$A$2500)=CQ$3)*(Gastos!$B$2:$B$2500=$A49)*(Gastos!$D$2:$D$2500))</f>
        <v>0</v>
      </c>
      <c r="CR49" s="75">
        <f t="array" ref="CR49">SUM((YEAR(Gastos!$A$2:$A$2500)=CR$1)*(MONTH(Gastos!$A$2:$A$2500)=CR$3)*(Gastos!$B$2:$B$2500=$A49)*(Gastos!$D$2:$D$2500))</f>
        <v>0</v>
      </c>
      <c r="CS49" s="75">
        <f t="array" ref="CS49">SUM((YEAR(Gastos!$A$2:$A$2500)=CS$1)*(MONTH(Gastos!$A$2:$A$2500)=CS$3)*(Gastos!$B$2:$B$2500=$A49)*(Gastos!$D$2:$D$2500))</f>
        <v>0</v>
      </c>
      <c r="CT49" s="75">
        <f t="array" ref="CT49">SUM((YEAR(Gastos!$A$2:$A$2500)=CT$1)*(MONTH(Gastos!$A$2:$A$2500)=CT$3)*(Gastos!$B$2:$B$2500=$A49)*(Gastos!$D$2:$D$2500))</f>
        <v>0</v>
      </c>
      <c r="CU49" s="75">
        <f t="array" ref="CU49">SUM((YEAR(Gastos!$A$2:$A$2500)=CU$1)*(MONTH(Gastos!$A$2:$A$2500)=CU$3)*(Gastos!$B$2:$B$2500=$A49)*(Gastos!$D$2:$D$2500))</f>
        <v>0</v>
      </c>
      <c r="CV49" s="75">
        <f t="array" ref="CV49">SUM((YEAR(Gastos!$A$2:$A$2500)=CV$1)*(MONTH(Gastos!$A$2:$A$2500)=CV$3)*(Gastos!$B$2:$B$2500=$A49)*(Gastos!$D$2:$D$2500))</f>
        <v>0</v>
      </c>
      <c r="CW49" s="75">
        <f t="array" ref="CW49">SUM((YEAR(Gastos!$A$2:$A$2500)=CW$1)*(MONTH(Gastos!$A$2:$A$2500)=CW$3)*(Gastos!$B$2:$B$2500=$A49)*(Gastos!$D$2:$D$2500))</f>
        <v>0</v>
      </c>
      <c r="CX49" s="75">
        <f t="array" ref="CX49">SUM((YEAR(Gastos!$A$2:$A$2500)=CX$1)*(MONTH(Gastos!$A$2:$A$2500)=CX$3)*(Gastos!$B$2:$B$2500=$A49)*(Gastos!$D$2:$D$2500))</f>
        <v>0</v>
      </c>
      <c r="CY49" s="75">
        <f t="array" ref="CY49">SUM((YEAR(Gastos!$A$2:$A$2500)=CY$1)*(MONTH(Gastos!$A$2:$A$2500)=CY$3)*(Gastos!$B$2:$B$2500=$A49)*(Gastos!$D$2:$D$2500))</f>
        <v>0</v>
      </c>
      <c r="CZ49" s="75">
        <f t="array" ref="CZ49">SUM((YEAR(Gastos!$A$2:$A$2500)=CZ$1)*(MONTH(Gastos!$A$2:$A$2500)=CZ$3)*(Gastos!$B$2:$B$2500=$A49)*(Gastos!$D$2:$D$2500))</f>
        <v>0</v>
      </c>
      <c r="DA49" s="75">
        <f t="array" ref="DA49">SUM((YEAR(Gastos!$A$2:$A$2500)=DA$1)*(MONTH(Gastos!$A$2:$A$2500)=DA$3)*(Gastos!$B$2:$B$2500=$A49)*(Gastos!$D$2:$D$2500))</f>
        <v>0</v>
      </c>
      <c r="DB49" s="75">
        <f t="array" ref="DB49">SUM((YEAR(Gastos!$A$2:$A$2500)=DB$1)*(MONTH(Gastos!$A$2:$A$2500)=DB$3)*(Gastos!$B$2:$B$2500=$A49)*(Gastos!$D$2:$D$2500))</f>
        <v>0</v>
      </c>
      <c r="DC49" s="75">
        <f t="array" ref="DC49">SUM((YEAR(Gastos!$A$2:$A$2500)=DC$1)*(MONTH(Gastos!$A$2:$A$2500)=DC$3)*(Gastos!$B$2:$B$2500=$A49)*(Gastos!$D$2:$D$2500))</f>
        <v>0</v>
      </c>
      <c r="DD49" s="75">
        <f t="array" ref="DD49">SUM((YEAR(Gastos!$A$2:$A$2500)=DD$1)*(MONTH(Gastos!$A$2:$A$2500)=DD$3)*(Gastos!$B$2:$B$2500=$A49)*(Gastos!$D$2:$D$2500))</f>
        <v>0</v>
      </c>
      <c r="DE49" s="75">
        <f t="array" ref="DE49">SUM((YEAR(Gastos!$A$2:$A$2500)=DE$1)*(MONTH(Gastos!$A$2:$A$2500)=DE$3)*(Gastos!$B$2:$B$2500=$A49)*(Gastos!$D$2:$D$2500))</f>
        <v>0</v>
      </c>
      <c r="DF49" s="75">
        <f t="array" ref="DF49">SUM((YEAR(Gastos!$A$2:$A$2500)=DF$1)*(MONTH(Gastos!$A$2:$A$2500)=DF$3)*(Gastos!$B$2:$B$2500=$A49)*(Gastos!$D$2:$D$2500))</f>
        <v>0</v>
      </c>
      <c r="DG49" s="75">
        <f t="array" ref="DG49">SUM((YEAR(Gastos!$A$2:$A$2500)=DG$1)*(MONTH(Gastos!$A$2:$A$2500)=DG$3)*(Gastos!$B$2:$B$2500=$A49)*(Gastos!$D$2:$D$2500))</f>
        <v>0</v>
      </c>
      <c r="DH49" s="75">
        <f t="array" ref="DH49">SUM((YEAR(Gastos!$A$2:$A$2500)=DH$1)*(MONTH(Gastos!$A$2:$A$2500)=DH$3)*(Gastos!$B$2:$B$2500=$A49)*(Gastos!$D$2:$D$2500))</f>
        <v>0</v>
      </c>
      <c r="DI49" s="75">
        <f t="array" ref="DI49">SUM((YEAR(Gastos!$A$2:$A$2500)=DI$1)*(MONTH(Gastos!$A$2:$A$2500)=DI$3)*(Gastos!$B$2:$B$2500=$A49)*(Gastos!$D$2:$D$2500))</f>
        <v>0</v>
      </c>
      <c r="DJ49" s="75">
        <f t="array" ref="DJ49">SUM((YEAR(Gastos!$A$2:$A$2500)=DJ$1)*(MONTH(Gastos!$A$2:$A$2500)=DJ$3)*(Gastos!$B$2:$B$2500=$A49)*(Gastos!$D$2:$D$2500))</f>
        <v>0</v>
      </c>
      <c r="DK49" s="75">
        <f t="array" ref="DK49">SUM((YEAR(Gastos!$A$2:$A$2500)=DK$1)*(MONTH(Gastos!$A$2:$A$2500)=DK$3)*(Gastos!$B$2:$B$2500=$A49)*(Gastos!$D$2:$D$2500))</f>
        <v>0</v>
      </c>
      <c r="DL49" s="75">
        <f t="array" ref="DL49">SUM((YEAR(Gastos!$A$2:$A$2500)=DL$1)*(MONTH(Gastos!$A$2:$A$2500)=DL$3)*(Gastos!$B$2:$B$2500=$A49)*(Gastos!$D$2:$D$2500))</f>
        <v>0</v>
      </c>
      <c r="DM49" s="75">
        <f t="array" ref="DM49">SUM((YEAR(Gastos!$A$2:$A$2500)=DM$1)*(MONTH(Gastos!$A$2:$A$2500)=DM$3)*(Gastos!$B$2:$B$2500=$A49)*(Gastos!$D$2:$D$2500))</f>
        <v>0</v>
      </c>
      <c r="DN49" s="75">
        <f t="array" ref="DN49">SUM((YEAR(Gastos!$A$2:$A$2500)=DN$1)*(MONTH(Gastos!$A$2:$A$2500)=DN$3)*(Gastos!$B$2:$B$2500=$A49)*(Gastos!$D$2:$D$2500))</f>
        <v>0</v>
      </c>
      <c r="DO49" s="75">
        <f t="array" ref="DO49">SUM((YEAR(Gastos!$A$2:$A$2500)=DO$1)*(MONTH(Gastos!$A$2:$A$2500)=DO$3)*(Gastos!$B$2:$B$2500=$A49)*(Gastos!$D$2:$D$2500))</f>
        <v>0</v>
      </c>
      <c r="DP49" s="75">
        <f t="array" ref="DP49">SUM((YEAR(Gastos!$A$2:$A$2500)=DP$1)*(MONTH(Gastos!$A$2:$A$2500)=DP$3)*(Gastos!$B$2:$B$2500=$A49)*(Gastos!$D$2:$D$2500))</f>
        <v>0</v>
      </c>
      <c r="DQ49" s="75">
        <f t="array" ref="DQ49">SUM((YEAR(Gastos!$A$2:$A$2500)=DQ$1)*(MONTH(Gastos!$A$2:$A$2500)=DQ$3)*(Gastos!$B$2:$B$2500=$A49)*(Gastos!$D$2:$D$2500))</f>
        <v>1177.4000000000001</v>
      </c>
      <c r="DR49" s="75">
        <f t="array" ref="DR49">SUM((YEAR(Gastos!$A$2:$A$2500)=DR$1)*(MONTH(Gastos!$A$2:$A$2500)=DR$3)*(Gastos!$B$2:$B$2500=$A49)*(Gastos!$D$2:$D$2500))</f>
        <v>0</v>
      </c>
      <c r="DS49" s="75">
        <f t="array" ref="DS49">SUM((YEAR(Gastos!$A$2:$A$2500)=DS$1)*(MONTH(Gastos!$A$2:$A$2500)=DS$3)*(Gastos!$B$2:$B$2500=$A49)*(Gastos!$D$2:$D$2500))</f>
        <v>0</v>
      </c>
      <c r="DT49" s="75">
        <f t="array" ref="DT49">SUM((YEAR(Gastos!$A$2:$A$2500)=DT$1)*(MONTH(Gastos!$A$2:$A$2500)=DT$3)*(Gastos!$B$2:$B$2500=$A49)*(Gastos!$D$2:$D$2500))</f>
        <v>0</v>
      </c>
      <c r="DU49" s="75">
        <f t="array" ref="DU49">SUM((YEAR(Gastos!$A$2:$A$2500)=DU$1)*(MONTH(Gastos!$A$2:$A$2500)=DU$3)*(Gastos!$B$2:$B$2500=$A49)*(Gastos!$D$2:$D$2500))</f>
        <v>0</v>
      </c>
      <c r="DV49" s="75">
        <f t="array" ref="DV49">SUM((YEAR(Gastos!$A$2:$A$2500)=DV$1)*(MONTH(Gastos!$A$2:$A$2500)=DV$3)*(Gastos!$B$2:$B$2500=$A49)*(Gastos!$D$2:$D$2500))</f>
        <v>0</v>
      </c>
      <c r="DW49" s="75">
        <f t="array" ref="DW49">SUM((YEAR(Gastos!$A$2:$A$2500)=DW$1)*(MONTH(Gastos!$A$2:$A$2500)=DW$3)*(Gastos!$B$2:$B$2500=$A49)*(Gastos!$D$2:$D$2500))</f>
        <v>0</v>
      </c>
      <c r="DX49" s="75">
        <f t="array" ref="DX49">SUM((YEAR(Gastos!$A$2:$A$2500)=DX$1)*(MONTH(Gastos!$A$2:$A$2500)=DX$3)*(Gastos!$B$2:$B$2500=$A49)*(Gastos!$D$2:$D$2500))</f>
        <v>0</v>
      </c>
      <c r="DY49" s="75">
        <f t="array" ref="DY49">SUM((YEAR(Gastos!$A$2:$A$2500)=DY$1)*(MONTH(Gastos!$A$2:$A$2500)=DY$3)*(Gastos!$B$2:$B$2500=$A49)*(Gastos!$D$2:$D$2500))</f>
        <v>0</v>
      </c>
      <c r="DZ49" s="75">
        <f t="array" ref="DZ49">SUM((YEAR(Gastos!$A$2:$A$2500)=DZ$1)*(MONTH(Gastos!$A$2:$A$2500)=DZ$3)*(Gastos!$B$2:$B$2500=$A49)*(Gastos!$D$2:$D$2500))</f>
        <v>0</v>
      </c>
      <c r="EA49" s="75">
        <f t="array" ref="EA49">SUM((YEAR(Gastos!$A$2:$A$2500)=EA$1)*(MONTH(Gastos!$A$2:$A$2500)=EA$3)*(Gastos!$B$2:$B$2500=$A49)*(Gastos!$D$2:$D$2500))</f>
        <v>0</v>
      </c>
      <c r="EB49" s="75">
        <f t="array" ref="EB49">SUM((YEAR(Gastos!$A$2:$A$2500)=EB$1)*(MONTH(Gastos!$A$2:$A$2500)=EB$3)*(Gastos!$B$2:$B$2500=$A49)*(Gastos!$D$2:$D$2500))</f>
        <v>0</v>
      </c>
      <c r="EC49" s="75">
        <f t="array" ref="EC49">SUM((YEAR(Gastos!$A$2:$A$2500)=EC$1)*(MONTH(Gastos!$A$2:$A$2500)=EC$3)*(Gastos!$B$2:$B$2500=$A49)*(Gastos!$D$2:$D$2500))</f>
        <v>0</v>
      </c>
      <c r="ED49" s="75">
        <f t="array" ref="ED49">SUM((YEAR(Gastos!$A$2:$A$2500)=ED$1)*(MONTH(Gastos!$A$2:$A$2500)=ED$3)*(Gastos!$B$2:$B$2500=$A49)*(Gastos!$D$2:$D$2500))</f>
        <v>0</v>
      </c>
      <c r="EE49" s="75">
        <f t="array" ref="EE49">SUM((YEAR(Gastos!$A$2:$A$2500)=EE$1)*(MONTH(Gastos!$A$2:$A$2500)=EE$3)*(Gastos!$B$2:$B$2500=$A49)*(Gastos!$D$2:$D$2500))</f>
        <v>0</v>
      </c>
      <c r="EF49" s="75">
        <f t="array" ref="EF49">SUM((YEAR(Gastos!$A$2:$A$2500)=EF$1)*(MONTH(Gastos!$A$2:$A$2500)=EF$3)*(Gastos!$B$2:$B$2500=$A49)*(Gastos!$D$2:$D$2500))</f>
        <v>0</v>
      </c>
      <c r="EG49" s="75">
        <f t="array" ref="EG49">SUM((YEAR(Gastos!$A$2:$A$2500)=EG$1)*(MONTH(Gastos!$A$2:$A$2500)=EG$3)*(Gastos!$B$2:$B$2500=$A49)*(Gastos!$D$2:$D$2500))</f>
        <v>0</v>
      </c>
      <c r="EH49" s="75">
        <f t="array" ref="EH49">SUM((YEAR(Gastos!$A$2:$A$2500)=EH$1)*(MONTH(Gastos!$A$2:$A$2500)=EH$3)*(Gastos!$B$2:$B$2500=$A49)*(Gastos!$D$2:$D$2500))</f>
        <v>0</v>
      </c>
      <c r="EI49" s="75">
        <f t="array" ref="EI49">SUM((YEAR(Gastos!$A$2:$A$2500)=EI$1)*(MONTH(Gastos!$A$2:$A$2500)=EI$3)*(Gastos!$B$2:$B$2500=$A49)*(Gastos!$D$2:$D$2500))</f>
        <v>0</v>
      </c>
      <c r="EJ49" s="75">
        <f t="array" ref="EJ49">SUM((YEAR(Gastos!$A$2:$A$2500)=EJ$1)*(MONTH(Gastos!$A$2:$A$2500)=EJ$3)*(Gastos!$B$2:$B$2500=$A49)*(Gastos!$D$2:$D$2500))</f>
        <v>0</v>
      </c>
      <c r="EK49" s="75">
        <f t="array" ref="EK49">SUM((YEAR(Gastos!$A$2:$A$2500)=EK$1)*(MONTH(Gastos!$A$2:$A$2500)=EK$3)*(Gastos!$B$2:$B$2500=$A49)*(Gastos!$D$2:$D$2500))</f>
        <v>0</v>
      </c>
      <c r="EL49" s="75">
        <f t="array" ref="EL49">SUM((YEAR(Gastos!$A$2:$A$2500)=EL$1)*(MONTH(Gastos!$A$2:$A$2500)=EL$3)*(Gastos!$B$2:$B$2500=$A49)*(Gastos!$D$2:$D$2500))</f>
        <v>0</v>
      </c>
      <c r="EM49" s="75">
        <f t="array" ref="EM49">SUM((YEAR(Gastos!$A$2:$A$2500)=EM$1)*(MONTH(Gastos!$A$2:$A$2500)=EM$3)*(Gastos!$B$2:$B$2500=$A49)*(Gastos!$D$2:$D$2500))</f>
        <v>1177.4000000000001</v>
      </c>
      <c r="EN49" s="75">
        <f t="array" ref="EN49">SUM((YEAR(Gastos!$A$2:$A$2500)=EN$1)*(MONTH(Gastos!$A$2:$A$2500)=EN$3)*(Gastos!$B$2:$B$2500=$A49)*(Gastos!$D$2:$D$2500))</f>
        <v>0</v>
      </c>
      <c r="EO49" s="75">
        <f t="array" ref="EO49">SUM((YEAR(Gastos!$A$2:$A$2500)=EO$1)*(MONTH(Gastos!$A$2:$A$2500)=EO$3)*(Gastos!$B$2:$B$2500=$A49)*(Gastos!$D$2:$D$2500))</f>
        <v>0</v>
      </c>
      <c r="EP49" s="75">
        <f t="array" ref="EP49">SUM((YEAR(Gastos!$A$2:$A$2500)=EP$1)*(MONTH(Gastos!$A$2:$A$2500)=EP$3)*(Gastos!$B$2:$B$2500=$A49)*(Gastos!$D$2:$D$2500))</f>
        <v>0</v>
      </c>
      <c r="EQ49" s="75">
        <f t="array" ref="EQ49">SUM((YEAR(Gastos!$A$2:$A$2500)=EQ$1)*(MONTH(Gastos!$A$2:$A$2500)=EQ$3)*(Gastos!$B$2:$B$2500=$A49)*(Gastos!$D$2:$D$2500))</f>
        <v>0</v>
      </c>
      <c r="ER49" s="75">
        <f t="array" ref="ER49">SUM((YEAR(Gastos!$A$2:$A$2500)=ER$1)*(MONTH(Gastos!$A$2:$A$2500)=ER$3)*(Gastos!$B$2:$B$2500=$A49)*(Gastos!$D$2:$D$2500))</f>
        <v>0</v>
      </c>
      <c r="ES49" s="75">
        <f t="array" ref="ES49">SUM((YEAR(Gastos!$A$2:$A$2500)=ES$1)*(MONTH(Gastos!$A$2:$A$2500)=ES$3)*(Gastos!$B$2:$B$2500=$A49)*(Gastos!$D$2:$D$2500))</f>
        <v>0</v>
      </c>
      <c r="ET49" s="75">
        <f t="array" ref="ET49">SUM((YEAR(Gastos!$A$2:$A$2500)=ET$1)*(MONTH(Gastos!$A$2:$A$2500)=ET$3)*(Gastos!$B$2:$B$2500=$A49)*(Gastos!$D$2:$D$2500))</f>
        <v>0</v>
      </c>
      <c r="EU49" s="75">
        <f t="array" ref="EU49">SUM((YEAR(Gastos!$A$2:$A$2500)=EU$1)*(MONTH(Gastos!$A$2:$A$2500)=EU$3)*(Gastos!$B$2:$B$2500=$A49)*(Gastos!$D$2:$D$2500))</f>
        <v>0</v>
      </c>
      <c r="EV49" s="75">
        <f t="array" ref="EV49">SUM((YEAR(Gastos!$A$2:$A$2500)=EV$1)*(MONTH(Gastos!$A$2:$A$2500)=EV$3)*(Gastos!$B$2:$B$2500=$A49)*(Gastos!$D$2:$D$2500))</f>
        <v>0</v>
      </c>
      <c r="EW49" s="75">
        <f t="array" ref="EW49">SUM((YEAR(Gastos!$A$2:$A$2500)=EW$1)*(MONTH(Gastos!$A$2:$A$2500)=EW$3)*(Gastos!$B$2:$B$2500=$A49)*(Gastos!$D$2:$D$2500))</f>
        <v>0</v>
      </c>
      <c r="EX49" s="75">
        <f t="array" ref="EX49">SUM((YEAR(Gastos!$A$2:$A$2500)=EX$1)*(MONTH(Gastos!$A$2:$A$2500)=EX$3)*(Gastos!$B$2:$B$2500=$A49)*(Gastos!$D$2:$D$2500))</f>
        <v>0</v>
      </c>
      <c r="EY49" s="75">
        <f t="array" ref="EY49">SUM((YEAR(Gastos!$A$2:$A$2500)=EY$1)*(MONTH(Gastos!$A$2:$A$2500)=EY$3)*(Gastos!$B$2:$B$2500=$A49)*(Gastos!$D$2:$D$2500))</f>
        <v>0</v>
      </c>
      <c r="EZ49" s="75">
        <f t="array" ref="EZ49">SUM((YEAR(Gastos!$A$2:$A$2500)=EZ$1)*(MONTH(Gastos!$A$2:$A$2500)=EZ$3)*(Gastos!$B$2:$B$2500=$A49)*(Gastos!$D$2:$D$2500))</f>
        <v>0</v>
      </c>
      <c r="FA49" s="75">
        <f t="array" ref="FA49">SUM((YEAR(Gastos!$A$2:$A$2500)=FA$1)*(MONTH(Gastos!$A$2:$A$2500)=FA$3)*(Gastos!$B$2:$B$2500=$A49)*(Gastos!$D$2:$D$2500))</f>
        <v>0</v>
      </c>
      <c r="FB49" s="75">
        <f t="array" ref="FB49">SUM((YEAR(Gastos!$A$2:$A$2500)=FB$1)*(MONTH(Gastos!$A$2:$A$2500)=FB$3)*(Gastos!$B$2:$B$2500=$A49)*(Gastos!$D$2:$D$2500))</f>
        <v>0</v>
      </c>
      <c r="FC49" s="75">
        <f t="array" ref="FC49">SUM((YEAR(Gastos!$A$2:$A$2500)=FC$1)*(MONTH(Gastos!$A$2:$A$2500)=FC$3)*(Gastos!$B$2:$B$2500=$A49)*(Gastos!$D$2:$D$2500))</f>
        <v>0</v>
      </c>
      <c r="FD49" s="75">
        <f t="array" ref="FD49">SUM((YEAR(Gastos!$A$2:$A$2500)=FD$1)*(MONTH(Gastos!$A$2:$A$2500)=FD$3)*(Gastos!$B$2:$B$2500=$A49)*(Gastos!$D$2:$D$2500))</f>
        <v>0</v>
      </c>
      <c r="FE49" s="75">
        <f t="array" ref="FE49">SUM((YEAR(Gastos!$A$2:$A$2500)=FE$1)*(MONTH(Gastos!$A$2:$A$2500)=FE$3)*(Gastos!$B$2:$B$2500=$A49)*(Gastos!$D$2:$D$2500))</f>
        <v>0</v>
      </c>
      <c r="FF49" s="75">
        <f t="array" ref="FF49">SUM((YEAR(Gastos!$A$2:$A$2500)=FF$1)*(MONTH(Gastos!$A$2:$A$2500)=FF$3)*(Gastos!$B$2:$B$2500=$A49)*(Gastos!$D$2:$D$2500))</f>
        <v>0</v>
      </c>
      <c r="FG49" s="75">
        <f t="array" ref="FG49">SUM((YEAR(Gastos!$A$2:$A$2500)=FG$1)*(MONTH(Gastos!$A$2:$A$2500)=FG$3)*(Gastos!$B$2:$B$2500=$A49)*(Gastos!$D$2:$D$2500))</f>
        <v>0</v>
      </c>
      <c r="FH49" s="75">
        <f t="array" ref="FH49">SUM((YEAR(Gastos!$A$2:$A$2500)=FH$1)*(MONTH(Gastos!$A$2:$A$2500)=FH$3)*(Gastos!$B$2:$B$2500=$A49)*(Gastos!$D$2:$D$2500))</f>
        <v>0</v>
      </c>
      <c r="FI49" s="75">
        <f t="array" ref="FI49">SUM((YEAR(Gastos!$A$2:$A$2500)=FI$1)*(MONTH(Gastos!$A$2:$A$2500)=FI$3)*(Gastos!$B$2:$B$2500=$A49)*(Gastos!$D$2:$D$2500))</f>
        <v>0</v>
      </c>
      <c r="FJ49" s="75">
        <f t="array" ref="FJ49">SUM((YEAR(Gastos!$A$2:$A$2500)=FJ$1)*(MONTH(Gastos!$A$2:$A$2500)=FJ$3)*(Gastos!$B$2:$B$2500=$A49)*(Gastos!$D$2:$D$2500))</f>
        <v>0</v>
      </c>
      <c r="FK49" s="75">
        <f t="array" ref="FK49">SUM((YEAR(Gastos!$A$2:$A$2500)=FK$1)*(MONTH(Gastos!$A$2:$A$2500)=FK$3)*(Gastos!$B$2:$B$2500=$A49)*(Gastos!$D$2:$D$2500))</f>
        <v>0</v>
      </c>
      <c r="FL49" s="75">
        <f t="array" ref="FL49">SUM((YEAR(Gastos!$A$2:$A$2500)=FL$1)*(MONTH(Gastos!$A$2:$A$2500)=FL$3)*(Gastos!$B$2:$B$2500=$A49)*(Gastos!$D$2:$D$2500))</f>
        <v>0</v>
      </c>
      <c r="FM49" s="75">
        <f t="array" ref="FM49">SUM((YEAR(Gastos!$A$2:$A$2500)=FM$1)*(MONTH(Gastos!$A$2:$A$2500)=FM$3)*(Gastos!$B$2:$B$2500=$A49)*(Gastos!$D$2:$D$2500))</f>
        <v>0</v>
      </c>
      <c r="FN49" s="75">
        <f t="array" ref="FN49">SUM((YEAR(Gastos!$A$2:$A$2500)=FN$1)*(MONTH(Gastos!$A$2:$A$2500)=FN$3)*(Gastos!$B$2:$B$2500=$A49)*(Gastos!$D$2:$D$2500))</f>
        <v>0</v>
      </c>
      <c r="FO49" s="75">
        <f t="array" ref="FO49">SUM((YEAR(Gastos!$A$2:$A$2500)=FO$1)*(MONTH(Gastos!$A$2:$A$2500)=FO$3)*(Gastos!$B$2:$B$2500=$A49)*(Gastos!$D$2:$D$2500))</f>
        <v>0</v>
      </c>
      <c r="FP49" s="75">
        <f t="array" ref="FP49">SUM((YEAR(Gastos!$A$2:$A$2500)=FP$1)*(MONTH(Gastos!$A$2:$A$2500)=FP$3)*(Gastos!$B$2:$B$2500=$A49)*(Gastos!$D$2:$D$2500))</f>
        <v>0</v>
      </c>
      <c r="FQ49" s="75">
        <f t="array" ref="FQ49">SUM((YEAR(Gastos!$A$2:$A$2500)=FQ$1)*(MONTH(Gastos!$A$2:$A$2500)=FQ$3)*(Gastos!$B$2:$B$2500=$A49)*(Gastos!$D$2:$D$2500))</f>
        <v>0</v>
      </c>
      <c r="FR49" s="75">
        <f t="array" ref="FR49">SUM((YEAR(Gastos!$A$2:$A$2500)=FR$1)*(MONTH(Gastos!$A$2:$A$2500)=FR$3)*(Gastos!$B$2:$B$2500=$A49)*(Gastos!$D$2:$D$2500))</f>
        <v>0</v>
      </c>
      <c r="FS49" s="75">
        <f t="array" ref="FS49">SUM((YEAR(Gastos!$A$2:$A$2500)=FS$1)*(MONTH(Gastos!$A$2:$A$2500)=FS$3)*(Gastos!$B$2:$B$2500=$A49)*(Gastos!$D$2:$D$2500))</f>
        <v>0</v>
      </c>
      <c r="FT49" s="75">
        <f t="array" ref="FT49">SUM((YEAR(Gastos!$A$2:$A$2500)=FT$1)*(MONTH(Gastos!$A$2:$A$2500)=FT$3)*(Gastos!$B$2:$B$2500=$A49)*(Gastos!$D$2:$D$2500))</f>
        <v>0</v>
      </c>
      <c r="FU49" s="75">
        <f t="array" ref="FU49">SUM((YEAR(Gastos!$A$2:$A$2500)=FU$1)*(MONTH(Gastos!$A$2:$A$2500)=FU$3)*(Gastos!$B$2:$B$2500=$A49)*(Gastos!$D$2:$D$2500))</f>
        <v>0</v>
      </c>
      <c r="FV49" s="75">
        <f t="array" ref="FV49">SUM((YEAR(Gastos!$A$2:$A$2500)=FV$1)*(MONTH(Gastos!$A$2:$A$2500)=FV$3)*(Gastos!$B$2:$B$2500=$A49)*(Gastos!$D$2:$D$2500))</f>
        <v>0</v>
      </c>
      <c r="FW49" s="75">
        <f t="array" ref="FW49">SUM((YEAR(Gastos!$A$2:$A$2500)=FW$1)*(MONTH(Gastos!$A$2:$A$2500)=FW$3)*(Gastos!$B$2:$B$2500=$A49)*(Gastos!$D$2:$D$2500))</f>
        <v>0</v>
      </c>
      <c r="FX49" s="75">
        <f t="array" ref="FX49">SUM((YEAR(Gastos!$A$2:$A$2500)=FX$1)*(MONTH(Gastos!$A$2:$A$2500)=FX$3)*(Gastos!$B$2:$B$2500=$A49)*(Gastos!$D$2:$D$2500))</f>
        <v>0</v>
      </c>
      <c r="FY49" s="75">
        <f t="array" ref="FY49">SUM((YEAR(Gastos!$A$2:$A$2500)=FY$1)*(MONTH(Gastos!$A$2:$A$2500)=FY$3)*(Gastos!$B$2:$B$2500=$A49)*(Gastos!$D$2:$D$2500))</f>
        <v>0</v>
      </c>
      <c r="FZ49" s="76">
        <f t="shared" si="65"/>
        <v>3369.8</v>
      </c>
      <c r="GA49" s="80"/>
      <c r="GB49" s="78">
        <f t="shared" si="66"/>
        <v>-1015</v>
      </c>
      <c r="GF49" s="79">
        <f t="array" ref="GF49">SUM(((Gastos!$A$2:$A$1647)&gt;=GD$3)*((Gastos!$A$2:$A$1647)&lt;=GF$3)*(Gastos!$B$2:$B$1647=$A49)*(Gastos!$D$2:$D$1647))</f>
        <v>0</v>
      </c>
      <c r="GI49" s="79">
        <f t="array" ref="GI49">SUM(((Gastos!$A$2:$A$1647)&gt;=GG$3)*((Gastos!$A$2:$A$1647)&lt;=GI$3)*(Gastos!$B$2:$B$1647=$A49)*(Gastos!$D$2:$D$1647))</f>
        <v>1015</v>
      </c>
    </row>
    <row r="50" spans="1:191" ht="15" thickBot="1" x14ac:dyDescent="0.4">
      <c r="A50" s="74" t="str">
        <f>Gastos!AA48</f>
        <v>V. RECONEXIONES AGUA</v>
      </c>
      <c r="B50" s="75">
        <f t="array" ref="B50">SUM((YEAR(Gastos!$A$2:$A$2500)=B$1)*(MONTH(Gastos!$A$2:$A$2500)=B$3)*(Gastos!$B$2:$B$2500=$A50)*(Gastos!$D$2:$D$2500))</f>
        <v>0</v>
      </c>
      <c r="C50" s="75">
        <f t="array" ref="C50">SUM((YEAR(Gastos!$A$2:$A$2500)=C$1)*(MONTH(Gastos!$A$2:$A$2500)=C$3)*(Gastos!$B$2:$B$2500=$A50)*(Gastos!$D$2:$D$2500))</f>
        <v>0</v>
      </c>
      <c r="D50" s="75">
        <f t="array" ref="D50">SUM((YEAR(Gastos!$A$2:$A$2500)=D$1)*(MONTH(Gastos!$A$2:$A$2500)=D$3)*(Gastos!$B$2:$B$2500=$A50)*(Gastos!$D$2:$D$2500))</f>
        <v>0</v>
      </c>
      <c r="E50" s="75">
        <f t="array" ref="E50">SUM((YEAR(Gastos!$A$2:$A$2500)=E$1)*(MONTH(Gastos!$A$2:$A$2500)=E$3)*(Gastos!$B$2:$B$2500=$A50)*(Gastos!$D$2:$D$2500))</f>
        <v>0</v>
      </c>
      <c r="F50" s="75">
        <f t="array" ref="F50">SUM((YEAR(Gastos!$A$2:$A$2500)=F$1)*(MONTH(Gastos!$A$2:$A$2500)=F$3)*(Gastos!$B$2:$B$2500=$A50)*(Gastos!$D$2:$D$2500))</f>
        <v>0</v>
      </c>
      <c r="G50" s="75">
        <f t="array" ref="G50">SUM((YEAR(Gastos!$A$2:$A$2500)=G$1)*(MONTH(Gastos!$A$2:$A$2500)=G$3)*(Gastos!$B$2:$B$2500=$A50)*(Gastos!$D$2:$D$2500))</f>
        <v>0</v>
      </c>
      <c r="H50" s="75">
        <f t="array" ref="H50">SUM((YEAR(Gastos!$A$2:$A$2500)=H$1)*(MONTH(Gastos!$A$2:$A$2500)=H$3)*(Gastos!$B$2:$B$2500=$A50)*(Gastos!$D$2:$D$2500))</f>
        <v>0</v>
      </c>
      <c r="I50" s="75">
        <f t="array" ref="I50">SUM((YEAR(Gastos!$A$2:$A$2500)=I$1)*(MONTH(Gastos!$A$2:$A$2500)=I$3)*(Gastos!$B$2:$B$2500=$A50)*(Gastos!$D$2:$D$2500))</f>
        <v>0</v>
      </c>
      <c r="J50" s="75">
        <f t="array" ref="J50">SUM((YEAR(Gastos!$A$2:$A$2500)=J$1)*(MONTH(Gastos!$A$2:$A$2500)=J$3)*(Gastos!$B$2:$B$2500=$A50)*(Gastos!$D$2:$D$2500))</f>
        <v>0</v>
      </c>
      <c r="K50" s="75">
        <f t="array" ref="K50">SUM((YEAR(Gastos!$A$2:$A$2500)=K$1)*(MONTH(Gastos!$A$2:$A$2500)=K$3)*(Gastos!$B$2:$B$2500=$A50)*(Gastos!$D$2:$D$2500))</f>
        <v>0</v>
      </c>
      <c r="L50" s="75">
        <f t="array" ref="L50">SUM((YEAR(Gastos!$A$2:$A$2500)=L$1)*(MONTH(Gastos!$A$2:$A$2500)=L$3)*(Gastos!$B$2:$B$2500=$A50)*(Gastos!$D$2:$D$2500))</f>
        <v>0</v>
      </c>
      <c r="M50" s="75">
        <f t="array" ref="M50">SUM((YEAR(Gastos!$A$2:$A$2500)=M$1)*(MONTH(Gastos!$A$2:$A$2500)=M$3)*(Gastos!$B$2:$B$2500=$A50)*(Gastos!$D$2:$D$2500))</f>
        <v>0</v>
      </c>
      <c r="N50" s="75">
        <f t="array" ref="N50">SUM((YEAR(Gastos!$A$2:$A$2500)=N$1)*(MONTH(Gastos!$A$2:$A$2500)=N$3)*(Gastos!$B$2:$B$2500=$A50)*(Gastos!$D$2:$D$2500))</f>
        <v>0</v>
      </c>
      <c r="O50" s="75">
        <f t="array" ref="O50">SUM((YEAR(Gastos!$A$2:$A$2500)=O$1)*(MONTH(Gastos!$A$2:$A$2500)=O$3)*(Gastos!$B$2:$B$2500=$A50)*(Gastos!$D$2:$D$2500))</f>
        <v>0</v>
      </c>
      <c r="P50" s="75">
        <f t="array" ref="P50">SUM((YEAR(Gastos!$A$2:$A$2500)=P$1)*(MONTH(Gastos!$A$2:$A$2500)=P$3)*(Gastos!$B$2:$B$2500=$A50)*(Gastos!$D$2:$D$2500))</f>
        <v>0</v>
      </c>
      <c r="Q50" s="75">
        <f t="array" ref="Q50">SUM((YEAR(Gastos!$A$2:$A$2500)=Q$1)*(MONTH(Gastos!$A$2:$A$2500)=Q$3)*(Gastos!$B$2:$B$2500=$A50)*(Gastos!$D$2:$D$2500))</f>
        <v>0</v>
      </c>
      <c r="R50" s="75">
        <f t="array" ref="R50">SUM((YEAR(Gastos!$A$2:$A$2500)=R$1)*(MONTH(Gastos!$A$2:$A$2500)=R$3)*(Gastos!$B$2:$B$2500=$A50)*(Gastos!$D$2:$D$2500))</f>
        <v>0</v>
      </c>
      <c r="S50" s="75">
        <f t="array" ref="S50">SUM((YEAR(Gastos!$A$2:$A$2500)=S$1)*(MONTH(Gastos!$A$2:$A$2500)=S$3)*(Gastos!$B$2:$B$2500=$A50)*(Gastos!$D$2:$D$2500))</f>
        <v>0</v>
      </c>
      <c r="T50" s="75">
        <f t="array" ref="T50">SUM((YEAR(Gastos!$A$2:$A$2500)=T$1)*(MONTH(Gastos!$A$2:$A$2500)=T$3)*(Gastos!$B$2:$B$2500=$A50)*(Gastos!$D$2:$D$2500))</f>
        <v>0</v>
      </c>
      <c r="U50" s="75">
        <f t="array" ref="U50">SUM((YEAR(Gastos!$A$2:$A$2500)=U$1)*(MONTH(Gastos!$A$2:$A$2500)=U$3)*(Gastos!$B$2:$B$2500=$A50)*(Gastos!$D$2:$D$2500))</f>
        <v>0</v>
      </c>
      <c r="V50" s="75">
        <f t="array" ref="V50">SUM((YEAR(Gastos!$A$2:$A$2500)=V$1)*(MONTH(Gastos!$A$2:$A$2500)=V$3)*(Gastos!$B$2:$B$2500=$A50)*(Gastos!$D$2:$D$2500))</f>
        <v>0</v>
      </c>
      <c r="W50" s="75">
        <f t="array" ref="W50">SUM((YEAR(Gastos!$A$2:$A$2500)=W$1)*(MONTH(Gastos!$A$2:$A$2500)=W$3)*(Gastos!$B$2:$B$2500=$A50)*(Gastos!$D$2:$D$2500))</f>
        <v>0</v>
      </c>
      <c r="X50" s="75">
        <f t="array" ref="X50">SUM((YEAR(Gastos!$A$2:$A$2500)=X$1)*(MONTH(Gastos!$A$2:$A$2500)=X$3)*(Gastos!$B$2:$B$2500=$A50)*(Gastos!$D$2:$D$2500))</f>
        <v>0</v>
      </c>
      <c r="Y50" s="75">
        <f t="array" ref="Y50">SUM((YEAR(Gastos!$A$2:$A$2500)=Y$1)*(MONTH(Gastos!$A$2:$A$2500)=Y$3)*(Gastos!$B$2:$B$2500=$A50)*(Gastos!$D$2:$D$2500))</f>
        <v>0</v>
      </c>
      <c r="Z50" s="75">
        <f t="array" ref="Z50">SUM((YEAR(Gastos!$A$2:$A$2500)=Z$1)*(MONTH(Gastos!$A$2:$A$2500)=Z$3)*(Gastos!$B$2:$B$2500=$A50)*(Gastos!$D$2:$D$2500))</f>
        <v>0</v>
      </c>
      <c r="AA50" s="75">
        <f t="array" ref="AA50">SUM((YEAR(Gastos!$A$2:$A$2500)=AA$1)*(MONTH(Gastos!$A$2:$A$2500)=AA$3)*(Gastos!$B$2:$B$2500=$A50)*(Gastos!$D$2:$D$2500))</f>
        <v>0</v>
      </c>
      <c r="AB50" s="75">
        <f t="array" ref="AB50">SUM((YEAR(Gastos!$A$2:$A$2500)=AB$1)*(MONTH(Gastos!$A$2:$A$2500)=AB$3)*(Gastos!$B$2:$B$2500=$A50)*(Gastos!$D$2:$D$2500))</f>
        <v>0</v>
      </c>
      <c r="AC50" s="75">
        <f t="array" ref="AC50">SUM((YEAR(Gastos!$A$2:$A$2500)=AC$1)*(MONTH(Gastos!$A$2:$A$2500)=AC$3)*(Gastos!$B$2:$B$2500=$A50)*(Gastos!$D$2:$D$2500))</f>
        <v>0</v>
      </c>
      <c r="AD50" s="75">
        <f t="array" ref="AD50">SUM((YEAR(Gastos!$A$2:$A$2500)=AD$1)*(MONTH(Gastos!$A$2:$A$2500)=AD$3)*(Gastos!$B$2:$B$2500=$A50)*(Gastos!$D$2:$D$2500))</f>
        <v>0</v>
      </c>
      <c r="AE50" s="75">
        <f t="array" ref="AE50">SUM((YEAR(Gastos!$A$2:$A$2500)=AE$1)*(MONTH(Gastos!$A$2:$A$2500)=AE$3)*(Gastos!$B$2:$B$2500=$A50)*(Gastos!$D$2:$D$2500))</f>
        <v>0</v>
      </c>
      <c r="AF50" s="75">
        <f t="array" ref="AF50">SUM((YEAR(Gastos!$A$2:$A$2500)=AF$1)*(MONTH(Gastos!$A$2:$A$2500)=AF$3)*(Gastos!$B$2:$B$2500=$A50)*(Gastos!$D$2:$D$2500))</f>
        <v>0</v>
      </c>
      <c r="AG50" s="75">
        <f t="array" ref="AG50">SUM((YEAR(Gastos!$A$2:$A$2500)=AG$1)*(MONTH(Gastos!$A$2:$A$2500)=AG$3)*(Gastos!$B$2:$B$2500=$A50)*(Gastos!$D$2:$D$2500))</f>
        <v>0</v>
      </c>
      <c r="AH50" s="75">
        <f t="array" ref="AH50">SUM((YEAR(Gastos!$A$2:$A$2500)=AH$1)*(MONTH(Gastos!$A$2:$A$2500)=AH$3)*(Gastos!$B$2:$B$2500=$A50)*(Gastos!$D$2:$D$2500))</f>
        <v>0</v>
      </c>
      <c r="AI50" s="75">
        <f t="array" ref="AI50">SUM((YEAR(Gastos!$A$2:$A$2500)=AI$1)*(MONTH(Gastos!$A$2:$A$2500)=AI$3)*(Gastos!$B$2:$B$2500=$A50)*(Gastos!$D$2:$D$2500))</f>
        <v>0</v>
      </c>
      <c r="AJ50" s="75">
        <f t="array" ref="AJ50">SUM((YEAR(Gastos!$A$2:$A$2500)=AJ$1)*(MONTH(Gastos!$A$2:$A$2500)=AJ$3)*(Gastos!$B$2:$B$2500=$A50)*(Gastos!$D$2:$D$2500))</f>
        <v>0</v>
      </c>
      <c r="AK50" s="75">
        <f t="array" ref="AK50">SUM((YEAR(Gastos!$A$2:$A$2500)=AK$1)*(MONTH(Gastos!$A$2:$A$2500)=AK$3)*(Gastos!$B$2:$B$2500=$A50)*(Gastos!$D$2:$D$2500))</f>
        <v>0</v>
      </c>
      <c r="AL50" s="75">
        <f t="array" ref="AL50">SUM((YEAR(Gastos!$A$2:$A$2500)=AL$1)*(MONTH(Gastos!$A$2:$A$2500)=AL$3)*(Gastos!$B$2:$B$2500=$A50)*(Gastos!$D$2:$D$2500))</f>
        <v>0</v>
      </c>
      <c r="AM50" s="75">
        <f t="array" ref="AM50">SUM((YEAR(Gastos!$A$2:$A$2500)=AM$1)*(MONTH(Gastos!$A$2:$A$2500)=AM$3)*(Gastos!$B$2:$B$2500=$A50)*(Gastos!$D$2:$D$2500))</f>
        <v>0</v>
      </c>
      <c r="AN50" s="75">
        <f t="array" ref="AN50">SUM((YEAR(Gastos!$A$2:$A$2500)=AN$1)*(MONTH(Gastos!$A$2:$A$2500)=AN$3)*(Gastos!$B$2:$B$2500=$A50)*(Gastos!$D$2:$D$2500))</f>
        <v>0</v>
      </c>
      <c r="AO50" s="75">
        <f t="array" ref="AO50">SUM((YEAR(Gastos!$A$2:$A$2500)=AO$1)*(MONTH(Gastos!$A$2:$A$2500)=AO$3)*(Gastos!$B$2:$B$2500=$A50)*(Gastos!$D$2:$D$2500))</f>
        <v>0</v>
      </c>
      <c r="AP50" s="75">
        <f t="array" ref="AP50">SUM((YEAR(Gastos!$A$2:$A$2500)=AP$1)*(MONTH(Gastos!$A$2:$A$2500)=AP$3)*(Gastos!$B$2:$B$2500=$A50)*(Gastos!$D$2:$D$2500))</f>
        <v>0</v>
      </c>
      <c r="AQ50" s="75">
        <f t="array" ref="AQ50">SUM((YEAR(Gastos!$A$2:$A$2500)=AQ$1)*(MONTH(Gastos!$A$2:$A$2500)=AQ$3)*(Gastos!$B$2:$B$2500=$A50)*(Gastos!$D$2:$D$2500))</f>
        <v>0</v>
      </c>
      <c r="AR50" s="75">
        <f t="array" ref="AR50">SUM((YEAR(Gastos!$A$2:$A$2500)=AR$1)*(MONTH(Gastos!$A$2:$A$2500)=AR$3)*(Gastos!$B$2:$B$2500=$A50)*(Gastos!$D$2:$D$2500))</f>
        <v>0</v>
      </c>
      <c r="AS50" s="75">
        <f t="array" ref="AS50">SUM((YEAR(Gastos!$A$2:$A$2500)=AS$1)*(MONTH(Gastos!$A$2:$A$2500)=AS$3)*(Gastos!$B$2:$B$2500=$A50)*(Gastos!$D$2:$D$2500))</f>
        <v>0</v>
      </c>
      <c r="AT50" s="75">
        <f t="array" ref="AT50">SUM((YEAR(Gastos!$A$2:$A$2500)=AT$1)*(MONTH(Gastos!$A$2:$A$2500)=AT$3)*(Gastos!$B$2:$B$2500=$A50)*(Gastos!$D$2:$D$2500))</f>
        <v>0</v>
      </c>
      <c r="AU50" s="75">
        <f t="array" ref="AU50">SUM((YEAR(Gastos!$A$2:$A$2500)=AU$1)*(MONTH(Gastos!$A$2:$A$2500)=AU$3)*(Gastos!$B$2:$B$2500=$A50)*(Gastos!$D$2:$D$2500))</f>
        <v>0</v>
      </c>
      <c r="AV50" s="75">
        <f t="array" ref="AV50">SUM((YEAR(Gastos!$A$2:$A$2500)=AV$1)*(MONTH(Gastos!$A$2:$A$2500)=AV$3)*(Gastos!$B$2:$B$2500=$A50)*(Gastos!$D$2:$D$2500))</f>
        <v>0</v>
      </c>
      <c r="AW50" s="75">
        <f t="array" ref="AW50">SUM((YEAR(Gastos!$A$2:$A$2500)=AW$1)*(MONTH(Gastos!$A$2:$A$2500)=AW$3)*(Gastos!$B$2:$B$2500=$A50)*(Gastos!$D$2:$D$2500))</f>
        <v>0</v>
      </c>
      <c r="AX50" s="75">
        <f t="array" ref="AX50">SUM((YEAR(Gastos!$A$2:$A$2500)=AX$1)*(MONTH(Gastos!$A$2:$A$2500)=AX$3)*(Gastos!$B$2:$B$2500=$A50)*(Gastos!$D$2:$D$2500))</f>
        <v>0</v>
      </c>
      <c r="AY50" s="75">
        <f t="array" ref="AY50">SUM((YEAR(Gastos!$A$2:$A$2500)=AY$1)*(MONTH(Gastos!$A$2:$A$2500)=AY$3)*(Gastos!$B$2:$B$2500=$A50)*(Gastos!$D$2:$D$2500))</f>
        <v>0</v>
      </c>
      <c r="AZ50" s="75">
        <f t="array" ref="AZ50">SUM((YEAR(Gastos!$A$2:$A$2500)=AZ$1)*(MONTH(Gastos!$A$2:$A$2500)=AZ$3)*(Gastos!$B$2:$B$2500=$A50)*(Gastos!$D$2:$D$2500))</f>
        <v>0</v>
      </c>
      <c r="BA50" s="75">
        <f t="array" ref="BA50">SUM((YEAR(Gastos!$A$2:$A$2500)=BA$1)*(MONTH(Gastos!$A$2:$A$2500)=BA$3)*(Gastos!$B$2:$B$2500=$A50)*(Gastos!$D$2:$D$2500))</f>
        <v>0</v>
      </c>
      <c r="BB50" s="75">
        <f t="array" ref="BB50">SUM((YEAR(Gastos!$A$2:$A$2500)=BB$1)*(MONTH(Gastos!$A$2:$A$2500)=BB$3)*(Gastos!$B$2:$B$2500=$A50)*(Gastos!$D$2:$D$2500))</f>
        <v>0</v>
      </c>
      <c r="BC50" s="75">
        <f t="array" ref="BC50">SUM((YEAR(Gastos!$A$2:$A$2500)=BC$1)*(MONTH(Gastos!$A$2:$A$2500)=BC$3)*(Gastos!$B$2:$B$2500=$A50)*(Gastos!$D$2:$D$2500))</f>
        <v>0</v>
      </c>
      <c r="BD50" s="75">
        <f t="array" ref="BD50">SUM((YEAR(Gastos!$A$2:$A$2500)=BD$1)*(MONTH(Gastos!$A$2:$A$2500)=BD$3)*(Gastos!$B$2:$B$2500=$A50)*(Gastos!$D$2:$D$2500))</f>
        <v>0</v>
      </c>
      <c r="BE50" s="75">
        <f t="array" ref="BE50">SUM((YEAR(Gastos!$A$2:$A$2500)=BE$1)*(MONTH(Gastos!$A$2:$A$2500)=BE$3)*(Gastos!$B$2:$B$2500=$A50)*(Gastos!$D$2:$D$2500))</f>
        <v>0</v>
      </c>
      <c r="BF50" s="75">
        <f t="array" ref="BF50">SUM((YEAR(Gastos!$A$2:$A$2500)=BF$1)*(MONTH(Gastos!$A$2:$A$2500)=BF$3)*(Gastos!$B$2:$B$2500=$A50)*(Gastos!$D$2:$D$2500))</f>
        <v>0</v>
      </c>
      <c r="BG50" s="75">
        <f t="array" ref="BG50">SUM((YEAR(Gastos!$A$2:$A$2500)=BG$1)*(MONTH(Gastos!$A$2:$A$2500)=BG$3)*(Gastos!$B$2:$B$2500=$A50)*(Gastos!$D$2:$D$2500))</f>
        <v>0</v>
      </c>
      <c r="BH50" s="75">
        <f t="array" ref="BH50">SUM((YEAR(Gastos!$A$2:$A$2500)=BH$1)*(MONTH(Gastos!$A$2:$A$2500)=BH$3)*(Gastos!$B$2:$B$2500=$A50)*(Gastos!$D$2:$D$2500))</f>
        <v>0</v>
      </c>
      <c r="BI50" s="75">
        <f t="array" ref="BI50">SUM((YEAR(Gastos!$A$2:$A$2500)=BI$1)*(MONTH(Gastos!$A$2:$A$2500)=BI$3)*(Gastos!$B$2:$B$2500=$A50)*(Gastos!$D$2:$D$2500))</f>
        <v>0</v>
      </c>
      <c r="BJ50" s="75">
        <f t="array" ref="BJ50">SUM((YEAR(Gastos!$A$2:$A$2500)=BJ$1)*(MONTH(Gastos!$A$2:$A$2500)=BJ$3)*(Gastos!$B$2:$B$2500=$A50)*(Gastos!$D$2:$D$2500))</f>
        <v>0</v>
      </c>
      <c r="BK50" s="75">
        <f t="array" ref="BK50">SUM((YEAR(Gastos!$A$2:$A$2500)=BK$1)*(MONTH(Gastos!$A$2:$A$2500)=BK$3)*(Gastos!$B$2:$B$2500=$A50)*(Gastos!$D$2:$D$2500))</f>
        <v>0</v>
      </c>
      <c r="BL50" s="75">
        <f t="array" ref="BL50">SUM((YEAR(Gastos!$A$2:$A$2500)=BL$1)*(MONTH(Gastos!$A$2:$A$2500)=BL$3)*(Gastos!$B$2:$B$2500=$A50)*(Gastos!$D$2:$D$2500))</f>
        <v>0</v>
      </c>
      <c r="BM50" s="75">
        <f t="array" ref="BM50">SUM((YEAR(Gastos!$A$2:$A$2500)=BM$1)*(MONTH(Gastos!$A$2:$A$2500)=BM$3)*(Gastos!$B$2:$B$2500=$A50)*(Gastos!$D$2:$D$2500))</f>
        <v>0</v>
      </c>
      <c r="BN50" s="75">
        <f t="array" ref="BN50">SUM((YEAR(Gastos!$A$2:$A$2500)=BN$1)*(MONTH(Gastos!$A$2:$A$2500)=BN$3)*(Gastos!$B$2:$B$2500=$A50)*(Gastos!$D$2:$D$2500))</f>
        <v>0</v>
      </c>
      <c r="BO50" s="75">
        <f t="array" ref="BO50">SUM((YEAR(Gastos!$A$2:$A$2500)=BO$1)*(MONTH(Gastos!$A$2:$A$2500)=BO$3)*(Gastos!$B$2:$B$2500=$A50)*(Gastos!$D$2:$D$2500))</f>
        <v>0</v>
      </c>
      <c r="BP50" s="75">
        <f t="array" ref="BP50">SUM((YEAR(Gastos!$A$2:$A$2500)=BP$1)*(MONTH(Gastos!$A$2:$A$2500)=BP$3)*(Gastos!$B$2:$B$2500=$A50)*(Gastos!$D$2:$D$2500))</f>
        <v>0</v>
      </c>
      <c r="BQ50" s="75">
        <f t="array" ref="BQ50">SUM((YEAR(Gastos!$A$2:$A$2500)=BQ$1)*(MONTH(Gastos!$A$2:$A$2500)=BQ$3)*(Gastos!$B$2:$B$2500=$A50)*(Gastos!$D$2:$D$2500))</f>
        <v>0</v>
      </c>
      <c r="BR50" s="75">
        <f t="array" ref="BR50">SUM((YEAR(Gastos!$A$2:$A$2500)=BR$1)*(MONTH(Gastos!$A$2:$A$2500)=BR$3)*(Gastos!$B$2:$B$2500=$A50)*(Gastos!$D$2:$D$2500))</f>
        <v>0</v>
      </c>
      <c r="BS50" s="75">
        <f t="array" ref="BS50">SUM((YEAR(Gastos!$A$2:$A$2500)=BS$1)*(MONTH(Gastos!$A$2:$A$2500)=BS$3)*(Gastos!$B$2:$B$2500=$A50)*(Gastos!$D$2:$D$2500))</f>
        <v>0</v>
      </c>
      <c r="BT50" s="75">
        <f t="array" ref="BT50">SUM((YEAR(Gastos!$A$2:$A$2500)=BT$1)*(MONTH(Gastos!$A$2:$A$2500)=BT$3)*(Gastos!$B$2:$B$2500=$A50)*(Gastos!$D$2:$D$2500))</f>
        <v>0</v>
      </c>
      <c r="BU50" s="75">
        <f t="array" ref="BU50">SUM((YEAR(Gastos!$A$2:$A$2500)=BU$1)*(MONTH(Gastos!$A$2:$A$2500)=BU$3)*(Gastos!$B$2:$B$2500=$A50)*(Gastos!$D$2:$D$2500))</f>
        <v>0</v>
      </c>
      <c r="BV50" s="75">
        <f t="array" ref="BV50">SUM((YEAR(Gastos!$A$2:$A$2500)=BV$1)*(MONTH(Gastos!$A$2:$A$2500)=BV$3)*(Gastos!$B$2:$B$2500=$A50)*(Gastos!$D$2:$D$2500))</f>
        <v>0</v>
      </c>
      <c r="BW50" s="75">
        <f t="array" ref="BW50">SUM((YEAR(Gastos!$A$2:$A$2500)=BW$1)*(MONTH(Gastos!$A$2:$A$2500)=BW$3)*(Gastos!$B$2:$B$2500=$A50)*(Gastos!$D$2:$D$2500))</f>
        <v>0</v>
      </c>
      <c r="BX50" s="75">
        <f t="array" ref="BX50">SUM((YEAR(Gastos!$A$2:$A$2500)=BX$1)*(MONTH(Gastos!$A$2:$A$2500)=BX$3)*(Gastos!$B$2:$B$2500=$A50)*(Gastos!$D$2:$D$2500))</f>
        <v>0</v>
      </c>
      <c r="BY50" s="75">
        <f t="array" ref="BY50">SUM((YEAR(Gastos!$A$2:$A$2500)=BY$1)*(MONTH(Gastos!$A$2:$A$2500)=BY$3)*(Gastos!$B$2:$B$2500=$A50)*(Gastos!$D$2:$D$2500))</f>
        <v>0</v>
      </c>
      <c r="BZ50" s="75">
        <f t="array" ref="BZ50">SUM((YEAR(Gastos!$A$2:$A$2500)=BZ$1)*(MONTH(Gastos!$A$2:$A$2500)=BZ$3)*(Gastos!$B$2:$B$2500=$A50)*(Gastos!$D$2:$D$2500))</f>
        <v>0</v>
      </c>
      <c r="CA50" s="75">
        <f t="array" ref="CA50">SUM((YEAR(Gastos!$A$2:$A$2500)=CA$1)*(MONTH(Gastos!$A$2:$A$2500)=CA$3)*(Gastos!$B$2:$B$2500=$A50)*(Gastos!$D$2:$D$2500))</f>
        <v>0</v>
      </c>
      <c r="CB50" s="75">
        <f t="array" ref="CB50">SUM((YEAR(Gastos!$A$2:$A$2500)=CB$1)*(MONTH(Gastos!$A$2:$A$2500)=CB$3)*(Gastos!$B$2:$B$2500=$A50)*(Gastos!$D$2:$D$2500))</f>
        <v>0</v>
      </c>
      <c r="CC50" s="75">
        <f t="array" ref="CC50">SUM((YEAR(Gastos!$A$2:$A$2500)=CC$1)*(MONTH(Gastos!$A$2:$A$2500)=CC$3)*(Gastos!$B$2:$B$2500=$A50)*(Gastos!$D$2:$D$2500))</f>
        <v>0</v>
      </c>
      <c r="CD50" s="75">
        <f t="array" ref="CD50">SUM((YEAR(Gastos!$A$2:$A$2500)=CD$1)*(MONTH(Gastos!$A$2:$A$2500)=CD$3)*(Gastos!$B$2:$B$2500=$A50)*(Gastos!$D$2:$D$2500))</f>
        <v>0</v>
      </c>
      <c r="CE50" s="75">
        <f t="array" ref="CE50">SUM((YEAR(Gastos!$A$2:$A$2500)=CE$1)*(MONTH(Gastos!$A$2:$A$2500)=CE$3)*(Gastos!$B$2:$B$2500=$A50)*(Gastos!$D$2:$D$2500))</f>
        <v>0</v>
      </c>
      <c r="CF50" s="75">
        <f t="array" ref="CF50">SUM((YEAR(Gastos!$A$2:$A$2500)=CF$1)*(MONTH(Gastos!$A$2:$A$2500)=CF$3)*(Gastos!$B$2:$B$2500=$A50)*(Gastos!$D$2:$D$2500))</f>
        <v>0</v>
      </c>
      <c r="CG50" s="75">
        <f t="array" ref="CG50">SUM((YEAR(Gastos!$A$2:$A$2500)=CG$1)*(MONTH(Gastos!$A$2:$A$2500)=CG$3)*(Gastos!$B$2:$B$2500=$A50)*(Gastos!$D$2:$D$2500))</f>
        <v>0</v>
      </c>
      <c r="CH50" s="75">
        <f t="array" ref="CH50">SUM((YEAR(Gastos!$A$2:$A$2500)=CH$1)*(MONTH(Gastos!$A$2:$A$2500)=CH$3)*(Gastos!$B$2:$B$2500=$A50)*(Gastos!$D$2:$D$2500))</f>
        <v>0</v>
      </c>
      <c r="CI50" s="75">
        <f t="array" ref="CI50">SUM((YEAR(Gastos!$A$2:$A$2500)=CI$1)*(MONTH(Gastos!$A$2:$A$2500)=CI$3)*(Gastos!$B$2:$B$2500=$A50)*(Gastos!$D$2:$D$2500))</f>
        <v>0</v>
      </c>
      <c r="CJ50" s="75">
        <f t="array" ref="CJ50">SUM((YEAR(Gastos!$A$2:$A$2500)=CJ$1)*(MONTH(Gastos!$A$2:$A$2500)=CJ$3)*(Gastos!$B$2:$B$2500=$A50)*(Gastos!$D$2:$D$2500))</f>
        <v>0</v>
      </c>
      <c r="CK50" s="75">
        <f t="array" ref="CK50">SUM((YEAR(Gastos!$A$2:$A$2500)=CK$1)*(MONTH(Gastos!$A$2:$A$2500)=CK$3)*(Gastos!$B$2:$B$2500=$A50)*(Gastos!$D$2:$D$2500))</f>
        <v>0</v>
      </c>
      <c r="CL50" s="75">
        <f t="array" ref="CL50">SUM((YEAR(Gastos!$A$2:$A$2500)=CL$1)*(MONTH(Gastos!$A$2:$A$2500)=CL$3)*(Gastos!$B$2:$B$2500=$A50)*(Gastos!$D$2:$D$2500))</f>
        <v>0</v>
      </c>
      <c r="CM50" s="75">
        <f t="array" ref="CM50">SUM((YEAR(Gastos!$A$2:$A$2500)=CM$1)*(MONTH(Gastos!$A$2:$A$2500)=CM$3)*(Gastos!$B$2:$B$2500=$A50)*(Gastos!$D$2:$D$2500))</f>
        <v>0</v>
      </c>
      <c r="CN50" s="75">
        <f t="array" ref="CN50">SUM((YEAR(Gastos!$A$2:$A$2500)=CN$1)*(MONTH(Gastos!$A$2:$A$2500)=CN$3)*(Gastos!$B$2:$B$2500=$A50)*(Gastos!$D$2:$D$2500))</f>
        <v>0</v>
      </c>
      <c r="CO50" s="75">
        <f t="array" ref="CO50">SUM((YEAR(Gastos!$A$2:$A$2500)=CO$1)*(MONTH(Gastos!$A$2:$A$2500)=CO$3)*(Gastos!$B$2:$B$2500=$A50)*(Gastos!$D$2:$D$2500))</f>
        <v>0</v>
      </c>
      <c r="CP50" s="75">
        <f t="array" ref="CP50">SUM((YEAR(Gastos!$A$2:$A$2500)=CP$1)*(MONTH(Gastos!$A$2:$A$2500)=CP$3)*(Gastos!$B$2:$B$2500=$A50)*(Gastos!$D$2:$D$2500))</f>
        <v>0</v>
      </c>
      <c r="CQ50" s="75">
        <f t="array" ref="CQ50">SUM((YEAR(Gastos!$A$2:$A$2500)=CQ$1)*(MONTH(Gastos!$A$2:$A$2500)=CQ$3)*(Gastos!$B$2:$B$2500=$A50)*(Gastos!$D$2:$D$2500))</f>
        <v>0</v>
      </c>
      <c r="CR50" s="75">
        <f t="array" ref="CR50">SUM((YEAR(Gastos!$A$2:$A$2500)=CR$1)*(MONTH(Gastos!$A$2:$A$2500)=CR$3)*(Gastos!$B$2:$B$2500=$A50)*(Gastos!$D$2:$D$2500))</f>
        <v>0</v>
      </c>
      <c r="CS50" s="75">
        <f t="array" ref="CS50">SUM((YEAR(Gastos!$A$2:$A$2500)=CS$1)*(MONTH(Gastos!$A$2:$A$2500)=CS$3)*(Gastos!$B$2:$B$2500=$A50)*(Gastos!$D$2:$D$2500))</f>
        <v>0</v>
      </c>
      <c r="CT50" s="75">
        <f t="array" ref="CT50">SUM((YEAR(Gastos!$A$2:$A$2500)=CT$1)*(MONTH(Gastos!$A$2:$A$2500)=CT$3)*(Gastos!$B$2:$B$2500=$A50)*(Gastos!$D$2:$D$2500))</f>
        <v>0</v>
      </c>
      <c r="CU50" s="75">
        <f t="array" ref="CU50">SUM((YEAR(Gastos!$A$2:$A$2500)=CU$1)*(MONTH(Gastos!$A$2:$A$2500)=CU$3)*(Gastos!$B$2:$B$2500=$A50)*(Gastos!$D$2:$D$2500))</f>
        <v>0</v>
      </c>
      <c r="CV50" s="75">
        <f t="array" ref="CV50">SUM((YEAR(Gastos!$A$2:$A$2500)=CV$1)*(MONTH(Gastos!$A$2:$A$2500)=CV$3)*(Gastos!$B$2:$B$2500=$A50)*(Gastos!$D$2:$D$2500))</f>
        <v>0</v>
      </c>
      <c r="CW50" s="75">
        <f t="array" ref="CW50">SUM((YEAR(Gastos!$A$2:$A$2500)=CW$1)*(MONTH(Gastos!$A$2:$A$2500)=CW$3)*(Gastos!$B$2:$B$2500=$A50)*(Gastos!$D$2:$D$2500))</f>
        <v>0</v>
      </c>
      <c r="CX50" s="75">
        <f t="array" ref="CX50">SUM((YEAR(Gastos!$A$2:$A$2500)=CX$1)*(MONTH(Gastos!$A$2:$A$2500)=CX$3)*(Gastos!$B$2:$B$2500=$A50)*(Gastos!$D$2:$D$2500))</f>
        <v>0</v>
      </c>
      <c r="CY50" s="75">
        <f t="array" ref="CY50">SUM((YEAR(Gastos!$A$2:$A$2500)=CY$1)*(MONTH(Gastos!$A$2:$A$2500)=CY$3)*(Gastos!$B$2:$B$2500=$A50)*(Gastos!$D$2:$D$2500))</f>
        <v>0</v>
      </c>
      <c r="CZ50" s="75">
        <f t="array" ref="CZ50">SUM((YEAR(Gastos!$A$2:$A$2500)=CZ$1)*(MONTH(Gastos!$A$2:$A$2500)=CZ$3)*(Gastos!$B$2:$B$2500=$A50)*(Gastos!$D$2:$D$2500))</f>
        <v>0</v>
      </c>
      <c r="DA50" s="75">
        <f t="array" ref="DA50">SUM((YEAR(Gastos!$A$2:$A$2500)=DA$1)*(MONTH(Gastos!$A$2:$A$2500)=DA$3)*(Gastos!$B$2:$B$2500=$A50)*(Gastos!$D$2:$D$2500))</f>
        <v>0</v>
      </c>
      <c r="DB50" s="75">
        <f t="array" ref="DB50">SUM((YEAR(Gastos!$A$2:$A$2500)=DB$1)*(MONTH(Gastos!$A$2:$A$2500)=DB$3)*(Gastos!$B$2:$B$2500=$A50)*(Gastos!$D$2:$D$2500))</f>
        <v>0</v>
      </c>
      <c r="DC50" s="75">
        <f t="array" ref="DC50">SUM((YEAR(Gastos!$A$2:$A$2500)=DC$1)*(MONTH(Gastos!$A$2:$A$2500)=DC$3)*(Gastos!$B$2:$B$2500=$A50)*(Gastos!$D$2:$D$2500))</f>
        <v>0</v>
      </c>
      <c r="DD50" s="75">
        <f t="array" ref="DD50">SUM((YEAR(Gastos!$A$2:$A$2500)=DD$1)*(MONTH(Gastos!$A$2:$A$2500)=DD$3)*(Gastos!$B$2:$B$2500=$A50)*(Gastos!$D$2:$D$2500))</f>
        <v>0</v>
      </c>
      <c r="DE50" s="75">
        <f t="array" ref="DE50">SUM((YEAR(Gastos!$A$2:$A$2500)=DE$1)*(MONTH(Gastos!$A$2:$A$2500)=DE$3)*(Gastos!$B$2:$B$2500=$A50)*(Gastos!$D$2:$D$2500))</f>
        <v>0</v>
      </c>
      <c r="DF50" s="75">
        <f t="array" ref="DF50">SUM((YEAR(Gastos!$A$2:$A$2500)=DF$1)*(MONTH(Gastos!$A$2:$A$2500)=DF$3)*(Gastos!$B$2:$B$2500=$A50)*(Gastos!$D$2:$D$2500))</f>
        <v>0</v>
      </c>
      <c r="DG50" s="75">
        <f t="array" ref="DG50">SUM((YEAR(Gastos!$A$2:$A$2500)=DG$1)*(MONTH(Gastos!$A$2:$A$2500)=DG$3)*(Gastos!$B$2:$B$2500=$A50)*(Gastos!$D$2:$D$2500))</f>
        <v>0</v>
      </c>
      <c r="DH50" s="75">
        <f t="array" ref="DH50">SUM((YEAR(Gastos!$A$2:$A$2500)=DH$1)*(MONTH(Gastos!$A$2:$A$2500)=DH$3)*(Gastos!$B$2:$B$2500=$A50)*(Gastos!$D$2:$D$2500))</f>
        <v>0</v>
      </c>
      <c r="DI50" s="75">
        <f t="array" ref="DI50">SUM((YEAR(Gastos!$A$2:$A$2500)=DI$1)*(MONTH(Gastos!$A$2:$A$2500)=DI$3)*(Gastos!$B$2:$B$2500=$A50)*(Gastos!$D$2:$D$2500))</f>
        <v>0</v>
      </c>
      <c r="DJ50" s="75">
        <f t="array" ref="DJ50">SUM((YEAR(Gastos!$A$2:$A$2500)=DJ$1)*(MONTH(Gastos!$A$2:$A$2500)=DJ$3)*(Gastos!$B$2:$B$2500=$A50)*(Gastos!$D$2:$D$2500))</f>
        <v>0</v>
      </c>
      <c r="DK50" s="75">
        <f t="array" ref="DK50">SUM((YEAR(Gastos!$A$2:$A$2500)=DK$1)*(MONTH(Gastos!$A$2:$A$2500)=DK$3)*(Gastos!$B$2:$B$2500=$A50)*(Gastos!$D$2:$D$2500))</f>
        <v>0</v>
      </c>
      <c r="DL50" s="75">
        <f t="array" ref="DL50">SUM((YEAR(Gastos!$A$2:$A$2500)=DL$1)*(MONTH(Gastos!$A$2:$A$2500)=DL$3)*(Gastos!$B$2:$B$2500=$A50)*(Gastos!$D$2:$D$2500))</f>
        <v>0</v>
      </c>
      <c r="DM50" s="75">
        <f t="array" ref="DM50">SUM((YEAR(Gastos!$A$2:$A$2500)=DM$1)*(MONTH(Gastos!$A$2:$A$2500)=DM$3)*(Gastos!$B$2:$B$2500=$A50)*(Gastos!$D$2:$D$2500))</f>
        <v>0</v>
      </c>
      <c r="DN50" s="75">
        <f t="array" ref="DN50">SUM((YEAR(Gastos!$A$2:$A$2500)=DN$1)*(MONTH(Gastos!$A$2:$A$2500)=DN$3)*(Gastos!$B$2:$B$2500=$A50)*(Gastos!$D$2:$D$2500))</f>
        <v>0</v>
      </c>
      <c r="DO50" s="75">
        <f t="array" ref="DO50">SUM((YEAR(Gastos!$A$2:$A$2500)=DO$1)*(MONTH(Gastos!$A$2:$A$2500)=DO$3)*(Gastos!$B$2:$B$2500=$A50)*(Gastos!$D$2:$D$2500))</f>
        <v>0</v>
      </c>
      <c r="DP50" s="75">
        <f t="array" ref="DP50">SUM((YEAR(Gastos!$A$2:$A$2500)=DP$1)*(MONTH(Gastos!$A$2:$A$2500)=DP$3)*(Gastos!$B$2:$B$2500=$A50)*(Gastos!$D$2:$D$2500))</f>
        <v>0</v>
      </c>
      <c r="DQ50" s="75">
        <f t="array" ref="DQ50">SUM((YEAR(Gastos!$A$2:$A$2500)=DQ$1)*(MONTH(Gastos!$A$2:$A$2500)=DQ$3)*(Gastos!$B$2:$B$2500=$A50)*(Gastos!$D$2:$D$2500))</f>
        <v>0</v>
      </c>
      <c r="DR50" s="75">
        <f t="array" ref="DR50">SUM((YEAR(Gastos!$A$2:$A$2500)=DR$1)*(MONTH(Gastos!$A$2:$A$2500)=DR$3)*(Gastos!$B$2:$B$2500=$A50)*(Gastos!$D$2:$D$2500))</f>
        <v>0</v>
      </c>
      <c r="DS50" s="75">
        <f t="array" ref="DS50">SUM((YEAR(Gastos!$A$2:$A$2500)=DS$1)*(MONTH(Gastos!$A$2:$A$2500)=DS$3)*(Gastos!$B$2:$B$2500=$A50)*(Gastos!$D$2:$D$2500))</f>
        <v>0</v>
      </c>
      <c r="DT50" s="75">
        <f t="array" ref="DT50">SUM((YEAR(Gastos!$A$2:$A$2500)=DT$1)*(MONTH(Gastos!$A$2:$A$2500)=DT$3)*(Gastos!$B$2:$B$2500=$A50)*(Gastos!$D$2:$D$2500))</f>
        <v>0</v>
      </c>
      <c r="DU50" s="75">
        <f t="array" ref="DU50">SUM((YEAR(Gastos!$A$2:$A$2500)=DU$1)*(MONTH(Gastos!$A$2:$A$2500)=DU$3)*(Gastos!$B$2:$B$2500=$A50)*(Gastos!$D$2:$D$2500))</f>
        <v>0</v>
      </c>
      <c r="DV50" s="75">
        <f t="array" ref="DV50">SUM((YEAR(Gastos!$A$2:$A$2500)=DV$1)*(MONTH(Gastos!$A$2:$A$2500)=DV$3)*(Gastos!$B$2:$B$2500=$A50)*(Gastos!$D$2:$D$2500))</f>
        <v>0</v>
      </c>
      <c r="DW50" s="75">
        <f t="array" ref="DW50">SUM((YEAR(Gastos!$A$2:$A$2500)=DW$1)*(MONTH(Gastos!$A$2:$A$2500)=DW$3)*(Gastos!$B$2:$B$2500=$A50)*(Gastos!$D$2:$D$2500))</f>
        <v>0</v>
      </c>
      <c r="DX50" s="75">
        <f t="array" ref="DX50">SUM((YEAR(Gastos!$A$2:$A$2500)=DX$1)*(MONTH(Gastos!$A$2:$A$2500)=DX$3)*(Gastos!$B$2:$B$2500=$A50)*(Gastos!$D$2:$D$2500))</f>
        <v>0</v>
      </c>
      <c r="DY50" s="75">
        <f t="array" ref="DY50">SUM((YEAR(Gastos!$A$2:$A$2500)=DY$1)*(MONTH(Gastos!$A$2:$A$2500)=DY$3)*(Gastos!$B$2:$B$2500=$A50)*(Gastos!$D$2:$D$2500))</f>
        <v>0</v>
      </c>
      <c r="DZ50" s="75">
        <f t="array" ref="DZ50">SUM((YEAR(Gastos!$A$2:$A$2500)=DZ$1)*(MONTH(Gastos!$A$2:$A$2500)=DZ$3)*(Gastos!$B$2:$B$2500=$A50)*(Gastos!$D$2:$D$2500))</f>
        <v>0</v>
      </c>
      <c r="EA50" s="75">
        <f t="array" ref="EA50">SUM((YEAR(Gastos!$A$2:$A$2500)=EA$1)*(MONTH(Gastos!$A$2:$A$2500)=EA$3)*(Gastos!$B$2:$B$2500=$A50)*(Gastos!$D$2:$D$2500))</f>
        <v>0</v>
      </c>
      <c r="EB50" s="75">
        <f t="array" ref="EB50">SUM((YEAR(Gastos!$A$2:$A$2500)=EB$1)*(MONTH(Gastos!$A$2:$A$2500)=EB$3)*(Gastos!$B$2:$B$2500=$A50)*(Gastos!$D$2:$D$2500))</f>
        <v>0</v>
      </c>
      <c r="EC50" s="75">
        <f t="array" ref="EC50">SUM((YEAR(Gastos!$A$2:$A$2500)=EC$1)*(MONTH(Gastos!$A$2:$A$2500)=EC$3)*(Gastos!$B$2:$B$2500=$A50)*(Gastos!$D$2:$D$2500))</f>
        <v>0</v>
      </c>
      <c r="ED50" s="75">
        <f t="array" ref="ED50">SUM((YEAR(Gastos!$A$2:$A$2500)=ED$1)*(MONTH(Gastos!$A$2:$A$2500)=ED$3)*(Gastos!$B$2:$B$2500=$A50)*(Gastos!$D$2:$D$2500))</f>
        <v>0</v>
      </c>
      <c r="EE50" s="75">
        <f t="array" ref="EE50">SUM((YEAR(Gastos!$A$2:$A$2500)=EE$1)*(MONTH(Gastos!$A$2:$A$2500)=EE$3)*(Gastos!$B$2:$B$2500=$A50)*(Gastos!$D$2:$D$2500))</f>
        <v>0</v>
      </c>
      <c r="EF50" s="75">
        <f t="array" ref="EF50">SUM((YEAR(Gastos!$A$2:$A$2500)=EF$1)*(MONTH(Gastos!$A$2:$A$2500)=EF$3)*(Gastos!$B$2:$B$2500=$A50)*(Gastos!$D$2:$D$2500))</f>
        <v>0</v>
      </c>
      <c r="EG50" s="75">
        <f t="array" ref="EG50">SUM((YEAR(Gastos!$A$2:$A$2500)=EG$1)*(MONTH(Gastos!$A$2:$A$2500)=EG$3)*(Gastos!$B$2:$B$2500=$A50)*(Gastos!$D$2:$D$2500))</f>
        <v>0</v>
      </c>
      <c r="EH50" s="75">
        <f t="array" ref="EH50">SUM((YEAR(Gastos!$A$2:$A$2500)=EH$1)*(MONTH(Gastos!$A$2:$A$2500)=EH$3)*(Gastos!$B$2:$B$2500=$A50)*(Gastos!$D$2:$D$2500))</f>
        <v>0</v>
      </c>
      <c r="EI50" s="75">
        <f t="array" ref="EI50">SUM((YEAR(Gastos!$A$2:$A$2500)=EI$1)*(MONTH(Gastos!$A$2:$A$2500)=EI$3)*(Gastos!$B$2:$B$2500=$A50)*(Gastos!$D$2:$D$2500))</f>
        <v>0</v>
      </c>
      <c r="EJ50" s="75">
        <f t="array" ref="EJ50">SUM((YEAR(Gastos!$A$2:$A$2500)=EJ$1)*(MONTH(Gastos!$A$2:$A$2500)=EJ$3)*(Gastos!$B$2:$B$2500=$A50)*(Gastos!$D$2:$D$2500))</f>
        <v>0</v>
      </c>
      <c r="EK50" s="75">
        <f t="array" ref="EK50">SUM((YEAR(Gastos!$A$2:$A$2500)=EK$1)*(MONTH(Gastos!$A$2:$A$2500)=EK$3)*(Gastos!$B$2:$B$2500=$A50)*(Gastos!$D$2:$D$2500))</f>
        <v>0</v>
      </c>
      <c r="EL50" s="75">
        <f t="array" ref="EL50">SUM((YEAR(Gastos!$A$2:$A$2500)=EL$1)*(MONTH(Gastos!$A$2:$A$2500)=EL$3)*(Gastos!$B$2:$B$2500=$A50)*(Gastos!$D$2:$D$2500))</f>
        <v>0</v>
      </c>
      <c r="EM50" s="75">
        <f t="array" ref="EM50">SUM((YEAR(Gastos!$A$2:$A$2500)=EM$1)*(MONTH(Gastos!$A$2:$A$2500)=EM$3)*(Gastos!$B$2:$B$2500=$A50)*(Gastos!$D$2:$D$2500))</f>
        <v>0</v>
      </c>
      <c r="EN50" s="75">
        <f t="array" ref="EN50">SUM((YEAR(Gastos!$A$2:$A$2500)=EN$1)*(MONTH(Gastos!$A$2:$A$2500)=EN$3)*(Gastos!$B$2:$B$2500=$A50)*(Gastos!$D$2:$D$2500))</f>
        <v>0</v>
      </c>
      <c r="EO50" s="75">
        <f t="array" ref="EO50">SUM((YEAR(Gastos!$A$2:$A$2500)=EO$1)*(MONTH(Gastos!$A$2:$A$2500)=EO$3)*(Gastos!$B$2:$B$2500=$A50)*(Gastos!$D$2:$D$2500))</f>
        <v>0</v>
      </c>
      <c r="EP50" s="75">
        <f t="array" ref="EP50">SUM((YEAR(Gastos!$A$2:$A$2500)=EP$1)*(MONTH(Gastos!$A$2:$A$2500)=EP$3)*(Gastos!$B$2:$B$2500=$A50)*(Gastos!$D$2:$D$2500))</f>
        <v>0</v>
      </c>
      <c r="EQ50" s="75">
        <f t="array" ref="EQ50">SUM((YEAR(Gastos!$A$2:$A$2500)=EQ$1)*(MONTH(Gastos!$A$2:$A$2500)=EQ$3)*(Gastos!$B$2:$B$2500=$A50)*(Gastos!$D$2:$D$2500))</f>
        <v>0</v>
      </c>
      <c r="ER50" s="75">
        <f t="array" ref="ER50">SUM((YEAR(Gastos!$A$2:$A$2500)=ER$1)*(MONTH(Gastos!$A$2:$A$2500)=ER$3)*(Gastos!$B$2:$B$2500=$A50)*(Gastos!$D$2:$D$2500))</f>
        <v>0</v>
      </c>
      <c r="ES50" s="75">
        <f t="array" ref="ES50">SUM((YEAR(Gastos!$A$2:$A$2500)=ES$1)*(MONTH(Gastos!$A$2:$A$2500)=ES$3)*(Gastos!$B$2:$B$2500=$A50)*(Gastos!$D$2:$D$2500))</f>
        <v>0</v>
      </c>
      <c r="ET50" s="75">
        <f t="array" ref="ET50">SUM((YEAR(Gastos!$A$2:$A$2500)=ET$1)*(MONTH(Gastos!$A$2:$A$2500)=ET$3)*(Gastos!$B$2:$B$2500=$A50)*(Gastos!$D$2:$D$2500))</f>
        <v>0</v>
      </c>
      <c r="EU50" s="75">
        <f t="array" ref="EU50">SUM((YEAR(Gastos!$A$2:$A$2500)=EU$1)*(MONTH(Gastos!$A$2:$A$2500)=EU$3)*(Gastos!$B$2:$B$2500=$A50)*(Gastos!$D$2:$D$2500))</f>
        <v>0</v>
      </c>
      <c r="EV50" s="75">
        <f t="array" ref="EV50">SUM((YEAR(Gastos!$A$2:$A$2500)=EV$1)*(MONTH(Gastos!$A$2:$A$2500)=EV$3)*(Gastos!$B$2:$B$2500=$A50)*(Gastos!$D$2:$D$2500))</f>
        <v>0</v>
      </c>
      <c r="EW50" s="75">
        <f t="array" ref="EW50">SUM((YEAR(Gastos!$A$2:$A$2500)=EW$1)*(MONTH(Gastos!$A$2:$A$2500)=EW$3)*(Gastos!$B$2:$B$2500=$A50)*(Gastos!$D$2:$D$2500))</f>
        <v>0</v>
      </c>
      <c r="EX50" s="75">
        <f t="array" ref="EX50">SUM((YEAR(Gastos!$A$2:$A$2500)=EX$1)*(MONTH(Gastos!$A$2:$A$2500)=EX$3)*(Gastos!$B$2:$B$2500=$A50)*(Gastos!$D$2:$D$2500))</f>
        <v>0</v>
      </c>
      <c r="EY50" s="75">
        <f t="array" ref="EY50">SUM((YEAR(Gastos!$A$2:$A$2500)=EY$1)*(MONTH(Gastos!$A$2:$A$2500)=EY$3)*(Gastos!$B$2:$B$2500=$A50)*(Gastos!$D$2:$D$2500))</f>
        <v>0</v>
      </c>
      <c r="EZ50" s="75">
        <f t="array" ref="EZ50">SUM((YEAR(Gastos!$A$2:$A$2500)=EZ$1)*(MONTH(Gastos!$A$2:$A$2500)=EZ$3)*(Gastos!$B$2:$B$2500=$A50)*(Gastos!$D$2:$D$2500))</f>
        <v>0</v>
      </c>
      <c r="FA50" s="75">
        <f t="array" ref="FA50">SUM((YEAR(Gastos!$A$2:$A$2500)=FA$1)*(MONTH(Gastos!$A$2:$A$2500)=FA$3)*(Gastos!$B$2:$B$2500=$A50)*(Gastos!$D$2:$D$2500))</f>
        <v>0</v>
      </c>
      <c r="FB50" s="75">
        <f t="array" ref="FB50">SUM((YEAR(Gastos!$A$2:$A$2500)=FB$1)*(MONTH(Gastos!$A$2:$A$2500)=FB$3)*(Gastos!$B$2:$B$2500=$A50)*(Gastos!$D$2:$D$2500))</f>
        <v>0</v>
      </c>
      <c r="FC50" s="75">
        <f t="array" ref="FC50">SUM((YEAR(Gastos!$A$2:$A$2500)=FC$1)*(MONTH(Gastos!$A$2:$A$2500)=FC$3)*(Gastos!$B$2:$B$2500=$A50)*(Gastos!$D$2:$D$2500))</f>
        <v>0</v>
      </c>
      <c r="FD50" s="75">
        <f t="array" ref="FD50">SUM((YEAR(Gastos!$A$2:$A$2500)=FD$1)*(MONTH(Gastos!$A$2:$A$2500)=FD$3)*(Gastos!$B$2:$B$2500=$A50)*(Gastos!$D$2:$D$2500))</f>
        <v>0</v>
      </c>
      <c r="FE50" s="75">
        <f t="array" ref="FE50">SUM((YEAR(Gastos!$A$2:$A$2500)=FE$1)*(MONTH(Gastos!$A$2:$A$2500)=FE$3)*(Gastos!$B$2:$B$2500=$A50)*(Gastos!$D$2:$D$2500))</f>
        <v>0</v>
      </c>
      <c r="FF50" s="75">
        <f t="array" ref="FF50">SUM((YEAR(Gastos!$A$2:$A$2500)=FF$1)*(MONTH(Gastos!$A$2:$A$2500)=FF$3)*(Gastos!$B$2:$B$2500=$A50)*(Gastos!$D$2:$D$2500))</f>
        <v>0</v>
      </c>
      <c r="FG50" s="75">
        <f t="array" ref="FG50">SUM((YEAR(Gastos!$A$2:$A$2500)=FG$1)*(MONTH(Gastos!$A$2:$A$2500)=FG$3)*(Gastos!$B$2:$B$2500=$A50)*(Gastos!$D$2:$D$2500))</f>
        <v>0</v>
      </c>
      <c r="FH50" s="75">
        <f t="array" ref="FH50">SUM((YEAR(Gastos!$A$2:$A$2500)=FH$1)*(MONTH(Gastos!$A$2:$A$2500)=FH$3)*(Gastos!$B$2:$B$2500=$A50)*(Gastos!$D$2:$D$2500))</f>
        <v>0</v>
      </c>
      <c r="FI50" s="75">
        <f t="array" ref="FI50">SUM((YEAR(Gastos!$A$2:$A$2500)=FI$1)*(MONTH(Gastos!$A$2:$A$2500)=FI$3)*(Gastos!$B$2:$B$2500=$A50)*(Gastos!$D$2:$D$2500))</f>
        <v>0</v>
      </c>
      <c r="FJ50" s="75">
        <f t="array" ref="FJ50">SUM((YEAR(Gastos!$A$2:$A$2500)=FJ$1)*(MONTH(Gastos!$A$2:$A$2500)=FJ$3)*(Gastos!$B$2:$B$2500=$A50)*(Gastos!$D$2:$D$2500))</f>
        <v>0</v>
      </c>
      <c r="FK50" s="75">
        <f t="array" ref="FK50">SUM((YEAR(Gastos!$A$2:$A$2500)=FK$1)*(MONTH(Gastos!$A$2:$A$2500)=FK$3)*(Gastos!$B$2:$B$2500=$A50)*(Gastos!$D$2:$D$2500))</f>
        <v>0</v>
      </c>
      <c r="FL50" s="75">
        <f t="array" ref="FL50">SUM((YEAR(Gastos!$A$2:$A$2500)=FL$1)*(MONTH(Gastos!$A$2:$A$2500)=FL$3)*(Gastos!$B$2:$B$2500=$A50)*(Gastos!$D$2:$D$2500))</f>
        <v>0</v>
      </c>
      <c r="FM50" s="75">
        <f t="array" ref="FM50">SUM((YEAR(Gastos!$A$2:$A$2500)=FM$1)*(MONTH(Gastos!$A$2:$A$2500)=FM$3)*(Gastos!$B$2:$B$2500=$A50)*(Gastos!$D$2:$D$2500))</f>
        <v>0</v>
      </c>
      <c r="FN50" s="75">
        <f t="array" ref="FN50">SUM((YEAR(Gastos!$A$2:$A$2500)=FN$1)*(MONTH(Gastos!$A$2:$A$2500)=FN$3)*(Gastos!$B$2:$B$2500=$A50)*(Gastos!$D$2:$D$2500))</f>
        <v>0</v>
      </c>
      <c r="FO50" s="75">
        <f t="array" ref="FO50">SUM((YEAR(Gastos!$A$2:$A$2500)=FO$1)*(MONTH(Gastos!$A$2:$A$2500)=FO$3)*(Gastos!$B$2:$B$2500=$A50)*(Gastos!$D$2:$D$2500))</f>
        <v>0</v>
      </c>
      <c r="FP50" s="75">
        <f t="array" ref="FP50">SUM((YEAR(Gastos!$A$2:$A$2500)=FP$1)*(MONTH(Gastos!$A$2:$A$2500)=FP$3)*(Gastos!$B$2:$B$2500=$A50)*(Gastos!$D$2:$D$2500))</f>
        <v>0</v>
      </c>
      <c r="FQ50" s="75">
        <f t="array" ref="FQ50">SUM((YEAR(Gastos!$A$2:$A$2500)=FQ$1)*(MONTH(Gastos!$A$2:$A$2500)=FQ$3)*(Gastos!$B$2:$B$2500=$A50)*(Gastos!$D$2:$D$2500))</f>
        <v>0</v>
      </c>
      <c r="FR50" s="75">
        <f t="array" ref="FR50">SUM((YEAR(Gastos!$A$2:$A$2500)=FR$1)*(MONTH(Gastos!$A$2:$A$2500)=FR$3)*(Gastos!$B$2:$B$2500=$A50)*(Gastos!$D$2:$D$2500))</f>
        <v>0</v>
      </c>
      <c r="FS50" s="75">
        <f t="array" ref="FS50">SUM((YEAR(Gastos!$A$2:$A$2500)=FS$1)*(MONTH(Gastos!$A$2:$A$2500)=FS$3)*(Gastos!$B$2:$B$2500=$A50)*(Gastos!$D$2:$D$2500))</f>
        <v>0</v>
      </c>
      <c r="FT50" s="75">
        <f t="array" ref="FT50">SUM((YEAR(Gastos!$A$2:$A$2500)=FT$1)*(MONTH(Gastos!$A$2:$A$2500)=FT$3)*(Gastos!$B$2:$B$2500=$A50)*(Gastos!$D$2:$D$2500))</f>
        <v>0</v>
      </c>
      <c r="FU50" s="75">
        <f t="array" ref="FU50">SUM((YEAR(Gastos!$A$2:$A$2500)=FU$1)*(MONTH(Gastos!$A$2:$A$2500)=FU$3)*(Gastos!$B$2:$B$2500=$A50)*(Gastos!$D$2:$D$2500))</f>
        <v>0</v>
      </c>
      <c r="FV50" s="75">
        <f t="array" ref="FV50">SUM((YEAR(Gastos!$A$2:$A$2500)=FV$1)*(MONTH(Gastos!$A$2:$A$2500)=FV$3)*(Gastos!$B$2:$B$2500=$A50)*(Gastos!$D$2:$D$2500))</f>
        <v>0</v>
      </c>
      <c r="FW50" s="75">
        <f t="array" ref="FW50">SUM((YEAR(Gastos!$A$2:$A$2500)=FW$1)*(MONTH(Gastos!$A$2:$A$2500)=FW$3)*(Gastos!$B$2:$B$2500=$A50)*(Gastos!$D$2:$D$2500))</f>
        <v>0</v>
      </c>
      <c r="FX50" s="75">
        <f t="array" ref="FX50">SUM((YEAR(Gastos!$A$2:$A$2500)=FX$1)*(MONTH(Gastos!$A$2:$A$2500)=FX$3)*(Gastos!$B$2:$B$2500=$A50)*(Gastos!$D$2:$D$2500))</f>
        <v>0</v>
      </c>
      <c r="FY50" s="75">
        <f t="array" ref="FY50">SUM((YEAR(Gastos!$A$2:$A$2500)=FY$1)*(MONTH(Gastos!$A$2:$A$2500)=FY$3)*(Gastos!$B$2:$B$2500=$A50)*(Gastos!$D$2:$D$2500))</f>
        <v>0</v>
      </c>
      <c r="FZ50" s="76">
        <f t="shared" si="65"/>
        <v>0</v>
      </c>
      <c r="GA50" s="80"/>
      <c r="GB50" s="78">
        <f t="shared" si="66"/>
        <v>0</v>
      </c>
      <c r="GF50" s="79">
        <f t="array" ref="GF50">SUM(((Gastos!$A$2:$A$1647)&gt;=GD$3)*((Gastos!$A$2:$A$1647)&lt;=GF$3)*(Gastos!$B$2:$B$1647=$A50)*(Gastos!$D$2:$D$1647))</f>
        <v>0</v>
      </c>
      <c r="GI50" s="79">
        <f t="array" ref="GI50">SUM(((Gastos!$A$2:$A$1647)&gt;=GG$3)*((Gastos!$A$2:$A$1647)&lt;=GI$3)*(Gastos!$B$2:$B$1647=$A50)*(Gastos!$D$2:$D$1647))</f>
        <v>0</v>
      </c>
    </row>
    <row r="51" spans="1:191" ht="15" thickBot="1" x14ac:dyDescent="0.4">
      <c r="A51" s="74" t="str">
        <f>Gastos!AA49</f>
        <v>V. REGISTRO PUBLICO DE LA PROPIEDAD</v>
      </c>
      <c r="B51" s="75">
        <f t="array" ref="B51">SUM((YEAR(Gastos!$A$2:$A$2500)=B$1)*(MONTH(Gastos!$A$2:$A$2500)=B$3)*(Gastos!$B$2:$B$2500=$A51)*(Gastos!$D$2:$D$2500))</f>
        <v>0</v>
      </c>
      <c r="C51" s="75">
        <f t="array" ref="C51">SUM((YEAR(Gastos!$A$2:$A$2500)=C$1)*(MONTH(Gastos!$A$2:$A$2500)=C$3)*(Gastos!$B$2:$B$2500=$A51)*(Gastos!$D$2:$D$2500))</f>
        <v>0</v>
      </c>
      <c r="D51" s="75">
        <f t="array" ref="D51">SUM((YEAR(Gastos!$A$2:$A$2500)=D$1)*(MONTH(Gastos!$A$2:$A$2500)=D$3)*(Gastos!$B$2:$B$2500=$A51)*(Gastos!$D$2:$D$2500))</f>
        <v>0</v>
      </c>
      <c r="E51" s="75">
        <f t="array" ref="E51">SUM((YEAR(Gastos!$A$2:$A$2500)=E$1)*(MONTH(Gastos!$A$2:$A$2500)=E$3)*(Gastos!$B$2:$B$2500=$A51)*(Gastos!$D$2:$D$2500))</f>
        <v>0</v>
      </c>
      <c r="F51" s="75">
        <f t="array" ref="F51">SUM((YEAR(Gastos!$A$2:$A$2500)=F$1)*(MONTH(Gastos!$A$2:$A$2500)=F$3)*(Gastos!$B$2:$B$2500=$A51)*(Gastos!$D$2:$D$2500))</f>
        <v>0</v>
      </c>
      <c r="G51" s="75">
        <f t="array" ref="G51">SUM((YEAR(Gastos!$A$2:$A$2500)=G$1)*(MONTH(Gastos!$A$2:$A$2500)=G$3)*(Gastos!$B$2:$B$2500=$A51)*(Gastos!$D$2:$D$2500))</f>
        <v>0</v>
      </c>
      <c r="H51" s="75">
        <f t="array" ref="H51">SUM((YEAR(Gastos!$A$2:$A$2500)=H$1)*(MONTH(Gastos!$A$2:$A$2500)=H$3)*(Gastos!$B$2:$B$2500=$A51)*(Gastos!$D$2:$D$2500))</f>
        <v>0</v>
      </c>
      <c r="I51" s="75">
        <f t="array" ref="I51">SUM((YEAR(Gastos!$A$2:$A$2500)=I$1)*(MONTH(Gastos!$A$2:$A$2500)=I$3)*(Gastos!$B$2:$B$2500=$A51)*(Gastos!$D$2:$D$2500))</f>
        <v>0</v>
      </c>
      <c r="J51" s="75">
        <f t="array" ref="J51">SUM((YEAR(Gastos!$A$2:$A$2500)=J$1)*(MONTH(Gastos!$A$2:$A$2500)=J$3)*(Gastos!$B$2:$B$2500=$A51)*(Gastos!$D$2:$D$2500))</f>
        <v>0</v>
      </c>
      <c r="K51" s="75">
        <f t="array" ref="K51">SUM((YEAR(Gastos!$A$2:$A$2500)=K$1)*(MONTH(Gastos!$A$2:$A$2500)=K$3)*(Gastos!$B$2:$B$2500=$A51)*(Gastos!$D$2:$D$2500))</f>
        <v>0</v>
      </c>
      <c r="L51" s="75">
        <f t="array" ref="L51">SUM((YEAR(Gastos!$A$2:$A$2500)=L$1)*(MONTH(Gastos!$A$2:$A$2500)=L$3)*(Gastos!$B$2:$B$2500=$A51)*(Gastos!$D$2:$D$2500))</f>
        <v>0</v>
      </c>
      <c r="M51" s="75">
        <f t="array" ref="M51">SUM((YEAR(Gastos!$A$2:$A$2500)=M$1)*(MONTH(Gastos!$A$2:$A$2500)=M$3)*(Gastos!$B$2:$B$2500=$A51)*(Gastos!$D$2:$D$2500))</f>
        <v>0</v>
      </c>
      <c r="N51" s="75">
        <f t="array" ref="N51">SUM((YEAR(Gastos!$A$2:$A$2500)=N$1)*(MONTH(Gastos!$A$2:$A$2500)=N$3)*(Gastos!$B$2:$B$2500=$A51)*(Gastos!$D$2:$D$2500))</f>
        <v>0</v>
      </c>
      <c r="O51" s="75">
        <f t="array" ref="O51">SUM((YEAR(Gastos!$A$2:$A$2500)=O$1)*(MONTH(Gastos!$A$2:$A$2500)=O$3)*(Gastos!$B$2:$B$2500=$A51)*(Gastos!$D$2:$D$2500))</f>
        <v>0</v>
      </c>
      <c r="P51" s="75">
        <f t="array" ref="P51">SUM((YEAR(Gastos!$A$2:$A$2500)=P$1)*(MONTH(Gastos!$A$2:$A$2500)=P$3)*(Gastos!$B$2:$B$2500=$A51)*(Gastos!$D$2:$D$2500))</f>
        <v>0</v>
      </c>
      <c r="Q51" s="75">
        <f t="array" ref="Q51">SUM((YEAR(Gastos!$A$2:$A$2500)=Q$1)*(MONTH(Gastos!$A$2:$A$2500)=Q$3)*(Gastos!$B$2:$B$2500=$A51)*(Gastos!$D$2:$D$2500))</f>
        <v>0</v>
      </c>
      <c r="R51" s="75">
        <f t="array" ref="R51">SUM((YEAR(Gastos!$A$2:$A$2500)=R$1)*(MONTH(Gastos!$A$2:$A$2500)=R$3)*(Gastos!$B$2:$B$2500=$A51)*(Gastos!$D$2:$D$2500))</f>
        <v>0</v>
      </c>
      <c r="S51" s="75">
        <f t="array" ref="S51">SUM((YEAR(Gastos!$A$2:$A$2500)=S$1)*(MONTH(Gastos!$A$2:$A$2500)=S$3)*(Gastos!$B$2:$B$2500=$A51)*(Gastos!$D$2:$D$2500))</f>
        <v>0</v>
      </c>
      <c r="T51" s="75">
        <f t="array" ref="T51">SUM((YEAR(Gastos!$A$2:$A$2500)=T$1)*(MONTH(Gastos!$A$2:$A$2500)=T$3)*(Gastos!$B$2:$B$2500=$A51)*(Gastos!$D$2:$D$2500))</f>
        <v>0</v>
      </c>
      <c r="U51" s="75">
        <f t="array" ref="U51">SUM((YEAR(Gastos!$A$2:$A$2500)=U$1)*(MONTH(Gastos!$A$2:$A$2500)=U$3)*(Gastos!$B$2:$B$2500=$A51)*(Gastos!$D$2:$D$2500))</f>
        <v>0</v>
      </c>
      <c r="V51" s="75">
        <f t="array" ref="V51">SUM((YEAR(Gastos!$A$2:$A$2500)=V$1)*(MONTH(Gastos!$A$2:$A$2500)=V$3)*(Gastos!$B$2:$B$2500=$A51)*(Gastos!$D$2:$D$2500))</f>
        <v>0</v>
      </c>
      <c r="W51" s="75">
        <f t="array" ref="W51">SUM((YEAR(Gastos!$A$2:$A$2500)=W$1)*(MONTH(Gastos!$A$2:$A$2500)=W$3)*(Gastos!$B$2:$B$2500=$A51)*(Gastos!$D$2:$D$2500))</f>
        <v>0</v>
      </c>
      <c r="X51" s="75">
        <f t="array" ref="X51">SUM((YEAR(Gastos!$A$2:$A$2500)=X$1)*(MONTH(Gastos!$A$2:$A$2500)=X$3)*(Gastos!$B$2:$B$2500=$A51)*(Gastos!$D$2:$D$2500))</f>
        <v>0</v>
      </c>
      <c r="Y51" s="75">
        <f t="array" ref="Y51">SUM((YEAR(Gastos!$A$2:$A$2500)=Y$1)*(MONTH(Gastos!$A$2:$A$2500)=Y$3)*(Gastos!$B$2:$B$2500=$A51)*(Gastos!$D$2:$D$2500))</f>
        <v>0</v>
      </c>
      <c r="Z51" s="75">
        <f t="array" ref="Z51">SUM((YEAR(Gastos!$A$2:$A$2500)=Z$1)*(MONTH(Gastos!$A$2:$A$2500)=Z$3)*(Gastos!$B$2:$B$2500=$A51)*(Gastos!$D$2:$D$2500))</f>
        <v>0</v>
      </c>
      <c r="AA51" s="75">
        <f t="array" ref="AA51">SUM((YEAR(Gastos!$A$2:$A$2500)=AA$1)*(MONTH(Gastos!$A$2:$A$2500)=AA$3)*(Gastos!$B$2:$B$2500=$A51)*(Gastos!$D$2:$D$2500))</f>
        <v>0</v>
      </c>
      <c r="AB51" s="75">
        <f t="array" ref="AB51">SUM((YEAR(Gastos!$A$2:$A$2500)=AB$1)*(MONTH(Gastos!$A$2:$A$2500)=AB$3)*(Gastos!$B$2:$B$2500=$A51)*(Gastos!$D$2:$D$2500))</f>
        <v>0</v>
      </c>
      <c r="AC51" s="75">
        <f t="array" ref="AC51">SUM((YEAR(Gastos!$A$2:$A$2500)=AC$1)*(MONTH(Gastos!$A$2:$A$2500)=AC$3)*(Gastos!$B$2:$B$2500=$A51)*(Gastos!$D$2:$D$2500))</f>
        <v>0</v>
      </c>
      <c r="AD51" s="75">
        <f t="array" ref="AD51">SUM((YEAR(Gastos!$A$2:$A$2500)=AD$1)*(MONTH(Gastos!$A$2:$A$2500)=AD$3)*(Gastos!$B$2:$B$2500=$A51)*(Gastos!$D$2:$D$2500))</f>
        <v>0</v>
      </c>
      <c r="AE51" s="75">
        <f t="array" ref="AE51">SUM((YEAR(Gastos!$A$2:$A$2500)=AE$1)*(MONTH(Gastos!$A$2:$A$2500)=AE$3)*(Gastos!$B$2:$B$2500=$A51)*(Gastos!$D$2:$D$2500))</f>
        <v>0</v>
      </c>
      <c r="AF51" s="75">
        <f t="array" ref="AF51">SUM((YEAR(Gastos!$A$2:$A$2500)=AF$1)*(MONTH(Gastos!$A$2:$A$2500)=AF$3)*(Gastos!$B$2:$B$2500=$A51)*(Gastos!$D$2:$D$2500))</f>
        <v>0</v>
      </c>
      <c r="AG51" s="75">
        <f t="array" ref="AG51">SUM((YEAR(Gastos!$A$2:$A$2500)=AG$1)*(MONTH(Gastos!$A$2:$A$2500)=AG$3)*(Gastos!$B$2:$B$2500=$A51)*(Gastos!$D$2:$D$2500))</f>
        <v>0</v>
      </c>
      <c r="AH51" s="75">
        <f t="array" ref="AH51">SUM((YEAR(Gastos!$A$2:$A$2500)=AH$1)*(MONTH(Gastos!$A$2:$A$2500)=AH$3)*(Gastos!$B$2:$B$2500=$A51)*(Gastos!$D$2:$D$2500))</f>
        <v>0</v>
      </c>
      <c r="AI51" s="75">
        <f t="array" ref="AI51">SUM((YEAR(Gastos!$A$2:$A$2500)=AI$1)*(MONTH(Gastos!$A$2:$A$2500)=AI$3)*(Gastos!$B$2:$B$2500=$A51)*(Gastos!$D$2:$D$2500))</f>
        <v>0</v>
      </c>
      <c r="AJ51" s="75">
        <f t="array" ref="AJ51">SUM((YEAR(Gastos!$A$2:$A$2500)=AJ$1)*(MONTH(Gastos!$A$2:$A$2500)=AJ$3)*(Gastos!$B$2:$B$2500=$A51)*(Gastos!$D$2:$D$2500))</f>
        <v>0</v>
      </c>
      <c r="AK51" s="75">
        <f t="array" ref="AK51">SUM((YEAR(Gastos!$A$2:$A$2500)=AK$1)*(MONTH(Gastos!$A$2:$A$2500)=AK$3)*(Gastos!$B$2:$B$2500=$A51)*(Gastos!$D$2:$D$2500))</f>
        <v>0</v>
      </c>
      <c r="AL51" s="75">
        <f t="array" ref="AL51">SUM((YEAR(Gastos!$A$2:$A$2500)=AL$1)*(MONTH(Gastos!$A$2:$A$2500)=AL$3)*(Gastos!$B$2:$B$2500=$A51)*(Gastos!$D$2:$D$2500))</f>
        <v>0</v>
      </c>
      <c r="AM51" s="75">
        <f t="array" ref="AM51">SUM((YEAR(Gastos!$A$2:$A$2500)=AM$1)*(MONTH(Gastos!$A$2:$A$2500)=AM$3)*(Gastos!$B$2:$B$2500=$A51)*(Gastos!$D$2:$D$2500))</f>
        <v>0</v>
      </c>
      <c r="AN51" s="75">
        <f t="array" ref="AN51">SUM((YEAR(Gastos!$A$2:$A$2500)=AN$1)*(MONTH(Gastos!$A$2:$A$2500)=AN$3)*(Gastos!$B$2:$B$2500=$A51)*(Gastos!$D$2:$D$2500))</f>
        <v>0</v>
      </c>
      <c r="AO51" s="75">
        <f t="array" ref="AO51">SUM((YEAR(Gastos!$A$2:$A$2500)=AO$1)*(MONTH(Gastos!$A$2:$A$2500)=AO$3)*(Gastos!$B$2:$B$2500=$A51)*(Gastos!$D$2:$D$2500))</f>
        <v>0</v>
      </c>
      <c r="AP51" s="75">
        <f t="array" ref="AP51">SUM((YEAR(Gastos!$A$2:$A$2500)=AP$1)*(MONTH(Gastos!$A$2:$A$2500)=AP$3)*(Gastos!$B$2:$B$2500=$A51)*(Gastos!$D$2:$D$2500))</f>
        <v>0</v>
      </c>
      <c r="AQ51" s="75">
        <f t="array" ref="AQ51">SUM((YEAR(Gastos!$A$2:$A$2500)=AQ$1)*(MONTH(Gastos!$A$2:$A$2500)=AQ$3)*(Gastos!$B$2:$B$2500=$A51)*(Gastos!$D$2:$D$2500))</f>
        <v>0</v>
      </c>
      <c r="AR51" s="75">
        <f t="array" ref="AR51">SUM((YEAR(Gastos!$A$2:$A$2500)=AR$1)*(MONTH(Gastos!$A$2:$A$2500)=AR$3)*(Gastos!$B$2:$B$2500=$A51)*(Gastos!$D$2:$D$2500))</f>
        <v>0</v>
      </c>
      <c r="AS51" s="75">
        <f t="array" ref="AS51">SUM((YEAR(Gastos!$A$2:$A$2500)=AS$1)*(MONTH(Gastos!$A$2:$A$2500)=AS$3)*(Gastos!$B$2:$B$2500=$A51)*(Gastos!$D$2:$D$2500))</f>
        <v>0</v>
      </c>
      <c r="AT51" s="75">
        <f t="array" ref="AT51">SUM((YEAR(Gastos!$A$2:$A$2500)=AT$1)*(MONTH(Gastos!$A$2:$A$2500)=AT$3)*(Gastos!$B$2:$B$2500=$A51)*(Gastos!$D$2:$D$2500))</f>
        <v>0</v>
      </c>
      <c r="AU51" s="75">
        <f t="array" ref="AU51">SUM((YEAR(Gastos!$A$2:$A$2500)=AU$1)*(MONTH(Gastos!$A$2:$A$2500)=AU$3)*(Gastos!$B$2:$B$2500=$A51)*(Gastos!$D$2:$D$2500))</f>
        <v>0</v>
      </c>
      <c r="AV51" s="75">
        <f t="array" ref="AV51">SUM((YEAR(Gastos!$A$2:$A$2500)=AV$1)*(MONTH(Gastos!$A$2:$A$2500)=AV$3)*(Gastos!$B$2:$B$2500=$A51)*(Gastos!$D$2:$D$2500))</f>
        <v>0</v>
      </c>
      <c r="AW51" s="75">
        <f t="array" ref="AW51">SUM((YEAR(Gastos!$A$2:$A$2500)=AW$1)*(MONTH(Gastos!$A$2:$A$2500)=AW$3)*(Gastos!$B$2:$B$2500=$A51)*(Gastos!$D$2:$D$2500))</f>
        <v>0</v>
      </c>
      <c r="AX51" s="75">
        <f t="array" ref="AX51">SUM((YEAR(Gastos!$A$2:$A$2500)=AX$1)*(MONTH(Gastos!$A$2:$A$2500)=AX$3)*(Gastos!$B$2:$B$2500=$A51)*(Gastos!$D$2:$D$2500))</f>
        <v>0</v>
      </c>
      <c r="AY51" s="75">
        <f t="array" ref="AY51">SUM((YEAR(Gastos!$A$2:$A$2500)=AY$1)*(MONTH(Gastos!$A$2:$A$2500)=AY$3)*(Gastos!$B$2:$B$2500=$A51)*(Gastos!$D$2:$D$2500))</f>
        <v>0</v>
      </c>
      <c r="AZ51" s="75">
        <f t="array" ref="AZ51">SUM((YEAR(Gastos!$A$2:$A$2500)=AZ$1)*(MONTH(Gastos!$A$2:$A$2500)=AZ$3)*(Gastos!$B$2:$B$2500=$A51)*(Gastos!$D$2:$D$2500))</f>
        <v>0</v>
      </c>
      <c r="BA51" s="75">
        <f t="array" ref="BA51">SUM((YEAR(Gastos!$A$2:$A$2500)=BA$1)*(MONTH(Gastos!$A$2:$A$2500)=BA$3)*(Gastos!$B$2:$B$2500=$A51)*(Gastos!$D$2:$D$2500))</f>
        <v>0</v>
      </c>
      <c r="BB51" s="75">
        <f t="array" ref="BB51">SUM((YEAR(Gastos!$A$2:$A$2500)=BB$1)*(MONTH(Gastos!$A$2:$A$2500)=BB$3)*(Gastos!$B$2:$B$2500=$A51)*(Gastos!$D$2:$D$2500))</f>
        <v>0</v>
      </c>
      <c r="BC51" s="75">
        <f t="array" ref="BC51">SUM((YEAR(Gastos!$A$2:$A$2500)=BC$1)*(MONTH(Gastos!$A$2:$A$2500)=BC$3)*(Gastos!$B$2:$B$2500=$A51)*(Gastos!$D$2:$D$2500))</f>
        <v>0</v>
      </c>
      <c r="BD51" s="75">
        <f t="array" ref="BD51">SUM((YEAR(Gastos!$A$2:$A$2500)=BD$1)*(MONTH(Gastos!$A$2:$A$2500)=BD$3)*(Gastos!$B$2:$B$2500=$A51)*(Gastos!$D$2:$D$2500))</f>
        <v>0</v>
      </c>
      <c r="BE51" s="75">
        <f t="array" ref="BE51">SUM((YEAR(Gastos!$A$2:$A$2500)=BE$1)*(MONTH(Gastos!$A$2:$A$2500)=BE$3)*(Gastos!$B$2:$B$2500=$A51)*(Gastos!$D$2:$D$2500))</f>
        <v>0</v>
      </c>
      <c r="BF51" s="75">
        <f t="array" ref="BF51">SUM((YEAR(Gastos!$A$2:$A$2500)=BF$1)*(MONTH(Gastos!$A$2:$A$2500)=BF$3)*(Gastos!$B$2:$B$2500=$A51)*(Gastos!$D$2:$D$2500))</f>
        <v>0</v>
      </c>
      <c r="BG51" s="75">
        <f t="array" ref="BG51">SUM((YEAR(Gastos!$A$2:$A$2500)=BG$1)*(MONTH(Gastos!$A$2:$A$2500)=BG$3)*(Gastos!$B$2:$B$2500=$A51)*(Gastos!$D$2:$D$2500))</f>
        <v>0</v>
      </c>
      <c r="BH51" s="75">
        <f t="array" ref="BH51">SUM((YEAR(Gastos!$A$2:$A$2500)=BH$1)*(MONTH(Gastos!$A$2:$A$2500)=BH$3)*(Gastos!$B$2:$B$2500=$A51)*(Gastos!$D$2:$D$2500))</f>
        <v>0</v>
      </c>
      <c r="BI51" s="75">
        <f t="array" ref="BI51">SUM((YEAR(Gastos!$A$2:$A$2500)=BI$1)*(MONTH(Gastos!$A$2:$A$2500)=BI$3)*(Gastos!$B$2:$B$2500=$A51)*(Gastos!$D$2:$D$2500))</f>
        <v>0</v>
      </c>
      <c r="BJ51" s="75">
        <f t="array" ref="BJ51">SUM((YEAR(Gastos!$A$2:$A$2500)=BJ$1)*(MONTH(Gastos!$A$2:$A$2500)=BJ$3)*(Gastos!$B$2:$B$2500=$A51)*(Gastos!$D$2:$D$2500))</f>
        <v>0</v>
      </c>
      <c r="BK51" s="75">
        <f t="array" ref="BK51">SUM((YEAR(Gastos!$A$2:$A$2500)=BK$1)*(MONTH(Gastos!$A$2:$A$2500)=BK$3)*(Gastos!$B$2:$B$2500=$A51)*(Gastos!$D$2:$D$2500))</f>
        <v>0</v>
      </c>
      <c r="BL51" s="75">
        <f t="array" ref="BL51">SUM((YEAR(Gastos!$A$2:$A$2500)=BL$1)*(MONTH(Gastos!$A$2:$A$2500)=BL$3)*(Gastos!$B$2:$B$2500=$A51)*(Gastos!$D$2:$D$2500))</f>
        <v>0</v>
      </c>
      <c r="BM51" s="75">
        <f t="array" ref="BM51">SUM((YEAR(Gastos!$A$2:$A$2500)=BM$1)*(MONTH(Gastos!$A$2:$A$2500)=BM$3)*(Gastos!$B$2:$B$2500=$A51)*(Gastos!$D$2:$D$2500))</f>
        <v>0</v>
      </c>
      <c r="BN51" s="75">
        <f t="array" ref="BN51">SUM((YEAR(Gastos!$A$2:$A$2500)=BN$1)*(MONTH(Gastos!$A$2:$A$2500)=BN$3)*(Gastos!$B$2:$B$2500=$A51)*(Gastos!$D$2:$D$2500))</f>
        <v>0</v>
      </c>
      <c r="BO51" s="75">
        <f t="array" ref="BO51">SUM((YEAR(Gastos!$A$2:$A$2500)=BO$1)*(MONTH(Gastos!$A$2:$A$2500)=BO$3)*(Gastos!$B$2:$B$2500=$A51)*(Gastos!$D$2:$D$2500))</f>
        <v>0</v>
      </c>
      <c r="BP51" s="75">
        <f t="array" ref="BP51">SUM((YEAR(Gastos!$A$2:$A$2500)=BP$1)*(MONTH(Gastos!$A$2:$A$2500)=BP$3)*(Gastos!$B$2:$B$2500=$A51)*(Gastos!$D$2:$D$2500))</f>
        <v>0</v>
      </c>
      <c r="BQ51" s="75">
        <f t="array" ref="BQ51">SUM((YEAR(Gastos!$A$2:$A$2500)=BQ$1)*(MONTH(Gastos!$A$2:$A$2500)=BQ$3)*(Gastos!$B$2:$B$2500=$A51)*(Gastos!$D$2:$D$2500))</f>
        <v>0</v>
      </c>
      <c r="BR51" s="75">
        <f t="array" ref="BR51">SUM((YEAR(Gastos!$A$2:$A$2500)=BR$1)*(MONTH(Gastos!$A$2:$A$2500)=BR$3)*(Gastos!$B$2:$B$2500=$A51)*(Gastos!$D$2:$D$2500))</f>
        <v>0</v>
      </c>
      <c r="BS51" s="75">
        <f t="array" ref="BS51">SUM((YEAR(Gastos!$A$2:$A$2500)=BS$1)*(MONTH(Gastos!$A$2:$A$2500)=BS$3)*(Gastos!$B$2:$B$2500=$A51)*(Gastos!$D$2:$D$2500))</f>
        <v>0</v>
      </c>
      <c r="BT51" s="75">
        <f t="array" ref="BT51">SUM((YEAR(Gastos!$A$2:$A$2500)=BT$1)*(MONTH(Gastos!$A$2:$A$2500)=BT$3)*(Gastos!$B$2:$B$2500=$A51)*(Gastos!$D$2:$D$2500))</f>
        <v>0</v>
      </c>
      <c r="BU51" s="75">
        <f t="array" ref="BU51">SUM((YEAR(Gastos!$A$2:$A$2500)=BU$1)*(MONTH(Gastos!$A$2:$A$2500)=BU$3)*(Gastos!$B$2:$B$2500=$A51)*(Gastos!$D$2:$D$2500))</f>
        <v>0</v>
      </c>
      <c r="BV51" s="75">
        <f t="array" ref="BV51">SUM((YEAR(Gastos!$A$2:$A$2500)=BV$1)*(MONTH(Gastos!$A$2:$A$2500)=BV$3)*(Gastos!$B$2:$B$2500=$A51)*(Gastos!$D$2:$D$2500))</f>
        <v>0</v>
      </c>
      <c r="BW51" s="75">
        <f t="array" ref="BW51">SUM((YEAR(Gastos!$A$2:$A$2500)=BW$1)*(MONTH(Gastos!$A$2:$A$2500)=BW$3)*(Gastos!$B$2:$B$2500=$A51)*(Gastos!$D$2:$D$2500))</f>
        <v>0</v>
      </c>
      <c r="BX51" s="75">
        <f t="array" ref="BX51">SUM((YEAR(Gastos!$A$2:$A$2500)=BX$1)*(MONTH(Gastos!$A$2:$A$2500)=BX$3)*(Gastos!$B$2:$B$2500=$A51)*(Gastos!$D$2:$D$2500))</f>
        <v>0</v>
      </c>
      <c r="BY51" s="75">
        <f t="array" ref="BY51">SUM((YEAR(Gastos!$A$2:$A$2500)=BY$1)*(MONTH(Gastos!$A$2:$A$2500)=BY$3)*(Gastos!$B$2:$B$2500=$A51)*(Gastos!$D$2:$D$2500))</f>
        <v>0</v>
      </c>
      <c r="BZ51" s="75">
        <f t="array" ref="BZ51">SUM((YEAR(Gastos!$A$2:$A$2500)=BZ$1)*(MONTH(Gastos!$A$2:$A$2500)=BZ$3)*(Gastos!$B$2:$B$2500=$A51)*(Gastos!$D$2:$D$2500))</f>
        <v>0</v>
      </c>
      <c r="CA51" s="75">
        <f t="array" ref="CA51">SUM((YEAR(Gastos!$A$2:$A$2500)=CA$1)*(MONTH(Gastos!$A$2:$A$2500)=CA$3)*(Gastos!$B$2:$B$2500=$A51)*(Gastos!$D$2:$D$2500))</f>
        <v>0</v>
      </c>
      <c r="CB51" s="75">
        <f t="array" ref="CB51">SUM((YEAR(Gastos!$A$2:$A$2500)=CB$1)*(MONTH(Gastos!$A$2:$A$2500)=CB$3)*(Gastos!$B$2:$B$2500=$A51)*(Gastos!$D$2:$D$2500))</f>
        <v>0</v>
      </c>
      <c r="CC51" s="75">
        <f t="array" ref="CC51">SUM((YEAR(Gastos!$A$2:$A$2500)=CC$1)*(MONTH(Gastos!$A$2:$A$2500)=CC$3)*(Gastos!$B$2:$B$2500=$A51)*(Gastos!$D$2:$D$2500))</f>
        <v>0</v>
      </c>
      <c r="CD51" s="75">
        <f t="array" ref="CD51">SUM((YEAR(Gastos!$A$2:$A$2500)=CD$1)*(MONTH(Gastos!$A$2:$A$2500)=CD$3)*(Gastos!$B$2:$B$2500=$A51)*(Gastos!$D$2:$D$2500))</f>
        <v>0</v>
      </c>
      <c r="CE51" s="75">
        <f t="array" ref="CE51">SUM((YEAR(Gastos!$A$2:$A$2500)=CE$1)*(MONTH(Gastos!$A$2:$A$2500)=CE$3)*(Gastos!$B$2:$B$2500=$A51)*(Gastos!$D$2:$D$2500))</f>
        <v>0</v>
      </c>
      <c r="CF51" s="75">
        <f t="array" ref="CF51">SUM((YEAR(Gastos!$A$2:$A$2500)=CF$1)*(MONTH(Gastos!$A$2:$A$2500)=CF$3)*(Gastos!$B$2:$B$2500=$A51)*(Gastos!$D$2:$D$2500))</f>
        <v>0</v>
      </c>
      <c r="CG51" s="75">
        <f t="array" ref="CG51">SUM((YEAR(Gastos!$A$2:$A$2500)=CG$1)*(MONTH(Gastos!$A$2:$A$2500)=CG$3)*(Gastos!$B$2:$B$2500=$A51)*(Gastos!$D$2:$D$2500))</f>
        <v>0</v>
      </c>
      <c r="CH51" s="75">
        <f t="array" ref="CH51">SUM((YEAR(Gastos!$A$2:$A$2500)=CH$1)*(MONTH(Gastos!$A$2:$A$2500)=CH$3)*(Gastos!$B$2:$B$2500=$A51)*(Gastos!$D$2:$D$2500))</f>
        <v>0</v>
      </c>
      <c r="CI51" s="75">
        <f t="array" ref="CI51">SUM((YEAR(Gastos!$A$2:$A$2500)=CI$1)*(MONTH(Gastos!$A$2:$A$2500)=CI$3)*(Gastos!$B$2:$B$2500=$A51)*(Gastos!$D$2:$D$2500))</f>
        <v>0</v>
      </c>
      <c r="CJ51" s="75">
        <f t="array" ref="CJ51">SUM((YEAR(Gastos!$A$2:$A$2500)=CJ$1)*(MONTH(Gastos!$A$2:$A$2500)=CJ$3)*(Gastos!$B$2:$B$2500=$A51)*(Gastos!$D$2:$D$2500))</f>
        <v>0</v>
      </c>
      <c r="CK51" s="75">
        <f t="array" ref="CK51">SUM((YEAR(Gastos!$A$2:$A$2500)=CK$1)*(MONTH(Gastos!$A$2:$A$2500)=CK$3)*(Gastos!$B$2:$B$2500=$A51)*(Gastos!$D$2:$D$2500))</f>
        <v>0</v>
      </c>
      <c r="CL51" s="75">
        <f t="array" ref="CL51">SUM((YEAR(Gastos!$A$2:$A$2500)=CL$1)*(MONTH(Gastos!$A$2:$A$2500)=CL$3)*(Gastos!$B$2:$B$2500=$A51)*(Gastos!$D$2:$D$2500))</f>
        <v>0</v>
      </c>
      <c r="CM51" s="75">
        <f t="array" ref="CM51">SUM((YEAR(Gastos!$A$2:$A$2500)=CM$1)*(MONTH(Gastos!$A$2:$A$2500)=CM$3)*(Gastos!$B$2:$B$2500=$A51)*(Gastos!$D$2:$D$2500))</f>
        <v>0</v>
      </c>
      <c r="CN51" s="75">
        <f t="array" ref="CN51">SUM((YEAR(Gastos!$A$2:$A$2500)=CN$1)*(MONTH(Gastos!$A$2:$A$2500)=CN$3)*(Gastos!$B$2:$B$2500=$A51)*(Gastos!$D$2:$D$2500))</f>
        <v>0</v>
      </c>
      <c r="CO51" s="75">
        <f t="array" ref="CO51">SUM((YEAR(Gastos!$A$2:$A$2500)=CO$1)*(MONTH(Gastos!$A$2:$A$2500)=CO$3)*(Gastos!$B$2:$B$2500=$A51)*(Gastos!$D$2:$D$2500))</f>
        <v>0</v>
      </c>
      <c r="CP51" s="75">
        <f t="array" ref="CP51">SUM((YEAR(Gastos!$A$2:$A$2500)=CP$1)*(MONTH(Gastos!$A$2:$A$2500)=CP$3)*(Gastos!$B$2:$B$2500=$A51)*(Gastos!$D$2:$D$2500))</f>
        <v>0</v>
      </c>
      <c r="CQ51" s="75">
        <f t="array" ref="CQ51">SUM((YEAR(Gastos!$A$2:$A$2500)=CQ$1)*(MONTH(Gastos!$A$2:$A$2500)=CQ$3)*(Gastos!$B$2:$B$2500=$A51)*(Gastos!$D$2:$D$2500))</f>
        <v>0</v>
      </c>
      <c r="CR51" s="75">
        <f t="array" ref="CR51">SUM((YEAR(Gastos!$A$2:$A$2500)=CR$1)*(MONTH(Gastos!$A$2:$A$2500)=CR$3)*(Gastos!$B$2:$B$2500=$A51)*(Gastos!$D$2:$D$2500))</f>
        <v>0</v>
      </c>
      <c r="CS51" s="75">
        <f t="array" ref="CS51">SUM((YEAR(Gastos!$A$2:$A$2500)=CS$1)*(MONTH(Gastos!$A$2:$A$2500)=CS$3)*(Gastos!$B$2:$B$2500=$A51)*(Gastos!$D$2:$D$2500))</f>
        <v>0</v>
      </c>
      <c r="CT51" s="75">
        <f t="array" ref="CT51">SUM((YEAR(Gastos!$A$2:$A$2500)=CT$1)*(MONTH(Gastos!$A$2:$A$2500)=CT$3)*(Gastos!$B$2:$B$2500=$A51)*(Gastos!$D$2:$D$2500))</f>
        <v>0</v>
      </c>
      <c r="CU51" s="75">
        <f t="array" ref="CU51">SUM((YEAR(Gastos!$A$2:$A$2500)=CU$1)*(MONTH(Gastos!$A$2:$A$2500)=CU$3)*(Gastos!$B$2:$B$2500=$A51)*(Gastos!$D$2:$D$2500))</f>
        <v>0</v>
      </c>
      <c r="CV51" s="75">
        <f t="array" ref="CV51">SUM((YEAR(Gastos!$A$2:$A$2500)=CV$1)*(MONTH(Gastos!$A$2:$A$2500)=CV$3)*(Gastos!$B$2:$B$2500=$A51)*(Gastos!$D$2:$D$2500))</f>
        <v>0</v>
      </c>
      <c r="CW51" s="75">
        <f t="array" ref="CW51">SUM((YEAR(Gastos!$A$2:$A$2500)=CW$1)*(MONTH(Gastos!$A$2:$A$2500)=CW$3)*(Gastos!$B$2:$B$2500=$A51)*(Gastos!$D$2:$D$2500))</f>
        <v>0</v>
      </c>
      <c r="CX51" s="75">
        <f t="array" ref="CX51">SUM((YEAR(Gastos!$A$2:$A$2500)=CX$1)*(MONTH(Gastos!$A$2:$A$2500)=CX$3)*(Gastos!$B$2:$B$2500=$A51)*(Gastos!$D$2:$D$2500))</f>
        <v>0</v>
      </c>
      <c r="CY51" s="75">
        <f t="array" ref="CY51">SUM((YEAR(Gastos!$A$2:$A$2500)=CY$1)*(MONTH(Gastos!$A$2:$A$2500)=CY$3)*(Gastos!$B$2:$B$2500=$A51)*(Gastos!$D$2:$D$2500))</f>
        <v>0</v>
      </c>
      <c r="CZ51" s="75">
        <f t="array" ref="CZ51">SUM((YEAR(Gastos!$A$2:$A$2500)=CZ$1)*(MONTH(Gastos!$A$2:$A$2500)=CZ$3)*(Gastos!$B$2:$B$2500=$A51)*(Gastos!$D$2:$D$2500))</f>
        <v>0</v>
      </c>
      <c r="DA51" s="75">
        <f t="array" ref="DA51">SUM((YEAR(Gastos!$A$2:$A$2500)=DA$1)*(MONTH(Gastos!$A$2:$A$2500)=DA$3)*(Gastos!$B$2:$B$2500=$A51)*(Gastos!$D$2:$D$2500))</f>
        <v>0</v>
      </c>
      <c r="DB51" s="75">
        <f t="array" ref="DB51">SUM((YEAR(Gastos!$A$2:$A$2500)=DB$1)*(MONTH(Gastos!$A$2:$A$2500)=DB$3)*(Gastos!$B$2:$B$2500=$A51)*(Gastos!$D$2:$D$2500))</f>
        <v>0</v>
      </c>
      <c r="DC51" s="75">
        <f t="array" ref="DC51">SUM((YEAR(Gastos!$A$2:$A$2500)=DC$1)*(MONTH(Gastos!$A$2:$A$2500)=DC$3)*(Gastos!$B$2:$B$2500=$A51)*(Gastos!$D$2:$D$2500))</f>
        <v>0</v>
      </c>
      <c r="DD51" s="75">
        <f t="array" ref="DD51">SUM((YEAR(Gastos!$A$2:$A$2500)=DD$1)*(MONTH(Gastos!$A$2:$A$2500)=DD$3)*(Gastos!$B$2:$B$2500=$A51)*(Gastos!$D$2:$D$2500))</f>
        <v>0</v>
      </c>
      <c r="DE51" s="75">
        <f t="array" ref="DE51">SUM((YEAR(Gastos!$A$2:$A$2500)=DE$1)*(MONTH(Gastos!$A$2:$A$2500)=DE$3)*(Gastos!$B$2:$B$2500=$A51)*(Gastos!$D$2:$D$2500))</f>
        <v>0</v>
      </c>
      <c r="DF51" s="75">
        <f t="array" ref="DF51">SUM((YEAR(Gastos!$A$2:$A$2500)=DF$1)*(MONTH(Gastos!$A$2:$A$2500)=DF$3)*(Gastos!$B$2:$B$2500=$A51)*(Gastos!$D$2:$D$2500))</f>
        <v>0</v>
      </c>
      <c r="DG51" s="75">
        <f t="array" ref="DG51">SUM((YEAR(Gastos!$A$2:$A$2500)=DG$1)*(MONTH(Gastos!$A$2:$A$2500)=DG$3)*(Gastos!$B$2:$B$2500=$A51)*(Gastos!$D$2:$D$2500))</f>
        <v>0</v>
      </c>
      <c r="DH51" s="75">
        <f t="array" ref="DH51">SUM((YEAR(Gastos!$A$2:$A$2500)=DH$1)*(MONTH(Gastos!$A$2:$A$2500)=DH$3)*(Gastos!$B$2:$B$2500=$A51)*(Gastos!$D$2:$D$2500))</f>
        <v>0</v>
      </c>
      <c r="DI51" s="75">
        <f t="array" ref="DI51">SUM((YEAR(Gastos!$A$2:$A$2500)=DI$1)*(MONTH(Gastos!$A$2:$A$2500)=DI$3)*(Gastos!$B$2:$B$2500=$A51)*(Gastos!$D$2:$D$2500))</f>
        <v>0</v>
      </c>
      <c r="DJ51" s="75">
        <f t="array" ref="DJ51">SUM((YEAR(Gastos!$A$2:$A$2500)=DJ$1)*(MONTH(Gastos!$A$2:$A$2500)=DJ$3)*(Gastos!$B$2:$B$2500=$A51)*(Gastos!$D$2:$D$2500))</f>
        <v>0</v>
      </c>
      <c r="DK51" s="75">
        <f t="array" ref="DK51">SUM((YEAR(Gastos!$A$2:$A$2500)=DK$1)*(MONTH(Gastos!$A$2:$A$2500)=DK$3)*(Gastos!$B$2:$B$2500=$A51)*(Gastos!$D$2:$D$2500))</f>
        <v>0</v>
      </c>
      <c r="DL51" s="75">
        <f t="array" ref="DL51">SUM((YEAR(Gastos!$A$2:$A$2500)=DL$1)*(MONTH(Gastos!$A$2:$A$2500)=DL$3)*(Gastos!$B$2:$B$2500=$A51)*(Gastos!$D$2:$D$2500))</f>
        <v>0</v>
      </c>
      <c r="DM51" s="75">
        <f t="array" ref="DM51">SUM((YEAR(Gastos!$A$2:$A$2500)=DM$1)*(MONTH(Gastos!$A$2:$A$2500)=DM$3)*(Gastos!$B$2:$B$2500=$A51)*(Gastos!$D$2:$D$2500))</f>
        <v>0</v>
      </c>
      <c r="DN51" s="75">
        <f t="array" ref="DN51">SUM((YEAR(Gastos!$A$2:$A$2500)=DN$1)*(MONTH(Gastos!$A$2:$A$2500)=DN$3)*(Gastos!$B$2:$B$2500=$A51)*(Gastos!$D$2:$D$2500))</f>
        <v>0</v>
      </c>
      <c r="DO51" s="75">
        <f t="array" ref="DO51">SUM((YEAR(Gastos!$A$2:$A$2500)=DO$1)*(MONTH(Gastos!$A$2:$A$2500)=DO$3)*(Gastos!$B$2:$B$2500=$A51)*(Gastos!$D$2:$D$2500))</f>
        <v>0</v>
      </c>
      <c r="DP51" s="75">
        <f t="array" ref="DP51">SUM((YEAR(Gastos!$A$2:$A$2500)=DP$1)*(MONTH(Gastos!$A$2:$A$2500)=DP$3)*(Gastos!$B$2:$B$2500=$A51)*(Gastos!$D$2:$D$2500))</f>
        <v>0</v>
      </c>
      <c r="DQ51" s="75">
        <f t="array" ref="DQ51">SUM((YEAR(Gastos!$A$2:$A$2500)=DQ$1)*(MONTH(Gastos!$A$2:$A$2500)=DQ$3)*(Gastos!$B$2:$B$2500=$A51)*(Gastos!$D$2:$D$2500))</f>
        <v>0</v>
      </c>
      <c r="DR51" s="75">
        <f t="array" ref="DR51">SUM((YEAR(Gastos!$A$2:$A$2500)=DR$1)*(MONTH(Gastos!$A$2:$A$2500)=DR$3)*(Gastos!$B$2:$B$2500=$A51)*(Gastos!$D$2:$D$2500))</f>
        <v>0</v>
      </c>
      <c r="DS51" s="75">
        <f t="array" ref="DS51">SUM((YEAR(Gastos!$A$2:$A$2500)=DS$1)*(MONTH(Gastos!$A$2:$A$2500)=DS$3)*(Gastos!$B$2:$B$2500=$A51)*(Gastos!$D$2:$D$2500))</f>
        <v>0</v>
      </c>
      <c r="DT51" s="75">
        <f t="array" ref="DT51">SUM((YEAR(Gastos!$A$2:$A$2500)=DT$1)*(MONTH(Gastos!$A$2:$A$2500)=DT$3)*(Gastos!$B$2:$B$2500=$A51)*(Gastos!$D$2:$D$2500))</f>
        <v>0</v>
      </c>
      <c r="DU51" s="75">
        <f t="array" ref="DU51">SUM((YEAR(Gastos!$A$2:$A$2500)=DU$1)*(MONTH(Gastos!$A$2:$A$2500)=DU$3)*(Gastos!$B$2:$B$2500=$A51)*(Gastos!$D$2:$D$2500))</f>
        <v>0</v>
      </c>
      <c r="DV51" s="75">
        <f t="array" ref="DV51">SUM((YEAR(Gastos!$A$2:$A$2500)=DV$1)*(MONTH(Gastos!$A$2:$A$2500)=DV$3)*(Gastos!$B$2:$B$2500=$A51)*(Gastos!$D$2:$D$2500))</f>
        <v>0</v>
      </c>
      <c r="DW51" s="75">
        <f t="array" ref="DW51">SUM((YEAR(Gastos!$A$2:$A$2500)=DW$1)*(MONTH(Gastos!$A$2:$A$2500)=DW$3)*(Gastos!$B$2:$B$2500=$A51)*(Gastos!$D$2:$D$2500))</f>
        <v>0</v>
      </c>
      <c r="DX51" s="75">
        <f t="array" ref="DX51">SUM((YEAR(Gastos!$A$2:$A$2500)=DX$1)*(MONTH(Gastos!$A$2:$A$2500)=DX$3)*(Gastos!$B$2:$B$2500=$A51)*(Gastos!$D$2:$D$2500))</f>
        <v>0</v>
      </c>
      <c r="DY51" s="75">
        <f t="array" ref="DY51">SUM((YEAR(Gastos!$A$2:$A$2500)=DY$1)*(MONTH(Gastos!$A$2:$A$2500)=DY$3)*(Gastos!$B$2:$B$2500=$A51)*(Gastos!$D$2:$D$2500))</f>
        <v>0</v>
      </c>
      <c r="DZ51" s="75">
        <f t="array" ref="DZ51">SUM((YEAR(Gastos!$A$2:$A$2500)=DZ$1)*(MONTH(Gastos!$A$2:$A$2500)=DZ$3)*(Gastos!$B$2:$B$2500=$A51)*(Gastos!$D$2:$D$2500))</f>
        <v>0</v>
      </c>
      <c r="EA51" s="75">
        <f t="array" ref="EA51">SUM((YEAR(Gastos!$A$2:$A$2500)=EA$1)*(MONTH(Gastos!$A$2:$A$2500)=EA$3)*(Gastos!$B$2:$B$2500=$A51)*(Gastos!$D$2:$D$2500))</f>
        <v>0</v>
      </c>
      <c r="EB51" s="75">
        <f t="array" ref="EB51">SUM((YEAR(Gastos!$A$2:$A$2500)=EB$1)*(MONTH(Gastos!$A$2:$A$2500)=EB$3)*(Gastos!$B$2:$B$2500=$A51)*(Gastos!$D$2:$D$2500))</f>
        <v>0</v>
      </c>
      <c r="EC51" s="75">
        <f t="array" ref="EC51">SUM((YEAR(Gastos!$A$2:$A$2500)=EC$1)*(MONTH(Gastos!$A$2:$A$2500)=EC$3)*(Gastos!$B$2:$B$2500=$A51)*(Gastos!$D$2:$D$2500))</f>
        <v>0</v>
      </c>
      <c r="ED51" s="75">
        <f t="array" ref="ED51">SUM((YEAR(Gastos!$A$2:$A$2500)=ED$1)*(MONTH(Gastos!$A$2:$A$2500)=ED$3)*(Gastos!$B$2:$B$2500=$A51)*(Gastos!$D$2:$D$2500))</f>
        <v>0</v>
      </c>
      <c r="EE51" s="75">
        <f t="array" ref="EE51">SUM((YEAR(Gastos!$A$2:$A$2500)=EE$1)*(MONTH(Gastos!$A$2:$A$2500)=EE$3)*(Gastos!$B$2:$B$2500=$A51)*(Gastos!$D$2:$D$2500))</f>
        <v>0</v>
      </c>
      <c r="EF51" s="75">
        <f t="array" ref="EF51">SUM((YEAR(Gastos!$A$2:$A$2500)=EF$1)*(MONTH(Gastos!$A$2:$A$2500)=EF$3)*(Gastos!$B$2:$B$2500=$A51)*(Gastos!$D$2:$D$2500))</f>
        <v>0</v>
      </c>
      <c r="EG51" s="75">
        <f t="array" ref="EG51">SUM((YEAR(Gastos!$A$2:$A$2500)=EG$1)*(MONTH(Gastos!$A$2:$A$2500)=EG$3)*(Gastos!$B$2:$B$2500=$A51)*(Gastos!$D$2:$D$2500))</f>
        <v>0</v>
      </c>
      <c r="EH51" s="75">
        <f t="array" ref="EH51">SUM((YEAR(Gastos!$A$2:$A$2500)=EH$1)*(MONTH(Gastos!$A$2:$A$2500)=EH$3)*(Gastos!$B$2:$B$2500=$A51)*(Gastos!$D$2:$D$2500))</f>
        <v>0</v>
      </c>
      <c r="EI51" s="75">
        <f t="array" ref="EI51">SUM((YEAR(Gastos!$A$2:$A$2500)=EI$1)*(MONTH(Gastos!$A$2:$A$2500)=EI$3)*(Gastos!$B$2:$B$2500=$A51)*(Gastos!$D$2:$D$2500))</f>
        <v>0</v>
      </c>
      <c r="EJ51" s="75">
        <f t="array" ref="EJ51">SUM((YEAR(Gastos!$A$2:$A$2500)=EJ$1)*(MONTH(Gastos!$A$2:$A$2500)=EJ$3)*(Gastos!$B$2:$B$2500=$A51)*(Gastos!$D$2:$D$2500))</f>
        <v>0</v>
      </c>
      <c r="EK51" s="75">
        <f t="array" ref="EK51">SUM((YEAR(Gastos!$A$2:$A$2500)=EK$1)*(MONTH(Gastos!$A$2:$A$2500)=EK$3)*(Gastos!$B$2:$B$2500=$A51)*(Gastos!$D$2:$D$2500))</f>
        <v>0</v>
      </c>
      <c r="EL51" s="75">
        <f t="array" ref="EL51">SUM((YEAR(Gastos!$A$2:$A$2500)=EL$1)*(MONTH(Gastos!$A$2:$A$2500)=EL$3)*(Gastos!$B$2:$B$2500=$A51)*(Gastos!$D$2:$D$2500))</f>
        <v>0</v>
      </c>
      <c r="EM51" s="75">
        <f t="array" ref="EM51">SUM((YEAR(Gastos!$A$2:$A$2500)=EM$1)*(MONTH(Gastos!$A$2:$A$2500)=EM$3)*(Gastos!$B$2:$B$2500=$A51)*(Gastos!$D$2:$D$2500))</f>
        <v>0</v>
      </c>
      <c r="EN51" s="75">
        <f t="array" ref="EN51">SUM((YEAR(Gastos!$A$2:$A$2500)=EN$1)*(MONTH(Gastos!$A$2:$A$2500)=EN$3)*(Gastos!$B$2:$B$2500=$A51)*(Gastos!$D$2:$D$2500))</f>
        <v>0</v>
      </c>
      <c r="EO51" s="75">
        <f t="array" ref="EO51">SUM((YEAR(Gastos!$A$2:$A$2500)=EO$1)*(MONTH(Gastos!$A$2:$A$2500)=EO$3)*(Gastos!$B$2:$B$2500=$A51)*(Gastos!$D$2:$D$2500))</f>
        <v>0</v>
      </c>
      <c r="EP51" s="75">
        <f t="array" ref="EP51">SUM((YEAR(Gastos!$A$2:$A$2500)=EP$1)*(MONTH(Gastos!$A$2:$A$2500)=EP$3)*(Gastos!$B$2:$B$2500=$A51)*(Gastos!$D$2:$D$2500))</f>
        <v>0</v>
      </c>
      <c r="EQ51" s="75">
        <f t="array" ref="EQ51">SUM((YEAR(Gastos!$A$2:$A$2500)=EQ$1)*(MONTH(Gastos!$A$2:$A$2500)=EQ$3)*(Gastos!$B$2:$B$2500=$A51)*(Gastos!$D$2:$D$2500))</f>
        <v>0</v>
      </c>
      <c r="ER51" s="75">
        <f t="array" ref="ER51">SUM((YEAR(Gastos!$A$2:$A$2500)=ER$1)*(MONTH(Gastos!$A$2:$A$2500)=ER$3)*(Gastos!$B$2:$B$2500=$A51)*(Gastos!$D$2:$D$2500))</f>
        <v>0</v>
      </c>
      <c r="ES51" s="75">
        <f t="array" ref="ES51">SUM((YEAR(Gastos!$A$2:$A$2500)=ES$1)*(MONTH(Gastos!$A$2:$A$2500)=ES$3)*(Gastos!$B$2:$B$2500=$A51)*(Gastos!$D$2:$D$2500))</f>
        <v>0</v>
      </c>
      <c r="ET51" s="75">
        <f t="array" ref="ET51">SUM((YEAR(Gastos!$A$2:$A$2500)=ET$1)*(MONTH(Gastos!$A$2:$A$2500)=ET$3)*(Gastos!$B$2:$B$2500=$A51)*(Gastos!$D$2:$D$2500))</f>
        <v>0</v>
      </c>
      <c r="EU51" s="75">
        <f t="array" ref="EU51">SUM((YEAR(Gastos!$A$2:$A$2500)=EU$1)*(MONTH(Gastos!$A$2:$A$2500)=EU$3)*(Gastos!$B$2:$B$2500=$A51)*(Gastos!$D$2:$D$2500))</f>
        <v>0</v>
      </c>
      <c r="EV51" s="75">
        <f t="array" ref="EV51">SUM((YEAR(Gastos!$A$2:$A$2500)=EV$1)*(MONTH(Gastos!$A$2:$A$2500)=EV$3)*(Gastos!$B$2:$B$2500=$A51)*(Gastos!$D$2:$D$2500))</f>
        <v>0</v>
      </c>
      <c r="EW51" s="75">
        <f t="array" ref="EW51">SUM((YEAR(Gastos!$A$2:$A$2500)=EW$1)*(MONTH(Gastos!$A$2:$A$2500)=EW$3)*(Gastos!$B$2:$B$2500=$A51)*(Gastos!$D$2:$D$2500))</f>
        <v>0</v>
      </c>
      <c r="EX51" s="75">
        <f t="array" ref="EX51">SUM((YEAR(Gastos!$A$2:$A$2500)=EX$1)*(MONTH(Gastos!$A$2:$A$2500)=EX$3)*(Gastos!$B$2:$B$2500=$A51)*(Gastos!$D$2:$D$2500))</f>
        <v>0</v>
      </c>
      <c r="EY51" s="75">
        <f t="array" ref="EY51">SUM((YEAR(Gastos!$A$2:$A$2500)=EY$1)*(MONTH(Gastos!$A$2:$A$2500)=EY$3)*(Gastos!$B$2:$B$2500=$A51)*(Gastos!$D$2:$D$2500))</f>
        <v>0</v>
      </c>
      <c r="EZ51" s="75">
        <f t="array" ref="EZ51">SUM((YEAR(Gastos!$A$2:$A$2500)=EZ$1)*(MONTH(Gastos!$A$2:$A$2500)=EZ$3)*(Gastos!$B$2:$B$2500=$A51)*(Gastos!$D$2:$D$2500))</f>
        <v>0</v>
      </c>
      <c r="FA51" s="75">
        <f t="array" ref="FA51">SUM((YEAR(Gastos!$A$2:$A$2500)=FA$1)*(MONTH(Gastos!$A$2:$A$2500)=FA$3)*(Gastos!$B$2:$B$2500=$A51)*(Gastos!$D$2:$D$2500))</f>
        <v>0</v>
      </c>
      <c r="FB51" s="75">
        <f t="array" ref="FB51">SUM((YEAR(Gastos!$A$2:$A$2500)=FB$1)*(MONTH(Gastos!$A$2:$A$2500)=FB$3)*(Gastos!$B$2:$B$2500=$A51)*(Gastos!$D$2:$D$2500))</f>
        <v>0</v>
      </c>
      <c r="FC51" s="75">
        <f t="array" ref="FC51">SUM((YEAR(Gastos!$A$2:$A$2500)=FC$1)*(MONTH(Gastos!$A$2:$A$2500)=FC$3)*(Gastos!$B$2:$B$2500=$A51)*(Gastos!$D$2:$D$2500))</f>
        <v>0</v>
      </c>
      <c r="FD51" s="75">
        <f t="array" ref="FD51">SUM((YEAR(Gastos!$A$2:$A$2500)=FD$1)*(MONTH(Gastos!$A$2:$A$2500)=FD$3)*(Gastos!$B$2:$B$2500=$A51)*(Gastos!$D$2:$D$2500))</f>
        <v>0</v>
      </c>
      <c r="FE51" s="75">
        <f t="array" ref="FE51">SUM((YEAR(Gastos!$A$2:$A$2500)=FE$1)*(MONTH(Gastos!$A$2:$A$2500)=FE$3)*(Gastos!$B$2:$B$2500=$A51)*(Gastos!$D$2:$D$2500))</f>
        <v>0</v>
      </c>
      <c r="FF51" s="75">
        <f t="array" ref="FF51">SUM((YEAR(Gastos!$A$2:$A$2500)=FF$1)*(MONTH(Gastos!$A$2:$A$2500)=FF$3)*(Gastos!$B$2:$B$2500=$A51)*(Gastos!$D$2:$D$2500))</f>
        <v>0</v>
      </c>
      <c r="FG51" s="75">
        <f t="array" ref="FG51">SUM((YEAR(Gastos!$A$2:$A$2500)=FG$1)*(MONTH(Gastos!$A$2:$A$2500)=FG$3)*(Gastos!$B$2:$B$2500=$A51)*(Gastos!$D$2:$D$2500))</f>
        <v>0</v>
      </c>
      <c r="FH51" s="75">
        <f t="array" ref="FH51">SUM((YEAR(Gastos!$A$2:$A$2500)=FH$1)*(MONTH(Gastos!$A$2:$A$2500)=FH$3)*(Gastos!$B$2:$B$2500=$A51)*(Gastos!$D$2:$D$2500))</f>
        <v>0</v>
      </c>
      <c r="FI51" s="75">
        <f t="array" ref="FI51">SUM((YEAR(Gastos!$A$2:$A$2500)=FI$1)*(MONTH(Gastos!$A$2:$A$2500)=FI$3)*(Gastos!$B$2:$B$2500=$A51)*(Gastos!$D$2:$D$2500))</f>
        <v>0</v>
      </c>
      <c r="FJ51" s="75">
        <f t="array" ref="FJ51">SUM((YEAR(Gastos!$A$2:$A$2500)=FJ$1)*(MONTH(Gastos!$A$2:$A$2500)=FJ$3)*(Gastos!$B$2:$B$2500=$A51)*(Gastos!$D$2:$D$2500))</f>
        <v>0</v>
      </c>
      <c r="FK51" s="75">
        <f t="array" ref="FK51">SUM((YEAR(Gastos!$A$2:$A$2500)=FK$1)*(MONTH(Gastos!$A$2:$A$2500)=FK$3)*(Gastos!$B$2:$B$2500=$A51)*(Gastos!$D$2:$D$2500))</f>
        <v>0</v>
      </c>
      <c r="FL51" s="75">
        <f t="array" ref="FL51">SUM((YEAR(Gastos!$A$2:$A$2500)=FL$1)*(MONTH(Gastos!$A$2:$A$2500)=FL$3)*(Gastos!$B$2:$B$2500=$A51)*(Gastos!$D$2:$D$2500))</f>
        <v>0</v>
      </c>
      <c r="FM51" s="75">
        <f t="array" ref="FM51">SUM((YEAR(Gastos!$A$2:$A$2500)=FM$1)*(MONTH(Gastos!$A$2:$A$2500)=FM$3)*(Gastos!$B$2:$B$2500=$A51)*(Gastos!$D$2:$D$2500))</f>
        <v>0</v>
      </c>
      <c r="FN51" s="75">
        <f t="array" ref="FN51">SUM((YEAR(Gastos!$A$2:$A$2500)=FN$1)*(MONTH(Gastos!$A$2:$A$2500)=FN$3)*(Gastos!$B$2:$B$2500=$A51)*(Gastos!$D$2:$D$2500))</f>
        <v>0</v>
      </c>
      <c r="FO51" s="75">
        <f t="array" ref="FO51">SUM((YEAR(Gastos!$A$2:$A$2500)=FO$1)*(MONTH(Gastos!$A$2:$A$2500)=FO$3)*(Gastos!$B$2:$B$2500=$A51)*(Gastos!$D$2:$D$2500))</f>
        <v>0</v>
      </c>
      <c r="FP51" s="75">
        <f t="array" ref="FP51">SUM((YEAR(Gastos!$A$2:$A$2500)=FP$1)*(MONTH(Gastos!$A$2:$A$2500)=FP$3)*(Gastos!$B$2:$B$2500=$A51)*(Gastos!$D$2:$D$2500))</f>
        <v>0</v>
      </c>
      <c r="FQ51" s="75">
        <f t="array" ref="FQ51">SUM((YEAR(Gastos!$A$2:$A$2500)=FQ$1)*(MONTH(Gastos!$A$2:$A$2500)=FQ$3)*(Gastos!$B$2:$B$2500=$A51)*(Gastos!$D$2:$D$2500))</f>
        <v>0</v>
      </c>
      <c r="FR51" s="75">
        <f t="array" ref="FR51">SUM((YEAR(Gastos!$A$2:$A$2500)=FR$1)*(MONTH(Gastos!$A$2:$A$2500)=FR$3)*(Gastos!$B$2:$B$2500=$A51)*(Gastos!$D$2:$D$2500))</f>
        <v>0</v>
      </c>
      <c r="FS51" s="75">
        <f t="array" ref="FS51">SUM((YEAR(Gastos!$A$2:$A$2500)=FS$1)*(MONTH(Gastos!$A$2:$A$2500)=FS$3)*(Gastos!$B$2:$B$2500=$A51)*(Gastos!$D$2:$D$2500))</f>
        <v>0</v>
      </c>
      <c r="FT51" s="75">
        <f t="array" ref="FT51">SUM((YEAR(Gastos!$A$2:$A$2500)=FT$1)*(MONTH(Gastos!$A$2:$A$2500)=FT$3)*(Gastos!$B$2:$B$2500=$A51)*(Gastos!$D$2:$D$2500))</f>
        <v>0</v>
      </c>
      <c r="FU51" s="75">
        <f t="array" ref="FU51">SUM((YEAR(Gastos!$A$2:$A$2500)=FU$1)*(MONTH(Gastos!$A$2:$A$2500)=FU$3)*(Gastos!$B$2:$B$2500=$A51)*(Gastos!$D$2:$D$2500))</f>
        <v>0</v>
      </c>
      <c r="FV51" s="75">
        <f t="array" ref="FV51">SUM((YEAR(Gastos!$A$2:$A$2500)=FV$1)*(MONTH(Gastos!$A$2:$A$2500)=FV$3)*(Gastos!$B$2:$B$2500=$A51)*(Gastos!$D$2:$D$2500))</f>
        <v>0</v>
      </c>
      <c r="FW51" s="75">
        <f t="array" ref="FW51">SUM((YEAR(Gastos!$A$2:$A$2500)=FW$1)*(MONTH(Gastos!$A$2:$A$2500)=FW$3)*(Gastos!$B$2:$B$2500=$A51)*(Gastos!$D$2:$D$2500))</f>
        <v>0</v>
      </c>
      <c r="FX51" s="75">
        <f t="array" ref="FX51">SUM((YEAR(Gastos!$A$2:$A$2500)=FX$1)*(MONTH(Gastos!$A$2:$A$2500)=FX$3)*(Gastos!$B$2:$B$2500=$A51)*(Gastos!$D$2:$D$2500))</f>
        <v>0</v>
      </c>
      <c r="FY51" s="75">
        <f t="array" ref="FY51">SUM((YEAR(Gastos!$A$2:$A$2500)=FY$1)*(MONTH(Gastos!$A$2:$A$2500)=FY$3)*(Gastos!$B$2:$B$2500=$A51)*(Gastos!$D$2:$D$2500))</f>
        <v>0</v>
      </c>
      <c r="FZ51" s="76">
        <f t="shared" si="65"/>
        <v>0</v>
      </c>
      <c r="GA51" s="80"/>
      <c r="GB51" s="78">
        <f t="shared" si="66"/>
        <v>0</v>
      </c>
      <c r="GF51" s="79">
        <f t="array" ref="GF51">SUM(((Gastos!$A$2:$A$1647)&gt;=GD$3)*((Gastos!$A$2:$A$1647)&lt;=GF$3)*(Gastos!$B$2:$B$1647=$A51)*(Gastos!$D$2:$D$1647))</f>
        <v>0</v>
      </c>
      <c r="GI51" s="79">
        <f t="array" ref="GI51">SUM(((Gastos!$A$2:$A$1647)&gt;=GG$3)*((Gastos!$A$2:$A$1647)&lt;=GI$3)*(Gastos!$B$2:$B$1647=$A51)*(Gastos!$D$2:$D$1647))</f>
        <v>0</v>
      </c>
    </row>
    <row r="52" spans="1:191" ht="15" thickBot="1" x14ac:dyDescent="0.4">
      <c r="A52" s="74" t="str">
        <f>Gastos!AA50</f>
        <v>V. RESTAURACION FACHADA</v>
      </c>
      <c r="B52" s="75">
        <f t="array" ref="B52">SUM((YEAR(Gastos!$A$2:$A$2500)=B$1)*(MONTH(Gastos!$A$2:$A$2500)=B$3)*(Gastos!$B$2:$B$2500=$A52)*(Gastos!$D$2:$D$2500))</f>
        <v>0</v>
      </c>
      <c r="C52" s="75">
        <f t="array" ref="C52">SUM((YEAR(Gastos!$A$2:$A$2500)=C$1)*(MONTH(Gastos!$A$2:$A$2500)=C$3)*(Gastos!$B$2:$B$2500=$A52)*(Gastos!$D$2:$D$2500))</f>
        <v>0</v>
      </c>
      <c r="D52" s="75">
        <f t="array" ref="D52">SUM((YEAR(Gastos!$A$2:$A$2500)=D$1)*(MONTH(Gastos!$A$2:$A$2500)=D$3)*(Gastos!$B$2:$B$2500=$A52)*(Gastos!$D$2:$D$2500))</f>
        <v>0</v>
      </c>
      <c r="E52" s="75">
        <f t="array" ref="E52">SUM((YEAR(Gastos!$A$2:$A$2500)=E$1)*(MONTH(Gastos!$A$2:$A$2500)=E$3)*(Gastos!$B$2:$B$2500=$A52)*(Gastos!$D$2:$D$2500))</f>
        <v>0</v>
      </c>
      <c r="F52" s="75">
        <f t="array" ref="F52">SUM((YEAR(Gastos!$A$2:$A$2500)=F$1)*(MONTH(Gastos!$A$2:$A$2500)=F$3)*(Gastos!$B$2:$B$2500=$A52)*(Gastos!$D$2:$D$2500))</f>
        <v>0</v>
      </c>
      <c r="G52" s="75">
        <f t="array" ref="G52">SUM((YEAR(Gastos!$A$2:$A$2500)=G$1)*(MONTH(Gastos!$A$2:$A$2500)=G$3)*(Gastos!$B$2:$B$2500=$A52)*(Gastos!$D$2:$D$2500))</f>
        <v>0</v>
      </c>
      <c r="H52" s="75">
        <f t="array" ref="H52">SUM((YEAR(Gastos!$A$2:$A$2500)=H$1)*(MONTH(Gastos!$A$2:$A$2500)=H$3)*(Gastos!$B$2:$B$2500=$A52)*(Gastos!$D$2:$D$2500))</f>
        <v>0</v>
      </c>
      <c r="I52" s="75">
        <f t="array" ref="I52">SUM((YEAR(Gastos!$A$2:$A$2500)=I$1)*(MONTH(Gastos!$A$2:$A$2500)=I$3)*(Gastos!$B$2:$B$2500=$A52)*(Gastos!$D$2:$D$2500))</f>
        <v>0</v>
      </c>
      <c r="J52" s="75">
        <f t="array" ref="J52">SUM((YEAR(Gastos!$A$2:$A$2500)=J$1)*(MONTH(Gastos!$A$2:$A$2500)=J$3)*(Gastos!$B$2:$B$2500=$A52)*(Gastos!$D$2:$D$2500))</f>
        <v>0</v>
      </c>
      <c r="K52" s="75">
        <f t="array" ref="K52">SUM((YEAR(Gastos!$A$2:$A$2500)=K$1)*(MONTH(Gastos!$A$2:$A$2500)=K$3)*(Gastos!$B$2:$B$2500=$A52)*(Gastos!$D$2:$D$2500))</f>
        <v>0</v>
      </c>
      <c r="L52" s="75">
        <f t="array" ref="L52">SUM((YEAR(Gastos!$A$2:$A$2500)=L$1)*(MONTH(Gastos!$A$2:$A$2500)=L$3)*(Gastos!$B$2:$B$2500=$A52)*(Gastos!$D$2:$D$2500))</f>
        <v>0</v>
      </c>
      <c r="M52" s="75">
        <f t="array" ref="M52">SUM((YEAR(Gastos!$A$2:$A$2500)=M$1)*(MONTH(Gastos!$A$2:$A$2500)=M$3)*(Gastos!$B$2:$B$2500=$A52)*(Gastos!$D$2:$D$2500))</f>
        <v>0</v>
      </c>
      <c r="N52" s="75">
        <f t="array" ref="N52">SUM((YEAR(Gastos!$A$2:$A$2500)=N$1)*(MONTH(Gastos!$A$2:$A$2500)=N$3)*(Gastos!$B$2:$B$2500=$A52)*(Gastos!$D$2:$D$2500))</f>
        <v>0</v>
      </c>
      <c r="O52" s="75">
        <f t="array" ref="O52">SUM((YEAR(Gastos!$A$2:$A$2500)=O$1)*(MONTH(Gastos!$A$2:$A$2500)=O$3)*(Gastos!$B$2:$B$2500=$A52)*(Gastos!$D$2:$D$2500))</f>
        <v>0</v>
      </c>
      <c r="P52" s="75">
        <f t="array" ref="P52">SUM((YEAR(Gastos!$A$2:$A$2500)=P$1)*(MONTH(Gastos!$A$2:$A$2500)=P$3)*(Gastos!$B$2:$B$2500=$A52)*(Gastos!$D$2:$D$2500))</f>
        <v>0</v>
      </c>
      <c r="Q52" s="75">
        <f t="array" ref="Q52">SUM((YEAR(Gastos!$A$2:$A$2500)=Q$1)*(MONTH(Gastos!$A$2:$A$2500)=Q$3)*(Gastos!$B$2:$B$2500=$A52)*(Gastos!$D$2:$D$2500))</f>
        <v>0</v>
      </c>
      <c r="R52" s="75">
        <f t="array" ref="R52">SUM((YEAR(Gastos!$A$2:$A$2500)=R$1)*(MONTH(Gastos!$A$2:$A$2500)=R$3)*(Gastos!$B$2:$B$2500=$A52)*(Gastos!$D$2:$D$2500))</f>
        <v>0</v>
      </c>
      <c r="S52" s="75">
        <f t="array" ref="S52">SUM((YEAR(Gastos!$A$2:$A$2500)=S$1)*(MONTH(Gastos!$A$2:$A$2500)=S$3)*(Gastos!$B$2:$B$2500=$A52)*(Gastos!$D$2:$D$2500))</f>
        <v>0</v>
      </c>
      <c r="T52" s="75">
        <f t="array" ref="T52">SUM((YEAR(Gastos!$A$2:$A$2500)=T$1)*(MONTH(Gastos!$A$2:$A$2500)=T$3)*(Gastos!$B$2:$B$2500=$A52)*(Gastos!$D$2:$D$2500))</f>
        <v>0</v>
      </c>
      <c r="U52" s="75">
        <f t="array" ref="U52">SUM((YEAR(Gastos!$A$2:$A$2500)=U$1)*(MONTH(Gastos!$A$2:$A$2500)=U$3)*(Gastos!$B$2:$B$2500=$A52)*(Gastos!$D$2:$D$2500))</f>
        <v>0</v>
      </c>
      <c r="V52" s="75">
        <f t="array" ref="V52">SUM((YEAR(Gastos!$A$2:$A$2500)=V$1)*(MONTH(Gastos!$A$2:$A$2500)=V$3)*(Gastos!$B$2:$B$2500=$A52)*(Gastos!$D$2:$D$2500))</f>
        <v>0</v>
      </c>
      <c r="W52" s="75">
        <f t="array" ref="W52">SUM((YEAR(Gastos!$A$2:$A$2500)=W$1)*(MONTH(Gastos!$A$2:$A$2500)=W$3)*(Gastos!$B$2:$B$2500=$A52)*(Gastos!$D$2:$D$2500))</f>
        <v>0</v>
      </c>
      <c r="X52" s="75">
        <f t="array" ref="X52">SUM((YEAR(Gastos!$A$2:$A$2500)=X$1)*(MONTH(Gastos!$A$2:$A$2500)=X$3)*(Gastos!$B$2:$B$2500=$A52)*(Gastos!$D$2:$D$2500))</f>
        <v>0</v>
      </c>
      <c r="Y52" s="75">
        <f t="array" ref="Y52">SUM((YEAR(Gastos!$A$2:$A$2500)=Y$1)*(MONTH(Gastos!$A$2:$A$2500)=Y$3)*(Gastos!$B$2:$B$2500=$A52)*(Gastos!$D$2:$D$2500))</f>
        <v>0</v>
      </c>
      <c r="Z52" s="75">
        <f t="array" ref="Z52">SUM((YEAR(Gastos!$A$2:$A$2500)=Z$1)*(MONTH(Gastos!$A$2:$A$2500)=Z$3)*(Gastos!$B$2:$B$2500=$A52)*(Gastos!$D$2:$D$2500))</f>
        <v>0</v>
      </c>
      <c r="AA52" s="75">
        <f t="array" ref="AA52">SUM((YEAR(Gastos!$A$2:$A$2500)=AA$1)*(MONTH(Gastos!$A$2:$A$2500)=AA$3)*(Gastos!$B$2:$B$2500=$A52)*(Gastos!$D$2:$D$2500))</f>
        <v>0</v>
      </c>
      <c r="AB52" s="75">
        <f t="array" ref="AB52">SUM((YEAR(Gastos!$A$2:$A$2500)=AB$1)*(MONTH(Gastos!$A$2:$A$2500)=AB$3)*(Gastos!$B$2:$B$2500=$A52)*(Gastos!$D$2:$D$2500))</f>
        <v>0</v>
      </c>
      <c r="AC52" s="75">
        <f t="array" ref="AC52">SUM((YEAR(Gastos!$A$2:$A$2500)=AC$1)*(MONTH(Gastos!$A$2:$A$2500)=AC$3)*(Gastos!$B$2:$B$2500=$A52)*(Gastos!$D$2:$D$2500))</f>
        <v>0</v>
      </c>
      <c r="AD52" s="75">
        <f t="array" ref="AD52">SUM((YEAR(Gastos!$A$2:$A$2500)=AD$1)*(MONTH(Gastos!$A$2:$A$2500)=AD$3)*(Gastos!$B$2:$B$2500=$A52)*(Gastos!$D$2:$D$2500))</f>
        <v>0</v>
      </c>
      <c r="AE52" s="75">
        <f t="array" ref="AE52">SUM((YEAR(Gastos!$A$2:$A$2500)=AE$1)*(MONTH(Gastos!$A$2:$A$2500)=AE$3)*(Gastos!$B$2:$B$2500=$A52)*(Gastos!$D$2:$D$2500))</f>
        <v>0</v>
      </c>
      <c r="AF52" s="75">
        <f t="array" ref="AF52">SUM((YEAR(Gastos!$A$2:$A$2500)=AF$1)*(MONTH(Gastos!$A$2:$A$2500)=AF$3)*(Gastos!$B$2:$B$2500=$A52)*(Gastos!$D$2:$D$2500))</f>
        <v>0</v>
      </c>
      <c r="AG52" s="75">
        <f t="array" ref="AG52">SUM((YEAR(Gastos!$A$2:$A$2500)=AG$1)*(MONTH(Gastos!$A$2:$A$2500)=AG$3)*(Gastos!$B$2:$B$2500=$A52)*(Gastos!$D$2:$D$2500))</f>
        <v>0</v>
      </c>
      <c r="AH52" s="75">
        <f t="array" ref="AH52">SUM((YEAR(Gastos!$A$2:$A$2500)=AH$1)*(MONTH(Gastos!$A$2:$A$2500)=AH$3)*(Gastos!$B$2:$B$2500=$A52)*(Gastos!$D$2:$D$2500))</f>
        <v>0</v>
      </c>
      <c r="AI52" s="75">
        <f t="array" ref="AI52">SUM((YEAR(Gastos!$A$2:$A$2500)=AI$1)*(MONTH(Gastos!$A$2:$A$2500)=AI$3)*(Gastos!$B$2:$B$2500=$A52)*(Gastos!$D$2:$D$2500))</f>
        <v>0</v>
      </c>
      <c r="AJ52" s="75">
        <f t="array" ref="AJ52">SUM((YEAR(Gastos!$A$2:$A$2500)=AJ$1)*(MONTH(Gastos!$A$2:$A$2500)=AJ$3)*(Gastos!$B$2:$B$2500=$A52)*(Gastos!$D$2:$D$2500))</f>
        <v>0</v>
      </c>
      <c r="AK52" s="75">
        <f t="array" ref="AK52">SUM((YEAR(Gastos!$A$2:$A$2500)=AK$1)*(MONTH(Gastos!$A$2:$A$2500)=AK$3)*(Gastos!$B$2:$B$2500=$A52)*(Gastos!$D$2:$D$2500))</f>
        <v>0</v>
      </c>
      <c r="AL52" s="75">
        <f t="array" ref="AL52">SUM((YEAR(Gastos!$A$2:$A$2500)=AL$1)*(MONTH(Gastos!$A$2:$A$2500)=AL$3)*(Gastos!$B$2:$B$2500=$A52)*(Gastos!$D$2:$D$2500))</f>
        <v>0</v>
      </c>
      <c r="AM52" s="75">
        <f t="array" ref="AM52">SUM((YEAR(Gastos!$A$2:$A$2500)=AM$1)*(MONTH(Gastos!$A$2:$A$2500)=AM$3)*(Gastos!$B$2:$B$2500=$A52)*(Gastos!$D$2:$D$2500))</f>
        <v>0</v>
      </c>
      <c r="AN52" s="75">
        <f t="array" ref="AN52">SUM((YEAR(Gastos!$A$2:$A$2500)=AN$1)*(MONTH(Gastos!$A$2:$A$2500)=AN$3)*(Gastos!$B$2:$B$2500=$A52)*(Gastos!$D$2:$D$2500))</f>
        <v>0</v>
      </c>
      <c r="AO52" s="75">
        <f t="array" ref="AO52">SUM((YEAR(Gastos!$A$2:$A$2500)=AO$1)*(MONTH(Gastos!$A$2:$A$2500)=AO$3)*(Gastos!$B$2:$B$2500=$A52)*(Gastos!$D$2:$D$2500))</f>
        <v>0</v>
      </c>
      <c r="AP52" s="75">
        <f t="array" ref="AP52">SUM((YEAR(Gastos!$A$2:$A$2500)=AP$1)*(MONTH(Gastos!$A$2:$A$2500)=AP$3)*(Gastos!$B$2:$B$2500=$A52)*(Gastos!$D$2:$D$2500))</f>
        <v>0</v>
      </c>
      <c r="AQ52" s="75">
        <f t="array" ref="AQ52">SUM((YEAR(Gastos!$A$2:$A$2500)=AQ$1)*(MONTH(Gastos!$A$2:$A$2500)=AQ$3)*(Gastos!$B$2:$B$2500=$A52)*(Gastos!$D$2:$D$2500))</f>
        <v>0</v>
      </c>
      <c r="AR52" s="75">
        <f t="array" ref="AR52">SUM((YEAR(Gastos!$A$2:$A$2500)=AR$1)*(MONTH(Gastos!$A$2:$A$2500)=AR$3)*(Gastos!$B$2:$B$2500=$A52)*(Gastos!$D$2:$D$2500))</f>
        <v>0</v>
      </c>
      <c r="AS52" s="75">
        <f t="array" ref="AS52">SUM((YEAR(Gastos!$A$2:$A$2500)=AS$1)*(MONTH(Gastos!$A$2:$A$2500)=AS$3)*(Gastos!$B$2:$B$2500=$A52)*(Gastos!$D$2:$D$2500))</f>
        <v>0</v>
      </c>
      <c r="AT52" s="75">
        <f t="array" ref="AT52">SUM((YEAR(Gastos!$A$2:$A$2500)=AT$1)*(MONTH(Gastos!$A$2:$A$2500)=AT$3)*(Gastos!$B$2:$B$2500=$A52)*(Gastos!$D$2:$D$2500))</f>
        <v>0</v>
      </c>
      <c r="AU52" s="75">
        <f t="array" ref="AU52">SUM((YEAR(Gastos!$A$2:$A$2500)=AU$1)*(MONTH(Gastos!$A$2:$A$2500)=AU$3)*(Gastos!$B$2:$B$2500=$A52)*(Gastos!$D$2:$D$2500))</f>
        <v>0</v>
      </c>
      <c r="AV52" s="75">
        <f t="array" ref="AV52">SUM((YEAR(Gastos!$A$2:$A$2500)=AV$1)*(MONTH(Gastos!$A$2:$A$2500)=AV$3)*(Gastos!$B$2:$B$2500=$A52)*(Gastos!$D$2:$D$2500))</f>
        <v>0</v>
      </c>
      <c r="AW52" s="75">
        <f t="array" ref="AW52">SUM((YEAR(Gastos!$A$2:$A$2500)=AW$1)*(MONTH(Gastos!$A$2:$A$2500)=AW$3)*(Gastos!$B$2:$B$2500=$A52)*(Gastos!$D$2:$D$2500))</f>
        <v>0</v>
      </c>
      <c r="AX52" s="75">
        <f t="array" ref="AX52">SUM((YEAR(Gastos!$A$2:$A$2500)=AX$1)*(MONTH(Gastos!$A$2:$A$2500)=AX$3)*(Gastos!$B$2:$B$2500=$A52)*(Gastos!$D$2:$D$2500))</f>
        <v>0</v>
      </c>
      <c r="AY52" s="75">
        <f t="array" ref="AY52">SUM((YEAR(Gastos!$A$2:$A$2500)=AY$1)*(MONTH(Gastos!$A$2:$A$2500)=AY$3)*(Gastos!$B$2:$B$2500=$A52)*(Gastos!$D$2:$D$2500))</f>
        <v>0</v>
      </c>
      <c r="AZ52" s="75">
        <f t="array" ref="AZ52">SUM((YEAR(Gastos!$A$2:$A$2500)=AZ$1)*(MONTH(Gastos!$A$2:$A$2500)=AZ$3)*(Gastos!$B$2:$B$2500=$A52)*(Gastos!$D$2:$D$2500))</f>
        <v>0</v>
      </c>
      <c r="BA52" s="75">
        <f t="array" ref="BA52">SUM((YEAR(Gastos!$A$2:$A$2500)=BA$1)*(MONTH(Gastos!$A$2:$A$2500)=BA$3)*(Gastos!$B$2:$B$2500=$A52)*(Gastos!$D$2:$D$2500))</f>
        <v>0</v>
      </c>
      <c r="BB52" s="75">
        <f t="array" ref="BB52">SUM((YEAR(Gastos!$A$2:$A$2500)=BB$1)*(MONTH(Gastos!$A$2:$A$2500)=BB$3)*(Gastos!$B$2:$B$2500=$A52)*(Gastos!$D$2:$D$2500))</f>
        <v>0</v>
      </c>
      <c r="BC52" s="75">
        <f t="array" ref="BC52">SUM((YEAR(Gastos!$A$2:$A$2500)=BC$1)*(MONTH(Gastos!$A$2:$A$2500)=BC$3)*(Gastos!$B$2:$B$2500=$A52)*(Gastos!$D$2:$D$2500))</f>
        <v>0</v>
      </c>
      <c r="BD52" s="75">
        <f t="array" ref="BD52">SUM((YEAR(Gastos!$A$2:$A$2500)=BD$1)*(MONTH(Gastos!$A$2:$A$2500)=BD$3)*(Gastos!$B$2:$B$2500=$A52)*(Gastos!$D$2:$D$2500))</f>
        <v>0</v>
      </c>
      <c r="BE52" s="75">
        <f t="array" ref="BE52">SUM((YEAR(Gastos!$A$2:$A$2500)=BE$1)*(MONTH(Gastos!$A$2:$A$2500)=BE$3)*(Gastos!$B$2:$B$2500=$A52)*(Gastos!$D$2:$D$2500))</f>
        <v>0</v>
      </c>
      <c r="BF52" s="75">
        <f t="array" ref="BF52">SUM((YEAR(Gastos!$A$2:$A$2500)=BF$1)*(MONTH(Gastos!$A$2:$A$2500)=BF$3)*(Gastos!$B$2:$B$2500=$A52)*(Gastos!$D$2:$D$2500))</f>
        <v>0</v>
      </c>
      <c r="BG52" s="75">
        <f t="array" ref="BG52">SUM((YEAR(Gastos!$A$2:$A$2500)=BG$1)*(MONTH(Gastos!$A$2:$A$2500)=BG$3)*(Gastos!$B$2:$B$2500=$A52)*(Gastos!$D$2:$D$2500))</f>
        <v>0</v>
      </c>
      <c r="BH52" s="75">
        <f t="array" ref="BH52">SUM((YEAR(Gastos!$A$2:$A$2500)=BH$1)*(MONTH(Gastos!$A$2:$A$2500)=BH$3)*(Gastos!$B$2:$B$2500=$A52)*(Gastos!$D$2:$D$2500))</f>
        <v>0</v>
      </c>
      <c r="BI52" s="75">
        <f t="array" ref="BI52">SUM((YEAR(Gastos!$A$2:$A$2500)=BI$1)*(MONTH(Gastos!$A$2:$A$2500)=BI$3)*(Gastos!$B$2:$B$2500=$A52)*(Gastos!$D$2:$D$2500))</f>
        <v>0</v>
      </c>
      <c r="BJ52" s="75">
        <f t="array" ref="BJ52">SUM((YEAR(Gastos!$A$2:$A$2500)=BJ$1)*(MONTH(Gastos!$A$2:$A$2500)=BJ$3)*(Gastos!$B$2:$B$2500=$A52)*(Gastos!$D$2:$D$2500))</f>
        <v>0</v>
      </c>
      <c r="BK52" s="75">
        <f t="array" ref="BK52">SUM((YEAR(Gastos!$A$2:$A$2500)=BK$1)*(MONTH(Gastos!$A$2:$A$2500)=BK$3)*(Gastos!$B$2:$B$2500=$A52)*(Gastos!$D$2:$D$2500))</f>
        <v>0</v>
      </c>
      <c r="BL52" s="75">
        <f t="array" ref="BL52">SUM((YEAR(Gastos!$A$2:$A$2500)=BL$1)*(MONTH(Gastos!$A$2:$A$2500)=BL$3)*(Gastos!$B$2:$B$2500=$A52)*(Gastos!$D$2:$D$2500))</f>
        <v>0</v>
      </c>
      <c r="BM52" s="75">
        <f t="array" ref="BM52">SUM((YEAR(Gastos!$A$2:$A$2500)=BM$1)*(MONTH(Gastos!$A$2:$A$2500)=BM$3)*(Gastos!$B$2:$B$2500=$A52)*(Gastos!$D$2:$D$2500))</f>
        <v>0</v>
      </c>
      <c r="BN52" s="75">
        <f t="array" ref="BN52">SUM((YEAR(Gastos!$A$2:$A$2500)=BN$1)*(MONTH(Gastos!$A$2:$A$2500)=BN$3)*(Gastos!$B$2:$B$2500=$A52)*(Gastos!$D$2:$D$2500))</f>
        <v>0</v>
      </c>
      <c r="BO52" s="75">
        <f t="array" ref="BO52">SUM((YEAR(Gastos!$A$2:$A$2500)=BO$1)*(MONTH(Gastos!$A$2:$A$2500)=BO$3)*(Gastos!$B$2:$B$2500=$A52)*(Gastos!$D$2:$D$2500))</f>
        <v>0</v>
      </c>
      <c r="BP52" s="75">
        <f t="array" ref="BP52">SUM((YEAR(Gastos!$A$2:$A$2500)=BP$1)*(MONTH(Gastos!$A$2:$A$2500)=BP$3)*(Gastos!$B$2:$B$2500=$A52)*(Gastos!$D$2:$D$2500))</f>
        <v>0</v>
      </c>
      <c r="BQ52" s="75">
        <f t="array" ref="BQ52">SUM((YEAR(Gastos!$A$2:$A$2500)=BQ$1)*(MONTH(Gastos!$A$2:$A$2500)=BQ$3)*(Gastos!$B$2:$B$2500=$A52)*(Gastos!$D$2:$D$2500))</f>
        <v>0</v>
      </c>
      <c r="BR52" s="75">
        <f t="array" ref="BR52">SUM((YEAR(Gastos!$A$2:$A$2500)=BR$1)*(MONTH(Gastos!$A$2:$A$2500)=BR$3)*(Gastos!$B$2:$B$2500=$A52)*(Gastos!$D$2:$D$2500))</f>
        <v>0</v>
      </c>
      <c r="BS52" s="75">
        <f t="array" ref="BS52">SUM((YEAR(Gastos!$A$2:$A$2500)=BS$1)*(MONTH(Gastos!$A$2:$A$2500)=BS$3)*(Gastos!$B$2:$B$2500=$A52)*(Gastos!$D$2:$D$2500))</f>
        <v>0</v>
      </c>
      <c r="BT52" s="75">
        <f t="array" ref="BT52">SUM((YEAR(Gastos!$A$2:$A$2500)=BT$1)*(MONTH(Gastos!$A$2:$A$2500)=BT$3)*(Gastos!$B$2:$B$2500=$A52)*(Gastos!$D$2:$D$2500))</f>
        <v>0</v>
      </c>
      <c r="BU52" s="75">
        <f t="array" ref="BU52">SUM((YEAR(Gastos!$A$2:$A$2500)=BU$1)*(MONTH(Gastos!$A$2:$A$2500)=BU$3)*(Gastos!$B$2:$B$2500=$A52)*(Gastos!$D$2:$D$2500))</f>
        <v>0</v>
      </c>
      <c r="BV52" s="75">
        <f t="array" ref="BV52">SUM((YEAR(Gastos!$A$2:$A$2500)=BV$1)*(MONTH(Gastos!$A$2:$A$2500)=BV$3)*(Gastos!$B$2:$B$2500=$A52)*(Gastos!$D$2:$D$2500))</f>
        <v>0</v>
      </c>
      <c r="BW52" s="75">
        <f t="array" ref="BW52">SUM((YEAR(Gastos!$A$2:$A$2500)=BW$1)*(MONTH(Gastos!$A$2:$A$2500)=BW$3)*(Gastos!$B$2:$B$2500=$A52)*(Gastos!$D$2:$D$2500))</f>
        <v>0</v>
      </c>
      <c r="BX52" s="75">
        <f t="array" ref="BX52">SUM((YEAR(Gastos!$A$2:$A$2500)=BX$1)*(MONTH(Gastos!$A$2:$A$2500)=BX$3)*(Gastos!$B$2:$B$2500=$A52)*(Gastos!$D$2:$D$2500))</f>
        <v>0</v>
      </c>
      <c r="BY52" s="75">
        <f t="array" ref="BY52">SUM((YEAR(Gastos!$A$2:$A$2500)=BY$1)*(MONTH(Gastos!$A$2:$A$2500)=BY$3)*(Gastos!$B$2:$B$2500=$A52)*(Gastos!$D$2:$D$2500))</f>
        <v>0</v>
      </c>
      <c r="BZ52" s="75">
        <f t="array" ref="BZ52">SUM((YEAR(Gastos!$A$2:$A$2500)=BZ$1)*(MONTH(Gastos!$A$2:$A$2500)=BZ$3)*(Gastos!$B$2:$B$2500=$A52)*(Gastos!$D$2:$D$2500))</f>
        <v>0</v>
      </c>
      <c r="CA52" s="75">
        <f t="array" ref="CA52">SUM((YEAR(Gastos!$A$2:$A$2500)=CA$1)*(MONTH(Gastos!$A$2:$A$2500)=CA$3)*(Gastos!$B$2:$B$2500=$A52)*(Gastos!$D$2:$D$2500))</f>
        <v>0</v>
      </c>
      <c r="CB52" s="75">
        <f t="array" ref="CB52">SUM((YEAR(Gastos!$A$2:$A$2500)=CB$1)*(MONTH(Gastos!$A$2:$A$2500)=CB$3)*(Gastos!$B$2:$B$2500=$A52)*(Gastos!$D$2:$D$2500))</f>
        <v>0</v>
      </c>
      <c r="CC52" s="75">
        <f t="array" ref="CC52">SUM((YEAR(Gastos!$A$2:$A$2500)=CC$1)*(MONTH(Gastos!$A$2:$A$2500)=CC$3)*(Gastos!$B$2:$B$2500=$A52)*(Gastos!$D$2:$D$2500))</f>
        <v>0</v>
      </c>
      <c r="CD52" s="75">
        <f t="array" ref="CD52">SUM((YEAR(Gastos!$A$2:$A$2500)=CD$1)*(MONTH(Gastos!$A$2:$A$2500)=CD$3)*(Gastos!$B$2:$B$2500=$A52)*(Gastos!$D$2:$D$2500))</f>
        <v>0</v>
      </c>
      <c r="CE52" s="75">
        <f t="array" ref="CE52">SUM((YEAR(Gastos!$A$2:$A$2500)=CE$1)*(MONTH(Gastos!$A$2:$A$2500)=CE$3)*(Gastos!$B$2:$B$2500=$A52)*(Gastos!$D$2:$D$2500))</f>
        <v>0</v>
      </c>
      <c r="CF52" s="75">
        <f t="array" ref="CF52">SUM((YEAR(Gastos!$A$2:$A$2500)=CF$1)*(MONTH(Gastos!$A$2:$A$2500)=CF$3)*(Gastos!$B$2:$B$2500=$A52)*(Gastos!$D$2:$D$2500))</f>
        <v>0</v>
      </c>
      <c r="CG52" s="75">
        <f t="array" ref="CG52">SUM((YEAR(Gastos!$A$2:$A$2500)=CG$1)*(MONTH(Gastos!$A$2:$A$2500)=CG$3)*(Gastos!$B$2:$B$2500=$A52)*(Gastos!$D$2:$D$2500))</f>
        <v>0</v>
      </c>
      <c r="CH52" s="75">
        <f t="array" ref="CH52">SUM((YEAR(Gastos!$A$2:$A$2500)=CH$1)*(MONTH(Gastos!$A$2:$A$2500)=CH$3)*(Gastos!$B$2:$B$2500=$A52)*(Gastos!$D$2:$D$2500))</f>
        <v>0</v>
      </c>
      <c r="CI52" s="75">
        <f t="array" ref="CI52">SUM((YEAR(Gastos!$A$2:$A$2500)=CI$1)*(MONTH(Gastos!$A$2:$A$2500)=CI$3)*(Gastos!$B$2:$B$2500=$A52)*(Gastos!$D$2:$D$2500))</f>
        <v>0</v>
      </c>
      <c r="CJ52" s="75">
        <f t="array" ref="CJ52">SUM((YEAR(Gastos!$A$2:$A$2500)=CJ$1)*(MONTH(Gastos!$A$2:$A$2500)=CJ$3)*(Gastos!$B$2:$B$2500=$A52)*(Gastos!$D$2:$D$2500))</f>
        <v>0</v>
      </c>
      <c r="CK52" s="75">
        <f t="array" ref="CK52">SUM((YEAR(Gastos!$A$2:$A$2500)=CK$1)*(MONTH(Gastos!$A$2:$A$2500)=CK$3)*(Gastos!$B$2:$B$2500=$A52)*(Gastos!$D$2:$D$2500))</f>
        <v>0</v>
      </c>
      <c r="CL52" s="75">
        <f t="array" ref="CL52">SUM((YEAR(Gastos!$A$2:$A$2500)=CL$1)*(MONTH(Gastos!$A$2:$A$2500)=CL$3)*(Gastos!$B$2:$B$2500=$A52)*(Gastos!$D$2:$D$2500))</f>
        <v>0</v>
      </c>
      <c r="CM52" s="75">
        <f t="array" ref="CM52">SUM((YEAR(Gastos!$A$2:$A$2500)=CM$1)*(MONTH(Gastos!$A$2:$A$2500)=CM$3)*(Gastos!$B$2:$B$2500=$A52)*(Gastos!$D$2:$D$2500))</f>
        <v>0</v>
      </c>
      <c r="CN52" s="75">
        <f t="array" ref="CN52">SUM((YEAR(Gastos!$A$2:$A$2500)=CN$1)*(MONTH(Gastos!$A$2:$A$2500)=CN$3)*(Gastos!$B$2:$B$2500=$A52)*(Gastos!$D$2:$D$2500))</f>
        <v>0</v>
      </c>
      <c r="CO52" s="75">
        <f t="array" ref="CO52">SUM((YEAR(Gastos!$A$2:$A$2500)=CO$1)*(MONTH(Gastos!$A$2:$A$2500)=CO$3)*(Gastos!$B$2:$B$2500=$A52)*(Gastos!$D$2:$D$2500))</f>
        <v>0</v>
      </c>
      <c r="CP52" s="75">
        <f t="array" ref="CP52">SUM((YEAR(Gastos!$A$2:$A$2500)=CP$1)*(MONTH(Gastos!$A$2:$A$2500)=CP$3)*(Gastos!$B$2:$B$2500=$A52)*(Gastos!$D$2:$D$2500))</f>
        <v>25530.86</v>
      </c>
      <c r="CQ52" s="75">
        <f t="array" ref="CQ52">SUM((YEAR(Gastos!$A$2:$A$2500)=CQ$1)*(MONTH(Gastos!$A$2:$A$2500)=CQ$3)*(Gastos!$B$2:$B$2500=$A52)*(Gastos!$D$2:$D$2500))</f>
        <v>0</v>
      </c>
      <c r="CR52" s="75">
        <f t="array" ref="CR52">SUM((YEAR(Gastos!$A$2:$A$2500)=CR$1)*(MONTH(Gastos!$A$2:$A$2500)=CR$3)*(Gastos!$B$2:$B$2500=$A52)*(Gastos!$D$2:$D$2500))</f>
        <v>0</v>
      </c>
      <c r="CS52" s="75">
        <f t="array" ref="CS52">SUM((YEAR(Gastos!$A$2:$A$2500)=CS$1)*(MONTH(Gastos!$A$2:$A$2500)=CS$3)*(Gastos!$B$2:$B$2500=$A52)*(Gastos!$D$2:$D$2500))</f>
        <v>0</v>
      </c>
      <c r="CT52" s="75">
        <f t="array" ref="CT52">SUM((YEAR(Gastos!$A$2:$A$2500)=CT$1)*(MONTH(Gastos!$A$2:$A$2500)=CT$3)*(Gastos!$B$2:$B$2500=$A52)*(Gastos!$D$2:$D$2500))</f>
        <v>0</v>
      </c>
      <c r="CU52" s="75">
        <f t="array" ref="CU52">SUM((YEAR(Gastos!$A$2:$A$2500)=CU$1)*(MONTH(Gastos!$A$2:$A$2500)=CU$3)*(Gastos!$B$2:$B$2500=$A52)*(Gastos!$D$2:$D$2500))</f>
        <v>0</v>
      </c>
      <c r="CV52" s="75">
        <f t="array" ref="CV52">SUM((YEAR(Gastos!$A$2:$A$2500)=CV$1)*(MONTH(Gastos!$A$2:$A$2500)=CV$3)*(Gastos!$B$2:$B$2500=$A52)*(Gastos!$D$2:$D$2500))</f>
        <v>0</v>
      </c>
      <c r="CW52" s="75">
        <f t="array" ref="CW52">SUM((YEAR(Gastos!$A$2:$A$2500)=CW$1)*(MONTH(Gastos!$A$2:$A$2500)=CW$3)*(Gastos!$B$2:$B$2500=$A52)*(Gastos!$D$2:$D$2500))</f>
        <v>0</v>
      </c>
      <c r="CX52" s="75">
        <f t="array" ref="CX52">SUM((YEAR(Gastos!$A$2:$A$2500)=CX$1)*(MONTH(Gastos!$A$2:$A$2500)=CX$3)*(Gastos!$B$2:$B$2500=$A52)*(Gastos!$D$2:$D$2500))</f>
        <v>0</v>
      </c>
      <c r="CY52" s="75">
        <f t="array" ref="CY52">SUM((YEAR(Gastos!$A$2:$A$2500)=CY$1)*(MONTH(Gastos!$A$2:$A$2500)=CY$3)*(Gastos!$B$2:$B$2500=$A52)*(Gastos!$D$2:$D$2500))</f>
        <v>0</v>
      </c>
      <c r="CZ52" s="75">
        <f t="array" ref="CZ52">SUM((YEAR(Gastos!$A$2:$A$2500)=CZ$1)*(MONTH(Gastos!$A$2:$A$2500)=CZ$3)*(Gastos!$B$2:$B$2500=$A52)*(Gastos!$D$2:$D$2500))</f>
        <v>0</v>
      </c>
      <c r="DA52" s="75">
        <f t="array" ref="DA52">SUM((YEAR(Gastos!$A$2:$A$2500)=DA$1)*(MONTH(Gastos!$A$2:$A$2500)=DA$3)*(Gastos!$B$2:$B$2500=$A52)*(Gastos!$D$2:$D$2500))</f>
        <v>0</v>
      </c>
      <c r="DB52" s="75">
        <f t="array" ref="DB52">SUM((YEAR(Gastos!$A$2:$A$2500)=DB$1)*(MONTH(Gastos!$A$2:$A$2500)=DB$3)*(Gastos!$B$2:$B$2500=$A52)*(Gastos!$D$2:$D$2500))</f>
        <v>0</v>
      </c>
      <c r="DC52" s="75">
        <f t="array" ref="DC52">SUM((YEAR(Gastos!$A$2:$A$2500)=DC$1)*(MONTH(Gastos!$A$2:$A$2500)=DC$3)*(Gastos!$B$2:$B$2500=$A52)*(Gastos!$D$2:$D$2500))</f>
        <v>0</v>
      </c>
      <c r="DD52" s="75">
        <f t="array" ref="DD52">SUM((YEAR(Gastos!$A$2:$A$2500)=DD$1)*(MONTH(Gastos!$A$2:$A$2500)=DD$3)*(Gastos!$B$2:$B$2500=$A52)*(Gastos!$D$2:$D$2500))</f>
        <v>0</v>
      </c>
      <c r="DE52" s="75">
        <f t="array" ref="DE52">SUM((YEAR(Gastos!$A$2:$A$2500)=DE$1)*(MONTH(Gastos!$A$2:$A$2500)=DE$3)*(Gastos!$B$2:$B$2500=$A52)*(Gastos!$D$2:$D$2500))</f>
        <v>0</v>
      </c>
      <c r="DF52" s="75">
        <f t="array" ref="DF52">SUM((YEAR(Gastos!$A$2:$A$2500)=DF$1)*(MONTH(Gastos!$A$2:$A$2500)=DF$3)*(Gastos!$B$2:$B$2500=$A52)*(Gastos!$D$2:$D$2500))</f>
        <v>0</v>
      </c>
      <c r="DG52" s="75">
        <f t="array" ref="DG52">SUM((YEAR(Gastos!$A$2:$A$2500)=DG$1)*(MONTH(Gastos!$A$2:$A$2500)=DG$3)*(Gastos!$B$2:$B$2500=$A52)*(Gastos!$D$2:$D$2500))</f>
        <v>0</v>
      </c>
      <c r="DH52" s="75">
        <f t="array" ref="DH52">SUM((YEAR(Gastos!$A$2:$A$2500)=DH$1)*(MONTH(Gastos!$A$2:$A$2500)=DH$3)*(Gastos!$B$2:$B$2500=$A52)*(Gastos!$D$2:$D$2500))</f>
        <v>0</v>
      </c>
      <c r="DI52" s="75">
        <f t="array" ref="DI52">SUM((YEAR(Gastos!$A$2:$A$2500)=DI$1)*(MONTH(Gastos!$A$2:$A$2500)=DI$3)*(Gastos!$B$2:$B$2500=$A52)*(Gastos!$D$2:$D$2500))</f>
        <v>0</v>
      </c>
      <c r="DJ52" s="75">
        <f t="array" ref="DJ52">SUM((YEAR(Gastos!$A$2:$A$2500)=DJ$1)*(MONTH(Gastos!$A$2:$A$2500)=DJ$3)*(Gastos!$B$2:$B$2500=$A52)*(Gastos!$D$2:$D$2500))</f>
        <v>0</v>
      </c>
      <c r="DK52" s="75">
        <f t="array" ref="DK52">SUM((YEAR(Gastos!$A$2:$A$2500)=DK$1)*(MONTH(Gastos!$A$2:$A$2500)=DK$3)*(Gastos!$B$2:$B$2500=$A52)*(Gastos!$D$2:$D$2500))</f>
        <v>0</v>
      </c>
      <c r="DL52" s="75">
        <f t="array" ref="DL52">SUM((YEAR(Gastos!$A$2:$A$2500)=DL$1)*(MONTH(Gastos!$A$2:$A$2500)=DL$3)*(Gastos!$B$2:$B$2500=$A52)*(Gastos!$D$2:$D$2500))</f>
        <v>0</v>
      </c>
      <c r="DM52" s="75">
        <f t="array" ref="DM52">SUM((YEAR(Gastos!$A$2:$A$2500)=DM$1)*(MONTH(Gastos!$A$2:$A$2500)=DM$3)*(Gastos!$B$2:$B$2500=$A52)*(Gastos!$D$2:$D$2500))</f>
        <v>0</v>
      </c>
      <c r="DN52" s="75">
        <f t="array" ref="DN52">SUM((YEAR(Gastos!$A$2:$A$2500)=DN$1)*(MONTH(Gastos!$A$2:$A$2500)=DN$3)*(Gastos!$B$2:$B$2500=$A52)*(Gastos!$D$2:$D$2500))</f>
        <v>0</v>
      </c>
      <c r="DO52" s="75">
        <f t="array" ref="DO52">SUM((YEAR(Gastos!$A$2:$A$2500)=DO$1)*(MONTH(Gastos!$A$2:$A$2500)=DO$3)*(Gastos!$B$2:$B$2500=$A52)*(Gastos!$D$2:$D$2500))</f>
        <v>0</v>
      </c>
      <c r="DP52" s="75">
        <f t="array" ref="DP52">SUM((YEAR(Gastos!$A$2:$A$2500)=DP$1)*(MONTH(Gastos!$A$2:$A$2500)=DP$3)*(Gastos!$B$2:$B$2500=$A52)*(Gastos!$D$2:$D$2500))</f>
        <v>0</v>
      </c>
      <c r="DQ52" s="75">
        <f t="array" ref="DQ52">SUM((YEAR(Gastos!$A$2:$A$2500)=DQ$1)*(MONTH(Gastos!$A$2:$A$2500)=DQ$3)*(Gastos!$B$2:$B$2500=$A52)*(Gastos!$D$2:$D$2500))</f>
        <v>0</v>
      </c>
      <c r="DR52" s="75">
        <f t="array" ref="DR52">SUM((YEAR(Gastos!$A$2:$A$2500)=DR$1)*(MONTH(Gastos!$A$2:$A$2500)=DR$3)*(Gastos!$B$2:$B$2500=$A52)*(Gastos!$D$2:$D$2500))</f>
        <v>0</v>
      </c>
      <c r="DS52" s="75">
        <f t="array" ref="DS52">SUM((YEAR(Gastos!$A$2:$A$2500)=DS$1)*(MONTH(Gastos!$A$2:$A$2500)=DS$3)*(Gastos!$B$2:$B$2500=$A52)*(Gastos!$D$2:$D$2500))</f>
        <v>0</v>
      </c>
      <c r="DT52" s="75">
        <f t="array" ref="DT52">SUM((YEAR(Gastos!$A$2:$A$2500)=DT$1)*(MONTH(Gastos!$A$2:$A$2500)=DT$3)*(Gastos!$B$2:$B$2500=$A52)*(Gastos!$D$2:$D$2500))</f>
        <v>0</v>
      </c>
      <c r="DU52" s="75">
        <f t="array" ref="DU52">SUM((YEAR(Gastos!$A$2:$A$2500)=DU$1)*(MONTH(Gastos!$A$2:$A$2500)=DU$3)*(Gastos!$B$2:$B$2500=$A52)*(Gastos!$D$2:$D$2500))</f>
        <v>0</v>
      </c>
      <c r="DV52" s="75">
        <f t="array" ref="DV52">SUM((YEAR(Gastos!$A$2:$A$2500)=DV$1)*(MONTH(Gastos!$A$2:$A$2500)=DV$3)*(Gastos!$B$2:$B$2500=$A52)*(Gastos!$D$2:$D$2500))</f>
        <v>0</v>
      </c>
      <c r="DW52" s="75">
        <f t="array" ref="DW52">SUM((YEAR(Gastos!$A$2:$A$2500)=DW$1)*(MONTH(Gastos!$A$2:$A$2500)=DW$3)*(Gastos!$B$2:$B$2500=$A52)*(Gastos!$D$2:$D$2500))</f>
        <v>0</v>
      </c>
      <c r="DX52" s="75">
        <f t="array" ref="DX52">SUM((YEAR(Gastos!$A$2:$A$2500)=DX$1)*(MONTH(Gastos!$A$2:$A$2500)=DX$3)*(Gastos!$B$2:$B$2500=$A52)*(Gastos!$D$2:$D$2500))</f>
        <v>0</v>
      </c>
      <c r="DY52" s="75">
        <f t="array" ref="DY52">SUM((YEAR(Gastos!$A$2:$A$2500)=DY$1)*(MONTH(Gastos!$A$2:$A$2500)=DY$3)*(Gastos!$B$2:$B$2500=$A52)*(Gastos!$D$2:$D$2500))</f>
        <v>0</v>
      </c>
      <c r="DZ52" s="75">
        <f t="array" ref="DZ52">SUM((YEAR(Gastos!$A$2:$A$2500)=DZ$1)*(MONTH(Gastos!$A$2:$A$2500)=DZ$3)*(Gastos!$B$2:$B$2500=$A52)*(Gastos!$D$2:$D$2500))</f>
        <v>0</v>
      </c>
      <c r="EA52" s="75">
        <f t="array" ref="EA52">SUM((YEAR(Gastos!$A$2:$A$2500)=EA$1)*(MONTH(Gastos!$A$2:$A$2500)=EA$3)*(Gastos!$B$2:$B$2500=$A52)*(Gastos!$D$2:$D$2500))</f>
        <v>0</v>
      </c>
      <c r="EB52" s="75">
        <f t="array" ref="EB52">SUM((YEAR(Gastos!$A$2:$A$2500)=EB$1)*(MONTH(Gastos!$A$2:$A$2500)=EB$3)*(Gastos!$B$2:$B$2500=$A52)*(Gastos!$D$2:$D$2500))</f>
        <v>0</v>
      </c>
      <c r="EC52" s="75">
        <f t="array" ref="EC52">SUM((YEAR(Gastos!$A$2:$A$2500)=EC$1)*(MONTH(Gastos!$A$2:$A$2500)=EC$3)*(Gastos!$B$2:$B$2500=$A52)*(Gastos!$D$2:$D$2500))</f>
        <v>0</v>
      </c>
      <c r="ED52" s="75">
        <f t="array" ref="ED52">SUM((YEAR(Gastos!$A$2:$A$2500)=ED$1)*(MONTH(Gastos!$A$2:$A$2500)=ED$3)*(Gastos!$B$2:$B$2500=$A52)*(Gastos!$D$2:$D$2500))</f>
        <v>0</v>
      </c>
      <c r="EE52" s="75">
        <f t="array" ref="EE52">SUM((YEAR(Gastos!$A$2:$A$2500)=EE$1)*(MONTH(Gastos!$A$2:$A$2500)=EE$3)*(Gastos!$B$2:$B$2500=$A52)*(Gastos!$D$2:$D$2500))</f>
        <v>0</v>
      </c>
      <c r="EF52" s="75">
        <f t="array" ref="EF52">SUM((YEAR(Gastos!$A$2:$A$2500)=EF$1)*(MONTH(Gastos!$A$2:$A$2500)=EF$3)*(Gastos!$B$2:$B$2500=$A52)*(Gastos!$D$2:$D$2500))</f>
        <v>0</v>
      </c>
      <c r="EG52" s="75">
        <f t="array" ref="EG52">SUM((YEAR(Gastos!$A$2:$A$2500)=EG$1)*(MONTH(Gastos!$A$2:$A$2500)=EG$3)*(Gastos!$B$2:$B$2500=$A52)*(Gastos!$D$2:$D$2500))</f>
        <v>0</v>
      </c>
      <c r="EH52" s="75">
        <f t="array" ref="EH52">SUM((YEAR(Gastos!$A$2:$A$2500)=EH$1)*(MONTH(Gastos!$A$2:$A$2500)=EH$3)*(Gastos!$B$2:$B$2500=$A52)*(Gastos!$D$2:$D$2500))</f>
        <v>0</v>
      </c>
      <c r="EI52" s="75">
        <f t="array" ref="EI52">SUM((YEAR(Gastos!$A$2:$A$2500)=EI$1)*(MONTH(Gastos!$A$2:$A$2500)=EI$3)*(Gastos!$B$2:$B$2500=$A52)*(Gastos!$D$2:$D$2500))</f>
        <v>0</v>
      </c>
      <c r="EJ52" s="75">
        <f t="array" ref="EJ52">SUM((YEAR(Gastos!$A$2:$A$2500)=EJ$1)*(MONTH(Gastos!$A$2:$A$2500)=EJ$3)*(Gastos!$B$2:$B$2500=$A52)*(Gastos!$D$2:$D$2500))</f>
        <v>0</v>
      </c>
      <c r="EK52" s="75">
        <f t="array" ref="EK52">SUM((YEAR(Gastos!$A$2:$A$2500)=EK$1)*(MONTH(Gastos!$A$2:$A$2500)=EK$3)*(Gastos!$B$2:$B$2500=$A52)*(Gastos!$D$2:$D$2500))</f>
        <v>0</v>
      </c>
      <c r="EL52" s="75">
        <f t="array" ref="EL52">SUM((YEAR(Gastos!$A$2:$A$2500)=EL$1)*(MONTH(Gastos!$A$2:$A$2500)=EL$3)*(Gastos!$B$2:$B$2500=$A52)*(Gastos!$D$2:$D$2500))</f>
        <v>0</v>
      </c>
      <c r="EM52" s="75">
        <f t="array" ref="EM52">SUM((YEAR(Gastos!$A$2:$A$2500)=EM$1)*(MONTH(Gastos!$A$2:$A$2500)=EM$3)*(Gastos!$B$2:$B$2500=$A52)*(Gastos!$D$2:$D$2500))</f>
        <v>0</v>
      </c>
      <c r="EN52" s="75">
        <f t="array" ref="EN52">SUM((YEAR(Gastos!$A$2:$A$2500)=EN$1)*(MONTH(Gastos!$A$2:$A$2500)=EN$3)*(Gastos!$B$2:$B$2500=$A52)*(Gastos!$D$2:$D$2500))</f>
        <v>0</v>
      </c>
      <c r="EO52" s="75">
        <f t="array" ref="EO52">SUM((YEAR(Gastos!$A$2:$A$2500)=EO$1)*(MONTH(Gastos!$A$2:$A$2500)=EO$3)*(Gastos!$B$2:$B$2500=$A52)*(Gastos!$D$2:$D$2500))</f>
        <v>0</v>
      </c>
      <c r="EP52" s="75">
        <f t="array" ref="EP52">SUM((YEAR(Gastos!$A$2:$A$2500)=EP$1)*(MONTH(Gastos!$A$2:$A$2500)=EP$3)*(Gastos!$B$2:$B$2500=$A52)*(Gastos!$D$2:$D$2500))</f>
        <v>0</v>
      </c>
      <c r="EQ52" s="75">
        <f t="array" ref="EQ52">SUM((YEAR(Gastos!$A$2:$A$2500)=EQ$1)*(MONTH(Gastos!$A$2:$A$2500)=EQ$3)*(Gastos!$B$2:$B$2500=$A52)*(Gastos!$D$2:$D$2500))</f>
        <v>0</v>
      </c>
      <c r="ER52" s="75">
        <f t="array" ref="ER52">SUM((YEAR(Gastos!$A$2:$A$2500)=ER$1)*(MONTH(Gastos!$A$2:$A$2500)=ER$3)*(Gastos!$B$2:$B$2500=$A52)*(Gastos!$D$2:$D$2500))</f>
        <v>0</v>
      </c>
      <c r="ES52" s="75">
        <f t="array" ref="ES52">SUM((YEAR(Gastos!$A$2:$A$2500)=ES$1)*(MONTH(Gastos!$A$2:$A$2500)=ES$3)*(Gastos!$B$2:$B$2500=$A52)*(Gastos!$D$2:$D$2500))</f>
        <v>0</v>
      </c>
      <c r="ET52" s="75">
        <f t="array" ref="ET52">SUM((YEAR(Gastos!$A$2:$A$2500)=ET$1)*(MONTH(Gastos!$A$2:$A$2500)=ET$3)*(Gastos!$B$2:$B$2500=$A52)*(Gastos!$D$2:$D$2500))</f>
        <v>0</v>
      </c>
      <c r="EU52" s="75">
        <f t="array" ref="EU52">SUM((YEAR(Gastos!$A$2:$A$2500)=EU$1)*(MONTH(Gastos!$A$2:$A$2500)=EU$3)*(Gastos!$B$2:$B$2500=$A52)*(Gastos!$D$2:$D$2500))</f>
        <v>0</v>
      </c>
      <c r="EV52" s="75">
        <f t="array" ref="EV52">SUM((YEAR(Gastos!$A$2:$A$2500)=EV$1)*(MONTH(Gastos!$A$2:$A$2500)=EV$3)*(Gastos!$B$2:$B$2500=$A52)*(Gastos!$D$2:$D$2500))</f>
        <v>0</v>
      </c>
      <c r="EW52" s="75">
        <f t="array" ref="EW52">SUM((YEAR(Gastos!$A$2:$A$2500)=EW$1)*(MONTH(Gastos!$A$2:$A$2500)=EW$3)*(Gastos!$B$2:$B$2500=$A52)*(Gastos!$D$2:$D$2500))</f>
        <v>0</v>
      </c>
      <c r="EX52" s="75">
        <f t="array" ref="EX52">SUM((YEAR(Gastos!$A$2:$A$2500)=EX$1)*(MONTH(Gastos!$A$2:$A$2500)=EX$3)*(Gastos!$B$2:$B$2500=$A52)*(Gastos!$D$2:$D$2500))</f>
        <v>0</v>
      </c>
      <c r="EY52" s="75">
        <f t="array" ref="EY52">SUM((YEAR(Gastos!$A$2:$A$2500)=EY$1)*(MONTH(Gastos!$A$2:$A$2500)=EY$3)*(Gastos!$B$2:$B$2500=$A52)*(Gastos!$D$2:$D$2500))</f>
        <v>0</v>
      </c>
      <c r="EZ52" s="75">
        <f t="array" ref="EZ52">SUM((YEAR(Gastos!$A$2:$A$2500)=EZ$1)*(MONTH(Gastos!$A$2:$A$2500)=EZ$3)*(Gastos!$B$2:$B$2500=$A52)*(Gastos!$D$2:$D$2500))</f>
        <v>0</v>
      </c>
      <c r="FA52" s="75">
        <f t="array" ref="FA52">SUM((YEAR(Gastos!$A$2:$A$2500)=FA$1)*(MONTH(Gastos!$A$2:$A$2500)=FA$3)*(Gastos!$B$2:$B$2500=$A52)*(Gastos!$D$2:$D$2500))</f>
        <v>0</v>
      </c>
      <c r="FB52" s="75">
        <f t="array" ref="FB52">SUM((YEAR(Gastos!$A$2:$A$2500)=FB$1)*(MONTH(Gastos!$A$2:$A$2500)=FB$3)*(Gastos!$B$2:$B$2500=$A52)*(Gastos!$D$2:$D$2500))</f>
        <v>0</v>
      </c>
      <c r="FC52" s="75">
        <f t="array" ref="FC52">SUM((YEAR(Gastos!$A$2:$A$2500)=FC$1)*(MONTH(Gastos!$A$2:$A$2500)=FC$3)*(Gastos!$B$2:$B$2500=$A52)*(Gastos!$D$2:$D$2500))</f>
        <v>0</v>
      </c>
      <c r="FD52" s="75">
        <f t="array" ref="FD52">SUM((YEAR(Gastos!$A$2:$A$2500)=FD$1)*(MONTH(Gastos!$A$2:$A$2500)=FD$3)*(Gastos!$B$2:$B$2500=$A52)*(Gastos!$D$2:$D$2500))</f>
        <v>0</v>
      </c>
      <c r="FE52" s="75">
        <f t="array" ref="FE52">SUM((YEAR(Gastos!$A$2:$A$2500)=FE$1)*(MONTH(Gastos!$A$2:$A$2500)=FE$3)*(Gastos!$B$2:$B$2500=$A52)*(Gastos!$D$2:$D$2500))</f>
        <v>0</v>
      </c>
      <c r="FF52" s="75">
        <f t="array" ref="FF52">SUM((YEAR(Gastos!$A$2:$A$2500)=FF$1)*(MONTH(Gastos!$A$2:$A$2500)=FF$3)*(Gastos!$B$2:$B$2500=$A52)*(Gastos!$D$2:$D$2500))</f>
        <v>0</v>
      </c>
      <c r="FG52" s="75">
        <f t="array" ref="FG52">SUM((YEAR(Gastos!$A$2:$A$2500)=FG$1)*(MONTH(Gastos!$A$2:$A$2500)=FG$3)*(Gastos!$B$2:$B$2500=$A52)*(Gastos!$D$2:$D$2500))</f>
        <v>0</v>
      </c>
      <c r="FH52" s="75">
        <f t="array" ref="FH52">SUM((YEAR(Gastos!$A$2:$A$2500)=FH$1)*(MONTH(Gastos!$A$2:$A$2500)=FH$3)*(Gastos!$B$2:$B$2500=$A52)*(Gastos!$D$2:$D$2500))</f>
        <v>0</v>
      </c>
      <c r="FI52" s="75">
        <f t="array" ref="FI52">SUM((YEAR(Gastos!$A$2:$A$2500)=FI$1)*(MONTH(Gastos!$A$2:$A$2500)=FI$3)*(Gastos!$B$2:$B$2500=$A52)*(Gastos!$D$2:$D$2500))</f>
        <v>0</v>
      </c>
      <c r="FJ52" s="75">
        <f t="array" ref="FJ52">SUM((YEAR(Gastos!$A$2:$A$2500)=FJ$1)*(MONTH(Gastos!$A$2:$A$2500)=FJ$3)*(Gastos!$B$2:$B$2500=$A52)*(Gastos!$D$2:$D$2500))</f>
        <v>0</v>
      </c>
      <c r="FK52" s="75">
        <f t="array" ref="FK52">SUM((YEAR(Gastos!$A$2:$A$2500)=FK$1)*(MONTH(Gastos!$A$2:$A$2500)=FK$3)*(Gastos!$B$2:$B$2500=$A52)*(Gastos!$D$2:$D$2500))</f>
        <v>0</v>
      </c>
      <c r="FL52" s="75">
        <f t="array" ref="FL52">SUM((YEAR(Gastos!$A$2:$A$2500)=FL$1)*(MONTH(Gastos!$A$2:$A$2500)=FL$3)*(Gastos!$B$2:$B$2500=$A52)*(Gastos!$D$2:$D$2500))</f>
        <v>0</v>
      </c>
      <c r="FM52" s="75">
        <f t="array" ref="FM52">SUM((YEAR(Gastos!$A$2:$A$2500)=FM$1)*(MONTH(Gastos!$A$2:$A$2500)=FM$3)*(Gastos!$B$2:$B$2500=$A52)*(Gastos!$D$2:$D$2500))</f>
        <v>0</v>
      </c>
      <c r="FN52" s="75">
        <f t="array" ref="FN52">SUM((YEAR(Gastos!$A$2:$A$2500)=FN$1)*(MONTH(Gastos!$A$2:$A$2500)=FN$3)*(Gastos!$B$2:$B$2500=$A52)*(Gastos!$D$2:$D$2500))</f>
        <v>0</v>
      </c>
      <c r="FO52" s="75">
        <f t="array" ref="FO52">SUM((YEAR(Gastos!$A$2:$A$2500)=FO$1)*(MONTH(Gastos!$A$2:$A$2500)=FO$3)*(Gastos!$B$2:$B$2500=$A52)*(Gastos!$D$2:$D$2500))</f>
        <v>0</v>
      </c>
      <c r="FP52" s="75">
        <f t="array" ref="FP52">SUM((YEAR(Gastos!$A$2:$A$2500)=FP$1)*(MONTH(Gastos!$A$2:$A$2500)=FP$3)*(Gastos!$B$2:$B$2500=$A52)*(Gastos!$D$2:$D$2500))</f>
        <v>0</v>
      </c>
      <c r="FQ52" s="75">
        <f t="array" ref="FQ52">SUM((YEAR(Gastos!$A$2:$A$2500)=FQ$1)*(MONTH(Gastos!$A$2:$A$2500)=FQ$3)*(Gastos!$B$2:$B$2500=$A52)*(Gastos!$D$2:$D$2500))</f>
        <v>0</v>
      </c>
      <c r="FR52" s="75">
        <f t="array" ref="FR52">SUM((YEAR(Gastos!$A$2:$A$2500)=FR$1)*(MONTH(Gastos!$A$2:$A$2500)=FR$3)*(Gastos!$B$2:$B$2500=$A52)*(Gastos!$D$2:$D$2500))</f>
        <v>0</v>
      </c>
      <c r="FS52" s="75">
        <f t="array" ref="FS52">SUM((YEAR(Gastos!$A$2:$A$2500)=FS$1)*(MONTH(Gastos!$A$2:$A$2500)=FS$3)*(Gastos!$B$2:$B$2500=$A52)*(Gastos!$D$2:$D$2500))</f>
        <v>0</v>
      </c>
      <c r="FT52" s="75">
        <f t="array" ref="FT52">SUM((YEAR(Gastos!$A$2:$A$2500)=FT$1)*(MONTH(Gastos!$A$2:$A$2500)=FT$3)*(Gastos!$B$2:$B$2500=$A52)*(Gastos!$D$2:$D$2500))</f>
        <v>0</v>
      </c>
      <c r="FU52" s="75">
        <f t="array" ref="FU52">SUM((YEAR(Gastos!$A$2:$A$2500)=FU$1)*(MONTH(Gastos!$A$2:$A$2500)=FU$3)*(Gastos!$B$2:$B$2500=$A52)*(Gastos!$D$2:$D$2500))</f>
        <v>0</v>
      </c>
      <c r="FV52" s="75">
        <f t="array" ref="FV52">SUM((YEAR(Gastos!$A$2:$A$2500)=FV$1)*(MONTH(Gastos!$A$2:$A$2500)=FV$3)*(Gastos!$B$2:$B$2500=$A52)*(Gastos!$D$2:$D$2500))</f>
        <v>0</v>
      </c>
      <c r="FW52" s="75">
        <f t="array" ref="FW52">SUM((YEAR(Gastos!$A$2:$A$2500)=FW$1)*(MONTH(Gastos!$A$2:$A$2500)=FW$3)*(Gastos!$B$2:$B$2500=$A52)*(Gastos!$D$2:$D$2500))</f>
        <v>0</v>
      </c>
      <c r="FX52" s="75">
        <f t="array" ref="FX52">SUM((YEAR(Gastos!$A$2:$A$2500)=FX$1)*(MONTH(Gastos!$A$2:$A$2500)=FX$3)*(Gastos!$B$2:$B$2500=$A52)*(Gastos!$D$2:$D$2500))</f>
        <v>0</v>
      </c>
      <c r="FY52" s="75">
        <f t="array" ref="FY52">SUM((YEAR(Gastos!$A$2:$A$2500)=FY$1)*(MONTH(Gastos!$A$2:$A$2500)=FY$3)*(Gastos!$B$2:$B$2500=$A52)*(Gastos!$D$2:$D$2500))</f>
        <v>0</v>
      </c>
      <c r="FZ52" s="76">
        <f t="shared" si="65"/>
        <v>25530.86</v>
      </c>
      <c r="GA52" s="80"/>
      <c r="GB52" s="78">
        <f t="shared" si="66"/>
        <v>0</v>
      </c>
      <c r="GF52" s="79">
        <f t="array" ref="GF52">SUM(((Gastos!$A$2:$A$1647)&gt;=GD$3)*((Gastos!$A$2:$A$1647)&lt;=GF$3)*(Gastos!$B$2:$B$1647=$A52)*(Gastos!$D$2:$D$1647))</f>
        <v>0</v>
      </c>
      <c r="GI52" s="79">
        <f t="array" ref="GI52">SUM(((Gastos!$A$2:$A$1647)&gt;=GG$3)*((Gastos!$A$2:$A$1647)&lt;=GI$3)*(Gastos!$B$2:$B$1647=$A52)*(Gastos!$D$2:$D$1647))</f>
        <v>0</v>
      </c>
    </row>
    <row r="53" spans="1:191" ht="15" thickBot="1" x14ac:dyDescent="0.4">
      <c r="A53" s="74" t="str">
        <f>Gastos!AA51</f>
        <v>V. RETIRO EN EFECTIVO</v>
      </c>
      <c r="B53" s="75">
        <f t="array" ref="B53">SUM((YEAR(Gastos!$A$2:$A$2500)=B$1)*(MONTH(Gastos!$A$2:$A$2500)=B$3)*(Gastos!$B$2:$B$2500=$A53)*(Gastos!$D$2:$D$2500))</f>
        <v>0</v>
      </c>
      <c r="C53" s="75">
        <f t="array" ref="C53">SUM((YEAR(Gastos!$A$2:$A$2500)=C$1)*(MONTH(Gastos!$A$2:$A$2500)=C$3)*(Gastos!$B$2:$B$2500=$A53)*(Gastos!$D$2:$D$2500))</f>
        <v>0</v>
      </c>
      <c r="D53" s="75">
        <f t="array" ref="D53">SUM((YEAR(Gastos!$A$2:$A$2500)=D$1)*(MONTH(Gastos!$A$2:$A$2500)=D$3)*(Gastos!$B$2:$B$2500=$A53)*(Gastos!$D$2:$D$2500))</f>
        <v>0</v>
      </c>
      <c r="E53" s="75">
        <f t="array" ref="E53">SUM((YEAR(Gastos!$A$2:$A$2500)=E$1)*(MONTH(Gastos!$A$2:$A$2500)=E$3)*(Gastos!$B$2:$B$2500=$A53)*(Gastos!$D$2:$D$2500))</f>
        <v>0</v>
      </c>
      <c r="F53" s="75">
        <f t="array" ref="F53">SUM((YEAR(Gastos!$A$2:$A$2500)=F$1)*(MONTH(Gastos!$A$2:$A$2500)=F$3)*(Gastos!$B$2:$B$2500=$A53)*(Gastos!$D$2:$D$2500))</f>
        <v>0</v>
      </c>
      <c r="G53" s="75">
        <f t="array" ref="G53">SUM((YEAR(Gastos!$A$2:$A$2500)=G$1)*(MONTH(Gastos!$A$2:$A$2500)=G$3)*(Gastos!$B$2:$B$2500=$A53)*(Gastos!$D$2:$D$2500))</f>
        <v>0</v>
      </c>
      <c r="H53" s="75">
        <f t="array" ref="H53">SUM((YEAR(Gastos!$A$2:$A$2500)=H$1)*(MONTH(Gastos!$A$2:$A$2500)=H$3)*(Gastos!$B$2:$B$2500=$A53)*(Gastos!$D$2:$D$2500))</f>
        <v>0</v>
      </c>
      <c r="I53" s="75">
        <f t="array" ref="I53">SUM((YEAR(Gastos!$A$2:$A$2500)=I$1)*(MONTH(Gastos!$A$2:$A$2500)=I$3)*(Gastos!$B$2:$B$2500=$A53)*(Gastos!$D$2:$D$2500))</f>
        <v>0</v>
      </c>
      <c r="J53" s="75">
        <f t="array" ref="J53">SUM((YEAR(Gastos!$A$2:$A$2500)=J$1)*(MONTH(Gastos!$A$2:$A$2500)=J$3)*(Gastos!$B$2:$B$2500=$A53)*(Gastos!$D$2:$D$2500))</f>
        <v>0</v>
      </c>
      <c r="K53" s="75">
        <f t="array" ref="K53">SUM((YEAR(Gastos!$A$2:$A$2500)=K$1)*(MONTH(Gastos!$A$2:$A$2500)=K$3)*(Gastos!$B$2:$B$2500=$A53)*(Gastos!$D$2:$D$2500))</f>
        <v>0</v>
      </c>
      <c r="L53" s="75">
        <f t="array" ref="L53">SUM((YEAR(Gastos!$A$2:$A$2500)=L$1)*(MONTH(Gastos!$A$2:$A$2500)=L$3)*(Gastos!$B$2:$B$2500=$A53)*(Gastos!$D$2:$D$2500))</f>
        <v>0</v>
      </c>
      <c r="M53" s="75">
        <f t="array" ref="M53">SUM((YEAR(Gastos!$A$2:$A$2500)=M$1)*(MONTH(Gastos!$A$2:$A$2500)=M$3)*(Gastos!$B$2:$B$2500=$A53)*(Gastos!$D$2:$D$2500))</f>
        <v>0</v>
      </c>
      <c r="N53" s="75">
        <f t="array" ref="N53">SUM((YEAR(Gastos!$A$2:$A$2500)=N$1)*(MONTH(Gastos!$A$2:$A$2500)=N$3)*(Gastos!$B$2:$B$2500=$A53)*(Gastos!$D$2:$D$2500))</f>
        <v>0</v>
      </c>
      <c r="O53" s="75">
        <f t="array" ref="O53">SUM((YEAR(Gastos!$A$2:$A$2500)=O$1)*(MONTH(Gastos!$A$2:$A$2500)=O$3)*(Gastos!$B$2:$B$2500=$A53)*(Gastos!$D$2:$D$2500))</f>
        <v>0</v>
      </c>
      <c r="P53" s="75">
        <f t="array" ref="P53">SUM((YEAR(Gastos!$A$2:$A$2500)=P$1)*(MONTH(Gastos!$A$2:$A$2500)=P$3)*(Gastos!$B$2:$B$2500=$A53)*(Gastos!$D$2:$D$2500))</f>
        <v>0</v>
      </c>
      <c r="Q53" s="75">
        <f t="array" ref="Q53">SUM((YEAR(Gastos!$A$2:$A$2500)=Q$1)*(MONTH(Gastos!$A$2:$A$2500)=Q$3)*(Gastos!$B$2:$B$2500=$A53)*(Gastos!$D$2:$D$2500))</f>
        <v>0</v>
      </c>
      <c r="R53" s="75">
        <f t="array" ref="R53">SUM((YEAR(Gastos!$A$2:$A$2500)=R$1)*(MONTH(Gastos!$A$2:$A$2500)=R$3)*(Gastos!$B$2:$B$2500=$A53)*(Gastos!$D$2:$D$2500))</f>
        <v>0</v>
      </c>
      <c r="S53" s="75">
        <f t="array" ref="S53">SUM((YEAR(Gastos!$A$2:$A$2500)=S$1)*(MONTH(Gastos!$A$2:$A$2500)=S$3)*(Gastos!$B$2:$B$2500=$A53)*(Gastos!$D$2:$D$2500))</f>
        <v>0</v>
      </c>
      <c r="T53" s="75">
        <f t="array" ref="T53">SUM((YEAR(Gastos!$A$2:$A$2500)=T$1)*(MONTH(Gastos!$A$2:$A$2500)=T$3)*(Gastos!$B$2:$B$2500=$A53)*(Gastos!$D$2:$D$2500))</f>
        <v>0</v>
      </c>
      <c r="U53" s="75">
        <f t="array" ref="U53">SUM((YEAR(Gastos!$A$2:$A$2500)=U$1)*(MONTH(Gastos!$A$2:$A$2500)=U$3)*(Gastos!$B$2:$B$2500=$A53)*(Gastos!$D$2:$D$2500))</f>
        <v>0</v>
      </c>
      <c r="V53" s="75">
        <f t="array" ref="V53">SUM((YEAR(Gastos!$A$2:$A$2500)=V$1)*(MONTH(Gastos!$A$2:$A$2500)=V$3)*(Gastos!$B$2:$B$2500=$A53)*(Gastos!$D$2:$D$2500))</f>
        <v>0</v>
      </c>
      <c r="W53" s="75">
        <f t="array" ref="W53">SUM((YEAR(Gastos!$A$2:$A$2500)=W$1)*(MONTH(Gastos!$A$2:$A$2500)=W$3)*(Gastos!$B$2:$B$2500=$A53)*(Gastos!$D$2:$D$2500))</f>
        <v>0</v>
      </c>
      <c r="X53" s="75">
        <f t="array" ref="X53">SUM((YEAR(Gastos!$A$2:$A$2500)=X$1)*(MONTH(Gastos!$A$2:$A$2500)=X$3)*(Gastos!$B$2:$B$2500=$A53)*(Gastos!$D$2:$D$2500))</f>
        <v>0</v>
      </c>
      <c r="Y53" s="75">
        <f t="array" ref="Y53">SUM((YEAR(Gastos!$A$2:$A$2500)=Y$1)*(MONTH(Gastos!$A$2:$A$2500)=Y$3)*(Gastos!$B$2:$B$2500=$A53)*(Gastos!$D$2:$D$2500))</f>
        <v>0</v>
      </c>
      <c r="Z53" s="75">
        <f t="array" ref="Z53">SUM((YEAR(Gastos!$A$2:$A$2500)=Z$1)*(MONTH(Gastos!$A$2:$A$2500)=Z$3)*(Gastos!$B$2:$B$2500=$A53)*(Gastos!$D$2:$D$2500))</f>
        <v>0</v>
      </c>
      <c r="AA53" s="75">
        <f t="array" ref="AA53">SUM((YEAR(Gastos!$A$2:$A$2500)=AA$1)*(MONTH(Gastos!$A$2:$A$2500)=AA$3)*(Gastos!$B$2:$B$2500=$A53)*(Gastos!$D$2:$D$2500))</f>
        <v>0</v>
      </c>
      <c r="AB53" s="75">
        <f t="array" ref="AB53">SUM((YEAR(Gastos!$A$2:$A$2500)=AB$1)*(MONTH(Gastos!$A$2:$A$2500)=AB$3)*(Gastos!$B$2:$B$2500=$A53)*(Gastos!$D$2:$D$2500))</f>
        <v>0</v>
      </c>
      <c r="AC53" s="75">
        <f t="array" ref="AC53">SUM((YEAR(Gastos!$A$2:$A$2500)=AC$1)*(MONTH(Gastos!$A$2:$A$2500)=AC$3)*(Gastos!$B$2:$B$2500=$A53)*(Gastos!$D$2:$D$2500))</f>
        <v>0</v>
      </c>
      <c r="AD53" s="75">
        <f t="array" ref="AD53">SUM((YEAR(Gastos!$A$2:$A$2500)=AD$1)*(MONTH(Gastos!$A$2:$A$2500)=AD$3)*(Gastos!$B$2:$B$2500=$A53)*(Gastos!$D$2:$D$2500))</f>
        <v>0</v>
      </c>
      <c r="AE53" s="75">
        <f t="array" ref="AE53">SUM((YEAR(Gastos!$A$2:$A$2500)=AE$1)*(MONTH(Gastos!$A$2:$A$2500)=AE$3)*(Gastos!$B$2:$B$2500=$A53)*(Gastos!$D$2:$D$2500))</f>
        <v>0</v>
      </c>
      <c r="AF53" s="75">
        <f t="array" ref="AF53">SUM((YEAR(Gastos!$A$2:$A$2500)=AF$1)*(MONTH(Gastos!$A$2:$A$2500)=AF$3)*(Gastos!$B$2:$B$2500=$A53)*(Gastos!$D$2:$D$2500))</f>
        <v>0</v>
      </c>
      <c r="AG53" s="75">
        <f t="array" ref="AG53">SUM((YEAR(Gastos!$A$2:$A$2500)=AG$1)*(MONTH(Gastos!$A$2:$A$2500)=AG$3)*(Gastos!$B$2:$B$2500=$A53)*(Gastos!$D$2:$D$2500))</f>
        <v>0</v>
      </c>
      <c r="AH53" s="75">
        <f t="array" ref="AH53">SUM((YEAR(Gastos!$A$2:$A$2500)=AH$1)*(MONTH(Gastos!$A$2:$A$2500)=AH$3)*(Gastos!$B$2:$B$2500=$A53)*(Gastos!$D$2:$D$2500))</f>
        <v>0</v>
      </c>
      <c r="AI53" s="75">
        <f t="array" ref="AI53">SUM((YEAR(Gastos!$A$2:$A$2500)=AI$1)*(MONTH(Gastos!$A$2:$A$2500)=AI$3)*(Gastos!$B$2:$B$2500=$A53)*(Gastos!$D$2:$D$2500))</f>
        <v>0</v>
      </c>
      <c r="AJ53" s="75">
        <f t="array" ref="AJ53">SUM((YEAR(Gastos!$A$2:$A$2500)=AJ$1)*(MONTH(Gastos!$A$2:$A$2500)=AJ$3)*(Gastos!$B$2:$B$2500=$A53)*(Gastos!$D$2:$D$2500))</f>
        <v>0</v>
      </c>
      <c r="AK53" s="75">
        <f t="array" ref="AK53">SUM((YEAR(Gastos!$A$2:$A$2500)=AK$1)*(MONTH(Gastos!$A$2:$A$2500)=AK$3)*(Gastos!$B$2:$B$2500=$A53)*(Gastos!$D$2:$D$2500))</f>
        <v>0</v>
      </c>
      <c r="AL53" s="75">
        <f t="array" ref="AL53">SUM((YEAR(Gastos!$A$2:$A$2500)=AL$1)*(MONTH(Gastos!$A$2:$A$2500)=AL$3)*(Gastos!$B$2:$B$2500=$A53)*(Gastos!$D$2:$D$2500))</f>
        <v>0</v>
      </c>
      <c r="AM53" s="75">
        <f t="array" ref="AM53">SUM((YEAR(Gastos!$A$2:$A$2500)=AM$1)*(MONTH(Gastos!$A$2:$A$2500)=AM$3)*(Gastos!$B$2:$B$2500=$A53)*(Gastos!$D$2:$D$2500))</f>
        <v>0</v>
      </c>
      <c r="AN53" s="75">
        <f t="array" ref="AN53">SUM((YEAR(Gastos!$A$2:$A$2500)=AN$1)*(MONTH(Gastos!$A$2:$A$2500)=AN$3)*(Gastos!$B$2:$B$2500=$A53)*(Gastos!$D$2:$D$2500))</f>
        <v>0</v>
      </c>
      <c r="AO53" s="75">
        <f t="array" ref="AO53">SUM((YEAR(Gastos!$A$2:$A$2500)=AO$1)*(MONTH(Gastos!$A$2:$A$2500)=AO$3)*(Gastos!$B$2:$B$2500=$A53)*(Gastos!$D$2:$D$2500))</f>
        <v>0</v>
      </c>
      <c r="AP53" s="75">
        <f t="array" ref="AP53">SUM((YEAR(Gastos!$A$2:$A$2500)=AP$1)*(MONTH(Gastos!$A$2:$A$2500)=AP$3)*(Gastos!$B$2:$B$2500=$A53)*(Gastos!$D$2:$D$2500))</f>
        <v>0</v>
      </c>
      <c r="AQ53" s="75">
        <f t="array" ref="AQ53">SUM((YEAR(Gastos!$A$2:$A$2500)=AQ$1)*(MONTH(Gastos!$A$2:$A$2500)=AQ$3)*(Gastos!$B$2:$B$2500=$A53)*(Gastos!$D$2:$D$2500))</f>
        <v>0</v>
      </c>
      <c r="AR53" s="75">
        <f t="array" ref="AR53">SUM((YEAR(Gastos!$A$2:$A$2500)=AR$1)*(MONTH(Gastos!$A$2:$A$2500)=AR$3)*(Gastos!$B$2:$B$2500=$A53)*(Gastos!$D$2:$D$2500))</f>
        <v>0</v>
      </c>
      <c r="AS53" s="75">
        <f t="array" ref="AS53">SUM((YEAR(Gastos!$A$2:$A$2500)=AS$1)*(MONTH(Gastos!$A$2:$A$2500)=AS$3)*(Gastos!$B$2:$B$2500=$A53)*(Gastos!$D$2:$D$2500))</f>
        <v>0</v>
      </c>
      <c r="AT53" s="75">
        <f t="array" ref="AT53">SUM((YEAR(Gastos!$A$2:$A$2500)=AT$1)*(MONTH(Gastos!$A$2:$A$2500)=AT$3)*(Gastos!$B$2:$B$2500=$A53)*(Gastos!$D$2:$D$2500))</f>
        <v>0</v>
      </c>
      <c r="AU53" s="75">
        <f t="array" ref="AU53">SUM((YEAR(Gastos!$A$2:$A$2500)=AU$1)*(MONTH(Gastos!$A$2:$A$2500)=AU$3)*(Gastos!$B$2:$B$2500=$A53)*(Gastos!$D$2:$D$2500))</f>
        <v>0</v>
      </c>
      <c r="AV53" s="75">
        <f t="array" ref="AV53">SUM((YEAR(Gastos!$A$2:$A$2500)=AV$1)*(MONTH(Gastos!$A$2:$A$2500)=AV$3)*(Gastos!$B$2:$B$2500=$A53)*(Gastos!$D$2:$D$2500))</f>
        <v>0</v>
      </c>
      <c r="AW53" s="75">
        <f t="array" ref="AW53">SUM((YEAR(Gastos!$A$2:$A$2500)=AW$1)*(MONTH(Gastos!$A$2:$A$2500)=AW$3)*(Gastos!$B$2:$B$2500=$A53)*(Gastos!$D$2:$D$2500))</f>
        <v>0</v>
      </c>
      <c r="AX53" s="75">
        <f t="array" ref="AX53">SUM((YEAR(Gastos!$A$2:$A$2500)=AX$1)*(MONTH(Gastos!$A$2:$A$2500)=AX$3)*(Gastos!$B$2:$B$2500=$A53)*(Gastos!$D$2:$D$2500))</f>
        <v>0</v>
      </c>
      <c r="AY53" s="75">
        <f t="array" ref="AY53">SUM((YEAR(Gastos!$A$2:$A$2500)=AY$1)*(MONTH(Gastos!$A$2:$A$2500)=AY$3)*(Gastos!$B$2:$B$2500=$A53)*(Gastos!$D$2:$D$2500))</f>
        <v>0</v>
      </c>
      <c r="AZ53" s="75">
        <f t="array" ref="AZ53">SUM((YEAR(Gastos!$A$2:$A$2500)=AZ$1)*(MONTH(Gastos!$A$2:$A$2500)=AZ$3)*(Gastos!$B$2:$B$2500=$A53)*(Gastos!$D$2:$D$2500))</f>
        <v>0</v>
      </c>
      <c r="BA53" s="75">
        <f t="array" ref="BA53">SUM((YEAR(Gastos!$A$2:$A$2500)=BA$1)*(MONTH(Gastos!$A$2:$A$2500)=BA$3)*(Gastos!$B$2:$B$2500=$A53)*(Gastos!$D$2:$D$2500))</f>
        <v>0</v>
      </c>
      <c r="BB53" s="75">
        <f t="array" ref="BB53">SUM((YEAR(Gastos!$A$2:$A$2500)=BB$1)*(MONTH(Gastos!$A$2:$A$2500)=BB$3)*(Gastos!$B$2:$B$2500=$A53)*(Gastos!$D$2:$D$2500))</f>
        <v>0</v>
      </c>
      <c r="BC53" s="75">
        <f t="array" ref="BC53">SUM((YEAR(Gastos!$A$2:$A$2500)=BC$1)*(MONTH(Gastos!$A$2:$A$2500)=BC$3)*(Gastos!$B$2:$B$2500=$A53)*(Gastos!$D$2:$D$2500))</f>
        <v>0</v>
      </c>
      <c r="BD53" s="75">
        <f t="array" ref="BD53">SUM((YEAR(Gastos!$A$2:$A$2500)=BD$1)*(MONTH(Gastos!$A$2:$A$2500)=BD$3)*(Gastos!$B$2:$B$2500=$A53)*(Gastos!$D$2:$D$2500))</f>
        <v>0</v>
      </c>
      <c r="BE53" s="75">
        <f t="array" ref="BE53">SUM((YEAR(Gastos!$A$2:$A$2500)=BE$1)*(MONTH(Gastos!$A$2:$A$2500)=BE$3)*(Gastos!$B$2:$B$2500=$A53)*(Gastos!$D$2:$D$2500))</f>
        <v>0</v>
      </c>
      <c r="BF53" s="75">
        <f t="array" ref="BF53">SUM((YEAR(Gastos!$A$2:$A$2500)=BF$1)*(MONTH(Gastos!$A$2:$A$2500)=BF$3)*(Gastos!$B$2:$B$2500=$A53)*(Gastos!$D$2:$D$2500))</f>
        <v>0</v>
      </c>
      <c r="BG53" s="75">
        <f t="array" ref="BG53">SUM((YEAR(Gastos!$A$2:$A$2500)=BG$1)*(MONTH(Gastos!$A$2:$A$2500)=BG$3)*(Gastos!$B$2:$B$2500=$A53)*(Gastos!$D$2:$D$2500))</f>
        <v>0</v>
      </c>
      <c r="BH53" s="75">
        <f t="array" ref="BH53">SUM((YEAR(Gastos!$A$2:$A$2500)=BH$1)*(MONTH(Gastos!$A$2:$A$2500)=BH$3)*(Gastos!$B$2:$B$2500=$A53)*(Gastos!$D$2:$D$2500))</f>
        <v>0</v>
      </c>
      <c r="BI53" s="75">
        <f t="array" ref="BI53">SUM((YEAR(Gastos!$A$2:$A$2500)=BI$1)*(MONTH(Gastos!$A$2:$A$2500)=BI$3)*(Gastos!$B$2:$B$2500=$A53)*(Gastos!$D$2:$D$2500))</f>
        <v>0</v>
      </c>
      <c r="BJ53" s="75">
        <f t="array" ref="BJ53">SUM((YEAR(Gastos!$A$2:$A$2500)=BJ$1)*(MONTH(Gastos!$A$2:$A$2500)=BJ$3)*(Gastos!$B$2:$B$2500=$A53)*(Gastos!$D$2:$D$2500))</f>
        <v>0</v>
      </c>
      <c r="BK53" s="75">
        <f t="array" ref="BK53">SUM((YEAR(Gastos!$A$2:$A$2500)=BK$1)*(MONTH(Gastos!$A$2:$A$2500)=BK$3)*(Gastos!$B$2:$B$2500=$A53)*(Gastos!$D$2:$D$2500))</f>
        <v>0</v>
      </c>
      <c r="BL53" s="75">
        <f t="array" ref="BL53">SUM((YEAR(Gastos!$A$2:$A$2500)=BL$1)*(MONTH(Gastos!$A$2:$A$2500)=BL$3)*(Gastos!$B$2:$B$2500=$A53)*(Gastos!$D$2:$D$2500))</f>
        <v>0</v>
      </c>
      <c r="BM53" s="75">
        <f t="array" ref="BM53">SUM((YEAR(Gastos!$A$2:$A$2500)=BM$1)*(MONTH(Gastos!$A$2:$A$2500)=BM$3)*(Gastos!$B$2:$B$2500=$A53)*(Gastos!$D$2:$D$2500))</f>
        <v>0</v>
      </c>
      <c r="BN53" s="75">
        <f t="array" ref="BN53">SUM((YEAR(Gastos!$A$2:$A$2500)=BN$1)*(MONTH(Gastos!$A$2:$A$2500)=BN$3)*(Gastos!$B$2:$B$2500=$A53)*(Gastos!$D$2:$D$2500))</f>
        <v>0</v>
      </c>
      <c r="BO53" s="75">
        <f t="array" ref="BO53">SUM((YEAR(Gastos!$A$2:$A$2500)=BO$1)*(MONTH(Gastos!$A$2:$A$2500)=BO$3)*(Gastos!$B$2:$B$2500=$A53)*(Gastos!$D$2:$D$2500))</f>
        <v>0</v>
      </c>
      <c r="BP53" s="75">
        <f t="array" ref="BP53">SUM((YEAR(Gastos!$A$2:$A$2500)=BP$1)*(MONTH(Gastos!$A$2:$A$2500)=BP$3)*(Gastos!$B$2:$B$2500=$A53)*(Gastos!$D$2:$D$2500))</f>
        <v>0</v>
      </c>
      <c r="BQ53" s="75">
        <f t="array" ref="BQ53">SUM((YEAR(Gastos!$A$2:$A$2500)=BQ$1)*(MONTH(Gastos!$A$2:$A$2500)=BQ$3)*(Gastos!$B$2:$B$2500=$A53)*(Gastos!$D$2:$D$2500))</f>
        <v>0</v>
      </c>
      <c r="BR53" s="75">
        <f t="array" ref="BR53">SUM((YEAR(Gastos!$A$2:$A$2500)=BR$1)*(MONTH(Gastos!$A$2:$A$2500)=BR$3)*(Gastos!$B$2:$B$2500=$A53)*(Gastos!$D$2:$D$2500))</f>
        <v>1000</v>
      </c>
      <c r="BS53" s="75">
        <f t="array" ref="BS53">SUM((YEAR(Gastos!$A$2:$A$2500)=BS$1)*(MONTH(Gastos!$A$2:$A$2500)=BS$3)*(Gastos!$B$2:$B$2500=$A53)*(Gastos!$D$2:$D$2500))</f>
        <v>0</v>
      </c>
      <c r="BT53" s="75">
        <f t="array" ref="BT53">SUM((YEAR(Gastos!$A$2:$A$2500)=BT$1)*(MONTH(Gastos!$A$2:$A$2500)=BT$3)*(Gastos!$B$2:$B$2500=$A53)*(Gastos!$D$2:$D$2500))</f>
        <v>0</v>
      </c>
      <c r="BU53" s="75">
        <f t="array" ref="BU53">SUM((YEAR(Gastos!$A$2:$A$2500)=BU$1)*(MONTH(Gastos!$A$2:$A$2500)=BU$3)*(Gastos!$B$2:$B$2500=$A53)*(Gastos!$D$2:$D$2500))</f>
        <v>0</v>
      </c>
      <c r="BV53" s="75">
        <f t="array" ref="BV53">SUM((YEAR(Gastos!$A$2:$A$2500)=BV$1)*(MONTH(Gastos!$A$2:$A$2500)=BV$3)*(Gastos!$B$2:$B$2500=$A53)*(Gastos!$D$2:$D$2500))</f>
        <v>0</v>
      </c>
      <c r="BW53" s="75">
        <f t="array" ref="BW53">SUM((YEAR(Gastos!$A$2:$A$2500)=BW$1)*(MONTH(Gastos!$A$2:$A$2500)=BW$3)*(Gastos!$B$2:$B$2500=$A53)*(Gastos!$D$2:$D$2500))</f>
        <v>0</v>
      </c>
      <c r="BX53" s="75">
        <f t="array" ref="BX53">SUM((YEAR(Gastos!$A$2:$A$2500)=BX$1)*(MONTH(Gastos!$A$2:$A$2500)=BX$3)*(Gastos!$B$2:$B$2500=$A53)*(Gastos!$D$2:$D$2500))</f>
        <v>0</v>
      </c>
      <c r="BY53" s="75">
        <f t="array" ref="BY53">SUM((YEAR(Gastos!$A$2:$A$2500)=BY$1)*(MONTH(Gastos!$A$2:$A$2500)=BY$3)*(Gastos!$B$2:$B$2500=$A53)*(Gastos!$D$2:$D$2500))</f>
        <v>0</v>
      </c>
      <c r="BZ53" s="75">
        <f t="array" ref="BZ53">SUM((YEAR(Gastos!$A$2:$A$2500)=BZ$1)*(MONTH(Gastos!$A$2:$A$2500)=BZ$3)*(Gastos!$B$2:$B$2500=$A53)*(Gastos!$D$2:$D$2500))</f>
        <v>0</v>
      </c>
      <c r="CA53" s="75">
        <f t="array" ref="CA53">SUM((YEAR(Gastos!$A$2:$A$2500)=CA$1)*(MONTH(Gastos!$A$2:$A$2500)=CA$3)*(Gastos!$B$2:$B$2500=$A53)*(Gastos!$D$2:$D$2500))</f>
        <v>0</v>
      </c>
      <c r="CB53" s="75">
        <f t="array" ref="CB53">SUM((YEAR(Gastos!$A$2:$A$2500)=CB$1)*(MONTH(Gastos!$A$2:$A$2500)=CB$3)*(Gastos!$B$2:$B$2500=$A53)*(Gastos!$D$2:$D$2500))</f>
        <v>0</v>
      </c>
      <c r="CC53" s="75">
        <f t="array" ref="CC53">SUM((YEAR(Gastos!$A$2:$A$2500)=CC$1)*(MONTH(Gastos!$A$2:$A$2500)=CC$3)*(Gastos!$B$2:$B$2500=$A53)*(Gastos!$D$2:$D$2500))</f>
        <v>0</v>
      </c>
      <c r="CD53" s="75">
        <f t="array" ref="CD53">SUM((YEAR(Gastos!$A$2:$A$2500)=CD$1)*(MONTH(Gastos!$A$2:$A$2500)=CD$3)*(Gastos!$B$2:$B$2500=$A53)*(Gastos!$D$2:$D$2500))</f>
        <v>0</v>
      </c>
      <c r="CE53" s="75">
        <f t="array" ref="CE53">SUM((YEAR(Gastos!$A$2:$A$2500)=CE$1)*(MONTH(Gastos!$A$2:$A$2500)=CE$3)*(Gastos!$B$2:$B$2500=$A53)*(Gastos!$D$2:$D$2500))</f>
        <v>0</v>
      </c>
      <c r="CF53" s="75">
        <f t="array" ref="CF53">SUM((YEAR(Gastos!$A$2:$A$2500)=CF$1)*(MONTH(Gastos!$A$2:$A$2500)=CF$3)*(Gastos!$B$2:$B$2500=$A53)*(Gastos!$D$2:$D$2500))</f>
        <v>0</v>
      </c>
      <c r="CG53" s="75">
        <f t="array" ref="CG53">SUM((YEAR(Gastos!$A$2:$A$2500)=CG$1)*(MONTH(Gastos!$A$2:$A$2500)=CG$3)*(Gastos!$B$2:$B$2500=$A53)*(Gastos!$D$2:$D$2500))</f>
        <v>0</v>
      </c>
      <c r="CH53" s="75">
        <f t="array" ref="CH53">SUM((YEAR(Gastos!$A$2:$A$2500)=CH$1)*(MONTH(Gastos!$A$2:$A$2500)=CH$3)*(Gastos!$B$2:$B$2500=$A53)*(Gastos!$D$2:$D$2500))</f>
        <v>0</v>
      </c>
      <c r="CI53" s="75">
        <f t="array" ref="CI53">SUM((YEAR(Gastos!$A$2:$A$2500)=CI$1)*(MONTH(Gastos!$A$2:$A$2500)=CI$3)*(Gastos!$B$2:$B$2500=$A53)*(Gastos!$D$2:$D$2500))</f>
        <v>0</v>
      </c>
      <c r="CJ53" s="75">
        <f t="array" ref="CJ53">SUM((YEAR(Gastos!$A$2:$A$2500)=CJ$1)*(MONTH(Gastos!$A$2:$A$2500)=CJ$3)*(Gastos!$B$2:$B$2500=$A53)*(Gastos!$D$2:$D$2500))</f>
        <v>0</v>
      </c>
      <c r="CK53" s="75">
        <f t="array" ref="CK53">SUM((YEAR(Gastos!$A$2:$A$2500)=CK$1)*(MONTH(Gastos!$A$2:$A$2500)=CK$3)*(Gastos!$B$2:$B$2500=$A53)*(Gastos!$D$2:$D$2500))</f>
        <v>0</v>
      </c>
      <c r="CL53" s="75">
        <f t="array" ref="CL53">SUM((YEAR(Gastos!$A$2:$A$2500)=CL$1)*(MONTH(Gastos!$A$2:$A$2500)=CL$3)*(Gastos!$B$2:$B$2500=$A53)*(Gastos!$D$2:$D$2500))</f>
        <v>0</v>
      </c>
      <c r="CM53" s="75">
        <f t="array" ref="CM53">SUM((YEAR(Gastos!$A$2:$A$2500)=CM$1)*(MONTH(Gastos!$A$2:$A$2500)=CM$3)*(Gastos!$B$2:$B$2500=$A53)*(Gastos!$D$2:$D$2500))</f>
        <v>0</v>
      </c>
      <c r="CN53" s="75">
        <f t="array" ref="CN53">SUM((YEAR(Gastos!$A$2:$A$2500)=CN$1)*(MONTH(Gastos!$A$2:$A$2500)=CN$3)*(Gastos!$B$2:$B$2500=$A53)*(Gastos!$D$2:$D$2500))</f>
        <v>0</v>
      </c>
      <c r="CO53" s="75">
        <f t="array" ref="CO53">SUM((YEAR(Gastos!$A$2:$A$2500)=CO$1)*(MONTH(Gastos!$A$2:$A$2500)=CO$3)*(Gastos!$B$2:$B$2500=$A53)*(Gastos!$D$2:$D$2500))</f>
        <v>0</v>
      </c>
      <c r="CP53" s="75">
        <f t="array" ref="CP53">SUM((YEAR(Gastos!$A$2:$A$2500)=CP$1)*(MONTH(Gastos!$A$2:$A$2500)=CP$3)*(Gastos!$B$2:$B$2500=$A53)*(Gastos!$D$2:$D$2500))</f>
        <v>0</v>
      </c>
      <c r="CQ53" s="75">
        <f t="array" ref="CQ53">SUM((YEAR(Gastos!$A$2:$A$2500)=CQ$1)*(MONTH(Gastos!$A$2:$A$2500)=CQ$3)*(Gastos!$B$2:$B$2500=$A53)*(Gastos!$D$2:$D$2500))</f>
        <v>0</v>
      </c>
      <c r="CR53" s="75">
        <f t="array" ref="CR53">SUM((YEAR(Gastos!$A$2:$A$2500)=CR$1)*(MONTH(Gastos!$A$2:$A$2500)=CR$3)*(Gastos!$B$2:$B$2500=$A53)*(Gastos!$D$2:$D$2500))</f>
        <v>0</v>
      </c>
      <c r="CS53" s="75">
        <f t="array" ref="CS53">SUM((YEAR(Gastos!$A$2:$A$2500)=CS$1)*(MONTH(Gastos!$A$2:$A$2500)=CS$3)*(Gastos!$B$2:$B$2500=$A53)*(Gastos!$D$2:$D$2500))</f>
        <v>0</v>
      </c>
      <c r="CT53" s="75">
        <f t="array" ref="CT53">SUM((YEAR(Gastos!$A$2:$A$2500)=CT$1)*(MONTH(Gastos!$A$2:$A$2500)=CT$3)*(Gastos!$B$2:$B$2500=$A53)*(Gastos!$D$2:$D$2500))</f>
        <v>0</v>
      </c>
      <c r="CU53" s="75">
        <f t="array" ref="CU53">SUM((YEAR(Gastos!$A$2:$A$2500)=CU$1)*(MONTH(Gastos!$A$2:$A$2500)=CU$3)*(Gastos!$B$2:$B$2500=$A53)*(Gastos!$D$2:$D$2500))</f>
        <v>0</v>
      </c>
      <c r="CV53" s="75">
        <f t="array" ref="CV53">SUM((YEAR(Gastos!$A$2:$A$2500)=CV$1)*(MONTH(Gastos!$A$2:$A$2500)=CV$3)*(Gastos!$B$2:$B$2500=$A53)*(Gastos!$D$2:$D$2500))</f>
        <v>0</v>
      </c>
      <c r="CW53" s="75">
        <f t="array" ref="CW53">SUM((YEAR(Gastos!$A$2:$A$2500)=CW$1)*(MONTH(Gastos!$A$2:$A$2500)=CW$3)*(Gastos!$B$2:$B$2500=$A53)*(Gastos!$D$2:$D$2500))</f>
        <v>0</v>
      </c>
      <c r="CX53" s="75">
        <f t="array" ref="CX53">SUM((YEAR(Gastos!$A$2:$A$2500)=CX$1)*(MONTH(Gastos!$A$2:$A$2500)=CX$3)*(Gastos!$B$2:$B$2500=$A53)*(Gastos!$D$2:$D$2500))</f>
        <v>0</v>
      </c>
      <c r="CY53" s="75">
        <f t="array" ref="CY53">SUM((YEAR(Gastos!$A$2:$A$2500)=CY$1)*(MONTH(Gastos!$A$2:$A$2500)=CY$3)*(Gastos!$B$2:$B$2500=$A53)*(Gastos!$D$2:$D$2500))</f>
        <v>0</v>
      </c>
      <c r="CZ53" s="75">
        <f t="array" ref="CZ53">SUM((YEAR(Gastos!$A$2:$A$2500)=CZ$1)*(MONTH(Gastos!$A$2:$A$2500)=CZ$3)*(Gastos!$B$2:$B$2500=$A53)*(Gastos!$D$2:$D$2500))</f>
        <v>0</v>
      </c>
      <c r="DA53" s="75">
        <f t="array" ref="DA53">SUM((YEAR(Gastos!$A$2:$A$2500)=DA$1)*(MONTH(Gastos!$A$2:$A$2500)=DA$3)*(Gastos!$B$2:$B$2500=$A53)*(Gastos!$D$2:$D$2500))</f>
        <v>0</v>
      </c>
      <c r="DB53" s="75">
        <f t="array" ref="DB53">SUM((YEAR(Gastos!$A$2:$A$2500)=DB$1)*(MONTH(Gastos!$A$2:$A$2500)=DB$3)*(Gastos!$B$2:$B$2500=$A53)*(Gastos!$D$2:$D$2500))</f>
        <v>0</v>
      </c>
      <c r="DC53" s="75">
        <f t="array" ref="DC53">SUM((YEAR(Gastos!$A$2:$A$2500)=DC$1)*(MONTH(Gastos!$A$2:$A$2500)=DC$3)*(Gastos!$B$2:$B$2500=$A53)*(Gastos!$D$2:$D$2500))</f>
        <v>0</v>
      </c>
      <c r="DD53" s="75">
        <f t="array" ref="DD53">SUM((YEAR(Gastos!$A$2:$A$2500)=DD$1)*(MONTH(Gastos!$A$2:$A$2500)=DD$3)*(Gastos!$B$2:$B$2500=$A53)*(Gastos!$D$2:$D$2500))</f>
        <v>0</v>
      </c>
      <c r="DE53" s="75">
        <f t="array" ref="DE53">SUM((YEAR(Gastos!$A$2:$A$2500)=DE$1)*(MONTH(Gastos!$A$2:$A$2500)=DE$3)*(Gastos!$B$2:$B$2500=$A53)*(Gastos!$D$2:$D$2500))</f>
        <v>0</v>
      </c>
      <c r="DF53" s="75">
        <f t="array" ref="DF53">SUM((YEAR(Gastos!$A$2:$A$2500)=DF$1)*(MONTH(Gastos!$A$2:$A$2500)=DF$3)*(Gastos!$B$2:$B$2500=$A53)*(Gastos!$D$2:$D$2500))</f>
        <v>0</v>
      </c>
      <c r="DG53" s="75">
        <f t="array" ref="DG53">SUM((YEAR(Gastos!$A$2:$A$2500)=DG$1)*(MONTH(Gastos!$A$2:$A$2500)=DG$3)*(Gastos!$B$2:$B$2500=$A53)*(Gastos!$D$2:$D$2500))</f>
        <v>0</v>
      </c>
      <c r="DH53" s="75">
        <f t="array" ref="DH53">SUM((YEAR(Gastos!$A$2:$A$2500)=DH$1)*(MONTH(Gastos!$A$2:$A$2500)=DH$3)*(Gastos!$B$2:$B$2500=$A53)*(Gastos!$D$2:$D$2500))</f>
        <v>0</v>
      </c>
      <c r="DI53" s="75">
        <f t="array" ref="DI53">SUM((YEAR(Gastos!$A$2:$A$2500)=DI$1)*(MONTH(Gastos!$A$2:$A$2500)=DI$3)*(Gastos!$B$2:$B$2500=$A53)*(Gastos!$D$2:$D$2500))</f>
        <v>0</v>
      </c>
      <c r="DJ53" s="75">
        <f t="array" ref="DJ53">SUM((YEAR(Gastos!$A$2:$A$2500)=DJ$1)*(MONTH(Gastos!$A$2:$A$2500)=DJ$3)*(Gastos!$B$2:$B$2500=$A53)*(Gastos!$D$2:$D$2500))</f>
        <v>0</v>
      </c>
      <c r="DK53" s="75">
        <f t="array" ref="DK53">SUM((YEAR(Gastos!$A$2:$A$2500)=DK$1)*(MONTH(Gastos!$A$2:$A$2500)=DK$3)*(Gastos!$B$2:$B$2500=$A53)*(Gastos!$D$2:$D$2500))</f>
        <v>0</v>
      </c>
      <c r="DL53" s="75">
        <f t="array" ref="DL53">SUM((YEAR(Gastos!$A$2:$A$2500)=DL$1)*(MONTH(Gastos!$A$2:$A$2500)=DL$3)*(Gastos!$B$2:$B$2500=$A53)*(Gastos!$D$2:$D$2500))</f>
        <v>0</v>
      </c>
      <c r="DM53" s="75">
        <f t="array" ref="DM53">SUM((YEAR(Gastos!$A$2:$A$2500)=DM$1)*(MONTH(Gastos!$A$2:$A$2500)=DM$3)*(Gastos!$B$2:$B$2500=$A53)*(Gastos!$D$2:$D$2500))</f>
        <v>0</v>
      </c>
      <c r="DN53" s="75">
        <f t="array" ref="DN53">SUM((YEAR(Gastos!$A$2:$A$2500)=DN$1)*(MONTH(Gastos!$A$2:$A$2500)=DN$3)*(Gastos!$B$2:$B$2500=$A53)*(Gastos!$D$2:$D$2500))</f>
        <v>0</v>
      </c>
      <c r="DO53" s="75">
        <f t="array" ref="DO53">SUM((YEAR(Gastos!$A$2:$A$2500)=DO$1)*(MONTH(Gastos!$A$2:$A$2500)=DO$3)*(Gastos!$B$2:$B$2500=$A53)*(Gastos!$D$2:$D$2500))</f>
        <v>0</v>
      </c>
      <c r="DP53" s="75">
        <f t="array" ref="DP53">SUM((YEAR(Gastos!$A$2:$A$2500)=DP$1)*(MONTH(Gastos!$A$2:$A$2500)=DP$3)*(Gastos!$B$2:$B$2500=$A53)*(Gastos!$D$2:$D$2500))</f>
        <v>0</v>
      </c>
      <c r="DQ53" s="75">
        <f t="array" ref="DQ53">SUM((YEAR(Gastos!$A$2:$A$2500)=DQ$1)*(MONTH(Gastos!$A$2:$A$2500)=DQ$3)*(Gastos!$B$2:$B$2500=$A53)*(Gastos!$D$2:$D$2500))</f>
        <v>0</v>
      </c>
      <c r="DR53" s="75">
        <f t="array" ref="DR53">SUM((YEAR(Gastos!$A$2:$A$2500)=DR$1)*(MONTH(Gastos!$A$2:$A$2500)=DR$3)*(Gastos!$B$2:$B$2500=$A53)*(Gastos!$D$2:$D$2500))</f>
        <v>0</v>
      </c>
      <c r="DS53" s="75">
        <f t="array" ref="DS53">SUM((YEAR(Gastos!$A$2:$A$2500)=DS$1)*(MONTH(Gastos!$A$2:$A$2500)=DS$3)*(Gastos!$B$2:$B$2500=$A53)*(Gastos!$D$2:$D$2500))</f>
        <v>0</v>
      </c>
      <c r="DT53" s="75">
        <f t="array" ref="DT53">SUM((YEAR(Gastos!$A$2:$A$2500)=DT$1)*(MONTH(Gastos!$A$2:$A$2500)=DT$3)*(Gastos!$B$2:$B$2500=$A53)*(Gastos!$D$2:$D$2500))</f>
        <v>0</v>
      </c>
      <c r="DU53" s="75">
        <f t="array" ref="DU53">SUM((YEAR(Gastos!$A$2:$A$2500)=DU$1)*(MONTH(Gastos!$A$2:$A$2500)=DU$3)*(Gastos!$B$2:$B$2500=$A53)*(Gastos!$D$2:$D$2500))</f>
        <v>0</v>
      </c>
      <c r="DV53" s="75">
        <f t="array" ref="DV53">SUM((YEAR(Gastos!$A$2:$A$2500)=DV$1)*(MONTH(Gastos!$A$2:$A$2500)=DV$3)*(Gastos!$B$2:$B$2500=$A53)*(Gastos!$D$2:$D$2500))</f>
        <v>0</v>
      </c>
      <c r="DW53" s="75">
        <f t="array" ref="DW53">SUM((YEAR(Gastos!$A$2:$A$2500)=DW$1)*(MONTH(Gastos!$A$2:$A$2500)=DW$3)*(Gastos!$B$2:$B$2500=$A53)*(Gastos!$D$2:$D$2500))</f>
        <v>0</v>
      </c>
      <c r="DX53" s="75">
        <f t="array" ref="DX53">SUM((YEAR(Gastos!$A$2:$A$2500)=DX$1)*(MONTH(Gastos!$A$2:$A$2500)=DX$3)*(Gastos!$B$2:$B$2500=$A53)*(Gastos!$D$2:$D$2500))</f>
        <v>0</v>
      </c>
      <c r="DY53" s="75">
        <f t="array" ref="DY53">SUM((YEAR(Gastos!$A$2:$A$2500)=DY$1)*(MONTH(Gastos!$A$2:$A$2500)=DY$3)*(Gastos!$B$2:$B$2500=$A53)*(Gastos!$D$2:$D$2500))</f>
        <v>0</v>
      </c>
      <c r="DZ53" s="75">
        <f t="array" ref="DZ53">SUM((YEAR(Gastos!$A$2:$A$2500)=DZ$1)*(MONTH(Gastos!$A$2:$A$2500)=DZ$3)*(Gastos!$B$2:$B$2500=$A53)*(Gastos!$D$2:$D$2500))</f>
        <v>0</v>
      </c>
      <c r="EA53" s="75">
        <f t="array" ref="EA53">SUM((YEAR(Gastos!$A$2:$A$2500)=EA$1)*(MONTH(Gastos!$A$2:$A$2500)=EA$3)*(Gastos!$B$2:$B$2500=$A53)*(Gastos!$D$2:$D$2500))</f>
        <v>0</v>
      </c>
      <c r="EB53" s="75">
        <f t="array" ref="EB53">SUM((YEAR(Gastos!$A$2:$A$2500)=EB$1)*(MONTH(Gastos!$A$2:$A$2500)=EB$3)*(Gastos!$B$2:$B$2500=$A53)*(Gastos!$D$2:$D$2500))</f>
        <v>0</v>
      </c>
      <c r="EC53" s="75">
        <f t="array" ref="EC53">SUM((YEAR(Gastos!$A$2:$A$2500)=EC$1)*(MONTH(Gastos!$A$2:$A$2500)=EC$3)*(Gastos!$B$2:$B$2500=$A53)*(Gastos!$D$2:$D$2500))</f>
        <v>0</v>
      </c>
      <c r="ED53" s="75">
        <f t="array" ref="ED53">SUM((YEAR(Gastos!$A$2:$A$2500)=ED$1)*(MONTH(Gastos!$A$2:$A$2500)=ED$3)*(Gastos!$B$2:$B$2500=$A53)*(Gastos!$D$2:$D$2500))</f>
        <v>0</v>
      </c>
      <c r="EE53" s="75">
        <f t="array" ref="EE53">SUM((YEAR(Gastos!$A$2:$A$2500)=EE$1)*(MONTH(Gastos!$A$2:$A$2500)=EE$3)*(Gastos!$B$2:$B$2500=$A53)*(Gastos!$D$2:$D$2500))</f>
        <v>0</v>
      </c>
      <c r="EF53" s="75">
        <f t="array" ref="EF53">SUM((YEAR(Gastos!$A$2:$A$2500)=EF$1)*(MONTH(Gastos!$A$2:$A$2500)=EF$3)*(Gastos!$B$2:$B$2500=$A53)*(Gastos!$D$2:$D$2500))</f>
        <v>0</v>
      </c>
      <c r="EG53" s="75">
        <f t="array" ref="EG53">SUM((YEAR(Gastos!$A$2:$A$2500)=EG$1)*(MONTH(Gastos!$A$2:$A$2500)=EG$3)*(Gastos!$B$2:$B$2500=$A53)*(Gastos!$D$2:$D$2500))</f>
        <v>0</v>
      </c>
      <c r="EH53" s="75">
        <f t="array" ref="EH53">SUM((YEAR(Gastos!$A$2:$A$2500)=EH$1)*(MONTH(Gastos!$A$2:$A$2500)=EH$3)*(Gastos!$B$2:$B$2500=$A53)*(Gastos!$D$2:$D$2500))</f>
        <v>0</v>
      </c>
      <c r="EI53" s="75">
        <f t="array" ref="EI53">SUM((YEAR(Gastos!$A$2:$A$2500)=EI$1)*(MONTH(Gastos!$A$2:$A$2500)=EI$3)*(Gastos!$B$2:$B$2500=$A53)*(Gastos!$D$2:$D$2500))</f>
        <v>0</v>
      </c>
      <c r="EJ53" s="75">
        <f t="array" ref="EJ53">SUM((YEAR(Gastos!$A$2:$A$2500)=EJ$1)*(MONTH(Gastos!$A$2:$A$2500)=EJ$3)*(Gastos!$B$2:$B$2500=$A53)*(Gastos!$D$2:$D$2500))</f>
        <v>0</v>
      </c>
      <c r="EK53" s="75">
        <f t="array" ref="EK53">SUM((YEAR(Gastos!$A$2:$A$2500)=EK$1)*(MONTH(Gastos!$A$2:$A$2500)=EK$3)*(Gastos!$B$2:$B$2500=$A53)*(Gastos!$D$2:$D$2500))</f>
        <v>0</v>
      </c>
      <c r="EL53" s="75">
        <f t="array" ref="EL53">SUM((YEAR(Gastos!$A$2:$A$2500)=EL$1)*(MONTH(Gastos!$A$2:$A$2500)=EL$3)*(Gastos!$B$2:$B$2500=$A53)*(Gastos!$D$2:$D$2500))</f>
        <v>0</v>
      </c>
      <c r="EM53" s="75">
        <f t="array" ref="EM53">SUM((YEAR(Gastos!$A$2:$A$2500)=EM$1)*(MONTH(Gastos!$A$2:$A$2500)=EM$3)*(Gastos!$B$2:$B$2500=$A53)*(Gastos!$D$2:$D$2500))</f>
        <v>0</v>
      </c>
      <c r="EN53" s="75">
        <f t="array" ref="EN53">SUM((YEAR(Gastos!$A$2:$A$2500)=EN$1)*(MONTH(Gastos!$A$2:$A$2500)=EN$3)*(Gastos!$B$2:$B$2500=$A53)*(Gastos!$D$2:$D$2500))</f>
        <v>0</v>
      </c>
      <c r="EO53" s="75">
        <f t="array" ref="EO53">SUM((YEAR(Gastos!$A$2:$A$2500)=EO$1)*(MONTH(Gastos!$A$2:$A$2500)=EO$3)*(Gastos!$B$2:$B$2500=$A53)*(Gastos!$D$2:$D$2500))</f>
        <v>0</v>
      </c>
      <c r="EP53" s="75">
        <f t="array" ref="EP53">SUM((YEAR(Gastos!$A$2:$A$2500)=EP$1)*(MONTH(Gastos!$A$2:$A$2500)=EP$3)*(Gastos!$B$2:$B$2500=$A53)*(Gastos!$D$2:$D$2500))</f>
        <v>0</v>
      </c>
      <c r="EQ53" s="75">
        <f t="array" ref="EQ53">SUM((YEAR(Gastos!$A$2:$A$2500)=EQ$1)*(MONTH(Gastos!$A$2:$A$2500)=EQ$3)*(Gastos!$B$2:$B$2500=$A53)*(Gastos!$D$2:$D$2500))</f>
        <v>0</v>
      </c>
      <c r="ER53" s="75">
        <f t="array" ref="ER53">SUM((YEAR(Gastos!$A$2:$A$2500)=ER$1)*(MONTH(Gastos!$A$2:$A$2500)=ER$3)*(Gastos!$B$2:$B$2500=$A53)*(Gastos!$D$2:$D$2500))</f>
        <v>0</v>
      </c>
      <c r="ES53" s="75">
        <f t="array" ref="ES53">SUM((YEAR(Gastos!$A$2:$A$2500)=ES$1)*(MONTH(Gastos!$A$2:$A$2500)=ES$3)*(Gastos!$B$2:$B$2500=$A53)*(Gastos!$D$2:$D$2500))</f>
        <v>0</v>
      </c>
      <c r="ET53" s="75">
        <f t="array" ref="ET53">SUM((YEAR(Gastos!$A$2:$A$2500)=ET$1)*(MONTH(Gastos!$A$2:$A$2500)=ET$3)*(Gastos!$B$2:$B$2500=$A53)*(Gastos!$D$2:$D$2500))</f>
        <v>0</v>
      </c>
      <c r="EU53" s="75">
        <f t="array" ref="EU53">SUM((YEAR(Gastos!$A$2:$A$2500)=EU$1)*(MONTH(Gastos!$A$2:$A$2500)=EU$3)*(Gastos!$B$2:$B$2500=$A53)*(Gastos!$D$2:$D$2500))</f>
        <v>0</v>
      </c>
      <c r="EV53" s="75">
        <f t="array" ref="EV53">SUM((YEAR(Gastos!$A$2:$A$2500)=EV$1)*(MONTH(Gastos!$A$2:$A$2500)=EV$3)*(Gastos!$B$2:$B$2500=$A53)*(Gastos!$D$2:$D$2500))</f>
        <v>0</v>
      </c>
      <c r="EW53" s="75">
        <f t="array" ref="EW53">SUM((YEAR(Gastos!$A$2:$A$2500)=EW$1)*(MONTH(Gastos!$A$2:$A$2500)=EW$3)*(Gastos!$B$2:$B$2500=$A53)*(Gastos!$D$2:$D$2500))</f>
        <v>0</v>
      </c>
      <c r="EX53" s="75">
        <f t="array" ref="EX53">SUM((YEAR(Gastos!$A$2:$A$2500)=EX$1)*(MONTH(Gastos!$A$2:$A$2500)=EX$3)*(Gastos!$B$2:$B$2500=$A53)*(Gastos!$D$2:$D$2500))</f>
        <v>0</v>
      </c>
      <c r="EY53" s="75">
        <f t="array" ref="EY53">SUM((YEAR(Gastos!$A$2:$A$2500)=EY$1)*(MONTH(Gastos!$A$2:$A$2500)=EY$3)*(Gastos!$B$2:$B$2500=$A53)*(Gastos!$D$2:$D$2500))</f>
        <v>0</v>
      </c>
      <c r="EZ53" s="75">
        <f t="array" ref="EZ53">SUM((YEAR(Gastos!$A$2:$A$2500)=EZ$1)*(MONTH(Gastos!$A$2:$A$2500)=EZ$3)*(Gastos!$B$2:$B$2500=$A53)*(Gastos!$D$2:$D$2500))</f>
        <v>0</v>
      </c>
      <c r="FA53" s="75">
        <f t="array" ref="FA53">SUM((YEAR(Gastos!$A$2:$A$2500)=FA$1)*(MONTH(Gastos!$A$2:$A$2500)=FA$3)*(Gastos!$B$2:$B$2500=$A53)*(Gastos!$D$2:$D$2500))</f>
        <v>0</v>
      </c>
      <c r="FB53" s="75">
        <f t="array" ref="FB53">SUM((YEAR(Gastos!$A$2:$A$2500)=FB$1)*(MONTH(Gastos!$A$2:$A$2500)=FB$3)*(Gastos!$B$2:$B$2500=$A53)*(Gastos!$D$2:$D$2500))</f>
        <v>0</v>
      </c>
      <c r="FC53" s="75">
        <f t="array" ref="FC53">SUM((YEAR(Gastos!$A$2:$A$2500)=FC$1)*(MONTH(Gastos!$A$2:$A$2500)=FC$3)*(Gastos!$B$2:$B$2500=$A53)*(Gastos!$D$2:$D$2500))</f>
        <v>0</v>
      </c>
      <c r="FD53" s="75">
        <f t="array" ref="FD53">SUM((YEAR(Gastos!$A$2:$A$2500)=FD$1)*(MONTH(Gastos!$A$2:$A$2500)=FD$3)*(Gastos!$B$2:$B$2500=$A53)*(Gastos!$D$2:$D$2500))</f>
        <v>0</v>
      </c>
      <c r="FE53" s="75">
        <f t="array" ref="FE53">SUM((YEAR(Gastos!$A$2:$A$2500)=FE$1)*(MONTH(Gastos!$A$2:$A$2500)=FE$3)*(Gastos!$B$2:$B$2500=$A53)*(Gastos!$D$2:$D$2500))</f>
        <v>0</v>
      </c>
      <c r="FF53" s="75">
        <f t="array" ref="FF53">SUM((YEAR(Gastos!$A$2:$A$2500)=FF$1)*(MONTH(Gastos!$A$2:$A$2500)=FF$3)*(Gastos!$B$2:$B$2500=$A53)*(Gastos!$D$2:$D$2500))</f>
        <v>0</v>
      </c>
      <c r="FG53" s="75">
        <f t="array" ref="FG53">SUM((YEAR(Gastos!$A$2:$A$2500)=FG$1)*(MONTH(Gastos!$A$2:$A$2500)=FG$3)*(Gastos!$B$2:$B$2500=$A53)*(Gastos!$D$2:$D$2500))</f>
        <v>0</v>
      </c>
      <c r="FH53" s="75">
        <f t="array" ref="FH53">SUM((YEAR(Gastos!$A$2:$A$2500)=FH$1)*(MONTH(Gastos!$A$2:$A$2500)=FH$3)*(Gastos!$B$2:$B$2500=$A53)*(Gastos!$D$2:$D$2500))</f>
        <v>0</v>
      </c>
      <c r="FI53" s="75">
        <f t="array" ref="FI53">SUM((YEAR(Gastos!$A$2:$A$2500)=FI$1)*(MONTH(Gastos!$A$2:$A$2500)=FI$3)*(Gastos!$B$2:$B$2500=$A53)*(Gastos!$D$2:$D$2500))</f>
        <v>0</v>
      </c>
      <c r="FJ53" s="75">
        <f t="array" ref="FJ53">SUM((YEAR(Gastos!$A$2:$A$2500)=FJ$1)*(MONTH(Gastos!$A$2:$A$2500)=FJ$3)*(Gastos!$B$2:$B$2500=$A53)*(Gastos!$D$2:$D$2500))</f>
        <v>0</v>
      </c>
      <c r="FK53" s="75">
        <f t="array" ref="FK53">SUM((YEAR(Gastos!$A$2:$A$2500)=FK$1)*(MONTH(Gastos!$A$2:$A$2500)=FK$3)*(Gastos!$B$2:$B$2500=$A53)*(Gastos!$D$2:$D$2500))</f>
        <v>0</v>
      </c>
      <c r="FL53" s="75">
        <f t="array" ref="FL53">SUM((YEAR(Gastos!$A$2:$A$2500)=FL$1)*(MONTH(Gastos!$A$2:$A$2500)=FL$3)*(Gastos!$B$2:$B$2500=$A53)*(Gastos!$D$2:$D$2500))</f>
        <v>0</v>
      </c>
      <c r="FM53" s="75">
        <f t="array" ref="FM53">SUM((YEAR(Gastos!$A$2:$A$2500)=FM$1)*(MONTH(Gastos!$A$2:$A$2500)=FM$3)*(Gastos!$B$2:$B$2500=$A53)*(Gastos!$D$2:$D$2500))</f>
        <v>0</v>
      </c>
      <c r="FN53" s="75">
        <f t="array" ref="FN53">SUM((YEAR(Gastos!$A$2:$A$2500)=FN$1)*(MONTH(Gastos!$A$2:$A$2500)=FN$3)*(Gastos!$B$2:$B$2500=$A53)*(Gastos!$D$2:$D$2500))</f>
        <v>0</v>
      </c>
      <c r="FO53" s="75">
        <f t="array" ref="FO53">SUM((YEAR(Gastos!$A$2:$A$2500)=FO$1)*(MONTH(Gastos!$A$2:$A$2500)=FO$3)*(Gastos!$B$2:$B$2500=$A53)*(Gastos!$D$2:$D$2500))</f>
        <v>0</v>
      </c>
      <c r="FP53" s="75">
        <f t="array" ref="FP53">SUM((YEAR(Gastos!$A$2:$A$2500)=FP$1)*(MONTH(Gastos!$A$2:$A$2500)=FP$3)*(Gastos!$B$2:$B$2500=$A53)*(Gastos!$D$2:$D$2500))</f>
        <v>0</v>
      </c>
      <c r="FQ53" s="75">
        <f t="array" ref="FQ53">SUM((YEAR(Gastos!$A$2:$A$2500)=FQ$1)*(MONTH(Gastos!$A$2:$A$2500)=FQ$3)*(Gastos!$B$2:$B$2500=$A53)*(Gastos!$D$2:$D$2500))</f>
        <v>0</v>
      </c>
      <c r="FR53" s="75">
        <f t="array" ref="FR53">SUM((YEAR(Gastos!$A$2:$A$2500)=FR$1)*(MONTH(Gastos!$A$2:$A$2500)=FR$3)*(Gastos!$B$2:$B$2500=$A53)*(Gastos!$D$2:$D$2500))</f>
        <v>0</v>
      </c>
      <c r="FS53" s="75">
        <f t="array" ref="FS53">SUM((YEAR(Gastos!$A$2:$A$2500)=FS$1)*(MONTH(Gastos!$A$2:$A$2500)=FS$3)*(Gastos!$B$2:$B$2500=$A53)*(Gastos!$D$2:$D$2500))</f>
        <v>0</v>
      </c>
      <c r="FT53" s="75">
        <f t="array" ref="FT53">SUM((YEAR(Gastos!$A$2:$A$2500)=FT$1)*(MONTH(Gastos!$A$2:$A$2500)=FT$3)*(Gastos!$B$2:$B$2500=$A53)*(Gastos!$D$2:$D$2500))</f>
        <v>0</v>
      </c>
      <c r="FU53" s="75">
        <f t="array" ref="FU53">SUM((YEAR(Gastos!$A$2:$A$2500)=FU$1)*(MONTH(Gastos!$A$2:$A$2500)=FU$3)*(Gastos!$B$2:$B$2500=$A53)*(Gastos!$D$2:$D$2500))</f>
        <v>0</v>
      </c>
      <c r="FV53" s="75">
        <f t="array" ref="FV53">SUM((YEAR(Gastos!$A$2:$A$2500)=FV$1)*(MONTH(Gastos!$A$2:$A$2500)=FV$3)*(Gastos!$B$2:$B$2500=$A53)*(Gastos!$D$2:$D$2500))</f>
        <v>0</v>
      </c>
      <c r="FW53" s="75">
        <f t="array" ref="FW53">SUM((YEAR(Gastos!$A$2:$A$2500)=FW$1)*(MONTH(Gastos!$A$2:$A$2500)=FW$3)*(Gastos!$B$2:$B$2500=$A53)*(Gastos!$D$2:$D$2500))</f>
        <v>0</v>
      </c>
      <c r="FX53" s="75">
        <f t="array" ref="FX53">SUM((YEAR(Gastos!$A$2:$A$2500)=FX$1)*(MONTH(Gastos!$A$2:$A$2500)=FX$3)*(Gastos!$B$2:$B$2500=$A53)*(Gastos!$D$2:$D$2500))</f>
        <v>0</v>
      </c>
      <c r="FY53" s="75">
        <f t="array" ref="FY53">SUM((YEAR(Gastos!$A$2:$A$2500)=FY$1)*(MONTH(Gastos!$A$2:$A$2500)=FY$3)*(Gastos!$B$2:$B$2500=$A53)*(Gastos!$D$2:$D$2500))</f>
        <v>0</v>
      </c>
      <c r="FZ53" s="76">
        <f t="shared" si="65"/>
        <v>1000</v>
      </c>
      <c r="GA53" s="80"/>
      <c r="GB53" s="78">
        <f t="shared" si="66"/>
        <v>1000</v>
      </c>
      <c r="GF53" s="79">
        <f t="array" ref="GF53">SUM(((Gastos!$A$2:$A$1647)&gt;=GD$3)*((Gastos!$A$2:$A$1647)&lt;=GF$3)*(Gastos!$B$2:$B$1647=$A53)*(Gastos!$D$2:$D$1647))</f>
        <v>1000</v>
      </c>
      <c r="GI53" s="79">
        <f t="array" ref="GI53">SUM(((Gastos!$A$2:$A$1647)&gt;=GG$3)*((Gastos!$A$2:$A$1647)&lt;=GI$3)*(Gastos!$B$2:$B$1647=$A53)*(Gastos!$D$2:$D$1647))</f>
        <v>0</v>
      </c>
    </row>
    <row r="54" spans="1:191" ht="15" thickBot="1" x14ac:dyDescent="0.4">
      <c r="A54" s="74" t="str">
        <f>Gastos!AA52</f>
        <v>V. SAT</v>
      </c>
      <c r="B54" s="75">
        <f t="array" ref="B54">SUM((YEAR(Gastos!$A$2:$A$2500)=B$1)*(MONTH(Gastos!$A$2:$A$2500)=B$3)*(Gastos!$B$2:$B$2500=$A54)*(Gastos!$D$2:$D$2500))</f>
        <v>0</v>
      </c>
      <c r="C54" s="75">
        <f t="array" ref="C54">SUM((YEAR(Gastos!$A$2:$A$2500)=C$1)*(MONTH(Gastos!$A$2:$A$2500)=C$3)*(Gastos!$B$2:$B$2500=$A54)*(Gastos!$D$2:$D$2500))</f>
        <v>0</v>
      </c>
      <c r="D54" s="75">
        <f t="array" ref="D54">SUM((YEAR(Gastos!$A$2:$A$2500)=D$1)*(MONTH(Gastos!$A$2:$A$2500)=D$3)*(Gastos!$B$2:$B$2500=$A54)*(Gastos!$D$2:$D$2500))</f>
        <v>0</v>
      </c>
      <c r="E54" s="75">
        <f t="array" ref="E54">SUM((YEAR(Gastos!$A$2:$A$2500)=E$1)*(MONTH(Gastos!$A$2:$A$2500)=E$3)*(Gastos!$B$2:$B$2500=$A54)*(Gastos!$D$2:$D$2500))</f>
        <v>0</v>
      </c>
      <c r="F54" s="75">
        <f t="array" ref="F54">SUM((YEAR(Gastos!$A$2:$A$2500)=F$1)*(MONTH(Gastos!$A$2:$A$2500)=F$3)*(Gastos!$B$2:$B$2500=$A54)*(Gastos!$D$2:$D$2500))</f>
        <v>0</v>
      </c>
      <c r="G54" s="75">
        <f t="array" ref="G54">SUM((YEAR(Gastos!$A$2:$A$2500)=G$1)*(MONTH(Gastos!$A$2:$A$2500)=G$3)*(Gastos!$B$2:$B$2500=$A54)*(Gastos!$D$2:$D$2500))</f>
        <v>0</v>
      </c>
      <c r="H54" s="75">
        <f t="array" ref="H54">SUM((YEAR(Gastos!$A$2:$A$2500)=H$1)*(MONTH(Gastos!$A$2:$A$2500)=H$3)*(Gastos!$B$2:$B$2500=$A54)*(Gastos!$D$2:$D$2500))</f>
        <v>0</v>
      </c>
      <c r="I54" s="75">
        <f t="array" ref="I54">SUM((YEAR(Gastos!$A$2:$A$2500)=I$1)*(MONTH(Gastos!$A$2:$A$2500)=I$3)*(Gastos!$B$2:$B$2500=$A54)*(Gastos!$D$2:$D$2500))</f>
        <v>0</v>
      </c>
      <c r="J54" s="75">
        <f t="array" ref="J54">SUM((YEAR(Gastos!$A$2:$A$2500)=J$1)*(MONTH(Gastos!$A$2:$A$2500)=J$3)*(Gastos!$B$2:$B$2500=$A54)*(Gastos!$D$2:$D$2500))</f>
        <v>0</v>
      </c>
      <c r="K54" s="75">
        <f t="array" ref="K54">SUM((YEAR(Gastos!$A$2:$A$2500)=K$1)*(MONTH(Gastos!$A$2:$A$2500)=K$3)*(Gastos!$B$2:$B$2500=$A54)*(Gastos!$D$2:$D$2500))</f>
        <v>0</v>
      </c>
      <c r="L54" s="75">
        <f t="array" ref="L54">SUM((YEAR(Gastos!$A$2:$A$2500)=L$1)*(MONTH(Gastos!$A$2:$A$2500)=L$3)*(Gastos!$B$2:$B$2500=$A54)*(Gastos!$D$2:$D$2500))</f>
        <v>0</v>
      </c>
      <c r="M54" s="75">
        <f t="array" ref="M54">SUM((YEAR(Gastos!$A$2:$A$2500)=M$1)*(MONTH(Gastos!$A$2:$A$2500)=M$3)*(Gastos!$B$2:$B$2500=$A54)*(Gastos!$D$2:$D$2500))</f>
        <v>0</v>
      </c>
      <c r="N54" s="75">
        <f t="array" ref="N54">SUM((YEAR(Gastos!$A$2:$A$2500)=N$1)*(MONTH(Gastos!$A$2:$A$2500)=N$3)*(Gastos!$B$2:$B$2500=$A54)*(Gastos!$D$2:$D$2500))</f>
        <v>0</v>
      </c>
      <c r="O54" s="75">
        <f t="array" ref="O54">SUM((YEAR(Gastos!$A$2:$A$2500)=O$1)*(MONTH(Gastos!$A$2:$A$2500)=O$3)*(Gastos!$B$2:$B$2500=$A54)*(Gastos!$D$2:$D$2500))</f>
        <v>0</v>
      </c>
      <c r="P54" s="75">
        <f t="array" ref="P54">SUM((YEAR(Gastos!$A$2:$A$2500)=P$1)*(MONTH(Gastos!$A$2:$A$2500)=P$3)*(Gastos!$B$2:$B$2500=$A54)*(Gastos!$D$2:$D$2500))</f>
        <v>0</v>
      </c>
      <c r="Q54" s="75">
        <f t="array" ref="Q54">SUM((YEAR(Gastos!$A$2:$A$2500)=Q$1)*(MONTH(Gastos!$A$2:$A$2500)=Q$3)*(Gastos!$B$2:$B$2500=$A54)*(Gastos!$D$2:$D$2500))</f>
        <v>0</v>
      </c>
      <c r="R54" s="75">
        <f t="array" ref="R54">SUM((YEAR(Gastos!$A$2:$A$2500)=R$1)*(MONTH(Gastos!$A$2:$A$2500)=R$3)*(Gastos!$B$2:$B$2500=$A54)*(Gastos!$D$2:$D$2500))</f>
        <v>0</v>
      </c>
      <c r="S54" s="75">
        <f t="array" ref="S54">SUM((YEAR(Gastos!$A$2:$A$2500)=S$1)*(MONTH(Gastos!$A$2:$A$2500)=S$3)*(Gastos!$B$2:$B$2500=$A54)*(Gastos!$D$2:$D$2500))</f>
        <v>0</v>
      </c>
      <c r="T54" s="75">
        <f t="array" ref="T54">SUM((YEAR(Gastos!$A$2:$A$2500)=T$1)*(MONTH(Gastos!$A$2:$A$2500)=T$3)*(Gastos!$B$2:$B$2500=$A54)*(Gastos!$D$2:$D$2500))</f>
        <v>0</v>
      </c>
      <c r="U54" s="75">
        <f t="array" ref="U54">SUM((YEAR(Gastos!$A$2:$A$2500)=U$1)*(MONTH(Gastos!$A$2:$A$2500)=U$3)*(Gastos!$B$2:$B$2500=$A54)*(Gastos!$D$2:$D$2500))</f>
        <v>0</v>
      </c>
      <c r="V54" s="75">
        <f t="array" ref="V54">SUM((YEAR(Gastos!$A$2:$A$2500)=V$1)*(MONTH(Gastos!$A$2:$A$2500)=V$3)*(Gastos!$B$2:$B$2500=$A54)*(Gastos!$D$2:$D$2500))</f>
        <v>0</v>
      </c>
      <c r="W54" s="75">
        <f t="array" ref="W54">SUM((YEAR(Gastos!$A$2:$A$2500)=W$1)*(MONTH(Gastos!$A$2:$A$2500)=W$3)*(Gastos!$B$2:$B$2500=$A54)*(Gastos!$D$2:$D$2500))</f>
        <v>0</v>
      </c>
      <c r="X54" s="75">
        <f t="array" ref="X54">SUM((YEAR(Gastos!$A$2:$A$2500)=X$1)*(MONTH(Gastos!$A$2:$A$2500)=X$3)*(Gastos!$B$2:$B$2500=$A54)*(Gastos!$D$2:$D$2500))</f>
        <v>0</v>
      </c>
      <c r="Y54" s="75">
        <f t="array" ref="Y54">SUM((YEAR(Gastos!$A$2:$A$2500)=Y$1)*(MONTH(Gastos!$A$2:$A$2500)=Y$3)*(Gastos!$B$2:$B$2500=$A54)*(Gastos!$D$2:$D$2500))</f>
        <v>0</v>
      </c>
      <c r="Z54" s="75">
        <f t="array" ref="Z54">SUM((YEAR(Gastos!$A$2:$A$2500)=Z$1)*(MONTH(Gastos!$A$2:$A$2500)=Z$3)*(Gastos!$B$2:$B$2500=$A54)*(Gastos!$D$2:$D$2500))</f>
        <v>0</v>
      </c>
      <c r="AA54" s="75">
        <f t="array" ref="AA54">SUM((YEAR(Gastos!$A$2:$A$2500)=AA$1)*(MONTH(Gastos!$A$2:$A$2500)=AA$3)*(Gastos!$B$2:$B$2500=$A54)*(Gastos!$D$2:$D$2500))</f>
        <v>0</v>
      </c>
      <c r="AB54" s="75">
        <f t="array" ref="AB54">SUM((YEAR(Gastos!$A$2:$A$2500)=AB$1)*(MONTH(Gastos!$A$2:$A$2500)=AB$3)*(Gastos!$B$2:$B$2500=$A54)*(Gastos!$D$2:$D$2500))</f>
        <v>0</v>
      </c>
      <c r="AC54" s="75">
        <f t="array" ref="AC54">SUM((YEAR(Gastos!$A$2:$A$2500)=AC$1)*(MONTH(Gastos!$A$2:$A$2500)=AC$3)*(Gastos!$B$2:$B$2500=$A54)*(Gastos!$D$2:$D$2500))</f>
        <v>0</v>
      </c>
      <c r="AD54" s="75">
        <f t="array" ref="AD54">SUM((YEAR(Gastos!$A$2:$A$2500)=AD$1)*(MONTH(Gastos!$A$2:$A$2500)=AD$3)*(Gastos!$B$2:$B$2500=$A54)*(Gastos!$D$2:$D$2500))</f>
        <v>0</v>
      </c>
      <c r="AE54" s="75">
        <f t="array" ref="AE54">SUM((YEAR(Gastos!$A$2:$A$2500)=AE$1)*(MONTH(Gastos!$A$2:$A$2500)=AE$3)*(Gastos!$B$2:$B$2500=$A54)*(Gastos!$D$2:$D$2500))</f>
        <v>0</v>
      </c>
      <c r="AF54" s="75">
        <f t="array" ref="AF54">SUM((YEAR(Gastos!$A$2:$A$2500)=AF$1)*(MONTH(Gastos!$A$2:$A$2500)=AF$3)*(Gastos!$B$2:$B$2500=$A54)*(Gastos!$D$2:$D$2500))</f>
        <v>0</v>
      </c>
      <c r="AG54" s="75">
        <f t="array" ref="AG54">SUM((YEAR(Gastos!$A$2:$A$2500)=AG$1)*(MONTH(Gastos!$A$2:$A$2500)=AG$3)*(Gastos!$B$2:$B$2500=$A54)*(Gastos!$D$2:$D$2500))</f>
        <v>0</v>
      </c>
      <c r="AH54" s="75">
        <f t="array" ref="AH54">SUM((YEAR(Gastos!$A$2:$A$2500)=AH$1)*(MONTH(Gastos!$A$2:$A$2500)=AH$3)*(Gastos!$B$2:$B$2500=$A54)*(Gastos!$D$2:$D$2500))</f>
        <v>0</v>
      </c>
      <c r="AI54" s="75">
        <f t="array" ref="AI54">SUM((YEAR(Gastos!$A$2:$A$2500)=AI$1)*(MONTH(Gastos!$A$2:$A$2500)=AI$3)*(Gastos!$B$2:$B$2500=$A54)*(Gastos!$D$2:$D$2500))</f>
        <v>0</v>
      </c>
      <c r="AJ54" s="75">
        <f t="array" ref="AJ54">SUM((YEAR(Gastos!$A$2:$A$2500)=AJ$1)*(MONTH(Gastos!$A$2:$A$2500)=AJ$3)*(Gastos!$B$2:$B$2500=$A54)*(Gastos!$D$2:$D$2500))</f>
        <v>0</v>
      </c>
      <c r="AK54" s="75">
        <f t="array" ref="AK54">SUM((YEAR(Gastos!$A$2:$A$2500)=AK$1)*(MONTH(Gastos!$A$2:$A$2500)=AK$3)*(Gastos!$B$2:$B$2500=$A54)*(Gastos!$D$2:$D$2500))</f>
        <v>0</v>
      </c>
      <c r="AL54" s="75">
        <f t="array" ref="AL54">SUM((YEAR(Gastos!$A$2:$A$2500)=AL$1)*(MONTH(Gastos!$A$2:$A$2500)=AL$3)*(Gastos!$B$2:$B$2500=$A54)*(Gastos!$D$2:$D$2500))</f>
        <v>0</v>
      </c>
      <c r="AM54" s="75">
        <f t="array" ref="AM54">SUM((YEAR(Gastos!$A$2:$A$2500)=AM$1)*(MONTH(Gastos!$A$2:$A$2500)=AM$3)*(Gastos!$B$2:$B$2500=$A54)*(Gastos!$D$2:$D$2500))</f>
        <v>0</v>
      </c>
      <c r="AN54" s="75">
        <f t="array" ref="AN54">SUM((YEAR(Gastos!$A$2:$A$2500)=AN$1)*(MONTH(Gastos!$A$2:$A$2500)=AN$3)*(Gastos!$B$2:$B$2500=$A54)*(Gastos!$D$2:$D$2500))</f>
        <v>0</v>
      </c>
      <c r="AO54" s="75">
        <f t="array" ref="AO54">SUM((YEAR(Gastos!$A$2:$A$2500)=AO$1)*(MONTH(Gastos!$A$2:$A$2500)=AO$3)*(Gastos!$B$2:$B$2500=$A54)*(Gastos!$D$2:$D$2500))</f>
        <v>0</v>
      </c>
      <c r="AP54" s="75">
        <f t="array" ref="AP54">SUM((YEAR(Gastos!$A$2:$A$2500)=AP$1)*(MONTH(Gastos!$A$2:$A$2500)=AP$3)*(Gastos!$B$2:$B$2500=$A54)*(Gastos!$D$2:$D$2500))</f>
        <v>0</v>
      </c>
      <c r="AQ54" s="75">
        <f t="array" ref="AQ54">SUM((YEAR(Gastos!$A$2:$A$2500)=AQ$1)*(MONTH(Gastos!$A$2:$A$2500)=AQ$3)*(Gastos!$B$2:$B$2500=$A54)*(Gastos!$D$2:$D$2500))</f>
        <v>0</v>
      </c>
      <c r="AR54" s="75">
        <f t="array" ref="AR54">SUM((YEAR(Gastos!$A$2:$A$2500)=AR$1)*(MONTH(Gastos!$A$2:$A$2500)=AR$3)*(Gastos!$B$2:$B$2500=$A54)*(Gastos!$D$2:$D$2500))</f>
        <v>0</v>
      </c>
      <c r="AS54" s="75">
        <f t="array" ref="AS54">SUM((YEAR(Gastos!$A$2:$A$2500)=AS$1)*(MONTH(Gastos!$A$2:$A$2500)=AS$3)*(Gastos!$B$2:$B$2500=$A54)*(Gastos!$D$2:$D$2500))</f>
        <v>0</v>
      </c>
      <c r="AT54" s="75">
        <f t="array" ref="AT54">SUM((YEAR(Gastos!$A$2:$A$2500)=AT$1)*(MONTH(Gastos!$A$2:$A$2500)=AT$3)*(Gastos!$B$2:$B$2500=$A54)*(Gastos!$D$2:$D$2500))</f>
        <v>0</v>
      </c>
      <c r="AU54" s="75">
        <f t="array" ref="AU54">SUM((YEAR(Gastos!$A$2:$A$2500)=AU$1)*(MONTH(Gastos!$A$2:$A$2500)=AU$3)*(Gastos!$B$2:$B$2500=$A54)*(Gastos!$D$2:$D$2500))</f>
        <v>0</v>
      </c>
      <c r="AV54" s="75">
        <f t="array" ref="AV54">SUM((YEAR(Gastos!$A$2:$A$2500)=AV$1)*(MONTH(Gastos!$A$2:$A$2500)=AV$3)*(Gastos!$B$2:$B$2500=$A54)*(Gastos!$D$2:$D$2500))</f>
        <v>0</v>
      </c>
      <c r="AW54" s="75">
        <f t="array" ref="AW54">SUM((YEAR(Gastos!$A$2:$A$2500)=AW$1)*(MONTH(Gastos!$A$2:$A$2500)=AW$3)*(Gastos!$B$2:$B$2500=$A54)*(Gastos!$D$2:$D$2500))</f>
        <v>0</v>
      </c>
      <c r="AX54" s="75">
        <f t="array" ref="AX54">SUM((YEAR(Gastos!$A$2:$A$2500)=AX$1)*(MONTH(Gastos!$A$2:$A$2500)=AX$3)*(Gastos!$B$2:$B$2500=$A54)*(Gastos!$D$2:$D$2500))</f>
        <v>0</v>
      </c>
      <c r="AY54" s="75">
        <f t="array" ref="AY54">SUM((YEAR(Gastos!$A$2:$A$2500)=AY$1)*(MONTH(Gastos!$A$2:$A$2500)=AY$3)*(Gastos!$B$2:$B$2500=$A54)*(Gastos!$D$2:$D$2500))</f>
        <v>0</v>
      </c>
      <c r="AZ54" s="75">
        <f t="array" ref="AZ54">SUM((YEAR(Gastos!$A$2:$A$2500)=AZ$1)*(MONTH(Gastos!$A$2:$A$2500)=AZ$3)*(Gastos!$B$2:$B$2500=$A54)*(Gastos!$D$2:$D$2500))</f>
        <v>0</v>
      </c>
      <c r="BA54" s="75">
        <f t="array" ref="BA54">SUM((YEAR(Gastos!$A$2:$A$2500)=BA$1)*(MONTH(Gastos!$A$2:$A$2500)=BA$3)*(Gastos!$B$2:$B$2500=$A54)*(Gastos!$D$2:$D$2500))</f>
        <v>0</v>
      </c>
      <c r="BB54" s="75">
        <f t="array" ref="BB54">SUM((YEAR(Gastos!$A$2:$A$2500)=BB$1)*(MONTH(Gastos!$A$2:$A$2500)=BB$3)*(Gastos!$B$2:$B$2500=$A54)*(Gastos!$D$2:$D$2500))</f>
        <v>0</v>
      </c>
      <c r="BC54" s="75">
        <f t="array" ref="BC54">SUM((YEAR(Gastos!$A$2:$A$2500)=BC$1)*(MONTH(Gastos!$A$2:$A$2500)=BC$3)*(Gastos!$B$2:$B$2500=$A54)*(Gastos!$D$2:$D$2500))</f>
        <v>0</v>
      </c>
      <c r="BD54" s="75">
        <f t="array" ref="BD54">SUM((YEAR(Gastos!$A$2:$A$2500)=BD$1)*(MONTH(Gastos!$A$2:$A$2500)=BD$3)*(Gastos!$B$2:$B$2500=$A54)*(Gastos!$D$2:$D$2500))</f>
        <v>0</v>
      </c>
      <c r="BE54" s="75">
        <f t="array" ref="BE54">SUM((YEAR(Gastos!$A$2:$A$2500)=BE$1)*(MONTH(Gastos!$A$2:$A$2500)=BE$3)*(Gastos!$B$2:$B$2500=$A54)*(Gastos!$D$2:$D$2500))</f>
        <v>0</v>
      </c>
      <c r="BF54" s="75">
        <f t="array" ref="BF54">SUM((YEAR(Gastos!$A$2:$A$2500)=BF$1)*(MONTH(Gastos!$A$2:$A$2500)=BF$3)*(Gastos!$B$2:$B$2500=$A54)*(Gastos!$D$2:$D$2500))</f>
        <v>0</v>
      </c>
      <c r="BG54" s="75">
        <f t="array" ref="BG54">SUM((YEAR(Gastos!$A$2:$A$2500)=BG$1)*(MONTH(Gastos!$A$2:$A$2500)=BG$3)*(Gastos!$B$2:$B$2500=$A54)*(Gastos!$D$2:$D$2500))</f>
        <v>0</v>
      </c>
      <c r="BH54" s="75">
        <f t="array" ref="BH54">SUM((YEAR(Gastos!$A$2:$A$2500)=BH$1)*(MONTH(Gastos!$A$2:$A$2500)=BH$3)*(Gastos!$B$2:$B$2500=$A54)*(Gastos!$D$2:$D$2500))</f>
        <v>0</v>
      </c>
      <c r="BI54" s="75">
        <f t="array" ref="BI54">SUM((YEAR(Gastos!$A$2:$A$2500)=BI$1)*(MONTH(Gastos!$A$2:$A$2500)=BI$3)*(Gastos!$B$2:$B$2500=$A54)*(Gastos!$D$2:$D$2500))</f>
        <v>0</v>
      </c>
      <c r="BJ54" s="75">
        <f t="array" ref="BJ54">SUM((YEAR(Gastos!$A$2:$A$2500)=BJ$1)*(MONTH(Gastos!$A$2:$A$2500)=BJ$3)*(Gastos!$B$2:$B$2500=$A54)*(Gastos!$D$2:$D$2500))</f>
        <v>0</v>
      </c>
      <c r="BK54" s="75">
        <f t="array" ref="BK54">SUM((YEAR(Gastos!$A$2:$A$2500)=BK$1)*(MONTH(Gastos!$A$2:$A$2500)=BK$3)*(Gastos!$B$2:$B$2500=$A54)*(Gastos!$D$2:$D$2500))</f>
        <v>0</v>
      </c>
      <c r="BL54" s="75">
        <f t="array" ref="BL54">SUM((YEAR(Gastos!$A$2:$A$2500)=BL$1)*(MONTH(Gastos!$A$2:$A$2500)=BL$3)*(Gastos!$B$2:$B$2500=$A54)*(Gastos!$D$2:$D$2500))</f>
        <v>0</v>
      </c>
      <c r="BM54" s="75">
        <f t="array" ref="BM54">SUM((YEAR(Gastos!$A$2:$A$2500)=BM$1)*(MONTH(Gastos!$A$2:$A$2500)=BM$3)*(Gastos!$B$2:$B$2500=$A54)*(Gastos!$D$2:$D$2500))</f>
        <v>0</v>
      </c>
      <c r="BN54" s="75">
        <f t="array" ref="BN54">SUM((YEAR(Gastos!$A$2:$A$2500)=BN$1)*(MONTH(Gastos!$A$2:$A$2500)=BN$3)*(Gastos!$B$2:$B$2500=$A54)*(Gastos!$D$2:$D$2500))</f>
        <v>0</v>
      </c>
      <c r="BO54" s="75">
        <f t="array" ref="BO54">SUM((YEAR(Gastos!$A$2:$A$2500)=BO$1)*(MONTH(Gastos!$A$2:$A$2500)=BO$3)*(Gastos!$B$2:$B$2500=$A54)*(Gastos!$D$2:$D$2500))</f>
        <v>4339</v>
      </c>
      <c r="BP54" s="75">
        <f t="array" ref="BP54">SUM((YEAR(Gastos!$A$2:$A$2500)=BP$1)*(MONTH(Gastos!$A$2:$A$2500)=BP$3)*(Gastos!$B$2:$B$2500=$A54)*(Gastos!$D$2:$D$2500))</f>
        <v>0</v>
      </c>
      <c r="BQ54" s="75">
        <f t="array" ref="BQ54">SUM((YEAR(Gastos!$A$2:$A$2500)=BQ$1)*(MONTH(Gastos!$A$2:$A$2500)=BQ$3)*(Gastos!$B$2:$B$2500=$A54)*(Gastos!$D$2:$D$2500))</f>
        <v>0</v>
      </c>
      <c r="BR54" s="75">
        <f t="array" ref="BR54">SUM((YEAR(Gastos!$A$2:$A$2500)=BR$1)*(MONTH(Gastos!$A$2:$A$2500)=BR$3)*(Gastos!$B$2:$B$2500=$A54)*(Gastos!$D$2:$D$2500))</f>
        <v>0</v>
      </c>
      <c r="BS54" s="75">
        <f t="array" ref="BS54">SUM((YEAR(Gastos!$A$2:$A$2500)=BS$1)*(MONTH(Gastos!$A$2:$A$2500)=BS$3)*(Gastos!$B$2:$B$2500=$A54)*(Gastos!$D$2:$D$2500))</f>
        <v>0</v>
      </c>
      <c r="BT54" s="75">
        <f t="array" ref="BT54">SUM((YEAR(Gastos!$A$2:$A$2500)=BT$1)*(MONTH(Gastos!$A$2:$A$2500)=BT$3)*(Gastos!$B$2:$B$2500=$A54)*(Gastos!$D$2:$D$2500))</f>
        <v>0</v>
      </c>
      <c r="BU54" s="75">
        <f t="array" ref="BU54">SUM((YEAR(Gastos!$A$2:$A$2500)=BU$1)*(MONTH(Gastos!$A$2:$A$2500)=BU$3)*(Gastos!$B$2:$B$2500=$A54)*(Gastos!$D$2:$D$2500))</f>
        <v>0</v>
      </c>
      <c r="BV54" s="75">
        <f t="array" ref="BV54">SUM((YEAR(Gastos!$A$2:$A$2500)=BV$1)*(MONTH(Gastos!$A$2:$A$2500)=BV$3)*(Gastos!$B$2:$B$2500=$A54)*(Gastos!$D$2:$D$2500))</f>
        <v>0</v>
      </c>
      <c r="BW54" s="75">
        <f t="array" ref="BW54">SUM((YEAR(Gastos!$A$2:$A$2500)=BW$1)*(MONTH(Gastos!$A$2:$A$2500)=BW$3)*(Gastos!$B$2:$B$2500=$A54)*(Gastos!$D$2:$D$2500))</f>
        <v>0</v>
      </c>
      <c r="BX54" s="75">
        <f t="array" ref="BX54">SUM((YEAR(Gastos!$A$2:$A$2500)=BX$1)*(MONTH(Gastos!$A$2:$A$2500)=BX$3)*(Gastos!$B$2:$B$2500=$A54)*(Gastos!$D$2:$D$2500))</f>
        <v>0</v>
      </c>
      <c r="BY54" s="75">
        <f t="array" ref="BY54">SUM((YEAR(Gastos!$A$2:$A$2500)=BY$1)*(MONTH(Gastos!$A$2:$A$2500)=BY$3)*(Gastos!$B$2:$B$2500=$A54)*(Gastos!$D$2:$D$2500))</f>
        <v>0</v>
      </c>
      <c r="BZ54" s="75">
        <f t="array" ref="BZ54">SUM((YEAR(Gastos!$A$2:$A$2500)=BZ$1)*(MONTH(Gastos!$A$2:$A$2500)=BZ$3)*(Gastos!$B$2:$B$2500=$A54)*(Gastos!$D$2:$D$2500))</f>
        <v>0</v>
      </c>
      <c r="CA54" s="75">
        <f t="array" ref="CA54">SUM((YEAR(Gastos!$A$2:$A$2500)=CA$1)*(MONTH(Gastos!$A$2:$A$2500)=CA$3)*(Gastos!$B$2:$B$2500=$A54)*(Gastos!$D$2:$D$2500))</f>
        <v>0</v>
      </c>
      <c r="CB54" s="75">
        <f t="array" ref="CB54">SUM((YEAR(Gastos!$A$2:$A$2500)=CB$1)*(MONTH(Gastos!$A$2:$A$2500)=CB$3)*(Gastos!$B$2:$B$2500=$A54)*(Gastos!$D$2:$D$2500))</f>
        <v>0</v>
      </c>
      <c r="CC54" s="75">
        <f t="array" ref="CC54">SUM((YEAR(Gastos!$A$2:$A$2500)=CC$1)*(MONTH(Gastos!$A$2:$A$2500)=CC$3)*(Gastos!$B$2:$B$2500=$A54)*(Gastos!$D$2:$D$2500))</f>
        <v>14655</v>
      </c>
      <c r="CD54" s="75">
        <f t="array" ref="CD54">SUM((YEAR(Gastos!$A$2:$A$2500)=CD$1)*(MONTH(Gastos!$A$2:$A$2500)=CD$3)*(Gastos!$B$2:$B$2500=$A54)*(Gastos!$D$2:$D$2500))</f>
        <v>0</v>
      </c>
      <c r="CE54" s="75">
        <f t="array" ref="CE54">SUM((YEAR(Gastos!$A$2:$A$2500)=CE$1)*(MONTH(Gastos!$A$2:$A$2500)=CE$3)*(Gastos!$B$2:$B$2500=$A54)*(Gastos!$D$2:$D$2500))</f>
        <v>0</v>
      </c>
      <c r="CF54" s="75">
        <f t="array" ref="CF54">SUM((YEAR(Gastos!$A$2:$A$2500)=CF$1)*(MONTH(Gastos!$A$2:$A$2500)=CF$3)*(Gastos!$B$2:$B$2500=$A54)*(Gastos!$D$2:$D$2500))</f>
        <v>0</v>
      </c>
      <c r="CG54" s="75">
        <f t="array" ref="CG54">SUM((YEAR(Gastos!$A$2:$A$2500)=CG$1)*(MONTH(Gastos!$A$2:$A$2500)=CG$3)*(Gastos!$B$2:$B$2500=$A54)*(Gastos!$D$2:$D$2500))</f>
        <v>0</v>
      </c>
      <c r="CH54" s="75">
        <f t="array" ref="CH54">SUM((YEAR(Gastos!$A$2:$A$2500)=CH$1)*(MONTH(Gastos!$A$2:$A$2500)=CH$3)*(Gastos!$B$2:$B$2500=$A54)*(Gastos!$D$2:$D$2500))</f>
        <v>4354</v>
      </c>
      <c r="CI54" s="75">
        <f t="array" ref="CI54">SUM((YEAR(Gastos!$A$2:$A$2500)=CI$1)*(MONTH(Gastos!$A$2:$A$2500)=CI$3)*(Gastos!$B$2:$B$2500=$A54)*(Gastos!$D$2:$D$2500))</f>
        <v>0</v>
      </c>
      <c r="CJ54" s="75">
        <f t="array" ref="CJ54">SUM((YEAR(Gastos!$A$2:$A$2500)=CJ$1)*(MONTH(Gastos!$A$2:$A$2500)=CJ$3)*(Gastos!$B$2:$B$2500=$A54)*(Gastos!$D$2:$D$2500))</f>
        <v>1559</v>
      </c>
      <c r="CK54" s="75">
        <f t="array" ref="CK54">SUM((YEAR(Gastos!$A$2:$A$2500)=CK$1)*(MONTH(Gastos!$A$2:$A$2500)=CK$3)*(Gastos!$B$2:$B$2500=$A54)*(Gastos!$D$2:$D$2500))</f>
        <v>630</v>
      </c>
      <c r="CL54" s="75">
        <f t="array" ref="CL54">SUM((YEAR(Gastos!$A$2:$A$2500)=CL$1)*(MONTH(Gastos!$A$2:$A$2500)=CL$3)*(Gastos!$B$2:$B$2500=$A54)*(Gastos!$D$2:$D$2500))</f>
        <v>2982</v>
      </c>
      <c r="CM54" s="75">
        <f t="array" ref="CM54">SUM((YEAR(Gastos!$A$2:$A$2500)=CM$1)*(MONTH(Gastos!$A$2:$A$2500)=CM$3)*(Gastos!$B$2:$B$2500=$A54)*(Gastos!$D$2:$D$2500))</f>
        <v>435</v>
      </c>
      <c r="CN54" s="75">
        <f t="array" ref="CN54">SUM((YEAR(Gastos!$A$2:$A$2500)=CN$1)*(MONTH(Gastos!$A$2:$A$2500)=CN$3)*(Gastos!$B$2:$B$2500=$A54)*(Gastos!$D$2:$D$2500))</f>
        <v>195</v>
      </c>
      <c r="CO54" s="75">
        <f t="array" ref="CO54">SUM((YEAR(Gastos!$A$2:$A$2500)=CO$1)*(MONTH(Gastos!$A$2:$A$2500)=CO$3)*(Gastos!$B$2:$B$2500=$A54)*(Gastos!$D$2:$D$2500))</f>
        <v>943</v>
      </c>
      <c r="CP54" s="75">
        <f t="array" ref="CP54">SUM((YEAR(Gastos!$A$2:$A$2500)=CP$1)*(MONTH(Gastos!$A$2:$A$2500)=CP$3)*(Gastos!$B$2:$B$2500=$A54)*(Gastos!$D$2:$D$2500))</f>
        <v>435</v>
      </c>
      <c r="CQ54" s="75">
        <f t="array" ref="CQ54">SUM((YEAR(Gastos!$A$2:$A$2500)=CQ$1)*(MONTH(Gastos!$A$2:$A$2500)=CQ$3)*(Gastos!$B$2:$B$2500=$A54)*(Gastos!$D$2:$D$2500))</f>
        <v>197</v>
      </c>
      <c r="CR54" s="75">
        <f t="array" ref="CR54">SUM((YEAR(Gastos!$A$2:$A$2500)=CR$1)*(MONTH(Gastos!$A$2:$A$2500)=CR$3)*(Gastos!$B$2:$B$2500=$A54)*(Gastos!$D$2:$D$2500))</f>
        <v>0</v>
      </c>
      <c r="CS54" s="75">
        <f t="array" ref="CS54">SUM((YEAR(Gastos!$A$2:$A$2500)=CS$1)*(MONTH(Gastos!$A$2:$A$2500)=CS$3)*(Gastos!$B$2:$B$2500=$A54)*(Gastos!$D$2:$D$2500))</f>
        <v>0</v>
      </c>
      <c r="CT54" s="75">
        <f t="array" ref="CT54">SUM((YEAR(Gastos!$A$2:$A$2500)=CT$1)*(MONTH(Gastos!$A$2:$A$2500)=CT$3)*(Gastos!$B$2:$B$2500=$A54)*(Gastos!$D$2:$D$2500))</f>
        <v>0</v>
      </c>
      <c r="CU54" s="75">
        <f t="array" ref="CU54">SUM((YEAR(Gastos!$A$2:$A$2500)=CU$1)*(MONTH(Gastos!$A$2:$A$2500)=CU$3)*(Gastos!$B$2:$B$2500=$A54)*(Gastos!$D$2:$D$2500))</f>
        <v>0</v>
      </c>
      <c r="CV54" s="75">
        <f t="array" ref="CV54">SUM((YEAR(Gastos!$A$2:$A$2500)=CV$1)*(MONTH(Gastos!$A$2:$A$2500)=CV$3)*(Gastos!$B$2:$B$2500=$A54)*(Gastos!$D$2:$D$2500))</f>
        <v>1735</v>
      </c>
      <c r="CW54" s="75">
        <f t="array" ref="CW54">SUM((YEAR(Gastos!$A$2:$A$2500)=CW$1)*(MONTH(Gastos!$A$2:$A$2500)=CW$3)*(Gastos!$B$2:$B$2500=$A54)*(Gastos!$D$2:$D$2500))</f>
        <v>0</v>
      </c>
      <c r="CX54" s="75">
        <f t="array" ref="CX54">SUM((YEAR(Gastos!$A$2:$A$2500)=CX$1)*(MONTH(Gastos!$A$2:$A$2500)=CX$3)*(Gastos!$B$2:$B$2500=$A54)*(Gastos!$D$2:$D$2500))</f>
        <v>0</v>
      </c>
      <c r="CY54" s="75">
        <f t="array" ref="CY54">SUM((YEAR(Gastos!$A$2:$A$2500)=CY$1)*(MONTH(Gastos!$A$2:$A$2500)=CY$3)*(Gastos!$B$2:$B$2500=$A54)*(Gastos!$D$2:$D$2500))</f>
        <v>0</v>
      </c>
      <c r="CZ54" s="75">
        <f t="array" ref="CZ54">SUM((YEAR(Gastos!$A$2:$A$2500)=CZ$1)*(MONTH(Gastos!$A$2:$A$2500)=CZ$3)*(Gastos!$B$2:$B$2500=$A54)*(Gastos!$D$2:$D$2500))</f>
        <v>0</v>
      </c>
      <c r="DA54" s="75">
        <f t="array" ref="DA54">SUM((YEAR(Gastos!$A$2:$A$2500)=DA$1)*(MONTH(Gastos!$A$2:$A$2500)=DA$3)*(Gastos!$B$2:$B$2500=$A54)*(Gastos!$D$2:$D$2500))</f>
        <v>0</v>
      </c>
      <c r="DB54" s="75">
        <f t="array" ref="DB54">SUM((YEAR(Gastos!$A$2:$A$2500)=DB$1)*(MONTH(Gastos!$A$2:$A$2500)=DB$3)*(Gastos!$B$2:$B$2500=$A54)*(Gastos!$D$2:$D$2500))</f>
        <v>0</v>
      </c>
      <c r="DC54" s="75">
        <f t="array" ref="DC54">SUM((YEAR(Gastos!$A$2:$A$2500)=DC$1)*(MONTH(Gastos!$A$2:$A$2500)=DC$3)*(Gastos!$B$2:$B$2500=$A54)*(Gastos!$D$2:$D$2500))</f>
        <v>0</v>
      </c>
      <c r="DD54" s="75">
        <f t="array" ref="DD54">SUM((YEAR(Gastos!$A$2:$A$2500)=DD$1)*(MONTH(Gastos!$A$2:$A$2500)=DD$3)*(Gastos!$B$2:$B$2500=$A54)*(Gastos!$D$2:$D$2500))</f>
        <v>0</v>
      </c>
      <c r="DE54" s="75">
        <f t="array" ref="DE54">SUM((YEAR(Gastos!$A$2:$A$2500)=DE$1)*(MONTH(Gastos!$A$2:$A$2500)=DE$3)*(Gastos!$B$2:$B$2500=$A54)*(Gastos!$D$2:$D$2500))</f>
        <v>0</v>
      </c>
      <c r="DF54" s="75">
        <f t="array" ref="DF54">SUM((YEAR(Gastos!$A$2:$A$2500)=DF$1)*(MONTH(Gastos!$A$2:$A$2500)=DF$3)*(Gastos!$B$2:$B$2500=$A54)*(Gastos!$D$2:$D$2500))</f>
        <v>0</v>
      </c>
      <c r="DG54" s="75">
        <f t="array" ref="DG54">SUM((YEAR(Gastos!$A$2:$A$2500)=DG$1)*(MONTH(Gastos!$A$2:$A$2500)=DG$3)*(Gastos!$B$2:$B$2500=$A54)*(Gastos!$D$2:$D$2500))</f>
        <v>0</v>
      </c>
      <c r="DH54" s="75">
        <f t="array" ref="DH54">SUM((YEAR(Gastos!$A$2:$A$2500)=DH$1)*(MONTH(Gastos!$A$2:$A$2500)=DH$3)*(Gastos!$B$2:$B$2500=$A54)*(Gastos!$D$2:$D$2500))</f>
        <v>0</v>
      </c>
      <c r="DI54" s="75">
        <f t="array" ref="DI54">SUM((YEAR(Gastos!$A$2:$A$2500)=DI$1)*(MONTH(Gastos!$A$2:$A$2500)=DI$3)*(Gastos!$B$2:$B$2500=$A54)*(Gastos!$D$2:$D$2500))</f>
        <v>0</v>
      </c>
      <c r="DJ54" s="75">
        <f t="array" ref="DJ54">SUM((YEAR(Gastos!$A$2:$A$2500)=DJ$1)*(MONTH(Gastos!$A$2:$A$2500)=DJ$3)*(Gastos!$B$2:$B$2500=$A54)*(Gastos!$D$2:$D$2500))</f>
        <v>0</v>
      </c>
      <c r="DK54" s="75">
        <f t="array" ref="DK54">SUM((YEAR(Gastos!$A$2:$A$2500)=DK$1)*(MONTH(Gastos!$A$2:$A$2500)=DK$3)*(Gastos!$B$2:$B$2500=$A54)*(Gastos!$D$2:$D$2500))</f>
        <v>0</v>
      </c>
      <c r="DL54" s="75">
        <f t="array" ref="DL54">SUM((YEAR(Gastos!$A$2:$A$2500)=DL$1)*(MONTH(Gastos!$A$2:$A$2500)=DL$3)*(Gastos!$B$2:$B$2500=$A54)*(Gastos!$D$2:$D$2500))</f>
        <v>0</v>
      </c>
      <c r="DM54" s="75">
        <f t="array" ref="DM54">SUM((YEAR(Gastos!$A$2:$A$2500)=DM$1)*(MONTH(Gastos!$A$2:$A$2500)=DM$3)*(Gastos!$B$2:$B$2500=$A54)*(Gastos!$D$2:$D$2500))</f>
        <v>0</v>
      </c>
      <c r="DN54" s="75">
        <f t="array" ref="DN54">SUM((YEAR(Gastos!$A$2:$A$2500)=DN$1)*(MONTH(Gastos!$A$2:$A$2500)=DN$3)*(Gastos!$B$2:$B$2500=$A54)*(Gastos!$D$2:$D$2500))</f>
        <v>0</v>
      </c>
      <c r="DO54" s="75">
        <f t="array" ref="DO54">SUM((YEAR(Gastos!$A$2:$A$2500)=DO$1)*(MONTH(Gastos!$A$2:$A$2500)=DO$3)*(Gastos!$B$2:$B$2500=$A54)*(Gastos!$D$2:$D$2500))</f>
        <v>0</v>
      </c>
      <c r="DP54" s="75">
        <f t="array" ref="DP54">SUM((YEAR(Gastos!$A$2:$A$2500)=DP$1)*(MONTH(Gastos!$A$2:$A$2500)=DP$3)*(Gastos!$B$2:$B$2500=$A54)*(Gastos!$D$2:$D$2500))</f>
        <v>0</v>
      </c>
      <c r="DQ54" s="75">
        <f t="array" ref="DQ54">SUM((YEAR(Gastos!$A$2:$A$2500)=DQ$1)*(MONTH(Gastos!$A$2:$A$2500)=DQ$3)*(Gastos!$B$2:$B$2500=$A54)*(Gastos!$D$2:$D$2500))</f>
        <v>0</v>
      </c>
      <c r="DR54" s="75">
        <f t="array" ref="DR54">SUM((YEAR(Gastos!$A$2:$A$2500)=DR$1)*(MONTH(Gastos!$A$2:$A$2500)=DR$3)*(Gastos!$B$2:$B$2500=$A54)*(Gastos!$D$2:$D$2500))</f>
        <v>0</v>
      </c>
      <c r="DS54" s="75">
        <f t="array" ref="DS54">SUM((YEAR(Gastos!$A$2:$A$2500)=DS$1)*(MONTH(Gastos!$A$2:$A$2500)=DS$3)*(Gastos!$B$2:$B$2500=$A54)*(Gastos!$D$2:$D$2500))</f>
        <v>0</v>
      </c>
      <c r="DT54" s="75">
        <f t="array" ref="DT54">SUM((YEAR(Gastos!$A$2:$A$2500)=DT$1)*(MONTH(Gastos!$A$2:$A$2500)=DT$3)*(Gastos!$B$2:$B$2500=$A54)*(Gastos!$D$2:$D$2500))</f>
        <v>0</v>
      </c>
      <c r="DU54" s="75">
        <f t="array" ref="DU54">SUM((YEAR(Gastos!$A$2:$A$2500)=DU$1)*(MONTH(Gastos!$A$2:$A$2500)=DU$3)*(Gastos!$B$2:$B$2500=$A54)*(Gastos!$D$2:$D$2500))</f>
        <v>0</v>
      </c>
      <c r="DV54" s="75">
        <f t="array" ref="DV54">SUM((YEAR(Gastos!$A$2:$A$2500)=DV$1)*(MONTH(Gastos!$A$2:$A$2500)=DV$3)*(Gastos!$B$2:$B$2500=$A54)*(Gastos!$D$2:$D$2500))</f>
        <v>0</v>
      </c>
      <c r="DW54" s="75">
        <f t="array" ref="DW54">SUM((YEAR(Gastos!$A$2:$A$2500)=DW$1)*(MONTH(Gastos!$A$2:$A$2500)=DW$3)*(Gastos!$B$2:$B$2500=$A54)*(Gastos!$D$2:$D$2500))</f>
        <v>0</v>
      </c>
      <c r="DX54" s="75">
        <f t="array" ref="DX54">SUM((YEAR(Gastos!$A$2:$A$2500)=DX$1)*(MONTH(Gastos!$A$2:$A$2500)=DX$3)*(Gastos!$B$2:$B$2500=$A54)*(Gastos!$D$2:$D$2500))</f>
        <v>0</v>
      </c>
      <c r="DY54" s="75">
        <f t="array" ref="DY54">SUM((YEAR(Gastos!$A$2:$A$2500)=DY$1)*(MONTH(Gastos!$A$2:$A$2500)=DY$3)*(Gastos!$B$2:$B$2500=$A54)*(Gastos!$D$2:$D$2500))</f>
        <v>0</v>
      </c>
      <c r="DZ54" s="75">
        <f t="array" ref="DZ54">SUM((YEAR(Gastos!$A$2:$A$2500)=DZ$1)*(MONTH(Gastos!$A$2:$A$2500)=DZ$3)*(Gastos!$B$2:$B$2500=$A54)*(Gastos!$D$2:$D$2500))</f>
        <v>0</v>
      </c>
      <c r="EA54" s="75">
        <f t="array" ref="EA54">SUM((YEAR(Gastos!$A$2:$A$2500)=EA$1)*(MONTH(Gastos!$A$2:$A$2500)=EA$3)*(Gastos!$B$2:$B$2500=$A54)*(Gastos!$D$2:$D$2500))</f>
        <v>0</v>
      </c>
      <c r="EB54" s="75">
        <f t="array" ref="EB54">SUM((YEAR(Gastos!$A$2:$A$2500)=EB$1)*(MONTH(Gastos!$A$2:$A$2500)=EB$3)*(Gastos!$B$2:$B$2500=$A54)*(Gastos!$D$2:$D$2500))</f>
        <v>0</v>
      </c>
      <c r="EC54" s="75">
        <f t="array" ref="EC54">SUM((YEAR(Gastos!$A$2:$A$2500)=EC$1)*(MONTH(Gastos!$A$2:$A$2500)=EC$3)*(Gastos!$B$2:$B$2500=$A54)*(Gastos!$D$2:$D$2500))</f>
        <v>0</v>
      </c>
      <c r="ED54" s="75">
        <f t="array" ref="ED54">SUM((YEAR(Gastos!$A$2:$A$2500)=ED$1)*(MONTH(Gastos!$A$2:$A$2500)=ED$3)*(Gastos!$B$2:$B$2500=$A54)*(Gastos!$D$2:$D$2500))</f>
        <v>0</v>
      </c>
      <c r="EE54" s="75">
        <f t="array" ref="EE54">SUM((YEAR(Gastos!$A$2:$A$2500)=EE$1)*(MONTH(Gastos!$A$2:$A$2500)=EE$3)*(Gastos!$B$2:$B$2500=$A54)*(Gastos!$D$2:$D$2500))</f>
        <v>0</v>
      </c>
      <c r="EF54" s="75">
        <f t="array" ref="EF54">SUM((YEAR(Gastos!$A$2:$A$2500)=EF$1)*(MONTH(Gastos!$A$2:$A$2500)=EF$3)*(Gastos!$B$2:$B$2500=$A54)*(Gastos!$D$2:$D$2500))</f>
        <v>0</v>
      </c>
      <c r="EG54" s="75">
        <f t="array" ref="EG54">SUM((YEAR(Gastos!$A$2:$A$2500)=EG$1)*(MONTH(Gastos!$A$2:$A$2500)=EG$3)*(Gastos!$B$2:$B$2500=$A54)*(Gastos!$D$2:$D$2500))</f>
        <v>0</v>
      </c>
      <c r="EH54" s="75">
        <f t="array" ref="EH54">SUM((YEAR(Gastos!$A$2:$A$2500)=EH$1)*(MONTH(Gastos!$A$2:$A$2500)=EH$3)*(Gastos!$B$2:$B$2500=$A54)*(Gastos!$D$2:$D$2500))</f>
        <v>0</v>
      </c>
      <c r="EI54" s="75">
        <f t="array" ref="EI54">SUM((YEAR(Gastos!$A$2:$A$2500)=EI$1)*(MONTH(Gastos!$A$2:$A$2500)=EI$3)*(Gastos!$B$2:$B$2500=$A54)*(Gastos!$D$2:$D$2500))</f>
        <v>0</v>
      </c>
      <c r="EJ54" s="75">
        <f t="array" ref="EJ54">SUM((YEAR(Gastos!$A$2:$A$2500)=EJ$1)*(MONTH(Gastos!$A$2:$A$2500)=EJ$3)*(Gastos!$B$2:$B$2500=$A54)*(Gastos!$D$2:$D$2500))</f>
        <v>0</v>
      </c>
      <c r="EK54" s="75">
        <f t="array" ref="EK54">SUM((YEAR(Gastos!$A$2:$A$2500)=EK$1)*(MONTH(Gastos!$A$2:$A$2500)=EK$3)*(Gastos!$B$2:$B$2500=$A54)*(Gastos!$D$2:$D$2500))</f>
        <v>0</v>
      </c>
      <c r="EL54" s="75">
        <f t="array" ref="EL54">SUM((YEAR(Gastos!$A$2:$A$2500)=EL$1)*(MONTH(Gastos!$A$2:$A$2500)=EL$3)*(Gastos!$B$2:$B$2500=$A54)*(Gastos!$D$2:$D$2500))</f>
        <v>0</v>
      </c>
      <c r="EM54" s="75">
        <f t="array" ref="EM54">SUM((YEAR(Gastos!$A$2:$A$2500)=EM$1)*(MONTH(Gastos!$A$2:$A$2500)=EM$3)*(Gastos!$B$2:$B$2500=$A54)*(Gastos!$D$2:$D$2500))</f>
        <v>0</v>
      </c>
      <c r="EN54" s="75">
        <f t="array" ref="EN54">SUM((YEAR(Gastos!$A$2:$A$2500)=EN$1)*(MONTH(Gastos!$A$2:$A$2500)=EN$3)*(Gastos!$B$2:$B$2500=$A54)*(Gastos!$D$2:$D$2500))</f>
        <v>6919</v>
      </c>
      <c r="EO54" s="75">
        <f t="array" ref="EO54">SUM((YEAR(Gastos!$A$2:$A$2500)=EO$1)*(MONTH(Gastos!$A$2:$A$2500)=EO$3)*(Gastos!$B$2:$B$2500=$A54)*(Gastos!$D$2:$D$2500))</f>
        <v>0</v>
      </c>
      <c r="EP54" s="75">
        <f t="array" ref="EP54">SUM((YEAR(Gastos!$A$2:$A$2500)=EP$1)*(MONTH(Gastos!$A$2:$A$2500)=EP$3)*(Gastos!$B$2:$B$2500=$A54)*(Gastos!$D$2:$D$2500))</f>
        <v>0</v>
      </c>
      <c r="EQ54" s="75">
        <f t="array" ref="EQ54">SUM((YEAR(Gastos!$A$2:$A$2500)=EQ$1)*(MONTH(Gastos!$A$2:$A$2500)=EQ$3)*(Gastos!$B$2:$B$2500=$A54)*(Gastos!$D$2:$D$2500))</f>
        <v>0</v>
      </c>
      <c r="ER54" s="75">
        <f t="array" ref="ER54">SUM((YEAR(Gastos!$A$2:$A$2500)=ER$1)*(MONTH(Gastos!$A$2:$A$2500)=ER$3)*(Gastos!$B$2:$B$2500=$A54)*(Gastos!$D$2:$D$2500))</f>
        <v>0</v>
      </c>
      <c r="ES54" s="75">
        <f t="array" ref="ES54">SUM((YEAR(Gastos!$A$2:$A$2500)=ES$1)*(MONTH(Gastos!$A$2:$A$2500)=ES$3)*(Gastos!$B$2:$B$2500=$A54)*(Gastos!$D$2:$D$2500))</f>
        <v>0</v>
      </c>
      <c r="ET54" s="75">
        <f t="array" ref="ET54">SUM((YEAR(Gastos!$A$2:$A$2500)=ET$1)*(MONTH(Gastos!$A$2:$A$2500)=ET$3)*(Gastos!$B$2:$B$2500=$A54)*(Gastos!$D$2:$D$2500))</f>
        <v>0</v>
      </c>
      <c r="EU54" s="75">
        <f t="array" ref="EU54">SUM((YEAR(Gastos!$A$2:$A$2500)=EU$1)*(MONTH(Gastos!$A$2:$A$2500)=EU$3)*(Gastos!$B$2:$B$2500=$A54)*(Gastos!$D$2:$D$2500))</f>
        <v>0</v>
      </c>
      <c r="EV54" s="75">
        <f t="array" ref="EV54">SUM((YEAR(Gastos!$A$2:$A$2500)=EV$1)*(MONTH(Gastos!$A$2:$A$2500)=EV$3)*(Gastos!$B$2:$B$2500=$A54)*(Gastos!$D$2:$D$2500))</f>
        <v>0</v>
      </c>
      <c r="EW54" s="75">
        <f t="array" ref="EW54">SUM((YEAR(Gastos!$A$2:$A$2500)=EW$1)*(MONTH(Gastos!$A$2:$A$2500)=EW$3)*(Gastos!$B$2:$B$2500=$A54)*(Gastos!$D$2:$D$2500))</f>
        <v>0</v>
      </c>
      <c r="EX54" s="75">
        <f t="array" ref="EX54">SUM((YEAR(Gastos!$A$2:$A$2500)=EX$1)*(MONTH(Gastos!$A$2:$A$2500)=EX$3)*(Gastos!$B$2:$B$2500=$A54)*(Gastos!$D$2:$D$2500))</f>
        <v>0</v>
      </c>
      <c r="EY54" s="75">
        <f t="array" ref="EY54">SUM((YEAR(Gastos!$A$2:$A$2500)=EY$1)*(MONTH(Gastos!$A$2:$A$2500)=EY$3)*(Gastos!$B$2:$B$2500=$A54)*(Gastos!$D$2:$D$2500))</f>
        <v>0</v>
      </c>
      <c r="EZ54" s="75">
        <f t="array" ref="EZ54">SUM((YEAR(Gastos!$A$2:$A$2500)=EZ$1)*(MONTH(Gastos!$A$2:$A$2500)=EZ$3)*(Gastos!$B$2:$B$2500=$A54)*(Gastos!$D$2:$D$2500))</f>
        <v>0</v>
      </c>
      <c r="FA54" s="75">
        <f t="array" ref="FA54">SUM((YEAR(Gastos!$A$2:$A$2500)=FA$1)*(MONTH(Gastos!$A$2:$A$2500)=FA$3)*(Gastos!$B$2:$B$2500=$A54)*(Gastos!$D$2:$D$2500))</f>
        <v>0</v>
      </c>
      <c r="FB54" s="75">
        <f t="array" ref="FB54">SUM((YEAR(Gastos!$A$2:$A$2500)=FB$1)*(MONTH(Gastos!$A$2:$A$2500)=FB$3)*(Gastos!$B$2:$B$2500=$A54)*(Gastos!$D$2:$D$2500))</f>
        <v>0</v>
      </c>
      <c r="FC54" s="75">
        <f t="array" ref="FC54">SUM((YEAR(Gastos!$A$2:$A$2500)=FC$1)*(MONTH(Gastos!$A$2:$A$2500)=FC$3)*(Gastos!$B$2:$B$2500=$A54)*(Gastos!$D$2:$D$2500))</f>
        <v>0</v>
      </c>
      <c r="FD54" s="75">
        <f t="array" ref="FD54">SUM((YEAR(Gastos!$A$2:$A$2500)=FD$1)*(MONTH(Gastos!$A$2:$A$2500)=FD$3)*(Gastos!$B$2:$B$2500=$A54)*(Gastos!$D$2:$D$2500))</f>
        <v>0</v>
      </c>
      <c r="FE54" s="75">
        <f t="array" ref="FE54">SUM((YEAR(Gastos!$A$2:$A$2500)=FE$1)*(MONTH(Gastos!$A$2:$A$2500)=FE$3)*(Gastos!$B$2:$B$2500=$A54)*(Gastos!$D$2:$D$2500))</f>
        <v>0</v>
      </c>
      <c r="FF54" s="75">
        <f t="array" ref="FF54">SUM((YEAR(Gastos!$A$2:$A$2500)=FF$1)*(MONTH(Gastos!$A$2:$A$2500)=FF$3)*(Gastos!$B$2:$B$2500=$A54)*(Gastos!$D$2:$D$2500))</f>
        <v>0</v>
      </c>
      <c r="FG54" s="75">
        <f t="array" ref="FG54">SUM((YEAR(Gastos!$A$2:$A$2500)=FG$1)*(MONTH(Gastos!$A$2:$A$2500)=FG$3)*(Gastos!$B$2:$B$2500=$A54)*(Gastos!$D$2:$D$2500))</f>
        <v>0</v>
      </c>
      <c r="FH54" s="75">
        <f t="array" ref="FH54">SUM((YEAR(Gastos!$A$2:$A$2500)=FH$1)*(MONTH(Gastos!$A$2:$A$2500)=FH$3)*(Gastos!$B$2:$B$2500=$A54)*(Gastos!$D$2:$D$2500))</f>
        <v>0</v>
      </c>
      <c r="FI54" s="75">
        <f t="array" ref="FI54">SUM((YEAR(Gastos!$A$2:$A$2500)=FI$1)*(MONTH(Gastos!$A$2:$A$2500)=FI$3)*(Gastos!$B$2:$B$2500=$A54)*(Gastos!$D$2:$D$2500))</f>
        <v>0</v>
      </c>
      <c r="FJ54" s="75">
        <f t="array" ref="FJ54">SUM((YEAR(Gastos!$A$2:$A$2500)=FJ$1)*(MONTH(Gastos!$A$2:$A$2500)=FJ$3)*(Gastos!$B$2:$B$2500=$A54)*(Gastos!$D$2:$D$2500))</f>
        <v>0</v>
      </c>
      <c r="FK54" s="75">
        <f t="array" ref="FK54">SUM((YEAR(Gastos!$A$2:$A$2500)=FK$1)*(MONTH(Gastos!$A$2:$A$2500)=FK$3)*(Gastos!$B$2:$B$2500=$A54)*(Gastos!$D$2:$D$2500))</f>
        <v>0</v>
      </c>
      <c r="FL54" s="75">
        <f t="array" ref="FL54">SUM((YEAR(Gastos!$A$2:$A$2500)=FL$1)*(MONTH(Gastos!$A$2:$A$2500)=FL$3)*(Gastos!$B$2:$B$2500=$A54)*(Gastos!$D$2:$D$2500))</f>
        <v>0</v>
      </c>
      <c r="FM54" s="75">
        <f t="array" ref="FM54">SUM((YEAR(Gastos!$A$2:$A$2500)=FM$1)*(MONTH(Gastos!$A$2:$A$2500)=FM$3)*(Gastos!$B$2:$B$2500=$A54)*(Gastos!$D$2:$D$2500))</f>
        <v>0</v>
      </c>
      <c r="FN54" s="75">
        <f t="array" ref="FN54">SUM((YEAR(Gastos!$A$2:$A$2500)=FN$1)*(MONTH(Gastos!$A$2:$A$2500)=FN$3)*(Gastos!$B$2:$B$2500=$A54)*(Gastos!$D$2:$D$2500))</f>
        <v>0</v>
      </c>
      <c r="FO54" s="75">
        <f t="array" ref="FO54">SUM((YEAR(Gastos!$A$2:$A$2500)=FO$1)*(MONTH(Gastos!$A$2:$A$2500)=FO$3)*(Gastos!$B$2:$B$2500=$A54)*(Gastos!$D$2:$D$2500))</f>
        <v>0</v>
      </c>
      <c r="FP54" s="75">
        <f t="array" ref="FP54">SUM((YEAR(Gastos!$A$2:$A$2500)=FP$1)*(MONTH(Gastos!$A$2:$A$2500)=FP$3)*(Gastos!$B$2:$B$2500=$A54)*(Gastos!$D$2:$D$2500))</f>
        <v>0</v>
      </c>
      <c r="FQ54" s="75">
        <f t="array" ref="FQ54">SUM((YEAR(Gastos!$A$2:$A$2500)=FQ$1)*(MONTH(Gastos!$A$2:$A$2500)=FQ$3)*(Gastos!$B$2:$B$2500=$A54)*(Gastos!$D$2:$D$2500))</f>
        <v>0</v>
      </c>
      <c r="FR54" s="75">
        <f t="array" ref="FR54">SUM((YEAR(Gastos!$A$2:$A$2500)=FR$1)*(MONTH(Gastos!$A$2:$A$2500)=FR$3)*(Gastos!$B$2:$B$2500=$A54)*(Gastos!$D$2:$D$2500))</f>
        <v>0</v>
      </c>
      <c r="FS54" s="75">
        <f t="array" ref="FS54">SUM((YEAR(Gastos!$A$2:$A$2500)=FS$1)*(MONTH(Gastos!$A$2:$A$2500)=FS$3)*(Gastos!$B$2:$B$2500=$A54)*(Gastos!$D$2:$D$2500))</f>
        <v>0</v>
      </c>
      <c r="FT54" s="75">
        <f t="array" ref="FT54">SUM((YEAR(Gastos!$A$2:$A$2500)=FT$1)*(MONTH(Gastos!$A$2:$A$2500)=FT$3)*(Gastos!$B$2:$B$2500=$A54)*(Gastos!$D$2:$D$2500))</f>
        <v>0</v>
      </c>
      <c r="FU54" s="75">
        <f t="array" ref="FU54">SUM((YEAR(Gastos!$A$2:$A$2500)=FU$1)*(MONTH(Gastos!$A$2:$A$2500)=FU$3)*(Gastos!$B$2:$B$2500=$A54)*(Gastos!$D$2:$D$2500))</f>
        <v>0</v>
      </c>
      <c r="FV54" s="75">
        <f t="array" ref="FV54">SUM((YEAR(Gastos!$A$2:$A$2500)=FV$1)*(MONTH(Gastos!$A$2:$A$2500)=FV$3)*(Gastos!$B$2:$B$2500=$A54)*(Gastos!$D$2:$D$2500))</f>
        <v>0</v>
      </c>
      <c r="FW54" s="75">
        <f t="array" ref="FW54">SUM((YEAR(Gastos!$A$2:$A$2500)=FW$1)*(MONTH(Gastos!$A$2:$A$2500)=FW$3)*(Gastos!$B$2:$B$2500=$A54)*(Gastos!$D$2:$D$2500))</f>
        <v>0</v>
      </c>
      <c r="FX54" s="75">
        <f t="array" ref="FX54">SUM((YEAR(Gastos!$A$2:$A$2500)=FX$1)*(MONTH(Gastos!$A$2:$A$2500)=FX$3)*(Gastos!$B$2:$B$2500=$A54)*(Gastos!$D$2:$D$2500))</f>
        <v>0</v>
      </c>
      <c r="FY54" s="75">
        <f t="array" ref="FY54">SUM((YEAR(Gastos!$A$2:$A$2500)=FY$1)*(MONTH(Gastos!$A$2:$A$2500)=FY$3)*(Gastos!$B$2:$B$2500=$A54)*(Gastos!$D$2:$D$2500))</f>
        <v>0</v>
      </c>
      <c r="FZ54" s="76">
        <f t="shared" si="65"/>
        <v>39378</v>
      </c>
      <c r="GA54" s="80"/>
      <c r="GB54" s="78">
        <f t="shared" si="66"/>
        <v>-10316</v>
      </c>
      <c r="GF54" s="79">
        <f t="array" ref="GF54">SUM(((Gastos!$A$2:$A$1647)&gt;=GD$3)*((Gastos!$A$2:$A$1647)&lt;=GF$3)*(Gastos!$B$2:$B$1647=$A54)*(Gastos!$D$2:$D$1647))</f>
        <v>4339</v>
      </c>
      <c r="GI54" s="79">
        <f t="array" ref="GI54">SUM(((Gastos!$A$2:$A$1647)&gt;=GG$3)*((Gastos!$A$2:$A$1647)&lt;=GI$3)*(Gastos!$B$2:$B$1647=$A54)*(Gastos!$D$2:$D$1647))</f>
        <v>14655</v>
      </c>
    </row>
    <row r="55" spans="1:191" ht="15" thickBot="1" x14ac:dyDescent="0.4">
      <c r="A55" s="74" t="str">
        <f>Gastos!AA53</f>
        <v>V. TILICHES CONDOMINOS</v>
      </c>
      <c r="B55" s="75">
        <f t="array" ref="B55">SUM((YEAR(Gastos!$A$2:$A$2500)=B$1)*(MONTH(Gastos!$A$2:$A$2500)=B$3)*(Gastos!$B$2:$B$2500=$A55)*(Gastos!$D$2:$D$2500))</f>
        <v>0</v>
      </c>
      <c r="C55" s="75">
        <f t="array" ref="C55">SUM((YEAR(Gastos!$A$2:$A$2500)=C$1)*(MONTH(Gastos!$A$2:$A$2500)=C$3)*(Gastos!$B$2:$B$2500=$A55)*(Gastos!$D$2:$D$2500))</f>
        <v>0</v>
      </c>
      <c r="D55" s="75">
        <f t="array" ref="D55">SUM((YEAR(Gastos!$A$2:$A$2500)=D$1)*(MONTH(Gastos!$A$2:$A$2500)=D$3)*(Gastos!$B$2:$B$2500=$A55)*(Gastos!$D$2:$D$2500))</f>
        <v>0</v>
      </c>
      <c r="E55" s="75">
        <f t="array" ref="E55">SUM((YEAR(Gastos!$A$2:$A$2500)=E$1)*(MONTH(Gastos!$A$2:$A$2500)=E$3)*(Gastos!$B$2:$B$2500=$A55)*(Gastos!$D$2:$D$2500))</f>
        <v>0</v>
      </c>
      <c r="F55" s="75">
        <f t="array" ref="F55">SUM((YEAR(Gastos!$A$2:$A$2500)=F$1)*(MONTH(Gastos!$A$2:$A$2500)=F$3)*(Gastos!$B$2:$B$2500=$A55)*(Gastos!$D$2:$D$2500))</f>
        <v>0</v>
      </c>
      <c r="G55" s="75">
        <f t="array" ref="G55">SUM((YEAR(Gastos!$A$2:$A$2500)=G$1)*(MONTH(Gastos!$A$2:$A$2500)=G$3)*(Gastos!$B$2:$B$2500=$A55)*(Gastos!$D$2:$D$2500))</f>
        <v>0</v>
      </c>
      <c r="H55" s="75">
        <f t="array" ref="H55">SUM((YEAR(Gastos!$A$2:$A$2500)=H$1)*(MONTH(Gastos!$A$2:$A$2500)=H$3)*(Gastos!$B$2:$B$2500=$A55)*(Gastos!$D$2:$D$2500))</f>
        <v>0</v>
      </c>
      <c r="I55" s="75">
        <f t="array" ref="I55">SUM((YEAR(Gastos!$A$2:$A$2500)=I$1)*(MONTH(Gastos!$A$2:$A$2500)=I$3)*(Gastos!$B$2:$B$2500=$A55)*(Gastos!$D$2:$D$2500))</f>
        <v>0</v>
      </c>
      <c r="J55" s="75">
        <f t="array" ref="J55">SUM((YEAR(Gastos!$A$2:$A$2500)=J$1)*(MONTH(Gastos!$A$2:$A$2500)=J$3)*(Gastos!$B$2:$B$2500=$A55)*(Gastos!$D$2:$D$2500))</f>
        <v>0</v>
      </c>
      <c r="K55" s="75">
        <f t="array" ref="K55">SUM((YEAR(Gastos!$A$2:$A$2500)=K$1)*(MONTH(Gastos!$A$2:$A$2500)=K$3)*(Gastos!$B$2:$B$2500=$A55)*(Gastos!$D$2:$D$2500))</f>
        <v>0</v>
      </c>
      <c r="L55" s="75">
        <f t="array" ref="L55">SUM((YEAR(Gastos!$A$2:$A$2500)=L$1)*(MONTH(Gastos!$A$2:$A$2500)=L$3)*(Gastos!$B$2:$B$2500=$A55)*(Gastos!$D$2:$D$2500))</f>
        <v>0</v>
      </c>
      <c r="M55" s="75">
        <f t="array" ref="M55">SUM((YEAR(Gastos!$A$2:$A$2500)=M$1)*(MONTH(Gastos!$A$2:$A$2500)=M$3)*(Gastos!$B$2:$B$2500=$A55)*(Gastos!$D$2:$D$2500))</f>
        <v>0</v>
      </c>
      <c r="N55" s="75">
        <f t="array" ref="N55">SUM((YEAR(Gastos!$A$2:$A$2500)=N$1)*(MONTH(Gastos!$A$2:$A$2500)=N$3)*(Gastos!$B$2:$B$2500=$A55)*(Gastos!$D$2:$D$2500))</f>
        <v>0</v>
      </c>
      <c r="O55" s="75">
        <f t="array" ref="O55">SUM((YEAR(Gastos!$A$2:$A$2500)=O$1)*(MONTH(Gastos!$A$2:$A$2500)=O$3)*(Gastos!$B$2:$B$2500=$A55)*(Gastos!$D$2:$D$2500))</f>
        <v>0</v>
      </c>
      <c r="P55" s="75">
        <f t="array" ref="P55">SUM((YEAR(Gastos!$A$2:$A$2500)=P$1)*(MONTH(Gastos!$A$2:$A$2500)=P$3)*(Gastos!$B$2:$B$2500=$A55)*(Gastos!$D$2:$D$2500))</f>
        <v>0</v>
      </c>
      <c r="Q55" s="75">
        <f t="array" ref="Q55">SUM((YEAR(Gastos!$A$2:$A$2500)=Q$1)*(MONTH(Gastos!$A$2:$A$2500)=Q$3)*(Gastos!$B$2:$B$2500=$A55)*(Gastos!$D$2:$D$2500))</f>
        <v>0</v>
      </c>
      <c r="R55" s="75">
        <f t="array" ref="R55">SUM((YEAR(Gastos!$A$2:$A$2500)=R$1)*(MONTH(Gastos!$A$2:$A$2500)=R$3)*(Gastos!$B$2:$B$2500=$A55)*(Gastos!$D$2:$D$2500))</f>
        <v>0</v>
      </c>
      <c r="S55" s="75">
        <f t="array" ref="S55">SUM((YEAR(Gastos!$A$2:$A$2500)=S$1)*(MONTH(Gastos!$A$2:$A$2500)=S$3)*(Gastos!$B$2:$B$2500=$A55)*(Gastos!$D$2:$D$2500))</f>
        <v>0</v>
      </c>
      <c r="T55" s="75">
        <f t="array" ref="T55">SUM((YEAR(Gastos!$A$2:$A$2500)=T$1)*(MONTH(Gastos!$A$2:$A$2500)=T$3)*(Gastos!$B$2:$B$2500=$A55)*(Gastos!$D$2:$D$2500))</f>
        <v>0</v>
      </c>
      <c r="U55" s="75">
        <f t="array" ref="U55">SUM((YEAR(Gastos!$A$2:$A$2500)=U$1)*(MONTH(Gastos!$A$2:$A$2500)=U$3)*(Gastos!$B$2:$B$2500=$A55)*(Gastos!$D$2:$D$2500))</f>
        <v>0</v>
      </c>
      <c r="V55" s="75">
        <f t="array" ref="V55">SUM((YEAR(Gastos!$A$2:$A$2500)=V$1)*(MONTH(Gastos!$A$2:$A$2500)=V$3)*(Gastos!$B$2:$B$2500=$A55)*(Gastos!$D$2:$D$2500))</f>
        <v>0</v>
      </c>
      <c r="W55" s="75">
        <f t="array" ref="W55">SUM((YEAR(Gastos!$A$2:$A$2500)=W$1)*(MONTH(Gastos!$A$2:$A$2500)=W$3)*(Gastos!$B$2:$B$2500=$A55)*(Gastos!$D$2:$D$2500))</f>
        <v>0</v>
      </c>
      <c r="X55" s="75">
        <f t="array" ref="X55">SUM((YEAR(Gastos!$A$2:$A$2500)=X$1)*(MONTH(Gastos!$A$2:$A$2500)=X$3)*(Gastos!$B$2:$B$2500=$A55)*(Gastos!$D$2:$D$2500))</f>
        <v>0</v>
      </c>
      <c r="Y55" s="75">
        <f t="array" ref="Y55">SUM((YEAR(Gastos!$A$2:$A$2500)=Y$1)*(MONTH(Gastos!$A$2:$A$2500)=Y$3)*(Gastos!$B$2:$B$2500=$A55)*(Gastos!$D$2:$D$2500))</f>
        <v>0</v>
      </c>
      <c r="Z55" s="75">
        <f t="array" ref="Z55">SUM((YEAR(Gastos!$A$2:$A$2500)=Z$1)*(MONTH(Gastos!$A$2:$A$2500)=Z$3)*(Gastos!$B$2:$B$2500=$A55)*(Gastos!$D$2:$D$2500))</f>
        <v>0</v>
      </c>
      <c r="AA55" s="75">
        <f t="array" ref="AA55">SUM((YEAR(Gastos!$A$2:$A$2500)=AA$1)*(MONTH(Gastos!$A$2:$A$2500)=AA$3)*(Gastos!$B$2:$B$2500=$A55)*(Gastos!$D$2:$D$2500))</f>
        <v>0</v>
      </c>
      <c r="AB55" s="75">
        <f t="array" ref="AB55">SUM((YEAR(Gastos!$A$2:$A$2500)=AB$1)*(MONTH(Gastos!$A$2:$A$2500)=AB$3)*(Gastos!$B$2:$B$2500=$A55)*(Gastos!$D$2:$D$2500))</f>
        <v>0</v>
      </c>
      <c r="AC55" s="75">
        <f t="array" ref="AC55">SUM((YEAR(Gastos!$A$2:$A$2500)=AC$1)*(MONTH(Gastos!$A$2:$A$2500)=AC$3)*(Gastos!$B$2:$B$2500=$A55)*(Gastos!$D$2:$D$2500))</f>
        <v>0</v>
      </c>
      <c r="AD55" s="75">
        <f t="array" ref="AD55">SUM((YEAR(Gastos!$A$2:$A$2500)=AD$1)*(MONTH(Gastos!$A$2:$A$2500)=AD$3)*(Gastos!$B$2:$B$2500=$A55)*(Gastos!$D$2:$D$2500))</f>
        <v>0</v>
      </c>
      <c r="AE55" s="75">
        <f t="array" ref="AE55">SUM((YEAR(Gastos!$A$2:$A$2500)=AE$1)*(MONTH(Gastos!$A$2:$A$2500)=AE$3)*(Gastos!$B$2:$B$2500=$A55)*(Gastos!$D$2:$D$2500))</f>
        <v>0</v>
      </c>
      <c r="AF55" s="75">
        <f t="array" ref="AF55">SUM((YEAR(Gastos!$A$2:$A$2500)=AF$1)*(MONTH(Gastos!$A$2:$A$2500)=AF$3)*(Gastos!$B$2:$B$2500=$A55)*(Gastos!$D$2:$D$2500))</f>
        <v>0</v>
      </c>
      <c r="AG55" s="75">
        <f t="array" ref="AG55">SUM((YEAR(Gastos!$A$2:$A$2500)=AG$1)*(MONTH(Gastos!$A$2:$A$2500)=AG$3)*(Gastos!$B$2:$B$2500=$A55)*(Gastos!$D$2:$D$2500))</f>
        <v>0</v>
      </c>
      <c r="AH55" s="75">
        <f t="array" ref="AH55">SUM((YEAR(Gastos!$A$2:$A$2500)=AH$1)*(MONTH(Gastos!$A$2:$A$2500)=AH$3)*(Gastos!$B$2:$B$2500=$A55)*(Gastos!$D$2:$D$2500))</f>
        <v>0</v>
      </c>
      <c r="AI55" s="75">
        <f t="array" ref="AI55">SUM((YEAR(Gastos!$A$2:$A$2500)=AI$1)*(MONTH(Gastos!$A$2:$A$2500)=AI$3)*(Gastos!$B$2:$B$2500=$A55)*(Gastos!$D$2:$D$2500))</f>
        <v>0</v>
      </c>
      <c r="AJ55" s="75">
        <f t="array" ref="AJ55">SUM((YEAR(Gastos!$A$2:$A$2500)=AJ$1)*(MONTH(Gastos!$A$2:$A$2500)=AJ$3)*(Gastos!$B$2:$B$2500=$A55)*(Gastos!$D$2:$D$2500))</f>
        <v>0</v>
      </c>
      <c r="AK55" s="75">
        <f t="array" ref="AK55">SUM((YEAR(Gastos!$A$2:$A$2500)=AK$1)*(MONTH(Gastos!$A$2:$A$2500)=AK$3)*(Gastos!$B$2:$B$2500=$A55)*(Gastos!$D$2:$D$2500))</f>
        <v>0</v>
      </c>
      <c r="AL55" s="75">
        <f t="array" ref="AL55">SUM((YEAR(Gastos!$A$2:$A$2500)=AL$1)*(MONTH(Gastos!$A$2:$A$2500)=AL$3)*(Gastos!$B$2:$B$2500=$A55)*(Gastos!$D$2:$D$2500))</f>
        <v>0</v>
      </c>
      <c r="AM55" s="75">
        <f t="array" ref="AM55">SUM((YEAR(Gastos!$A$2:$A$2500)=AM$1)*(MONTH(Gastos!$A$2:$A$2500)=AM$3)*(Gastos!$B$2:$B$2500=$A55)*(Gastos!$D$2:$D$2500))</f>
        <v>0</v>
      </c>
      <c r="AN55" s="75">
        <f t="array" ref="AN55">SUM((YEAR(Gastos!$A$2:$A$2500)=AN$1)*(MONTH(Gastos!$A$2:$A$2500)=AN$3)*(Gastos!$B$2:$B$2500=$A55)*(Gastos!$D$2:$D$2500))</f>
        <v>0</v>
      </c>
      <c r="AO55" s="75">
        <f t="array" ref="AO55">SUM((YEAR(Gastos!$A$2:$A$2500)=AO$1)*(MONTH(Gastos!$A$2:$A$2500)=AO$3)*(Gastos!$B$2:$B$2500=$A55)*(Gastos!$D$2:$D$2500))</f>
        <v>0</v>
      </c>
      <c r="AP55" s="75">
        <f t="array" ref="AP55">SUM((YEAR(Gastos!$A$2:$A$2500)=AP$1)*(MONTH(Gastos!$A$2:$A$2500)=AP$3)*(Gastos!$B$2:$B$2500=$A55)*(Gastos!$D$2:$D$2500))</f>
        <v>0</v>
      </c>
      <c r="AQ55" s="75">
        <f t="array" ref="AQ55">SUM((YEAR(Gastos!$A$2:$A$2500)=AQ$1)*(MONTH(Gastos!$A$2:$A$2500)=AQ$3)*(Gastos!$B$2:$B$2500=$A55)*(Gastos!$D$2:$D$2500))</f>
        <v>0</v>
      </c>
      <c r="AR55" s="75">
        <f t="array" ref="AR55">SUM((YEAR(Gastos!$A$2:$A$2500)=AR$1)*(MONTH(Gastos!$A$2:$A$2500)=AR$3)*(Gastos!$B$2:$B$2500=$A55)*(Gastos!$D$2:$D$2500))</f>
        <v>0</v>
      </c>
      <c r="AS55" s="75">
        <f t="array" ref="AS55">SUM((YEAR(Gastos!$A$2:$A$2500)=AS$1)*(MONTH(Gastos!$A$2:$A$2500)=AS$3)*(Gastos!$B$2:$B$2500=$A55)*(Gastos!$D$2:$D$2500))</f>
        <v>0</v>
      </c>
      <c r="AT55" s="75">
        <f t="array" ref="AT55">SUM((YEAR(Gastos!$A$2:$A$2500)=AT$1)*(MONTH(Gastos!$A$2:$A$2500)=AT$3)*(Gastos!$B$2:$B$2500=$A55)*(Gastos!$D$2:$D$2500))</f>
        <v>0</v>
      </c>
      <c r="AU55" s="75">
        <f t="array" ref="AU55">SUM((YEAR(Gastos!$A$2:$A$2500)=AU$1)*(MONTH(Gastos!$A$2:$A$2500)=AU$3)*(Gastos!$B$2:$B$2500=$A55)*(Gastos!$D$2:$D$2500))</f>
        <v>0</v>
      </c>
      <c r="AV55" s="75">
        <f t="array" ref="AV55">SUM((YEAR(Gastos!$A$2:$A$2500)=AV$1)*(MONTH(Gastos!$A$2:$A$2500)=AV$3)*(Gastos!$B$2:$B$2500=$A55)*(Gastos!$D$2:$D$2500))</f>
        <v>0</v>
      </c>
      <c r="AW55" s="75">
        <f t="array" ref="AW55">SUM((YEAR(Gastos!$A$2:$A$2500)=AW$1)*(MONTH(Gastos!$A$2:$A$2500)=AW$3)*(Gastos!$B$2:$B$2500=$A55)*(Gastos!$D$2:$D$2500))</f>
        <v>0</v>
      </c>
      <c r="AX55" s="75">
        <f t="array" ref="AX55">SUM((YEAR(Gastos!$A$2:$A$2500)=AX$1)*(MONTH(Gastos!$A$2:$A$2500)=AX$3)*(Gastos!$B$2:$B$2500=$A55)*(Gastos!$D$2:$D$2500))</f>
        <v>0</v>
      </c>
      <c r="AY55" s="75">
        <f t="array" ref="AY55">SUM((YEAR(Gastos!$A$2:$A$2500)=AY$1)*(MONTH(Gastos!$A$2:$A$2500)=AY$3)*(Gastos!$B$2:$B$2500=$A55)*(Gastos!$D$2:$D$2500))</f>
        <v>0</v>
      </c>
      <c r="AZ55" s="75">
        <f t="array" ref="AZ55">SUM((YEAR(Gastos!$A$2:$A$2500)=AZ$1)*(MONTH(Gastos!$A$2:$A$2500)=AZ$3)*(Gastos!$B$2:$B$2500=$A55)*(Gastos!$D$2:$D$2500))</f>
        <v>0</v>
      </c>
      <c r="BA55" s="75">
        <f t="array" ref="BA55">SUM((YEAR(Gastos!$A$2:$A$2500)=BA$1)*(MONTH(Gastos!$A$2:$A$2500)=BA$3)*(Gastos!$B$2:$B$2500=$A55)*(Gastos!$D$2:$D$2500))</f>
        <v>0</v>
      </c>
      <c r="BB55" s="75">
        <f t="array" ref="BB55">SUM((YEAR(Gastos!$A$2:$A$2500)=BB$1)*(MONTH(Gastos!$A$2:$A$2500)=BB$3)*(Gastos!$B$2:$B$2500=$A55)*(Gastos!$D$2:$D$2500))</f>
        <v>0</v>
      </c>
      <c r="BC55" s="75">
        <f t="array" ref="BC55">SUM((YEAR(Gastos!$A$2:$A$2500)=BC$1)*(MONTH(Gastos!$A$2:$A$2500)=BC$3)*(Gastos!$B$2:$B$2500=$A55)*(Gastos!$D$2:$D$2500))</f>
        <v>0</v>
      </c>
      <c r="BD55" s="75">
        <f t="array" ref="BD55">SUM((YEAR(Gastos!$A$2:$A$2500)=BD$1)*(MONTH(Gastos!$A$2:$A$2500)=BD$3)*(Gastos!$B$2:$B$2500=$A55)*(Gastos!$D$2:$D$2500))</f>
        <v>0</v>
      </c>
      <c r="BE55" s="75">
        <f t="array" ref="BE55">SUM((YEAR(Gastos!$A$2:$A$2500)=BE$1)*(MONTH(Gastos!$A$2:$A$2500)=BE$3)*(Gastos!$B$2:$B$2500=$A55)*(Gastos!$D$2:$D$2500))</f>
        <v>0</v>
      </c>
      <c r="BF55" s="75">
        <f t="array" ref="BF55">SUM((YEAR(Gastos!$A$2:$A$2500)=BF$1)*(MONTH(Gastos!$A$2:$A$2500)=BF$3)*(Gastos!$B$2:$B$2500=$A55)*(Gastos!$D$2:$D$2500))</f>
        <v>0</v>
      </c>
      <c r="BG55" s="75">
        <f t="array" ref="BG55">SUM((YEAR(Gastos!$A$2:$A$2500)=BG$1)*(MONTH(Gastos!$A$2:$A$2500)=BG$3)*(Gastos!$B$2:$B$2500=$A55)*(Gastos!$D$2:$D$2500))</f>
        <v>0</v>
      </c>
      <c r="BH55" s="75">
        <f t="array" ref="BH55">SUM((YEAR(Gastos!$A$2:$A$2500)=BH$1)*(MONTH(Gastos!$A$2:$A$2500)=BH$3)*(Gastos!$B$2:$B$2500=$A55)*(Gastos!$D$2:$D$2500))</f>
        <v>0</v>
      </c>
      <c r="BI55" s="75">
        <f t="array" ref="BI55">SUM((YEAR(Gastos!$A$2:$A$2500)=BI$1)*(MONTH(Gastos!$A$2:$A$2500)=BI$3)*(Gastos!$B$2:$B$2500=$A55)*(Gastos!$D$2:$D$2500))</f>
        <v>0</v>
      </c>
      <c r="BJ55" s="75">
        <f t="array" ref="BJ55">SUM((YEAR(Gastos!$A$2:$A$2500)=BJ$1)*(MONTH(Gastos!$A$2:$A$2500)=BJ$3)*(Gastos!$B$2:$B$2500=$A55)*(Gastos!$D$2:$D$2500))</f>
        <v>0</v>
      </c>
      <c r="BK55" s="75">
        <f t="array" ref="BK55">SUM((YEAR(Gastos!$A$2:$A$2500)=BK$1)*(MONTH(Gastos!$A$2:$A$2500)=BK$3)*(Gastos!$B$2:$B$2500=$A55)*(Gastos!$D$2:$D$2500))</f>
        <v>0</v>
      </c>
      <c r="BL55" s="75">
        <f t="array" ref="BL55">SUM((YEAR(Gastos!$A$2:$A$2500)=BL$1)*(MONTH(Gastos!$A$2:$A$2500)=BL$3)*(Gastos!$B$2:$B$2500=$A55)*(Gastos!$D$2:$D$2500))</f>
        <v>0</v>
      </c>
      <c r="BM55" s="75">
        <f t="array" ref="BM55">SUM((YEAR(Gastos!$A$2:$A$2500)=BM$1)*(MONTH(Gastos!$A$2:$A$2500)=BM$3)*(Gastos!$B$2:$B$2500=$A55)*(Gastos!$D$2:$D$2500))</f>
        <v>0</v>
      </c>
      <c r="BN55" s="75">
        <f t="array" ref="BN55">SUM((YEAR(Gastos!$A$2:$A$2500)=BN$1)*(MONTH(Gastos!$A$2:$A$2500)=BN$3)*(Gastos!$B$2:$B$2500=$A55)*(Gastos!$D$2:$D$2500))</f>
        <v>0</v>
      </c>
      <c r="BO55" s="75">
        <f t="array" ref="BO55">SUM((YEAR(Gastos!$A$2:$A$2500)=BO$1)*(MONTH(Gastos!$A$2:$A$2500)=BO$3)*(Gastos!$B$2:$B$2500=$A55)*(Gastos!$D$2:$D$2500))</f>
        <v>0</v>
      </c>
      <c r="BP55" s="75">
        <f t="array" ref="BP55">SUM((YEAR(Gastos!$A$2:$A$2500)=BP$1)*(MONTH(Gastos!$A$2:$A$2500)=BP$3)*(Gastos!$B$2:$B$2500=$A55)*(Gastos!$D$2:$D$2500))</f>
        <v>0</v>
      </c>
      <c r="BQ55" s="75">
        <f t="array" ref="BQ55">SUM((YEAR(Gastos!$A$2:$A$2500)=BQ$1)*(MONTH(Gastos!$A$2:$A$2500)=BQ$3)*(Gastos!$B$2:$B$2500=$A55)*(Gastos!$D$2:$D$2500))</f>
        <v>0</v>
      </c>
      <c r="BR55" s="75">
        <f t="array" ref="BR55">SUM((YEAR(Gastos!$A$2:$A$2500)=BR$1)*(MONTH(Gastos!$A$2:$A$2500)=BR$3)*(Gastos!$B$2:$B$2500=$A55)*(Gastos!$D$2:$D$2500))</f>
        <v>0</v>
      </c>
      <c r="BS55" s="75">
        <f t="array" ref="BS55">SUM((YEAR(Gastos!$A$2:$A$2500)=BS$1)*(MONTH(Gastos!$A$2:$A$2500)=BS$3)*(Gastos!$B$2:$B$2500=$A55)*(Gastos!$D$2:$D$2500))</f>
        <v>0</v>
      </c>
      <c r="BT55" s="75">
        <f t="array" ref="BT55">SUM((YEAR(Gastos!$A$2:$A$2500)=BT$1)*(MONTH(Gastos!$A$2:$A$2500)=BT$3)*(Gastos!$B$2:$B$2500=$A55)*(Gastos!$D$2:$D$2500))</f>
        <v>0</v>
      </c>
      <c r="BU55" s="75">
        <f t="array" ref="BU55">SUM((YEAR(Gastos!$A$2:$A$2500)=BU$1)*(MONTH(Gastos!$A$2:$A$2500)=BU$3)*(Gastos!$B$2:$B$2500=$A55)*(Gastos!$D$2:$D$2500))</f>
        <v>0</v>
      </c>
      <c r="BV55" s="75">
        <f t="array" ref="BV55">SUM((YEAR(Gastos!$A$2:$A$2500)=BV$1)*(MONTH(Gastos!$A$2:$A$2500)=BV$3)*(Gastos!$B$2:$B$2500=$A55)*(Gastos!$D$2:$D$2500))</f>
        <v>0</v>
      </c>
      <c r="BW55" s="75">
        <f t="array" ref="BW55">SUM((YEAR(Gastos!$A$2:$A$2500)=BW$1)*(MONTH(Gastos!$A$2:$A$2500)=BW$3)*(Gastos!$B$2:$B$2500=$A55)*(Gastos!$D$2:$D$2500))</f>
        <v>0</v>
      </c>
      <c r="BX55" s="75">
        <f t="array" ref="BX55">SUM((YEAR(Gastos!$A$2:$A$2500)=BX$1)*(MONTH(Gastos!$A$2:$A$2500)=BX$3)*(Gastos!$B$2:$B$2500=$A55)*(Gastos!$D$2:$D$2500))</f>
        <v>0</v>
      </c>
      <c r="BY55" s="75">
        <f t="array" ref="BY55">SUM((YEAR(Gastos!$A$2:$A$2500)=BY$1)*(MONTH(Gastos!$A$2:$A$2500)=BY$3)*(Gastos!$B$2:$B$2500=$A55)*(Gastos!$D$2:$D$2500))</f>
        <v>0</v>
      </c>
      <c r="BZ55" s="75">
        <f t="array" ref="BZ55">SUM((YEAR(Gastos!$A$2:$A$2500)=BZ$1)*(MONTH(Gastos!$A$2:$A$2500)=BZ$3)*(Gastos!$B$2:$B$2500=$A55)*(Gastos!$D$2:$D$2500))</f>
        <v>0</v>
      </c>
      <c r="CA55" s="75">
        <f t="array" ref="CA55">SUM((YEAR(Gastos!$A$2:$A$2500)=CA$1)*(MONTH(Gastos!$A$2:$A$2500)=CA$3)*(Gastos!$B$2:$B$2500=$A55)*(Gastos!$D$2:$D$2500))</f>
        <v>0</v>
      </c>
      <c r="CB55" s="75">
        <f t="array" ref="CB55">SUM((YEAR(Gastos!$A$2:$A$2500)=CB$1)*(MONTH(Gastos!$A$2:$A$2500)=CB$3)*(Gastos!$B$2:$B$2500=$A55)*(Gastos!$D$2:$D$2500))</f>
        <v>0</v>
      </c>
      <c r="CC55" s="75">
        <f t="array" ref="CC55">SUM((YEAR(Gastos!$A$2:$A$2500)=CC$1)*(MONTH(Gastos!$A$2:$A$2500)=CC$3)*(Gastos!$B$2:$B$2500=$A55)*(Gastos!$D$2:$D$2500))</f>
        <v>0</v>
      </c>
      <c r="CD55" s="75">
        <f t="array" ref="CD55">SUM((YEAR(Gastos!$A$2:$A$2500)=CD$1)*(MONTH(Gastos!$A$2:$A$2500)=CD$3)*(Gastos!$B$2:$B$2500=$A55)*(Gastos!$D$2:$D$2500))</f>
        <v>0</v>
      </c>
      <c r="CE55" s="75">
        <f t="array" ref="CE55">SUM((YEAR(Gastos!$A$2:$A$2500)=CE$1)*(MONTH(Gastos!$A$2:$A$2500)=CE$3)*(Gastos!$B$2:$B$2500=$A55)*(Gastos!$D$2:$D$2500))</f>
        <v>0</v>
      </c>
      <c r="CF55" s="75">
        <f t="array" ref="CF55">SUM((YEAR(Gastos!$A$2:$A$2500)=CF$1)*(MONTH(Gastos!$A$2:$A$2500)=CF$3)*(Gastos!$B$2:$B$2500=$A55)*(Gastos!$D$2:$D$2500))</f>
        <v>0</v>
      </c>
      <c r="CG55" s="75">
        <f t="array" ref="CG55">SUM((YEAR(Gastos!$A$2:$A$2500)=CG$1)*(MONTH(Gastos!$A$2:$A$2500)=CG$3)*(Gastos!$B$2:$B$2500=$A55)*(Gastos!$D$2:$D$2500))</f>
        <v>0</v>
      </c>
      <c r="CH55" s="75">
        <f t="array" ref="CH55">SUM((YEAR(Gastos!$A$2:$A$2500)=CH$1)*(MONTH(Gastos!$A$2:$A$2500)=CH$3)*(Gastos!$B$2:$B$2500=$A55)*(Gastos!$D$2:$D$2500))</f>
        <v>0</v>
      </c>
      <c r="CI55" s="75">
        <f t="array" ref="CI55">SUM((YEAR(Gastos!$A$2:$A$2500)=CI$1)*(MONTH(Gastos!$A$2:$A$2500)=CI$3)*(Gastos!$B$2:$B$2500=$A55)*(Gastos!$D$2:$D$2500))</f>
        <v>0</v>
      </c>
      <c r="CJ55" s="75">
        <f t="array" ref="CJ55">SUM((YEAR(Gastos!$A$2:$A$2500)=CJ$1)*(MONTH(Gastos!$A$2:$A$2500)=CJ$3)*(Gastos!$B$2:$B$2500=$A55)*(Gastos!$D$2:$D$2500))</f>
        <v>0</v>
      </c>
      <c r="CK55" s="75">
        <f t="array" ref="CK55">SUM((YEAR(Gastos!$A$2:$A$2500)=CK$1)*(MONTH(Gastos!$A$2:$A$2500)=CK$3)*(Gastos!$B$2:$B$2500=$A55)*(Gastos!$D$2:$D$2500))</f>
        <v>0</v>
      </c>
      <c r="CL55" s="75">
        <f t="array" ref="CL55">SUM((YEAR(Gastos!$A$2:$A$2500)=CL$1)*(MONTH(Gastos!$A$2:$A$2500)=CL$3)*(Gastos!$B$2:$B$2500=$A55)*(Gastos!$D$2:$D$2500))</f>
        <v>0</v>
      </c>
      <c r="CM55" s="75">
        <f t="array" ref="CM55">SUM((YEAR(Gastos!$A$2:$A$2500)=CM$1)*(MONTH(Gastos!$A$2:$A$2500)=CM$3)*(Gastos!$B$2:$B$2500=$A55)*(Gastos!$D$2:$D$2500))</f>
        <v>0</v>
      </c>
      <c r="CN55" s="75">
        <f t="array" ref="CN55">SUM((YEAR(Gastos!$A$2:$A$2500)=CN$1)*(MONTH(Gastos!$A$2:$A$2500)=CN$3)*(Gastos!$B$2:$B$2500=$A55)*(Gastos!$D$2:$D$2500))</f>
        <v>0</v>
      </c>
      <c r="CO55" s="75">
        <f t="array" ref="CO55">SUM((YEAR(Gastos!$A$2:$A$2500)=CO$1)*(MONTH(Gastos!$A$2:$A$2500)=CO$3)*(Gastos!$B$2:$B$2500=$A55)*(Gastos!$D$2:$D$2500))</f>
        <v>0</v>
      </c>
      <c r="CP55" s="75">
        <f t="array" ref="CP55">SUM((YEAR(Gastos!$A$2:$A$2500)=CP$1)*(MONTH(Gastos!$A$2:$A$2500)=CP$3)*(Gastos!$B$2:$B$2500=$A55)*(Gastos!$D$2:$D$2500))</f>
        <v>0</v>
      </c>
      <c r="CQ55" s="75">
        <f t="array" ref="CQ55">SUM((YEAR(Gastos!$A$2:$A$2500)=CQ$1)*(MONTH(Gastos!$A$2:$A$2500)=CQ$3)*(Gastos!$B$2:$B$2500=$A55)*(Gastos!$D$2:$D$2500))</f>
        <v>0</v>
      </c>
      <c r="CR55" s="75">
        <f t="array" ref="CR55">SUM((YEAR(Gastos!$A$2:$A$2500)=CR$1)*(MONTH(Gastos!$A$2:$A$2500)=CR$3)*(Gastos!$B$2:$B$2500=$A55)*(Gastos!$D$2:$D$2500))</f>
        <v>0</v>
      </c>
      <c r="CS55" s="75">
        <f t="array" ref="CS55">SUM((YEAR(Gastos!$A$2:$A$2500)=CS$1)*(MONTH(Gastos!$A$2:$A$2500)=CS$3)*(Gastos!$B$2:$B$2500=$A55)*(Gastos!$D$2:$D$2500))</f>
        <v>0</v>
      </c>
      <c r="CT55" s="75">
        <f t="array" ref="CT55">SUM((YEAR(Gastos!$A$2:$A$2500)=CT$1)*(MONTH(Gastos!$A$2:$A$2500)=CT$3)*(Gastos!$B$2:$B$2500=$A55)*(Gastos!$D$2:$D$2500))</f>
        <v>0</v>
      </c>
      <c r="CU55" s="75">
        <f t="array" ref="CU55">SUM((YEAR(Gastos!$A$2:$A$2500)=CU$1)*(MONTH(Gastos!$A$2:$A$2500)=CU$3)*(Gastos!$B$2:$B$2500=$A55)*(Gastos!$D$2:$D$2500))</f>
        <v>0</v>
      </c>
      <c r="CV55" s="75">
        <f t="array" ref="CV55">SUM((YEAR(Gastos!$A$2:$A$2500)=CV$1)*(MONTH(Gastos!$A$2:$A$2500)=CV$3)*(Gastos!$B$2:$B$2500=$A55)*(Gastos!$D$2:$D$2500))</f>
        <v>0</v>
      </c>
      <c r="CW55" s="75">
        <f t="array" ref="CW55">SUM((YEAR(Gastos!$A$2:$A$2500)=CW$1)*(MONTH(Gastos!$A$2:$A$2500)=CW$3)*(Gastos!$B$2:$B$2500=$A55)*(Gastos!$D$2:$D$2500))</f>
        <v>0</v>
      </c>
      <c r="CX55" s="75">
        <f t="array" ref="CX55">SUM((YEAR(Gastos!$A$2:$A$2500)=CX$1)*(MONTH(Gastos!$A$2:$A$2500)=CX$3)*(Gastos!$B$2:$B$2500=$A55)*(Gastos!$D$2:$D$2500))</f>
        <v>0</v>
      </c>
      <c r="CY55" s="75">
        <f t="array" ref="CY55">SUM((YEAR(Gastos!$A$2:$A$2500)=CY$1)*(MONTH(Gastos!$A$2:$A$2500)=CY$3)*(Gastos!$B$2:$B$2500=$A55)*(Gastos!$D$2:$D$2500))</f>
        <v>0</v>
      </c>
      <c r="CZ55" s="75">
        <f t="array" ref="CZ55">SUM((YEAR(Gastos!$A$2:$A$2500)=CZ$1)*(MONTH(Gastos!$A$2:$A$2500)=CZ$3)*(Gastos!$B$2:$B$2500=$A55)*(Gastos!$D$2:$D$2500))</f>
        <v>0</v>
      </c>
      <c r="DA55" s="75">
        <f t="array" ref="DA55">SUM((YEAR(Gastos!$A$2:$A$2500)=DA$1)*(MONTH(Gastos!$A$2:$A$2500)=DA$3)*(Gastos!$B$2:$B$2500=$A55)*(Gastos!$D$2:$D$2500))</f>
        <v>0</v>
      </c>
      <c r="DB55" s="75">
        <f t="array" ref="DB55">SUM((YEAR(Gastos!$A$2:$A$2500)=DB$1)*(MONTH(Gastos!$A$2:$A$2500)=DB$3)*(Gastos!$B$2:$B$2500=$A55)*(Gastos!$D$2:$D$2500))</f>
        <v>0</v>
      </c>
      <c r="DC55" s="75">
        <f t="array" ref="DC55">SUM((YEAR(Gastos!$A$2:$A$2500)=DC$1)*(MONTH(Gastos!$A$2:$A$2500)=DC$3)*(Gastos!$B$2:$B$2500=$A55)*(Gastos!$D$2:$D$2500))</f>
        <v>0</v>
      </c>
      <c r="DD55" s="75">
        <f t="array" ref="DD55">SUM((YEAR(Gastos!$A$2:$A$2500)=DD$1)*(MONTH(Gastos!$A$2:$A$2500)=DD$3)*(Gastos!$B$2:$B$2500=$A55)*(Gastos!$D$2:$D$2500))</f>
        <v>0</v>
      </c>
      <c r="DE55" s="75">
        <f t="array" ref="DE55">SUM((YEAR(Gastos!$A$2:$A$2500)=DE$1)*(MONTH(Gastos!$A$2:$A$2500)=DE$3)*(Gastos!$B$2:$B$2500=$A55)*(Gastos!$D$2:$D$2500))</f>
        <v>0</v>
      </c>
      <c r="DF55" s="75">
        <f t="array" ref="DF55">SUM((YEAR(Gastos!$A$2:$A$2500)=DF$1)*(MONTH(Gastos!$A$2:$A$2500)=DF$3)*(Gastos!$B$2:$B$2500=$A55)*(Gastos!$D$2:$D$2500))</f>
        <v>0</v>
      </c>
      <c r="DG55" s="75">
        <f t="array" ref="DG55">SUM((YEAR(Gastos!$A$2:$A$2500)=DG$1)*(MONTH(Gastos!$A$2:$A$2500)=DG$3)*(Gastos!$B$2:$B$2500=$A55)*(Gastos!$D$2:$D$2500))</f>
        <v>0</v>
      </c>
      <c r="DH55" s="75">
        <f t="array" ref="DH55">SUM((YEAR(Gastos!$A$2:$A$2500)=DH$1)*(MONTH(Gastos!$A$2:$A$2500)=DH$3)*(Gastos!$B$2:$B$2500=$A55)*(Gastos!$D$2:$D$2500))</f>
        <v>0</v>
      </c>
      <c r="DI55" s="75">
        <f t="array" ref="DI55">SUM((YEAR(Gastos!$A$2:$A$2500)=DI$1)*(MONTH(Gastos!$A$2:$A$2500)=DI$3)*(Gastos!$B$2:$B$2500=$A55)*(Gastos!$D$2:$D$2500))</f>
        <v>0</v>
      </c>
      <c r="DJ55" s="75">
        <f t="array" ref="DJ55">SUM((YEAR(Gastos!$A$2:$A$2500)=DJ$1)*(MONTH(Gastos!$A$2:$A$2500)=DJ$3)*(Gastos!$B$2:$B$2500=$A55)*(Gastos!$D$2:$D$2500))</f>
        <v>0</v>
      </c>
      <c r="DK55" s="75">
        <f t="array" ref="DK55">SUM((YEAR(Gastos!$A$2:$A$2500)=DK$1)*(MONTH(Gastos!$A$2:$A$2500)=DK$3)*(Gastos!$B$2:$B$2500=$A55)*(Gastos!$D$2:$D$2500))</f>
        <v>0</v>
      </c>
      <c r="DL55" s="75">
        <f t="array" ref="DL55">SUM((YEAR(Gastos!$A$2:$A$2500)=DL$1)*(MONTH(Gastos!$A$2:$A$2500)=DL$3)*(Gastos!$B$2:$B$2500=$A55)*(Gastos!$D$2:$D$2500))</f>
        <v>0</v>
      </c>
      <c r="DM55" s="75">
        <f t="array" ref="DM55">SUM((YEAR(Gastos!$A$2:$A$2500)=DM$1)*(MONTH(Gastos!$A$2:$A$2500)=DM$3)*(Gastos!$B$2:$B$2500=$A55)*(Gastos!$D$2:$D$2500))</f>
        <v>0</v>
      </c>
      <c r="DN55" s="75">
        <f t="array" ref="DN55">SUM((YEAR(Gastos!$A$2:$A$2500)=DN$1)*(MONTH(Gastos!$A$2:$A$2500)=DN$3)*(Gastos!$B$2:$B$2500=$A55)*(Gastos!$D$2:$D$2500))</f>
        <v>0</v>
      </c>
      <c r="DO55" s="75">
        <f t="array" ref="DO55">SUM((YEAR(Gastos!$A$2:$A$2500)=DO$1)*(MONTH(Gastos!$A$2:$A$2500)=DO$3)*(Gastos!$B$2:$B$2500=$A55)*(Gastos!$D$2:$D$2500))</f>
        <v>0</v>
      </c>
      <c r="DP55" s="75">
        <f t="array" ref="DP55">SUM((YEAR(Gastos!$A$2:$A$2500)=DP$1)*(MONTH(Gastos!$A$2:$A$2500)=DP$3)*(Gastos!$B$2:$B$2500=$A55)*(Gastos!$D$2:$D$2500))</f>
        <v>0</v>
      </c>
      <c r="DQ55" s="75">
        <f t="array" ref="DQ55">SUM((YEAR(Gastos!$A$2:$A$2500)=DQ$1)*(MONTH(Gastos!$A$2:$A$2500)=DQ$3)*(Gastos!$B$2:$B$2500=$A55)*(Gastos!$D$2:$D$2500))</f>
        <v>0</v>
      </c>
      <c r="DR55" s="75">
        <f t="array" ref="DR55">SUM((YEAR(Gastos!$A$2:$A$2500)=DR$1)*(MONTH(Gastos!$A$2:$A$2500)=DR$3)*(Gastos!$B$2:$B$2500=$A55)*(Gastos!$D$2:$D$2500))</f>
        <v>0</v>
      </c>
      <c r="DS55" s="75">
        <f t="array" ref="DS55">SUM((YEAR(Gastos!$A$2:$A$2500)=DS$1)*(MONTH(Gastos!$A$2:$A$2500)=DS$3)*(Gastos!$B$2:$B$2500=$A55)*(Gastos!$D$2:$D$2500))</f>
        <v>0</v>
      </c>
      <c r="DT55" s="75">
        <f t="array" ref="DT55">SUM((YEAR(Gastos!$A$2:$A$2500)=DT$1)*(MONTH(Gastos!$A$2:$A$2500)=DT$3)*(Gastos!$B$2:$B$2500=$A55)*(Gastos!$D$2:$D$2500))</f>
        <v>0</v>
      </c>
      <c r="DU55" s="75">
        <f t="array" ref="DU55">SUM((YEAR(Gastos!$A$2:$A$2500)=DU$1)*(MONTH(Gastos!$A$2:$A$2500)=DU$3)*(Gastos!$B$2:$B$2500=$A55)*(Gastos!$D$2:$D$2500))</f>
        <v>0</v>
      </c>
      <c r="DV55" s="75">
        <f t="array" ref="DV55">SUM((YEAR(Gastos!$A$2:$A$2500)=DV$1)*(MONTH(Gastos!$A$2:$A$2500)=DV$3)*(Gastos!$B$2:$B$2500=$A55)*(Gastos!$D$2:$D$2500))</f>
        <v>0</v>
      </c>
      <c r="DW55" s="75">
        <f t="array" ref="DW55">SUM((YEAR(Gastos!$A$2:$A$2500)=DW$1)*(MONTH(Gastos!$A$2:$A$2500)=DW$3)*(Gastos!$B$2:$B$2500=$A55)*(Gastos!$D$2:$D$2500))</f>
        <v>0</v>
      </c>
      <c r="DX55" s="75">
        <f t="array" ref="DX55">SUM((YEAR(Gastos!$A$2:$A$2500)=DX$1)*(MONTH(Gastos!$A$2:$A$2500)=DX$3)*(Gastos!$B$2:$B$2500=$A55)*(Gastos!$D$2:$D$2500))</f>
        <v>0</v>
      </c>
      <c r="DY55" s="75">
        <f t="array" ref="DY55">SUM((YEAR(Gastos!$A$2:$A$2500)=DY$1)*(MONTH(Gastos!$A$2:$A$2500)=DY$3)*(Gastos!$B$2:$B$2500=$A55)*(Gastos!$D$2:$D$2500))</f>
        <v>0</v>
      </c>
      <c r="DZ55" s="75">
        <f t="array" ref="DZ55">SUM((YEAR(Gastos!$A$2:$A$2500)=DZ$1)*(MONTH(Gastos!$A$2:$A$2500)=DZ$3)*(Gastos!$B$2:$B$2500=$A55)*(Gastos!$D$2:$D$2500))</f>
        <v>0</v>
      </c>
      <c r="EA55" s="75">
        <f t="array" ref="EA55">SUM((YEAR(Gastos!$A$2:$A$2500)=EA$1)*(MONTH(Gastos!$A$2:$A$2500)=EA$3)*(Gastos!$B$2:$B$2500=$A55)*(Gastos!$D$2:$D$2500))</f>
        <v>0</v>
      </c>
      <c r="EB55" s="75">
        <f t="array" ref="EB55">SUM((YEAR(Gastos!$A$2:$A$2500)=EB$1)*(MONTH(Gastos!$A$2:$A$2500)=EB$3)*(Gastos!$B$2:$B$2500=$A55)*(Gastos!$D$2:$D$2500))</f>
        <v>0</v>
      </c>
      <c r="EC55" s="75">
        <f t="array" ref="EC55">SUM((YEAR(Gastos!$A$2:$A$2500)=EC$1)*(MONTH(Gastos!$A$2:$A$2500)=EC$3)*(Gastos!$B$2:$B$2500=$A55)*(Gastos!$D$2:$D$2500))</f>
        <v>0</v>
      </c>
      <c r="ED55" s="75">
        <f t="array" ref="ED55">SUM((YEAR(Gastos!$A$2:$A$2500)=ED$1)*(MONTH(Gastos!$A$2:$A$2500)=ED$3)*(Gastos!$B$2:$B$2500=$A55)*(Gastos!$D$2:$D$2500))</f>
        <v>0</v>
      </c>
      <c r="EE55" s="75">
        <f t="array" ref="EE55">SUM((YEAR(Gastos!$A$2:$A$2500)=EE$1)*(MONTH(Gastos!$A$2:$A$2500)=EE$3)*(Gastos!$B$2:$B$2500=$A55)*(Gastos!$D$2:$D$2500))</f>
        <v>0</v>
      </c>
      <c r="EF55" s="75">
        <f t="array" ref="EF55">SUM((YEAR(Gastos!$A$2:$A$2500)=EF$1)*(MONTH(Gastos!$A$2:$A$2500)=EF$3)*(Gastos!$B$2:$B$2500=$A55)*(Gastos!$D$2:$D$2500))</f>
        <v>0</v>
      </c>
      <c r="EG55" s="75">
        <f t="array" ref="EG55">SUM((YEAR(Gastos!$A$2:$A$2500)=EG$1)*(MONTH(Gastos!$A$2:$A$2500)=EG$3)*(Gastos!$B$2:$B$2500=$A55)*(Gastos!$D$2:$D$2500))</f>
        <v>0</v>
      </c>
      <c r="EH55" s="75">
        <f t="array" ref="EH55">SUM((YEAR(Gastos!$A$2:$A$2500)=EH$1)*(MONTH(Gastos!$A$2:$A$2500)=EH$3)*(Gastos!$B$2:$B$2500=$A55)*(Gastos!$D$2:$D$2500))</f>
        <v>0</v>
      </c>
      <c r="EI55" s="75">
        <f t="array" ref="EI55">SUM((YEAR(Gastos!$A$2:$A$2500)=EI$1)*(MONTH(Gastos!$A$2:$A$2500)=EI$3)*(Gastos!$B$2:$B$2500=$A55)*(Gastos!$D$2:$D$2500))</f>
        <v>0</v>
      </c>
      <c r="EJ55" s="75">
        <f t="array" ref="EJ55">SUM((YEAR(Gastos!$A$2:$A$2500)=EJ$1)*(MONTH(Gastos!$A$2:$A$2500)=EJ$3)*(Gastos!$B$2:$B$2500=$A55)*(Gastos!$D$2:$D$2500))</f>
        <v>0</v>
      </c>
      <c r="EK55" s="75">
        <f t="array" ref="EK55">SUM((YEAR(Gastos!$A$2:$A$2500)=EK$1)*(MONTH(Gastos!$A$2:$A$2500)=EK$3)*(Gastos!$B$2:$B$2500=$A55)*(Gastos!$D$2:$D$2500))</f>
        <v>0</v>
      </c>
      <c r="EL55" s="75">
        <f t="array" ref="EL55">SUM((YEAR(Gastos!$A$2:$A$2500)=EL$1)*(MONTH(Gastos!$A$2:$A$2500)=EL$3)*(Gastos!$B$2:$B$2500=$A55)*(Gastos!$D$2:$D$2500))</f>
        <v>0</v>
      </c>
      <c r="EM55" s="75">
        <f t="array" ref="EM55">SUM((YEAR(Gastos!$A$2:$A$2500)=EM$1)*(MONTH(Gastos!$A$2:$A$2500)=EM$3)*(Gastos!$B$2:$B$2500=$A55)*(Gastos!$D$2:$D$2500))</f>
        <v>0</v>
      </c>
      <c r="EN55" s="75">
        <f t="array" ref="EN55">SUM((YEAR(Gastos!$A$2:$A$2500)=EN$1)*(MONTH(Gastos!$A$2:$A$2500)=EN$3)*(Gastos!$B$2:$B$2500=$A55)*(Gastos!$D$2:$D$2500))</f>
        <v>0</v>
      </c>
      <c r="EO55" s="75">
        <f t="array" ref="EO55">SUM((YEAR(Gastos!$A$2:$A$2500)=EO$1)*(MONTH(Gastos!$A$2:$A$2500)=EO$3)*(Gastos!$B$2:$B$2500=$A55)*(Gastos!$D$2:$D$2500))</f>
        <v>300</v>
      </c>
      <c r="EP55" s="75">
        <f t="array" ref="EP55">SUM((YEAR(Gastos!$A$2:$A$2500)=EP$1)*(MONTH(Gastos!$A$2:$A$2500)=EP$3)*(Gastos!$B$2:$B$2500=$A55)*(Gastos!$D$2:$D$2500))</f>
        <v>0</v>
      </c>
      <c r="EQ55" s="75">
        <f t="array" ref="EQ55">SUM((YEAR(Gastos!$A$2:$A$2500)=EQ$1)*(MONTH(Gastos!$A$2:$A$2500)=EQ$3)*(Gastos!$B$2:$B$2500=$A55)*(Gastos!$D$2:$D$2500))</f>
        <v>0</v>
      </c>
      <c r="ER55" s="75">
        <f t="array" ref="ER55">SUM((YEAR(Gastos!$A$2:$A$2500)=ER$1)*(MONTH(Gastos!$A$2:$A$2500)=ER$3)*(Gastos!$B$2:$B$2500=$A55)*(Gastos!$D$2:$D$2500))</f>
        <v>0</v>
      </c>
      <c r="ES55" s="75">
        <f t="array" ref="ES55">SUM((YEAR(Gastos!$A$2:$A$2500)=ES$1)*(MONTH(Gastos!$A$2:$A$2500)=ES$3)*(Gastos!$B$2:$B$2500=$A55)*(Gastos!$D$2:$D$2500))</f>
        <v>0</v>
      </c>
      <c r="ET55" s="75">
        <f t="array" ref="ET55">SUM((YEAR(Gastos!$A$2:$A$2500)=ET$1)*(MONTH(Gastos!$A$2:$A$2500)=ET$3)*(Gastos!$B$2:$B$2500=$A55)*(Gastos!$D$2:$D$2500))</f>
        <v>0</v>
      </c>
      <c r="EU55" s="75">
        <f t="array" ref="EU55">SUM((YEAR(Gastos!$A$2:$A$2500)=EU$1)*(MONTH(Gastos!$A$2:$A$2500)=EU$3)*(Gastos!$B$2:$B$2500=$A55)*(Gastos!$D$2:$D$2500))</f>
        <v>0</v>
      </c>
      <c r="EV55" s="75">
        <f t="array" ref="EV55">SUM((YEAR(Gastos!$A$2:$A$2500)=EV$1)*(MONTH(Gastos!$A$2:$A$2500)=EV$3)*(Gastos!$B$2:$B$2500=$A55)*(Gastos!$D$2:$D$2500))</f>
        <v>0</v>
      </c>
      <c r="EW55" s="75">
        <f t="array" ref="EW55">SUM((YEAR(Gastos!$A$2:$A$2500)=EW$1)*(MONTH(Gastos!$A$2:$A$2500)=EW$3)*(Gastos!$B$2:$B$2500=$A55)*(Gastos!$D$2:$D$2500))</f>
        <v>0</v>
      </c>
      <c r="EX55" s="75">
        <f t="array" ref="EX55">SUM((YEAR(Gastos!$A$2:$A$2500)=EX$1)*(MONTH(Gastos!$A$2:$A$2500)=EX$3)*(Gastos!$B$2:$B$2500=$A55)*(Gastos!$D$2:$D$2500))</f>
        <v>0</v>
      </c>
      <c r="EY55" s="75">
        <f t="array" ref="EY55">SUM((YEAR(Gastos!$A$2:$A$2500)=EY$1)*(MONTH(Gastos!$A$2:$A$2500)=EY$3)*(Gastos!$B$2:$B$2500=$A55)*(Gastos!$D$2:$D$2500))</f>
        <v>0</v>
      </c>
      <c r="EZ55" s="75">
        <f t="array" ref="EZ55">SUM((YEAR(Gastos!$A$2:$A$2500)=EZ$1)*(MONTH(Gastos!$A$2:$A$2500)=EZ$3)*(Gastos!$B$2:$B$2500=$A55)*(Gastos!$D$2:$D$2500))</f>
        <v>0</v>
      </c>
      <c r="FA55" s="75">
        <f t="array" ref="FA55">SUM((YEAR(Gastos!$A$2:$A$2500)=FA$1)*(MONTH(Gastos!$A$2:$A$2500)=FA$3)*(Gastos!$B$2:$B$2500=$A55)*(Gastos!$D$2:$D$2500))</f>
        <v>0</v>
      </c>
      <c r="FB55" s="75">
        <f t="array" ref="FB55">SUM((YEAR(Gastos!$A$2:$A$2500)=FB$1)*(MONTH(Gastos!$A$2:$A$2500)=FB$3)*(Gastos!$B$2:$B$2500=$A55)*(Gastos!$D$2:$D$2500))</f>
        <v>0</v>
      </c>
      <c r="FC55" s="75">
        <f t="array" ref="FC55">SUM((YEAR(Gastos!$A$2:$A$2500)=FC$1)*(MONTH(Gastos!$A$2:$A$2500)=FC$3)*(Gastos!$B$2:$B$2500=$A55)*(Gastos!$D$2:$D$2500))</f>
        <v>0</v>
      </c>
      <c r="FD55" s="75">
        <f t="array" ref="FD55">SUM((YEAR(Gastos!$A$2:$A$2500)=FD$1)*(MONTH(Gastos!$A$2:$A$2500)=FD$3)*(Gastos!$B$2:$B$2500=$A55)*(Gastos!$D$2:$D$2500))</f>
        <v>0</v>
      </c>
      <c r="FE55" s="75">
        <f t="array" ref="FE55">SUM((YEAR(Gastos!$A$2:$A$2500)=FE$1)*(MONTH(Gastos!$A$2:$A$2500)=FE$3)*(Gastos!$B$2:$B$2500=$A55)*(Gastos!$D$2:$D$2500))</f>
        <v>0</v>
      </c>
      <c r="FF55" s="75">
        <f t="array" ref="FF55">SUM((YEAR(Gastos!$A$2:$A$2500)=FF$1)*(MONTH(Gastos!$A$2:$A$2500)=FF$3)*(Gastos!$B$2:$B$2500=$A55)*(Gastos!$D$2:$D$2500))</f>
        <v>0</v>
      </c>
      <c r="FG55" s="75">
        <f t="array" ref="FG55">SUM((YEAR(Gastos!$A$2:$A$2500)=FG$1)*(MONTH(Gastos!$A$2:$A$2500)=FG$3)*(Gastos!$B$2:$B$2500=$A55)*(Gastos!$D$2:$D$2500))</f>
        <v>0</v>
      </c>
      <c r="FH55" s="75">
        <f t="array" ref="FH55">SUM((YEAR(Gastos!$A$2:$A$2500)=FH$1)*(MONTH(Gastos!$A$2:$A$2500)=FH$3)*(Gastos!$B$2:$B$2500=$A55)*(Gastos!$D$2:$D$2500))</f>
        <v>0</v>
      </c>
      <c r="FI55" s="75">
        <f t="array" ref="FI55">SUM((YEAR(Gastos!$A$2:$A$2500)=FI$1)*(MONTH(Gastos!$A$2:$A$2500)=FI$3)*(Gastos!$B$2:$B$2500=$A55)*(Gastos!$D$2:$D$2500))</f>
        <v>0</v>
      </c>
      <c r="FJ55" s="75">
        <f t="array" ref="FJ55">SUM((YEAR(Gastos!$A$2:$A$2500)=FJ$1)*(MONTH(Gastos!$A$2:$A$2500)=FJ$3)*(Gastos!$B$2:$B$2500=$A55)*(Gastos!$D$2:$D$2500))</f>
        <v>0</v>
      </c>
      <c r="FK55" s="75">
        <f t="array" ref="FK55">SUM((YEAR(Gastos!$A$2:$A$2500)=FK$1)*(MONTH(Gastos!$A$2:$A$2500)=FK$3)*(Gastos!$B$2:$B$2500=$A55)*(Gastos!$D$2:$D$2500))</f>
        <v>0</v>
      </c>
      <c r="FL55" s="75">
        <f t="array" ref="FL55">SUM((YEAR(Gastos!$A$2:$A$2500)=FL$1)*(MONTH(Gastos!$A$2:$A$2500)=FL$3)*(Gastos!$B$2:$B$2500=$A55)*(Gastos!$D$2:$D$2500))</f>
        <v>0</v>
      </c>
      <c r="FM55" s="75">
        <f t="array" ref="FM55">SUM((YEAR(Gastos!$A$2:$A$2500)=FM$1)*(MONTH(Gastos!$A$2:$A$2500)=FM$3)*(Gastos!$B$2:$B$2500=$A55)*(Gastos!$D$2:$D$2500))</f>
        <v>0</v>
      </c>
      <c r="FN55" s="75">
        <f t="array" ref="FN55">SUM((YEAR(Gastos!$A$2:$A$2500)=FN$1)*(MONTH(Gastos!$A$2:$A$2500)=FN$3)*(Gastos!$B$2:$B$2500=$A55)*(Gastos!$D$2:$D$2500))</f>
        <v>0</v>
      </c>
      <c r="FO55" s="75">
        <f t="array" ref="FO55">SUM((YEAR(Gastos!$A$2:$A$2500)=FO$1)*(MONTH(Gastos!$A$2:$A$2500)=FO$3)*(Gastos!$B$2:$B$2500=$A55)*(Gastos!$D$2:$D$2500))</f>
        <v>0</v>
      </c>
      <c r="FP55" s="75">
        <f t="array" ref="FP55">SUM((YEAR(Gastos!$A$2:$A$2500)=FP$1)*(MONTH(Gastos!$A$2:$A$2500)=FP$3)*(Gastos!$B$2:$B$2500=$A55)*(Gastos!$D$2:$D$2500))</f>
        <v>0</v>
      </c>
      <c r="FQ55" s="75">
        <f t="array" ref="FQ55">SUM((YEAR(Gastos!$A$2:$A$2500)=FQ$1)*(MONTH(Gastos!$A$2:$A$2500)=FQ$3)*(Gastos!$B$2:$B$2500=$A55)*(Gastos!$D$2:$D$2500))</f>
        <v>0</v>
      </c>
      <c r="FR55" s="75">
        <f t="array" ref="FR55">SUM((YEAR(Gastos!$A$2:$A$2500)=FR$1)*(MONTH(Gastos!$A$2:$A$2500)=FR$3)*(Gastos!$B$2:$B$2500=$A55)*(Gastos!$D$2:$D$2500))</f>
        <v>0</v>
      </c>
      <c r="FS55" s="75">
        <f t="array" ref="FS55">SUM((YEAR(Gastos!$A$2:$A$2500)=FS$1)*(MONTH(Gastos!$A$2:$A$2500)=FS$3)*(Gastos!$B$2:$B$2500=$A55)*(Gastos!$D$2:$D$2500))</f>
        <v>0</v>
      </c>
      <c r="FT55" s="75">
        <f t="array" ref="FT55">SUM((YEAR(Gastos!$A$2:$A$2500)=FT$1)*(MONTH(Gastos!$A$2:$A$2500)=FT$3)*(Gastos!$B$2:$B$2500=$A55)*(Gastos!$D$2:$D$2500))</f>
        <v>0</v>
      </c>
      <c r="FU55" s="75">
        <f t="array" ref="FU55">SUM((YEAR(Gastos!$A$2:$A$2500)=FU$1)*(MONTH(Gastos!$A$2:$A$2500)=FU$3)*(Gastos!$B$2:$B$2500=$A55)*(Gastos!$D$2:$D$2500))</f>
        <v>0</v>
      </c>
      <c r="FV55" s="75">
        <f t="array" ref="FV55">SUM((YEAR(Gastos!$A$2:$A$2500)=FV$1)*(MONTH(Gastos!$A$2:$A$2500)=FV$3)*(Gastos!$B$2:$B$2500=$A55)*(Gastos!$D$2:$D$2500))</f>
        <v>0</v>
      </c>
      <c r="FW55" s="75">
        <f t="array" ref="FW55">SUM((YEAR(Gastos!$A$2:$A$2500)=FW$1)*(MONTH(Gastos!$A$2:$A$2500)=FW$3)*(Gastos!$B$2:$B$2500=$A55)*(Gastos!$D$2:$D$2500))</f>
        <v>0</v>
      </c>
      <c r="FX55" s="75">
        <f t="array" ref="FX55">SUM((YEAR(Gastos!$A$2:$A$2500)=FX$1)*(MONTH(Gastos!$A$2:$A$2500)=FX$3)*(Gastos!$B$2:$B$2500=$A55)*(Gastos!$D$2:$D$2500))</f>
        <v>0</v>
      </c>
      <c r="FY55" s="75">
        <f t="array" ref="FY55">SUM((YEAR(Gastos!$A$2:$A$2500)=FY$1)*(MONTH(Gastos!$A$2:$A$2500)=FY$3)*(Gastos!$B$2:$B$2500=$A55)*(Gastos!$D$2:$D$2500))</f>
        <v>0</v>
      </c>
      <c r="FZ55" s="76">
        <f t="shared" si="65"/>
        <v>300</v>
      </c>
      <c r="GA55" s="80"/>
      <c r="GB55" s="82"/>
    </row>
    <row r="56" spans="1:191" ht="15" thickBot="1" x14ac:dyDescent="0.4">
      <c r="A56" s="74" t="str">
        <f>Gastos!AA54</f>
        <v>X</v>
      </c>
      <c r="B56" s="75">
        <f t="array" ref="B56">SUM((YEAR(Gastos!$A$2:$A$2500)=B$1)*(MONTH(Gastos!$A$2:$A$2500)=B$3)*(Gastos!$B$2:$B$2500=$A56)*(Gastos!$D$2:$D$2500))</f>
        <v>0</v>
      </c>
      <c r="C56" s="75">
        <f t="array" ref="C56">SUM((YEAR(Gastos!$A$2:$A$2500)=C$1)*(MONTH(Gastos!$A$2:$A$2500)=C$3)*(Gastos!$B$2:$B$2500=$A56)*(Gastos!$D$2:$D$2500))</f>
        <v>0</v>
      </c>
      <c r="D56" s="75">
        <f t="array" ref="D56">SUM((YEAR(Gastos!$A$2:$A$2500)=D$1)*(MONTH(Gastos!$A$2:$A$2500)=D$3)*(Gastos!$B$2:$B$2500=$A56)*(Gastos!$D$2:$D$2500))</f>
        <v>0</v>
      </c>
      <c r="E56" s="75">
        <f t="array" ref="E56">SUM((YEAR(Gastos!$A$2:$A$2500)=E$1)*(MONTH(Gastos!$A$2:$A$2500)=E$3)*(Gastos!$B$2:$B$2500=$A56)*(Gastos!$D$2:$D$2500))</f>
        <v>0</v>
      </c>
      <c r="F56" s="75">
        <f t="array" ref="F56">SUM((YEAR(Gastos!$A$2:$A$2500)=F$1)*(MONTH(Gastos!$A$2:$A$2500)=F$3)*(Gastos!$B$2:$B$2500=$A56)*(Gastos!$D$2:$D$2500))</f>
        <v>0</v>
      </c>
      <c r="G56" s="75">
        <f t="array" ref="G56">SUM((YEAR(Gastos!$A$2:$A$2500)=G$1)*(MONTH(Gastos!$A$2:$A$2500)=G$3)*(Gastos!$B$2:$B$2500=$A56)*(Gastos!$D$2:$D$2500))</f>
        <v>0</v>
      </c>
      <c r="H56" s="75">
        <f t="array" ref="H56">SUM((YEAR(Gastos!$A$2:$A$2500)=H$1)*(MONTH(Gastos!$A$2:$A$2500)=H$3)*(Gastos!$B$2:$B$2500=$A56)*(Gastos!$D$2:$D$2500))</f>
        <v>0</v>
      </c>
      <c r="I56" s="75">
        <f t="array" ref="I56">SUM((YEAR(Gastos!$A$2:$A$2500)=I$1)*(MONTH(Gastos!$A$2:$A$2500)=I$3)*(Gastos!$B$2:$B$2500=$A56)*(Gastos!$D$2:$D$2500))</f>
        <v>0</v>
      </c>
      <c r="J56" s="75">
        <f t="array" ref="J56">SUM((YEAR(Gastos!$A$2:$A$2500)=J$1)*(MONTH(Gastos!$A$2:$A$2500)=J$3)*(Gastos!$B$2:$B$2500=$A56)*(Gastos!$D$2:$D$2500))</f>
        <v>0</v>
      </c>
      <c r="K56" s="75">
        <f t="array" ref="K56">SUM((YEAR(Gastos!$A$2:$A$2500)=K$1)*(MONTH(Gastos!$A$2:$A$2500)=K$3)*(Gastos!$B$2:$B$2500=$A56)*(Gastos!$D$2:$D$2500))</f>
        <v>0</v>
      </c>
      <c r="L56" s="75">
        <f t="array" ref="L56">SUM((YEAR(Gastos!$A$2:$A$2500)=L$1)*(MONTH(Gastos!$A$2:$A$2500)=L$3)*(Gastos!$B$2:$B$2500=$A56)*(Gastos!$D$2:$D$2500))</f>
        <v>0</v>
      </c>
      <c r="M56" s="75">
        <f t="array" ref="M56">SUM((YEAR(Gastos!$A$2:$A$2500)=M$1)*(MONTH(Gastos!$A$2:$A$2500)=M$3)*(Gastos!$B$2:$B$2500=$A56)*(Gastos!$D$2:$D$2500))</f>
        <v>0</v>
      </c>
      <c r="N56" s="75">
        <f t="array" ref="N56">SUM((YEAR(Gastos!$A$2:$A$2500)=N$1)*(MONTH(Gastos!$A$2:$A$2500)=N$3)*(Gastos!$B$2:$B$2500=$A56)*(Gastos!$D$2:$D$2500))</f>
        <v>0</v>
      </c>
      <c r="O56" s="75">
        <f t="array" ref="O56">SUM((YEAR(Gastos!$A$2:$A$2500)=O$1)*(MONTH(Gastos!$A$2:$A$2500)=O$3)*(Gastos!$B$2:$B$2500=$A56)*(Gastos!$D$2:$D$2500))</f>
        <v>0</v>
      </c>
      <c r="P56" s="75">
        <f t="array" ref="P56">SUM((YEAR(Gastos!$A$2:$A$2500)=P$1)*(MONTH(Gastos!$A$2:$A$2500)=P$3)*(Gastos!$B$2:$B$2500=$A56)*(Gastos!$D$2:$D$2500))</f>
        <v>0</v>
      </c>
      <c r="Q56" s="75">
        <f t="array" ref="Q56">SUM((YEAR(Gastos!$A$2:$A$2500)=Q$1)*(MONTH(Gastos!$A$2:$A$2500)=Q$3)*(Gastos!$B$2:$B$2500=$A56)*(Gastos!$D$2:$D$2500))</f>
        <v>0</v>
      </c>
      <c r="R56" s="75">
        <f t="array" ref="R56">SUM((YEAR(Gastos!$A$2:$A$2500)=R$1)*(MONTH(Gastos!$A$2:$A$2500)=R$3)*(Gastos!$B$2:$B$2500=$A56)*(Gastos!$D$2:$D$2500))</f>
        <v>0</v>
      </c>
      <c r="S56" s="75">
        <f t="array" ref="S56">SUM((YEAR(Gastos!$A$2:$A$2500)=S$1)*(MONTH(Gastos!$A$2:$A$2500)=S$3)*(Gastos!$B$2:$B$2500=$A56)*(Gastos!$D$2:$D$2500))</f>
        <v>0</v>
      </c>
      <c r="T56" s="75">
        <f t="array" ref="T56">SUM((YEAR(Gastos!$A$2:$A$2500)=T$1)*(MONTH(Gastos!$A$2:$A$2500)=T$3)*(Gastos!$B$2:$B$2500=$A56)*(Gastos!$D$2:$D$2500))</f>
        <v>0</v>
      </c>
      <c r="U56" s="75">
        <f t="array" ref="U56">SUM((YEAR(Gastos!$A$2:$A$2500)=U$1)*(MONTH(Gastos!$A$2:$A$2500)=U$3)*(Gastos!$B$2:$B$2500=$A56)*(Gastos!$D$2:$D$2500))</f>
        <v>0</v>
      </c>
      <c r="V56" s="75">
        <f t="array" ref="V56">SUM((YEAR(Gastos!$A$2:$A$2500)=V$1)*(MONTH(Gastos!$A$2:$A$2500)=V$3)*(Gastos!$B$2:$B$2500=$A56)*(Gastos!$D$2:$D$2500))</f>
        <v>0</v>
      </c>
      <c r="W56" s="75">
        <f t="array" ref="W56">SUM((YEAR(Gastos!$A$2:$A$2500)=W$1)*(MONTH(Gastos!$A$2:$A$2500)=W$3)*(Gastos!$B$2:$B$2500=$A56)*(Gastos!$D$2:$D$2500))</f>
        <v>0</v>
      </c>
      <c r="X56" s="75">
        <f t="array" ref="X56">SUM((YEAR(Gastos!$A$2:$A$2500)=X$1)*(MONTH(Gastos!$A$2:$A$2500)=X$3)*(Gastos!$B$2:$B$2500=$A56)*(Gastos!$D$2:$D$2500))</f>
        <v>0</v>
      </c>
      <c r="Y56" s="75">
        <f t="array" ref="Y56">SUM((YEAR(Gastos!$A$2:$A$2500)=Y$1)*(MONTH(Gastos!$A$2:$A$2500)=Y$3)*(Gastos!$B$2:$B$2500=$A56)*(Gastos!$D$2:$D$2500))</f>
        <v>0</v>
      </c>
      <c r="Z56" s="75">
        <f t="array" ref="Z56">SUM((YEAR(Gastos!$A$2:$A$2500)=Z$1)*(MONTH(Gastos!$A$2:$A$2500)=Z$3)*(Gastos!$B$2:$B$2500=$A56)*(Gastos!$D$2:$D$2500))</f>
        <v>0</v>
      </c>
      <c r="AA56" s="75">
        <f t="array" ref="AA56">SUM((YEAR(Gastos!$A$2:$A$2500)=AA$1)*(MONTH(Gastos!$A$2:$A$2500)=AA$3)*(Gastos!$B$2:$B$2500=$A56)*(Gastos!$D$2:$D$2500))</f>
        <v>0</v>
      </c>
      <c r="AB56" s="75">
        <f t="array" ref="AB56">SUM((YEAR(Gastos!$A$2:$A$2500)=AB$1)*(MONTH(Gastos!$A$2:$A$2500)=AB$3)*(Gastos!$B$2:$B$2500=$A56)*(Gastos!$D$2:$D$2500))</f>
        <v>0</v>
      </c>
      <c r="AC56" s="75">
        <f t="array" ref="AC56">SUM((YEAR(Gastos!$A$2:$A$2500)=AC$1)*(MONTH(Gastos!$A$2:$A$2500)=AC$3)*(Gastos!$B$2:$B$2500=$A56)*(Gastos!$D$2:$D$2500))</f>
        <v>0</v>
      </c>
      <c r="AD56" s="75">
        <f t="array" ref="AD56">SUM((YEAR(Gastos!$A$2:$A$2500)=AD$1)*(MONTH(Gastos!$A$2:$A$2500)=AD$3)*(Gastos!$B$2:$B$2500=$A56)*(Gastos!$D$2:$D$2500))</f>
        <v>0</v>
      </c>
      <c r="AE56" s="75">
        <f t="array" ref="AE56">SUM((YEAR(Gastos!$A$2:$A$2500)=AE$1)*(MONTH(Gastos!$A$2:$A$2500)=AE$3)*(Gastos!$B$2:$B$2500=$A56)*(Gastos!$D$2:$D$2500))</f>
        <v>0</v>
      </c>
      <c r="AF56" s="75">
        <f t="array" ref="AF56">SUM((YEAR(Gastos!$A$2:$A$2500)=AF$1)*(MONTH(Gastos!$A$2:$A$2500)=AF$3)*(Gastos!$B$2:$B$2500=$A56)*(Gastos!$D$2:$D$2500))</f>
        <v>0</v>
      </c>
      <c r="AG56" s="75">
        <f t="array" ref="AG56">SUM((YEAR(Gastos!$A$2:$A$2500)=AG$1)*(MONTH(Gastos!$A$2:$A$2500)=AG$3)*(Gastos!$B$2:$B$2500=$A56)*(Gastos!$D$2:$D$2500))</f>
        <v>0</v>
      </c>
      <c r="AH56" s="75">
        <f t="array" ref="AH56">SUM((YEAR(Gastos!$A$2:$A$2500)=AH$1)*(MONTH(Gastos!$A$2:$A$2500)=AH$3)*(Gastos!$B$2:$B$2500=$A56)*(Gastos!$D$2:$D$2500))</f>
        <v>0</v>
      </c>
      <c r="AI56" s="75">
        <f t="array" ref="AI56">SUM((YEAR(Gastos!$A$2:$A$2500)=AI$1)*(MONTH(Gastos!$A$2:$A$2500)=AI$3)*(Gastos!$B$2:$B$2500=$A56)*(Gastos!$D$2:$D$2500))</f>
        <v>0</v>
      </c>
      <c r="AJ56" s="75">
        <f t="array" ref="AJ56">SUM((YEAR(Gastos!$A$2:$A$2500)=AJ$1)*(MONTH(Gastos!$A$2:$A$2500)=AJ$3)*(Gastos!$B$2:$B$2500=$A56)*(Gastos!$D$2:$D$2500))</f>
        <v>0</v>
      </c>
      <c r="AK56" s="75">
        <f t="array" ref="AK56">SUM((YEAR(Gastos!$A$2:$A$2500)=AK$1)*(MONTH(Gastos!$A$2:$A$2500)=AK$3)*(Gastos!$B$2:$B$2500=$A56)*(Gastos!$D$2:$D$2500))</f>
        <v>0</v>
      </c>
      <c r="AL56" s="75">
        <f t="array" ref="AL56">SUM((YEAR(Gastos!$A$2:$A$2500)=AL$1)*(MONTH(Gastos!$A$2:$A$2500)=AL$3)*(Gastos!$B$2:$B$2500=$A56)*(Gastos!$D$2:$D$2500))</f>
        <v>0</v>
      </c>
      <c r="AM56" s="75">
        <f t="array" ref="AM56">SUM((YEAR(Gastos!$A$2:$A$2500)=AM$1)*(MONTH(Gastos!$A$2:$A$2500)=AM$3)*(Gastos!$B$2:$B$2500=$A56)*(Gastos!$D$2:$D$2500))</f>
        <v>0</v>
      </c>
      <c r="AN56" s="75">
        <f t="array" ref="AN56">SUM((YEAR(Gastos!$A$2:$A$2500)=AN$1)*(MONTH(Gastos!$A$2:$A$2500)=AN$3)*(Gastos!$B$2:$B$2500=$A56)*(Gastos!$D$2:$D$2500))</f>
        <v>0</v>
      </c>
      <c r="AO56" s="75">
        <f t="array" ref="AO56">SUM((YEAR(Gastos!$A$2:$A$2500)=AO$1)*(MONTH(Gastos!$A$2:$A$2500)=AO$3)*(Gastos!$B$2:$B$2500=$A56)*(Gastos!$D$2:$D$2500))</f>
        <v>0</v>
      </c>
      <c r="AP56" s="75">
        <f t="array" ref="AP56">SUM((YEAR(Gastos!$A$2:$A$2500)=AP$1)*(MONTH(Gastos!$A$2:$A$2500)=AP$3)*(Gastos!$B$2:$B$2500=$A56)*(Gastos!$D$2:$D$2500))</f>
        <v>0</v>
      </c>
      <c r="AQ56" s="75">
        <f t="array" ref="AQ56">SUM((YEAR(Gastos!$A$2:$A$2500)=AQ$1)*(MONTH(Gastos!$A$2:$A$2500)=AQ$3)*(Gastos!$B$2:$B$2500=$A56)*(Gastos!$D$2:$D$2500))</f>
        <v>0</v>
      </c>
      <c r="AR56" s="75">
        <f t="array" ref="AR56">SUM((YEAR(Gastos!$A$2:$A$2500)=AR$1)*(MONTH(Gastos!$A$2:$A$2500)=AR$3)*(Gastos!$B$2:$B$2500=$A56)*(Gastos!$D$2:$D$2500))</f>
        <v>0</v>
      </c>
      <c r="AS56" s="75">
        <f t="array" ref="AS56">SUM((YEAR(Gastos!$A$2:$A$2500)=AS$1)*(MONTH(Gastos!$A$2:$A$2500)=AS$3)*(Gastos!$B$2:$B$2500=$A56)*(Gastos!$D$2:$D$2500))</f>
        <v>0</v>
      </c>
      <c r="AT56" s="75">
        <f t="array" ref="AT56">SUM((YEAR(Gastos!$A$2:$A$2500)=AT$1)*(MONTH(Gastos!$A$2:$A$2500)=AT$3)*(Gastos!$B$2:$B$2500=$A56)*(Gastos!$D$2:$D$2500))</f>
        <v>0</v>
      </c>
      <c r="AU56" s="75">
        <f t="array" ref="AU56">SUM((YEAR(Gastos!$A$2:$A$2500)=AU$1)*(MONTH(Gastos!$A$2:$A$2500)=AU$3)*(Gastos!$B$2:$B$2500=$A56)*(Gastos!$D$2:$D$2500))</f>
        <v>0</v>
      </c>
      <c r="AV56" s="75">
        <f t="array" ref="AV56">SUM((YEAR(Gastos!$A$2:$A$2500)=AV$1)*(MONTH(Gastos!$A$2:$A$2500)=AV$3)*(Gastos!$B$2:$B$2500=$A56)*(Gastos!$D$2:$D$2500))</f>
        <v>0</v>
      </c>
      <c r="AW56" s="75">
        <f t="array" ref="AW56">SUM((YEAR(Gastos!$A$2:$A$2500)=AW$1)*(MONTH(Gastos!$A$2:$A$2500)=AW$3)*(Gastos!$B$2:$B$2500=$A56)*(Gastos!$D$2:$D$2500))</f>
        <v>0</v>
      </c>
      <c r="AX56" s="75">
        <f t="array" ref="AX56">SUM((YEAR(Gastos!$A$2:$A$2500)=AX$1)*(MONTH(Gastos!$A$2:$A$2500)=AX$3)*(Gastos!$B$2:$B$2500=$A56)*(Gastos!$D$2:$D$2500))</f>
        <v>0</v>
      </c>
      <c r="AY56" s="75">
        <f t="array" ref="AY56">SUM((YEAR(Gastos!$A$2:$A$2500)=AY$1)*(MONTH(Gastos!$A$2:$A$2500)=AY$3)*(Gastos!$B$2:$B$2500=$A56)*(Gastos!$D$2:$D$2500))</f>
        <v>0</v>
      </c>
      <c r="AZ56" s="75">
        <f t="array" ref="AZ56">SUM((YEAR(Gastos!$A$2:$A$2500)=AZ$1)*(MONTH(Gastos!$A$2:$A$2500)=AZ$3)*(Gastos!$B$2:$B$2500=$A56)*(Gastos!$D$2:$D$2500))</f>
        <v>0</v>
      </c>
      <c r="BA56" s="75">
        <f t="array" ref="BA56">SUM((YEAR(Gastos!$A$2:$A$2500)=BA$1)*(MONTH(Gastos!$A$2:$A$2500)=BA$3)*(Gastos!$B$2:$B$2500=$A56)*(Gastos!$D$2:$D$2500))</f>
        <v>0</v>
      </c>
      <c r="BB56" s="75">
        <f t="array" ref="BB56">SUM((YEAR(Gastos!$A$2:$A$2500)=BB$1)*(MONTH(Gastos!$A$2:$A$2500)=BB$3)*(Gastos!$B$2:$B$2500=$A56)*(Gastos!$D$2:$D$2500))</f>
        <v>0</v>
      </c>
      <c r="BC56" s="75">
        <f t="array" ref="BC56">SUM((YEAR(Gastos!$A$2:$A$2500)=BC$1)*(MONTH(Gastos!$A$2:$A$2500)=BC$3)*(Gastos!$B$2:$B$2500=$A56)*(Gastos!$D$2:$D$2500))</f>
        <v>0</v>
      </c>
      <c r="BD56" s="75">
        <f t="array" ref="BD56">SUM((YEAR(Gastos!$A$2:$A$2500)=BD$1)*(MONTH(Gastos!$A$2:$A$2500)=BD$3)*(Gastos!$B$2:$B$2500=$A56)*(Gastos!$D$2:$D$2500))</f>
        <v>0</v>
      </c>
      <c r="BE56" s="75">
        <f t="array" ref="BE56">SUM((YEAR(Gastos!$A$2:$A$2500)=BE$1)*(MONTH(Gastos!$A$2:$A$2500)=BE$3)*(Gastos!$B$2:$B$2500=$A56)*(Gastos!$D$2:$D$2500))</f>
        <v>0</v>
      </c>
      <c r="BF56" s="75">
        <f t="array" ref="BF56">SUM((YEAR(Gastos!$A$2:$A$2500)=BF$1)*(MONTH(Gastos!$A$2:$A$2500)=BF$3)*(Gastos!$B$2:$B$2500=$A56)*(Gastos!$D$2:$D$2500))</f>
        <v>0</v>
      </c>
      <c r="BG56" s="75">
        <f t="array" ref="BG56">SUM((YEAR(Gastos!$A$2:$A$2500)=BG$1)*(MONTH(Gastos!$A$2:$A$2500)=BG$3)*(Gastos!$B$2:$B$2500=$A56)*(Gastos!$D$2:$D$2500))</f>
        <v>0</v>
      </c>
      <c r="BH56" s="75">
        <f t="array" ref="BH56">SUM((YEAR(Gastos!$A$2:$A$2500)=BH$1)*(MONTH(Gastos!$A$2:$A$2500)=BH$3)*(Gastos!$B$2:$B$2500=$A56)*(Gastos!$D$2:$D$2500))</f>
        <v>0</v>
      </c>
      <c r="BI56" s="75">
        <f t="array" ref="BI56">SUM((YEAR(Gastos!$A$2:$A$2500)=BI$1)*(MONTH(Gastos!$A$2:$A$2500)=BI$3)*(Gastos!$B$2:$B$2500=$A56)*(Gastos!$D$2:$D$2500))</f>
        <v>0</v>
      </c>
      <c r="BJ56" s="75">
        <f t="array" ref="BJ56">SUM((YEAR(Gastos!$A$2:$A$2500)=BJ$1)*(MONTH(Gastos!$A$2:$A$2500)=BJ$3)*(Gastos!$B$2:$B$2500=$A56)*(Gastos!$D$2:$D$2500))</f>
        <v>0</v>
      </c>
      <c r="BK56" s="75">
        <f t="array" ref="BK56">SUM((YEAR(Gastos!$A$2:$A$2500)=BK$1)*(MONTH(Gastos!$A$2:$A$2500)=BK$3)*(Gastos!$B$2:$B$2500=$A56)*(Gastos!$D$2:$D$2500))</f>
        <v>0</v>
      </c>
      <c r="BL56" s="75">
        <f t="array" ref="BL56">SUM((YEAR(Gastos!$A$2:$A$2500)=BL$1)*(MONTH(Gastos!$A$2:$A$2500)=BL$3)*(Gastos!$B$2:$B$2500=$A56)*(Gastos!$D$2:$D$2500))</f>
        <v>0</v>
      </c>
      <c r="BM56" s="75">
        <f t="array" ref="BM56">SUM((YEAR(Gastos!$A$2:$A$2500)=BM$1)*(MONTH(Gastos!$A$2:$A$2500)=BM$3)*(Gastos!$B$2:$B$2500=$A56)*(Gastos!$D$2:$D$2500))</f>
        <v>0</v>
      </c>
      <c r="BN56" s="75">
        <f t="array" ref="BN56">SUM((YEAR(Gastos!$A$2:$A$2500)=BN$1)*(MONTH(Gastos!$A$2:$A$2500)=BN$3)*(Gastos!$B$2:$B$2500=$A56)*(Gastos!$D$2:$D$2500))</f>
        <v>0</v>
      </c>
      <c r="BO56" s="75">
        <f t="array" ref="BO56">SUM((YEAR(Gastos!$A$2:$A$2500)=BO$1)*(MONTH(Gastos!$A$2:$A$2500)=BO$3)*(Gastos!$B$2:$B$2500=$A56)*(Gastos!$D$2:$D$2500))</f>
        <v>0</v>
      </c>
      <c r="BP56" s="75">
        <f t="array" ref="BP56">SUM((YEAR(Gastos!$A$2:$A$2500)=BP$1)*(MONTH(Gastos!$A$2:$A$2500)=BP$3)*(Gastos!$B$2:$B$2500=$A56)*(Gastos!$D$2:$D$2500))</f>
        <v>0</v>
      </c>
      <c r="BQ56" s="75">
        <f t="array" ref="BQ56">SUM((YEAR(Gastos!$A$2:$A$2500)=BQ$1)*(MONTH(Gastos!$A$2:$A$2500)=BQ$3)*(Gastos!$B$2:$B$2500=$A56)*(Gastos!$D$2:$D$2500))</f>
        <v>0</v>
      </c>
      <c r="BR56" s="75">
        <f t="array" ref="BR56">SUM((YEAR(Gastos!$A$2:$A$2500)=BR$1)*(MONTH(Gastos!$A$2:$A$2500)=BR$3)*(Gastos!$B$2:$B$2500=$A56)*(Gastos!$D$2:$D$2500))</f>
        <v>0</v>
      </c>
      <c r="BS56" s="75">
        <f t="array" ref="BS56">SUM((YEAR(Gastos!$A$2:$A$2500)=BS$1)*(MONTH(Gastos!$A$2:$A$2500)=BS$3)*(Gastos!$B$2:$B$2500=$A56)*(Gastos!$D$2:$D$2500))</f>
        <v>0</v>
      </c>
      <c r="BT56" s="75">
        <f t="array" ref="BT56">SUM((YEAR(Gastos!$A$2:$A$2500)=BT$1)*(MONTH(Gastos!$A$2:$A$2500)=BT$3)*(Gastos!$B$2:$B$2500=$A56)*(Gastos!$D$2:$D$2500))</f>
        <v>0</v>
      </c>
      <c r="BU56" s="75">
        <f t="array" ref="BU56">SUM((YEAR(Gastos!$A$2:$A$2500)=BU$1)*(MONTH(Gastos!$A$2:$A$2500)=BU$3)*(Gastos!$B$2:$B$2500=$A56)*(Gastos!$D$2:$D$2500))</f>
        <v>0</v>
      </c>
      <c r="BV56" s="75">
        <f t="array" ref="BV56">SUM((YEAR(Gastos!$A$2:$A$2500)=BV$1)*(MONTH(Gastos!$A$2:$A$2500)=BV$3)*(Gastos!$B$2:$B$2500=$A56)*(Gastos!$D$2:$D$2500))</f>
        <v>0</v>
      </c>
      <c r="BW56" s="75">
        <f t="array" ref="BW56">SUM((YEAR(Gastos!$A$2:$A$2500)=BW$1)*(MONTH(Gastos!$A$2:$A$2500)=BW$3)*(Gastos!$B$2:$B$2500=$A56)*(Gastos!$D$2:$D$2500))</f>
        <v>0</v>
      </c>
      <c r="BX56" s="75">
        <f t="array" ref="BX56">SUM((YEAR(Gastos!$A$2:$A$2500)=BX$1)*(MONTH(Gastos!$A$2:$A$2500)=BX$3)*(Gastos!$B$2:$B$2500=$A56)*(Gastos!$D$2:$D$2500))</f>
        <v>0</v>
      </c>
      <c r="BY56" s="75">
        <f t="array" ref="BY56">SUM((YEAR(Gastos!$A$2:$A$2500)=BY$1)*(MONTH(Gastos!$A$2:$A$2500)=BY$3)*(Gastos!$B$2:$B$2500=$A56)*(Gastos!$D$2:$D$2500))</f>
        <v>0</v>
      </c>
      <c r="BZ56" s="75">
        <f t="array" ref="BZ56">SUM((YEAR(Gastos!$A$2:$A$2500)=BZ$1)*(MONTH(Gastos!$A$2:$A$2500)=BZ$3)*(Gastos!$B$2:$B$2500=$A56)*(Gastos!$D$2:$D$2500))</f>
        <v>0</v>
      </c>
      <c r="CA56" s="75">
        <f t="array" ref="CA56">SUM((YEAR(Gastos!$A$2:$A$2500)=CA$1)*(MONTH(Gastos!$A$2:$A$2500)=CA$3)*(Gastos!$B$2:$B$2500=$A56)*(Gastos!$D$2:$D$2500))</f>
        <v>0</v>
      </c>
      <c r="CB56" s="75">
        <f t="array" ref="CB56">SUM((YEAR(Gastos!$A$2:$A$2500)=CB$1)*(MONTH(Gastos!$A$2:$A$2500)=CB$3)*(Gastos!$B$2:$B$2500=$A56)*(Gastos!$D$2:$D$2500))</f>
        <v>0</v>
      </c>
      <c r="CC56" s="75">
        <f t="array" ref="CC56">SUM((YEAR(Gastos!$A$2:$A$2500)=CC$1)*(MONTH(Gastos!$A$2:$A$2500)=CC$3)*(Gastos!$B$2:$B$2500=$A56)*(Gastos!$D$2:$D$2500))</f>
        <v>0</v>
      </c>
      <c r="CD56" s="75">
        <f t="array" ref="CD56">SUM((YEAR(Gastos!$A$2:$A$2500)=CD$1)*(MONTH(Gastos!$A$2:$A$2500)=CD$3)*(Gastos!$B$2:$B$2500=$A56)*(Gastos!$D$2:$D$2500))</f>
        <v>0</v>
      </c>
      <c r="CE56" s="75">
        <f t="array" ref="CE56">SUM((YEAR(Gastos!$A$2:$A$2500)=CE$1)*(MONTH(Gastos!$A$2:$A$2500)=CE$3)*(Gastos!$B$2:$B$2500=$A56)*(Gastos!$D$2:$D$2500))</f>
        <v>0</v>
      </c>
      <c r="CF56" s="75">
        <f t="array" ref="CF56">SUM((YEAR(Gastos!$A$2:$A$2500)=CF$1)*(MONTH(Gastos!$A$2:$A$2500)=CF$3)*(Gastos!$B$2:$B$2500=$A56)*(Gastos!$D$2:$D$2500))</f>
        <v>0</v>
      </c>
      <c r="CG56" s="75">
        <f t="array" ref="CG56">SUM((YEAR(Gastos!$A$2:$A$2500)=CG$1)*(MONTH(Gastos!$A$2:$A$2500)=CG$3)*(Gastos!$B$2:$B$2500=$A56)*(Gastos!$D$2:$D$2500))</f>
        <v>0</v>
      </c>
      <c r="CH56" s="75">
        <f t="array" ref="CH56">SUM((YEAR(Gastos!$A$2:$A$2500)=CH$1)*(MONTH(Gastos!$A$2:$A$2500)=CH$3)*(Gastos!$B$2:$B$2500=$A56)*(Gastos!$D$2:$D$2500))</f>
        <v>0</v>
      </c>
      <c r="CI56" s="75">
        <f t="array" ref="CI56">SUM((YEAR(Gastos!$A$2:$A$2500)=CI$1)*(MONTH(Gastos!$A$2:$A$2500)=CI$3)*(Gastos!$B$2:$B$2500=$A56)*(Gastos!$D$2:$D$2500))</f>
        <v>0</v>
      </c>
      <c r="CJ56" s="75">
        <f t="array" ref="CJ56">SUM((YEAR(Gastos!$A$2:$A$2500)=CJ$1)*(MONTH(Gastos!$A$2:$A$2500)=CJ$3)*(Gastos!$B$2:$B$2500=$A56)*(Gastos!$D$2:$D$2500))</f>
        <v>0</v>
      </c>
      <c r="CK56" s="75">
        <f t="array" ref="CK56">SUM((YEAR(Gastos!$A$2:$A$2500)=CK$1)*(MONTH(Gastos!$A$2:$A$2500)=CK$3)*(Gastos!$B$2:$B$2500=$A56)*(Gastos!$D$2:$D$2500))</f>
        <v>0</v>
      </c>
      <c r="CL56" s="75">
        <f t="array" ref="CL56">SUM((YEAR(Gastos!$A$2:$A$2500)=CL$1)*(MONTH(Gastos!$A$2:$A$2500)=CL$3)*(Gastos!$B$2:$B$2500=$A56)*(Gastos!$D$2:$D$2500))</f>
        <v>0</v>
      </c>
      <c r="CM56" s="75">
        <f t="array" ref="CM56">SUM((YEAR(Gastos!$A$2:$A$2500)=CM$1)*(MONTH(Gastos!$A$2:$A$2500)=CM$3)*(Gastos!$B$2:$B$2500=$A56)*(Gastos!$D$2:$D$2500))</f>
        <v>0</v>
      </c>
      <c r="CN56" s="75">
        <f t="array" ref="CN56">SUM((YEAR(Gastos!$A$2:$A$2500)=CN$1)*(MONTH(Gastos!$A$2:$A$2500)=CN$3)*(Gastos!$B$2:$B$2500=$A56)*(Gastos!$D$2:$D$2500))</f>
        <v>0</v>
      </c>
      <c r="CO56" s="75">
        <f t="array" ref="CO56">SUM((YEAR(Gastos!$A$2:$A$2500)=CO$1)*(MONTH(Gastos!$A$2:$A$2500)=CO$3)*(Gastos!$B$2:$B$2500=$A56)*(Gastos!$D$2:$D$2500))</f>
        <v>0</v>
      </c>
      <c r="CP56" s="75">
        <f t="array" ref="CP56">SUM((YEAR(Gastos!$A$2:$A$2500)=CP$1)*(MONTH(Gastos!$A$2:$A$2500)=CP$3)*(Gastos!$B$2:$B$2500=$A56)*(Gastos!$D$2:$D$2500))</f>
        <v>0</v>
      </c>
      <c r="CQ56" s="75">
        <f t="array" ref="CQ56">SUM((YEAR(Gastos!$A$2:$A$2500)=CQ$1)*(MONTH(Gastos!$A$2:$A$2500)=CQ$3)*(Gastos!$B$2:$B$2500=$A56)*(Gastos!$D$2:$D$2500))</f>
        <v>0</v>
      </c>
      <c r="CR56" s="75">
        <f t="array" ref="CR56">SUM((YEAR(Gastos!$A$2:$A$2500)=CR$1)*(MONTH(Gastos!$A$2:$A$2500)=CR$3)*(Gastos!$B$2:$B$2500=$A56)*(Gastos!$D$2:$D$2500))</f>
        <v>0</v>
      </c>
      <c r="CS56" s="75">
        <f t="array" ref="CS56">SUM((YEAR(Gastos!$A$2:$A$2500)=CS$1)*(MONTH(Gastos!$A$2:$A$2500)=CS$3)*(Gastos!$B$2:$B$2500=$A56)*(Gastos!$D$2:$D$2500))</f>
        <v>0</v>
      </c>
      <c r="CT56" s="75">
        <f t="array" ref="CT56">SUM((YEAR(Gastos!$A$2:$A$2500)=CT$1)*(MONTH(Gastos!$A$2:$A$2500)=CT$3)*(Gastos!$B$2:$B$2500=$A56)*(Gastos!$D$2:$D$2500))</f>
        <v>0</v>
      </c>
      <c r="CU56" s="75">
        <f t="array" ref="CU56">SUM((YEAR(Gastos!$A$2:$A$2500)=CU$1)*(MONTH(Gastos!$A$2:$A$2500)=CU$3)*(Gastos!$B$2:$B$2500=$A56)*(Gastos!$D$2:$D$2500))</f>
        <v>0</v>
      </c>
      <c r="CV56" s="75">
        <f t="array" ref="CV56">SUM((YEAR(Gastos!$A$2:$A$2500)=CV$1)*(MONTH(Gastos!$A$2:$A$2500)=CV$3)*(Gastos!$B$2:$B$2500=$A56)*(Gastos!$D$2:$D$2500))</f>
        <v>0</v>
      </c>
      <c r="CW56" s="75">
        <f t="array" ref="CW56">SUM((YEAR(Gastos!$A$2:$A$2500)=CW$1)*(MONTH(Gastos!$A$2:$A$2500)=CW$3)*(Gastos!$B$2:$B$2500=$A56)*(Gastos!$D$2:$D$2500))</f>
        <v>0</v>
      </c>
      <c r="CX56" s="75">
        <f t="array" ref="CX56">SUM((YEAR(Gastos!$A$2:$A$2500)=CX$1)*(MONTH(Gastos!$A$2:$A$2500)=CX$3)*(Gastos!$B$2:$B$2500=$A56)*(Gastos!$D$2:$D$2500))</f>
        <v>0</v>
      </c>
      <c r="CY56" s="75">
        <f t="array" ref="CY56">SUM((YEAR(Gastos!$A$2:$A$2500)=CY$1)*(MONTH(Gastos!$A$2:$A$2500)=CY$3)*(Gastos!$B$2:$B$2500=$A56)*(Gastos!$D$2:$D$2500))</f>
        <v>0</v>
      </c>
      <c r="CZ56" s="75">
        <f t="array" ref="CZ56">SUM((YEAR(Gastos!$A$2:$A$2500)=CZ$1)*(MONTH(Gastos!$A$2:$A$2500)=CZ$3)*(Gastos!$B$2:$B$2500=$A56)*(Gastos!$D$2:$D$2500))</f>
        <v>0</v>
      </c>
      <c r="DA56" s="75">
        <f t="array" ref="DA56">SUM((YEAR(Gastos!$A$2:$A$2500)=DA$1)*(MONTH(Gastos!$A$2:$A$2500)=DA$3)*(Gastos!$B$2:$B$2500=$A56)*(Gastos!$D$2:$D$2500))</f>
        <v>0</v>
      </c>
      <c r="DB56" s="75">
        <f t="array" ref="DB56">SUM((YEAR(Gastos!$A$2:$A$2500)=DB$1)*(MONTH(Gastos!$A$2:$A$2500)=DB$3)*(Gastos!$B$2:$B$2500=$A56)*(Gastos!$D$2:$D$2500))</f>
        <v>0</v>
      </c>
      <c r="DC56" s="75">
        <f t="array" ref="DC56">SUM((YEAR(Gastos!$A$2:$A$2500)=DC$1)*(MONTH(Gastos!$A$2:$A$2500)=DC$3)*(Gastos!$B$2:$B$2500=$A56)*(Gastos!$D$2:$D$2500))</f>
        <v>0</v>
      </c>
      <c r="DD56" s="75">
        <f t="array" ref="DD56">SUM((YEAR(Gastos!$A$2:$A$2500)=DD$1)*(MONTH(Gastos!$A$2:$A$2500)=DD$3)*(Gastos!$B$2:$B$2500=$A56)*(Gastos!$D$2:$D$2500))</f>
        <v>0</v>
      </c>
      <c r="DE56" s="75">
        <f t="array" ref="DE56">SUM((YEAR(Gastos!$A$2:$A$2500)=DE$1)*(MONTH(Gastos!$A$2:$A$2500)=DE$3)*(Gastos!$B$2:$B$2500=$A56)*(Gastos!$D$2:$D$2500))</f>
        <v>0</v>
      </c>
      <c r="DF56" s="75">
        <f t="array" ref="DF56">SUM((YEAR(Gastos!$A$2:$A$2500)=DF$1)*(MONTH(Gastos!$A$2:$A$2500)=DF$3)*(Gastos!$B$2:$B$2500=$A56)*(Gastos!$D$2:$D$2500))</f>
        <v>0</v>
      </c>
      <c r="DG56" s="75">
        <f t="array" ref="DG56">SUM((YEAR(Gastos!$A$2:$A$2500)=DG$1)*(MONTH(Gastos!$A$2:$A$2500)=DG$3)*(Gastos!$B$2:$B$2500=$A56)*(Gastos!$D$2:$D$2500))</f>
        <v>0</v>
      </c>
      <c r="DH56" s="75">
        <f t="array" ref="DH56">SUM((YEAR(Gastos!$A$2:$A$2500)=DH$1)*(MONTH(Gastos!$A$2:$A$2500)=DH$3)*(Gastos!$B$2:$B$2500=$A56)*(Gastos!$D$2:$D$2500))</f>
        <v>0</v>
      </c>
      <c r="DI56" s="75">
        <f t="array" ref="DI56">SUM((YEAR(Gastos!$A$2:$A$2500)=DI$1)*(MONTH(Gastos!$A$2:$A$2500)=DI$3)*(Gastos!$B$2:$B$2500=$A56)*(Gastos!$D$2:$D$2500))</f>
        <v>0</v>
      </c>
      <c r="DJ56" s="75">
        <f t="array" ref="DJ56">SUM((YEAR(Gastos!$A$2:$A$2500)=DJ$1)*(MONTH(Gastos!$A$2:$A$2500)=DJ$3)*(Gastos!$B$2:$B$2500=$A56)*(Gastos!$D$2:$D$2500))</f>
        <v>0</v>
      </c>
      <c r="DK56" s="75">
        <f t="array" ref="DK56">SUM((YEAR(Gastos!$A$2:$A$2500)=DK$1)*(MONTH(Gastos!$A$2:$A$2500)=DK$3)*(Gastos!$B$2:$B$2500=$A56)*(Gastos!$D$2:$D$2500))</f>
        <v>0</v>
      </c>
      <c r="DL56" s="75">
        <f t="array" ref="DL56">SUM((YEAR(Gastos!$A$2:$A$2500)=DL$1)*(MONTH(Gastos!$A$2:$A$2500)=DL$3)*(Gastos!$B$2:$B$2500=$A56)*(Gastos!$D$2:$D$2500))</f>
        <v>0</v>
      </c>
      <c r="DM56" s="75">
        <f t="array" ref="DM56">SUM((YEAR(Gastos!$A$2:$A$2500)=DM$1)*(MONTH(Gastos!$A$2:$A$2500)=DM$3)*(Gastos!$B$2:$B$2500=$A56)*(Gastos!$D$2:$D$2500))</f>
        <v>0</v>
      </c>
      <c r="DN56" s="75">
        <f t="array" ref="DN56">SUM((YEAR(Gastos!$A$2:$A$2500)=DN$1)*(MONTH(Gastos!$A$2:$A$2500)=DN$3)*(Gastos!$B$2:$B$2500=$A56)*(Gastos!$D$2:$D$2500))</f>
        <v>0</v>
      </c>
      <c r="DO56" s="75">
        <f t="array" ref="DO56">SUM((YEAR(Gastos!$A$2:$A$2500)=DO$1)*(MONTH(Gastos!$A$2:$A$2500)=DO$3)*(Gastos!$B$2:$B$2500=$A56)*(Gastos!$D$2:$D$2500))</f>
        <v>0</v>
      </c>
      <c r="DP56" s="75">
        <f t="array" ref="DP56">SUM((YEAR(Gastos!$A$2:$A$2500)=DP$1)*(MONTH(Gastos!$A$2:$A$2500)=DP$3)*(Gastos!$B$2:$B$2500=$A56)*(Gastos!$D$2:$D$2500))</f>
        <v>0</v>
      </c>
      <c r="DQ56" s="75">
        <f t="array" ref="DQ56">SUM((YEAR(Gastos!$A$2:$A$2500)=DQ$1)*(MONTH(Gastos!$A$2:$A$2500)=DQ$3)*(Gastos!$B$2:$B$2500=$A56)*(Gastos!$D$2:$D$2500))</f>
        <v>0</v>
      </c>
      <c r="DR56" s="75">
        <f t="array" ref="DR56">SUM((YEAR(Gastos!$A$2:$A$2500)=DR$1)*(MONTH(Gastos!$A$2:$A$2500)=DR$3)*(Gastos!$B$2:$B$2500=$A56)*(Gastos!$D$2:$D$2500))</f>
        <v>0</v>
      </c>
      <c r="DS56" s="75">
        <f t="array" ref="DS56">SUM((YEAR(Gastos!$A$2:$A$2500)=DS$1)*(MONTH(Gastos!$A$2:$A$2500)=DS$3)*(Gastos!$B$2:$B$2500=$A56)*(Gastos!$D$2:$D$2500))</f>
        <v>0</v>
      </c>
      <c r="DT56" s="75">
        <f t="array" ref="DT56">SUM((YEAR(Gastos!$A$2:$A$2500)=DT$1)*(MONTH(Gastos!$A$2:$A$2500)=DT$3)*(Gastos!$B$2:$B$2500=$A56)*(Gastos!$D$2:$D$2500))</f>
        <v>0</v>
      </c>
      <c r="DU56" s="75">
        <f t="array" ref="DU56">SUM((YEAR(Gastos!$A$2:$A$2500)=DU$1)*(MONTH(Gastos!$A$2:$A$2500)=DU$3)*(Gastos!$B$2:$B$2500=$A56)*(Gastos!$D$2:$D$2500))</f>
        <v>0</v>
      </c>
      <c r="DV56" s="75">
        <f t="array" ref="DV56">SUM((YEAR(Gastos!$A$2:$A$2500)=DV$1)*(MONTH(Gastos!$A$2:$A$2500)=DV$3)*(Gastos!$B$2:$B$2500=$A56)*(Gastos!$D$2:$D$2500))</f>
        <v>0</v>
      </c>
      <c r="DW56" s="75">
        <f t="array" ref="DW56">SUM((YEAR(Gastos!$A$2:$A$2500)=DW$1)*(MONTH(Gastos!$A$2:$A$2500)=DW$3)*(Gastos!$B$2:$B$2500=$A56)*(Gastos!$D$2:$D$2500))</f>
        <v>0</v>
      </c>
      <c r="DX56" s="75">
        <f t="array" ref="DX56">SUM((YEAR(Gastos!$A$2:$A$2500)=DX$1)*(MONTH(Gastos!$A$2:$A$2500)=DX$3)*(Gastos!$B$2:$B$2500=$A56)*(Gastos!$D$2:$D$2500))</f>
        <v>0</v>
      </c>
      <c r="DY56" s="75">
        <f t="array" ref="DY56">SUM((YEAR(Gastos!$A$2:$A$2500)=DY$1)*(MONTH(Gastos!$A$2:$A$2500)=DY$3)*(Gastos!$B$2:$B$2500=$A56)*(Gastos!$D$2:$D$2500))</f>
        <v>0</v>
      </c>
      <c r="DZ56" s="75">
        <f t="array" ref="DZ56">SUM((YEAR(Gastos!$A$2:$A$2500)=DZ$1)*(MONTH(Gastos!$A$2:$A$2500)=DZ$3)*(Gastos!$B$2:$B$2500=$A56)*(Gastos!$D$2:$D$2500))</f>
        <v>0</v>
      </c>
      <c r="EA56" s="75">
        <f t="array" ref="EA56">SUM((YEAR(Gastos!$A$2:$A$2500)=EA$1)*(MONTH(Gastos!$A$2:$A$2500)=EA$3)*(Gastos!$B$2:$B$2500=$A56)*(Gastos!$D$2:$D$2500))</f>
        <v>0</v>
      </c>
      <c r="EB56" s="75">
        <f t="array" ref="EB56">SUM((YEAR(Gastos!$A$2:$A$2500)=EB$1)*(MONTH(Gastos!$A$2:$A$2500)=EB$3)*(Gastos!$B$2:$B$2500=$A56)*(Gastos!$D$2:$D$2500))</f>
        <v>0</v>
      </c>
      <c r="EC56" s="75">
        <f t="array" ref="EC56">SUM((YEAR(Gastos!$A$2:$A$2500)=EC$1)*(MONTH(Gastos!$A$2:$A$2500)=EC$3)*(Gastos!$B$2:$B$2500=$A56)*(Gastos!$D$2:$D$2500))</f>
        <v>0</v>
      </c>
      <c r="ED56" s="75">
        <f t="array" ref="ED56">SUM((YEAR(Gastos!$A$2:$A$2500)=ED$1)*(MONTH(Gastos!$A$2:$A$2500)=ED$3)*(Gastos!$B$2:$B$2500=$A56)*(Gastos!$D$2:$D$2500))</f>
        <v>0</v>
      </c>
      <c r="EE56" s="75">
        <f t="array" ref="EE56">SUM((YEAR(Gastos!$A$2:$A$2500)=EE$1)*(MONTH(Gastos!$A$2:$A$2500)=EE$3)*(Gastos!$B$2:$B$2500=$A56)*(Gastos!$D$2:$D$2500))</f>
        <v>0</v>
      </c>
      <c r="EF56" s="75">
        <f t="array" ref="EF56">SUM((YEAR(Gastos!$A$2:$A$2500)=EF$1)*(MONTH(Gastos!$A$2:$A$2500)=EF$3)*(Gastos!$B$2:$B$2500=$A56)*(Gastos!$D$2:$D$2500))</f>
        <v>0</v>
      </c>
      <c r="EG56" s="75">
        <f t="array" ref="EG56">SUM((YEAR(Gastos!$A$2:$A$2500)=EG$1)*(MONTH(Gastos!$A$2:$A$2500)=EG$3)*(Gastos!$B$2:$B$2500=$A56)*(Gastos!$D$2:$D$2500))</f>
        <v>0</v>
      </c>
      <c r="EH56" s="75">
        <f t="array" ref="EH56">SUM((YEAR(Gastos!$A$2:$A$2500)=EH$1)*(MONTH(Gastos!$A$2:$A$2500)=EH$3)*(Gastos!$B$2:$B$2500=$A56)*(Gastos!$D$2:$D$2500))</f>
        <v>0</v>
      </c>
      <c r="EI56" s="75">
        <f t="array" ref="EI56">SUM((YEAR(Gastos!$A$2:$A$2500)=EI$1)*(MONTH(Gastos!$A$2:$A$2500)=EI$3)*(Gastos!$B$2:$B$2500=$A56)*(Gastos!$D$2:$D$2500))</f>
        <v>0</v>
      </c>
      <c r="EJ56" s="75">
        <f t="array" ref="EJ56">SUM((YEAR(Gastos!$A$2:$A$2500)=EJ$1)*(MONTH(Gastos!$A$2:$A$2500)=EJ$3)*(Gastos!$B$2:$B$2500=$A56)*(Gastos!$D$2:$D$2500))</f>
        <v>0</v>
      </c>
      <c r="EK56" s="75">
        <f t="array" ref="EK56">SUM((YEAR(Gastos!$A$2:$A$2500)=EK$1)*(MONTH(Gastos!$A$2:$A$2500)=EK$3)*(Gastos!$B$2:$B$2500=$A56)*(Gastos!$D$2:$D$2500))</f>
        <v>0</v>
      </c>
      <c r="EL56" s="75">
        <f t="array" ref="EL56">SUM((YEAR(Gastos!$A$2:$A$2500)=EL$1)*(MONTH(Gastos!$A$2:$A$2500)=EL$3)*(Gastos!$B$2:$B$2500=$A56)*(Gastos!$D$2:$D$2500))</f>
        <v>0</v>
      </c>
      <c r="EM56" s="75">
        <f t="array" ref="EM56">SUM((YEAR(Gastos!$A$2:$A$2500)=EM$1)*(MONTH(Gastos!$A$2:$A$2500)=EM$3)*(Gastos!$B$2:$B$2500=$A56)*(Gastos!$D$2:$D$2500))</f>
        <v>0</v>
      </c>
      <c r="EN56" s="75">
        <f t="array" ref="EN56">SUM((YEAR(Gastos!$A$2:$A$2500)=EN$1)*(MONTH(Gastos!$A$2:$A$2500)=EN$3)*(Gastos!$B$2:$B$2500=$A56)*(Gastos!$D$2:$D$2500))</f>
        <v>0</v>
      </c>
      <c r="EO56" s="75">
        <f t="array" ref="EO56">SUM((YEAR(Gastos!$A$2:$A$2500)=EO$1)*(MONTH(Gastos!$A$2:$A$2500)=EO$3)*(Gastos!$B$2:$B$2500=$A56)*(Gastos!$D$2:$D$2500))</f>
        <v>0</v>
      </c>
      <c r="EP56" s="75">
        <f t="array" ref="EP56">SUM((YEAR(Gastos!$A$2:$A$2500)=EP$1)*(MONTH(Gastos!$A$2:$A$2500)=EP$3)*(Gastos!$B$2:$B$2500=$A56)*(Gastos!$D$2:$D$2500))</f>
        <v>0</v>
      </c>
      <c r="EQ56" s="75">
        <f t="array" ref="EQ56">SUM((YEAR(Gastos!$A$2:$A$2500)=EQ$1)*(MONTH(Gastos!$A$2:$A$2500)=EQ$3)*(Gastos!$B$2:$B$2500=$A56)*(Gastos!$D$2:$D$2500))</f>
        <v>0</v>
      </c>
      <c r="ER56" s="75">
        <f t="array" ref="ER56">SUM((YEAR(Gastos!$A$2:$A$2500)=ER$1)*(MONTH(Gastos!$A$2:$A$2500)=ER$3)*(Gastos!$B$2:$B$2500=$A56)*(Gastos!$D$2:$D$2500))</f>
        <v>0</v>
      </c>
      <c r="ES56" s="75">
        <f t="array" ref="ES56">SUM((YEAR(Gastos!$A$2:$A$2500)=ES$1)*(MONTH(Gastos!$A$2:$A$2500)=ES$3)*(Gastos!$B$2:$B$2500=$A56)*(Gastos!$D$2:$D$2500))</f>
        <v>0</v>
      </c>
      <c r="ET56" s="75">
        <f t="array" ref="ET56">SUM((YEAR(Gastos!$A$2:$A$2500)=ET$1)*(MONTH(Gastos!$A$2:$A$2500)=ET$3)*(Gastos!$B$2:$B$2500=$A56)*(Gastos!$D$2:$D$2500))</f>
        <v>0</v>
      </c>
      <c r="EU56" s="75">
        <f t="array" ref="EU56">SUM((YEAR(Gastos!$A$2:$A$2500)=EU$1)*(MONTH(Gastos!$A$2:$A$2500)=EU$3)*(Gastos!$B$2:$B$2500=$A56)*(Gastos!$D$2:$D$2500))</f>
        <v>0</v>
      </c>
      <c r="EV56" s="75">
        <f t="array" ref="EV56">SUM((YEAR(Gastos!$A$2:$A$2500)=EV$1)*(MONTH(Gastos!$A$2:$A$2500)=EV$3)*(Gastos!$B$2:$B$2500=$A56)*(Gastos!$D$2:$D$2500))</f>
        <v>0</v>
      </c>
      <c r="EW56" s="75">
        <f t="array" ref="EW56">SUM((YEAR(Gastos!$A$2:$A$2500)=EW$1)*(MONTH(Gastos!$A$2:$A$2500)=EW$3)*(Gastos!$B$2:$B$2500=$A56)*(Gastos!$D$2:$D$2500))</f>
        <v>0</v>
      </c>
      <c r="EX56" s="75">
        <f t="array" ref="EX56">SUM((YEAR(Gastos!$A$2:$A$2500)=EX$1)*(MONTH(Gastos!$A$2:$A$2500)=EX$3)*(Gastos!$B$2:$B$2500=$A56)*(Gastos!$D$2:$D$2500))</f>
        <v>0</v>
      </c>
      <c r="EY56" s="75">
        <f t="array" ref="EY56">SUM((YEAR(Gastos!$A$2:$A$2500)=EY$1)*(MONTH(Gastos!$A$2:$A$2500)=EY$3)*(Gastos!$B$2:$B$2500=$A56)*(Gastos!$D$2:$D$2500))</f>
        <v>0</v>
      </c>
      <c r="EZ56" s="75">
        <f t="array" ref="EZ56">SUM((YEAR(Gastos!$A$2:$A$2500)=EZ$1)*(MONTH(Gastos!$A$2:$A$2500)=EZ$3)*(Gastos!$B$2:$B$2500=$A56)*(Gastos!$D$2:$D$2500))</f>
        <v>0</v>
      </c>
      <c r="FA56" s="75">
        <f t="array" ref="FA56">SUM((YEAR(Gastos!$A$2:$A$2500)=FA$1)*(MONTH(Gastos!$A$2:$A$2500)=FA$3)*(Gastos!$B$2:$B$2500=$A56)*(Gastos!$D$2:$D$2500))</f>
        <v>0</v>
      </c>
      <c r="FB56" s="75">
        <f t="array" ref="FB56">SUM((YEAR(Gastos!$A$2:$A$2500)=FB$1)*(MONTH(Gastos!$A$2:$A$2500)=FB$3)*(Gastos!$B$2:$B$2500=$A56)*(Gastos!$D$2:$D$2500))</f>
        <v>0</v>
      </c>
      <c r="FC56" s="75">
        <f t="array" ref="FC56">SUM((YEAR(Gastos!$A$2:$A$2500)=FC$1)*(MONTH(Gastos!$A$2:$A$2500)=FC$3)*(Gastos!$B$2:$B$2500=$A56)*(Gastos!$D$2:$D$2500))</f>
        <v>0</v>
      </c>
      <c r="FD56" s="75">
        <f t="array" ref="FD56">SUM((YEAR(Gastos!$A$2:$A$2500)=FD$1)*(MONTH(Gastos!$A$2:$A$2500)=FD$3)*(Gastos!$B$2:$B$2500=$A56)*(Gastos!$D$2:$D$2500))</f>
        <v>0</v>
      </c>
      <c r="FE56" s="75">
        <f t="array" ref="FE56">SUM((YEAR(Gastos!$A$2:$A$2500)=FE$1)*(MONTH(Gastos!$A$2:$A$2500)=FE$3)*(Gastos!$B$2:$B$2500=$A56)*(Gastos!$D$2:$D$2500))</f>
        <v>0</v>
      </c>
      <c r="FF56" s="75">
        <f t="array" ref="FF56">SUM((YEAR(Gastos!$A$2:$A$2500)=FF$1)*(MONTH(Gastos!$A$2:$A$2500)=FF$3)*(Gastos!$B$2:$B$2500=$A56)*(Gastos!$D$2:$D$2500))</f>
        <v>0</v>
      </c>
      <c r="FG56" s="75">
        <f t="array" ref="FG56">SUM((YEAR(Gastos!$A$2:$A$2500)=FG$1)*(MONTH(Gastos!$A$2:$A$2500)=FG$3)*(Gastos!$B$2:$B$2500=$A56)*(Gastos!$D$2:$D$2500))</f>
        <v>0</v>
      </c>
      <c r="FH56" s="75">
        <f t="array" ref="FH56">SUM((YEAR(Gastos!$A$2:$A$2500)=FH$1)*(MONTH(Gastos!$A$2:$A$2500)=FH$3)*(Gastos!$B$2:$B$2500=$A56)*(Gastos!$D$2:$D$2500))</f>
        <v>0</v>
      </c>
      <c r="FI56" s="75">
        <f t="array" ref="FI56">SUM((YEAR(Gastos!$A$2:$A$2500)=FI$1)*(MONTH(Gastos!$A$2:$A$2500)=FI$3)*(Gastos!$B$2:$B$2500=$A56)*(Gastos!$D$2:$D$2500))</f>
        <v>0</v>
      </c>
      <c r="FJ56" s="75">
        <f t="array" ref="FJ56">SUM((YEAR(Gastos!$A$2:$A$2500)=FJ$1)*(MONTH(Gastos!$A$2:$A$2500)=FJ$3)*(Gastos!$B$2:$B$2500=$A56)*(Gastos!$D$2:$D$2500))</f>
        <v>0</v>
      </c>
      <c r="FK56" s="75">
        <f t="array" ref="FK56">SUM((YEAR(Gastos!$A$2:$A$2500)=FK$1)*(MONTH(Gastos!$A$2:$A$2500)=FK$3)*(Gastos!$B$2:$B$2500=$A56)*(Gastos!$D$2:$D$2500))</f>
        <v>0</v>
      </c>
      <c r="FL56" s="75">
        <f t="array" ref="FL56">SUM((YEAR(Gastos!$A$2:$A$2500)=FL$1)*(MONTH(Gastos!$A$2:$A$2500)=FL$3)*(Gastos!$B$2:$B$2500=$A56)*(Gastos!$D$2:$D$2500))</f>
        <v>0</v>
      </c>
      <c r="FM56" s="75">
        <f t="array" ref="FM56">SUM((YEAR(Gastos!$A$2:$A$2500)=FM$1)*(MONTH(Gastos!$A$2:$A$2500)=FM$3)*(Gastos!$B$2:$B$2500=$A56)*(Gastos!$D$2:$D$2500))</f>
        <v>0</v>
      </c>
      <c r="FN56" s="75">
        <f t="array" ref="FN56">SUM((YEAR(Gastos!$A$2:$A$2500)=FN$1)*(MONTH(Gastos!$A$2:$A$2500)=FN$3)*(Gastos!$B$2:$B$2500=$A56)*(Gastos!$D$2:$D$2500))</f>
        <v>0</v>
      </c>
      <c r="FO56" s="75">
        <f t="array" ref="FO56">SUM((YEAR(Gastos!$A$2:$A$2500)=FO$1)*(MONTH(Gastos!$A$2:$A$2500)=FO$3)*(Gastos!$B$2:$B$2500=$A56)*(Gastos!$D$2:$D$2500))</f>
        <v>0</v>
      </c>
      <c r="FP56" s="75">
        <f t="array" ref="FP56">SUM((YEAR(Gastos!$A$2:$A$2500)=FP$1)*(MONTH(Gastos!$A$2:$A$2500)=FP$3)*(Gastos!$B$2:$B$2500=$A56)*(Gastos!$D$2:$D$2500))</f>
        <v>0</v>
      </c>
      <c r="FQ56" s="75">
        <f t="array" ref="FQ56">SUM((YEAR(Gastos!$A$2:$A$2500)=FQ$1)*(MONTH(Gastos!$A$2:$A$2500)=FQ$3)*(Gastos!$B$2:$B$2500=$A56)*(Gastos!$D$2:$D$2500))</f>
        <v>0</v>
      </c>
      <c r="FR56" s="75">
        <f t="array" ref="FR56">SUM((YEAR(Gastos!$A$2:$A$2500)=FR$1)*(MONTH(Gastos!$A$2:$A$2500)=FR$3)*(Gastos!$B$2:$B$2500=$A56)*(Gastos!$D$2:$D$2500))</f>
        <v>0</v>
      </c>
      <c r="FS56" s="75">
        <f t="array" ref="FS56">SUM((YEAR(Gastos!$A$2:$A$2500)=FS$1)*(MONTH(Gastos!$A$2:$A$2500)=FS$3)*(Gastos!$B$2:$B$2500=$A56)*(Gastos!$D$2:$D$2500))</f>
        <v>0</v>
      </c>
      <c r="FT56" s="75">
        <f t="array" ref="FT56">SUM((YEAR(Gastos!$A$2:$A$2500)=FT$1)*(MONTH(Gastos!$A$2:$A$2500)=FT$3)*(Gastos!$B$2:$B$2500=$A56)*(Gastos!$D$2:$D$2500))</f>
        <v>0</v>
      </c>
      <c r="FU56" s="75">
        <f t="array" ref="FU56">SUM((YEAR(Gastos!$A$2:$A$2500)=FU$1)*(MONTH(Gastos!$A$2:$A$2500)=FU$3)*(Gastos!$B$2:$B$2500=$A56)*(Gastos!$D$2:$D$2500))</f>
        <v>0</v>
      </c>
      <c r="FV56" s="75">
        <f t="array" ref="FV56">SUM((YEAR(Gastos!$A$2:$A$2500)=FV$1)*(MONTH(Gastos!$A$2:$A$2500)=FV$3)*(Gastos!$B$2:$B$2500=$A56)*(Gastos!$D$2:$D$2500))</f>
        <v>0</v>
      </c>
      <c r="FW56" s="75">
        <f t="array" ref="FW56">SUM((YEAR(Gastos!$A$2:$A$2500)=FW$1)*(MONTH(Gastos!$A$2:$A$2500)=FW$3)*(Gastos!$B$2:$B$2500=$A56)*(Gastos!$D$2:$D$2500))</f>
        <v>0</v>
      </c>
      <c r="FX56" s="75">
        <f t="array" ref="FX56">SUM((YEAR(Gastos!$A$2:$A$2500)=FX$1)*(MONTH(Gastos!$A$2:$A$2500)=FX$3)*(Gastos!$B$2:$B$2500=$A56)*(Gastos!$D$2:$D$2500))</f>
        <v>0</v>
      </c>
      <c r="FY56" s="75">
        <f t="array" ref="FY56">SUM((YEAR(Gastos!$A$2:$A$2500)=FY$1)*(MONTH(Gastos!$A$2:$A$2500)=FY$3)*(Gastos!$B$2:$B$2500=$A56)*(Gastos!$D$2:$D$2500))</f>
        <v>0</v>
      </c>
      <c r="FZ56" s="76">
        <f t="shared" si="65"/>
        <v>0</v>
      </c>
      <c r="GA56" s="80"/>
      <c r="GB56" s="82"/>
    </row>
    <row r="57" spans="1:191" ht="15" thickBot="1" x14ac:dyDescent="0.4">
      <c r="A57" s="74" t="str">
        <f>Gastos!AA55</f>
        <v>X</v>
      </c>
      <c r="B57" s="75">
        <f t="array" ref="B57">SUM((YEAR(Gastos!$A$2:$A$2500)=B$1)*(MONTH(Gastos!$A$2:$A$2500)=B$3)*(Gastos!$B$2:$B$2500=$A57)*(Gastos!$D$2:$D$2500))</f>
        <v>0</v>
      </c>
      <c r="C57" s="75">
        <f t="array" ref="C57">SUM((YEAR(Gastos!$A$2:$A$2500)=C$1)*(MONTH(Gastos!$A$2:$A$2500)=C$3)*(Gastos!$B$2:$B$2500=$A57)*(Gastos!$D$2:$D$2500))</f>
        <v>0</v>
      </c>
      <c r="D57" s="75">
        <f t="array" ref="D57">SUM((YEAR(Gastos!$A$2:$A$2500)=D$1)*(MONTH(Gastos!$A$2:$A$2500)=D$3)*(Gastos!$B$2:$B$2500=$A57)*(Gastos!$D$2:$D$2500))</f>
        <v>0</v>
      </c>
      <c r="E57" s="75">
        <f t="array" ref="E57">SUM((YEAR(Gastos!$A$2:$A$2500)=E$1)*(MONTH(Gastos!$A$2:$A$2500)=E$3)*(Gastos!$B$2:$B$2500=$A57)*(Gastos!$D$2:$D$2500))</f>
        <v>0</v>
      </c>
      <c r="F57" s="75">
        <f t="array" ref="F57">SUM((YEAR(Gastos!$A$2:$A$2500)=F$1)*(MONTH(Gastos!$A$2:$A$2500)=F$3)*(Gastos!$B$2:$B$2500=$A57)*(Gastos!$D$2:$D$2500))</f>
        <v>0</v>
      </c>
      <c r="G57" s="75">
        <f t="array" ref="G57">SUM((YEAR(Gastos!$A$2:$A$2500)=G$1)*(MONTH(Gastos!$A$2:$A$2500)=G$3)*(Gastos!$B$2:$B$2500=$A57)*(Gastos!$D$2:$D$2500))</f>
        <v>0</v>
      </c>
      <c r="H57" s="75">
        <f t="array" ref="H57">SUM((YEAR(Gastos!$A$2:$A$2500)=H$1)*(MONTH(Gastos!$A$2:$A$2500)=H$3)*(Gastos!$B$2:$B$2500=$A57)*(Gastos!$D$2:$D$2500))</f>
        <v>0</v>
      </c>
      <c r="I57" s="75">
        <f t="array" ref="I57">SUM((YEAR(Gastos!$A$2:$A$2500)=I$1)*(MONTH(Gastos!$A$2:$A$2500)=I$3)*(Gastos!$B$2:$B$2500=$A57)*(Gastos!$D$2:$D$2500))</f>
        <v>0</v>
      </c>
      <c r="J57" s="75">
        <f t="array" ref="J57">SUM((YEAR(Gastos!$A$2:$A$2500)=J$1)*(MONTH(Gastos!$A$2:$A$2500)=J$3)*(Gastos!$B$2:$B$2500=$A57)*(Gastos!$D$2:$D$2500))</f>
        <v>0</v>
      </c>
      <c r="K57" s="75">
        <f t="array" ref="K57">SUM((YEAR(Gastos!$A$2:$A$2500)=K$1)*(MONTH(Gastos!$A$2:$A$2500)=K$3)*(Gastos!$B$2:$B$2500=$A57)*(Gastos!$D$2:$D$2500))</f>
        <v>0</v>
      </c>
      <c r="L57" s="75">
        <f t="array" ref="L57">SUM((YEAR(Gastos!$A$2:$A$2500)=L$1)*(MONTH(Gastos!$A$2:$A$2500)=L$3)*(Gastos!$B$2:$B$2500=$A57)*(Gastos!$D$2:$D$2500))</f>
        <v>0</v>
      </c>
      <c r="M57" s="75">
        <f t="array" ref="M57">SUM((YEAR(Gastos!$A$2:$A$2500)=M$1)*(MONTH(Gastos!$A$2:$A$2500)=M$3)*(Gastos!$B$2:$B$2500=$A57)*(Gastos!$D$2:$D$2500))</f>
        <v>0</v>
      </c>
      <c r="N57" s="75">
        <f t="array" ref="N57">SUM((YEAR(Gastos!$A$2:$A$2500)=N$1)*(MONTH(Gastos!$A$2:$A$2500)=N$3)*(Gastos!$B$2:$B$2500=$A57)*(Gastos!$D$2:$D$2500))</f>
        <v>0</v>
      </c>
      <c r="O57" s="75">
        <f t="array" ref="O57">SUM((YEAR(Gastos!$A$2:$A$2500)=O$1)*(MONTH(Gastos!$A$2:$A$2500)=O$3)*(Gastos!$B$2:$B$2500=$A57)*(Gastos!$D$2:$D$2500))</f>
        <v>0</v>
      </c>
      <c r="P57" s="75">
        <f t="array" ref="P57">SUM((YEAR(Gastos!$A$2:$A$2500)=P$1)*(MONTH(Gastos!$A$2:$A$2500)=P$3)*(Gastos!$B$2:$B$2500=$A57)*(Gastos!$D$2:$D$2500))</f>
        <v>0</v>
      </c>
      <c r="Q57" s="75">
        <f t="array" ref="Q57">SUM((YEAR(Gastos!$A$2:$A$2500)=Q$1)*(MONTH(Gastos!$A$2:$A$2500)=Q$3)*(Gastos!$B$2:$B$2500=$A57)*(Gastos!$D$2:$D$2500))</f>
        <v>0</v>
      </c>
      <c r="R57" s="75">
        <f t="array" ref="R57">SUM((YEAR(Gastos!$A$2:$A$2500)=R$1)*(MONTH(Gastos!$A$2:$A$2500)=R$3)*(Gastos!$B$2:$B$2500=$A57)*(Gastos!$D$2:$D$2500))</f>
        <v>0</v>
      </c>
      <c r="S57" s="75">
        <f t="array" ref="S57">SUM((YEAR(Gastos!$A$2:$A$2500)=S$1)*(MONTH(Gastos!$A$2:$A$2500)=S$3)*(Gastos!$B$2:$B$2500=$A57)*(Gastos!$D$2:$D$2500))</f>
        <v>0</v>
      </c>
      <c r="T57" s="75">
        <f t="array" ref="T57">SUM((YEAR(Gastos!$A$2:$A$2500)=T$1)*(MONTH(Gastos!$A$2:$A$2500)=T$3)*(Gastos!$B$2:$B$2500=$A57)*(Gastos!$D$2:$D$2500))</f>
        <v>0</v>
      </c>
      <c r="U57" s="75">
        <f t="array" ref="U57">SUM((YEAR(Gastos!$A$2:$A$2500)=U$1)*(MONTH(Gastos!$A$2:$A$2500)=U$3)*(Gastos!$B$2:$B$2500=$A57)*(Gastos!$D$2:$D$2500))</f>
        <v>0</v>
      </c>
      <c r="V57" s="75">
        <f t="array" ref="V57">SUM((YEAR(Gastos!$A$2:$A$2500)=V$1)*(MONTH(Gastos!$A$2:$A$2500)=V$3)*(Gastos!$B$2:$B$2500=$A57)*(Gastos!$D$2:$D$2500))</f>
        <v>0</v>
      </c>
      <c r="W57" s="75">
        <f t="array" ref="W57">SUM((YEAR(Gastos!$A$2:$A$2500)=W$1)*(MONTH(Gastos!$A$2:$A$2500)=W$3)*(Gastos!$B$2:$B$2500=$A57)*(Gastos!$D$2:$D$2500))</f>
        <v>0</v>
      </c>
      <c r="X57" s="75">
        <f t="array" ref="X57">SUM((YEAR(Gastos!$A$2:$A$2500)=X$1)*(MONTH(Gastos!$A$2:$A$2500)=X$3)*(Gastos!$B$2:$B$2500=$A57)*(Gastos!$D$2:$D$2500))</f>
        <v>0</v>
      </c>
      <c r="Y57" s="75">
        <f t="array" ref="Y57">SUM((YEAR(Gastos!$A$2:$A$2500)=Y$1)*(MONTH(Gastos!$A$2:$A$2500)=Y$3)*(Gastos!$B$2:$B$2500=$A57)*(Gastos!$D$2:$D$2500))</f>
        <v>0</v>
      </c>
      <c r="Z57" s="75">
        <f t="array" ref="Z57">SUM((YEAR(Gastos!$A$2:$A$2500)=Z$1)*(MONTH(Gastos!$A$2:$A$2500)=Z$3)*(Gastos!$B$2:$B$2500=$A57)*(Gastos!$D$2:$D$2500))</f>
        <v>0</v>
      </c>
      <c r="AA57" s="75">
        <f t="array" ref="AA57">SUM((YEAR(Gastos!$A$2:$A$2500)=AA$1)*(MONTH(Gastos!$A$2:$A$2500)=AA$3)*(Gastos!$B$2:$B$2500=$A57)*(Gastos!$D$2:$D$2500))</f>
        <v>0</v>
      </c>
      <c r="AB57" s="75">
        <f t="array" ref="AB57">SUM((YEAR(Gastos!$A$2:$A$2500)=AB$1)*(MONTH(Gastos!$A$2:$A$2500)=AB$3)*(Gastos!$B$2:$B$2500=$A57)*(Gastos!$D$2:$D$2500))</f>
        <v>0</v>
      </c>
      <c r="AC57" s="75">
        <f t="array" ref="AC57">SUM((YEAR(Gastos!$A$2:$A$2500)=AC$1)*(MONTH(Gastos!$A$2:$A$2500)=AC$3)*(Gastos!$B$2:$B$2500=$A57)*(Gastos!$D$2:$D$2500))</f>
        <v>0</v>
      </c>
      <c r="AD57" s="75">
        <f t="array" ref="AD57">SUM((YEAR(Gastos!$A$2:$A$2500)=AD$1)*(MONTH(Gastos!$A$2:$A$2500)=AD$3)*(Gastos!$B$2:$B$2500=$A57)*(Gastos!$D$2:$D$2500))</f>
        <v>0</v>
      </c>
      <c r="AE57" s="75">
        <f t="array" ref="AE57">SUM((YEAR(Gastos!$A$2:$A$2500)=AE$1)*(MONTH(Gastos!$A$2:$A$2500)=AE$3)*(Gastos!$B$2:$B$2500=$A57)*(Gastos!$D$2:$D$2500))</f>
        <v>0</v>
      </c>
      <c r="AF57" s="75">
        <f t="array" ref="AF57">SUM((YEAR(Gastos!$A$2:$A$2500)=AF$1)*(MONTH(Gastos!$A$2:$A$2500)=AF$3)*(Gastos!$B$2:$B$2500=$A57)*(Gastos!$D$2:$D$2500))</f>
        <v>0</v>
      </c>
      <c r="AG57" s="75">
        <f t="array" ref="AG57">SUM((YEAR(Gastos!$A$2:$A$2500)=AG$1)*(MONTH(Gastos!$A$2:$A$2500)=AG$3)*(Gastos!$B$2:$B$2500=$A57)*(Gastos!$D$2:$D$2500))</f>
        <v>0</v>
      </c>
      <c r="AH57" s="75">
        <f t="array" ref="AH57">SUM((YEAR(Gastos!$A$2:$A$2500)=AH$1)*(MONTH(Gastos!$A$2:$A$2500)=AH$3)*(Gastos!$B$2:$B$2500=$A57)*(Gastos!$D$2:$D$2500))</f>
        <v>0</v>
      </c>
      <c r="AI57" s="75">
        <f t="array" ref="AI57">SUM((YEAR(Gastos!$A$2:$A$2500)=AI$1)*(MONTH(Gastos!$A$2:$A$2500)=AI$3)*(Gastos!$B$2:$B$2500=$A57)*(Gastos!$D$2:$D$2500))</f>
        <v>0</v>
      </c>
      <c r="AJ57" s="75">
        <f t="array" ref="AJ57">SUM((YEAR(Gastos!$A$2:$A$2500)=AJ$1)*(MONTH(Gastos!$A$2:$A$2500)=AJ$3)*(Gastos!$B$2:$B$2500=$A57)*(Gastos!$D$2:$D$2500))</f>
        <v>0</v>
      </c>
      <c r="AK57" s="75">
        <f t="array" ref="AK57">SUM((YEAR(Gastos!$A$2:$A$2500)=AK$1)*(MONTH(Gastos!$A$2:$A$2500)=AK$3)*(Gastos!$B$2:$B$2500=$A57)*(Gastos!$D$2:$D$2500))</f>
        <v>0</v>
      </c>
      <c r="AL57" s="75">
        <f t="array" ref="AL57">SUM((YEAR(Gastos!$A$2:$A$2500)=AL$1)*(MONTH(Gastos!$A$2:$A$2500)=AL$3)*(Gastos!$B$2:$B$2500=$A57)*(Gastos!$D$2:$D$2500))</f>
        <v>0</v>
      </c>
      <c r="AM57" s="75">
        <f t="array" ref="AM57">SUM((YEAR(Gastos!$A$2:$A$2500)=AM$1)*(MONTH(Gastos!$A$2:$A$2500)=AM$3)*(Gastos!$B$2:$B$2500=$A57)*(Gastos!$D$2:$D$2500))</f>
        <v>0</v>
      </c>
      <c r="AN57" s="75">
        <f t="array" ref="AN57">SUM((YEAR(Gastos!$A$2:$A$2500)=AN$1)*(MONTH(Gastos!$A$2:$A$2500)=AN$3)*(Gastos!$B$2:$B$2500=$A57)*(Gastos!$D$2:$D$2500))</f>
        <v>0</v>
      </c>
      <c r="AO57" s="75">
        <f t="array" ref="AO57">SUM((YEAR(Gastos!$A$2:$A$2500)=AO$1)*(MONTH(Gastos!$A$2:$A$2500)=AO$3)*(Gastos!$B$2:$B$2500=$A57)*(Gastos!$D$2:$D$2500))</f>
        <v>0</v>
      </c>
      <c r="AP57" s="75">
        <f t="array" ref="AP57">SUM((YEAR(Gastos!$A$2:$A$2500)=AP$1)*(MONTH(Gastos!$A$2:$A$2500)=AP$3)*(Gastos!$B$2:$B$2500=$A57)*(Gastos!$D$2:$D$2500))</f>
        <v>0</v>
      </c>
      <c r="AQ57" s="75">
        <f t="array" ref="AQ57">SUM((YEAR(Gastos!$A$2:$A$2500)=AQ$1)*(MONTH(Gastos!$A$2:$A$2500)=AQ$3)*(Gastos!$B$2:$B$2500=$A57)*(Gastos!$D$2:$D$2500))</f>
        <v>0</v>
      </c>
      <c r="AR57" s="75">
        <f t="array" ref="AR57">SUM((YEAR(Gastos!$A$2:$A$2500)=AR$1)*(MONTH(Gastos!$A$2:$A$2500)=AR$3)*(Gastos!$B$2:$B$2500=$A57)*(Gastos!$D$2:$D$2500))</f>
        <v>0</v>
      </c>
      <c r="AS57" s="75">
        <f t="array" ref="AS57">SUM((YEAR(Gastos!$A$2:$A$2500)=AS$1)*(MONTH(Gastos!$A$2:$A$2500)=AS$3)*(Gastos!$B$2:$B$2500=$A57)*(Gastos!$D$2:$D$2500))</f>
        <v>0</v>
      </c>
      <c r="AT57" s="75">
        <f t="array" ref="AT57">SUM((YEAR(Gastos!$A$2:$A$2500)=AT$1)*(MONTH(Gastos!$A$2:$A$2500)=AT$3)*(Gastos!$B$2:$B$2500=$A57)*(Gastos!$D$2:$D$2500))</f>
        <v>0</v>
      </c>
      <c r="AU57" s="75">
        <f t="array" ref="AU57">SUM((YEAR(Gastos!$A$2:$A$2500)=AU$1)*(MONTH(Gastos!$A$2:$A$2500)=AU$3)*(Gastos!$B$2:$B$2500=$A57)*(Gastos!$D$2:$D$2500))</f>
        <v>0</v>
      </c>
      <c r="AV57" s="75">
        <f t="array" ref="AV57">SUM((YEAR(Gastos!$A$2:$A$2500)=AV$1)*(MONTH(Gastos!$A$2:$A$2500)=AV$3)*(Gastos!$B$2:$B$2500=$A57)*(Gastos!$D$2:$D$2500))</f>
        <v>0</v>
      </c>
      <c r="AW57" s="75">
        <f t="array" ref="AW57">SUM((YEAR(Gastos!$A$2:$A$2500)=AW$1)*(MONTH(Gastos!$A$2:$A$2500)=AW$3)*(Gastos!$B$2:$B$2500=$A57)*(Gastos!$D$2:$D$2500))</f>
        <v>0</v>
      </c>
      <c r="AX57" s="75">
        <f t="array" ref="AX57">SUM((YEAR(Gastos!$A$2:$A$2500)=AX$1)*(MONTH(Gastos!$A$2:$A$2500)=AX$3)*(Gastos!$B$2:$B$2500=$A57)*(Gastos!$D$2:$D$2500))</f>
        <v>0</v>
      </c>
      <c r="AY57" s="75">
        <f t="array" ref="AY57">SUM((YEAR(Gastos!$A$2:$A$2500)=AY$1)*(MONTH(Gastos!$A$2:$A$2500)=AY$3)*(Gastos!$B$2:$B$2500=$A57)*(Gastos!$D$2:$D$2500))</f>
        <v>0</v>
      </c>
      <c r="AZ57" s="75">
        <f t="array" ref="AZ57">SUM((YEAR(Gastos!$A$2:$A$2500)=AZ$1)*(MONTH(Gastos!$A$2:$A$2500)=AZ$3)*(Gastos!$B$2:$B$2500=$A57)*(Gastos!$D$2:$D$2500))</f>
        <v>0</v>
      </c>
      <c r="BA57" s="75">
        <f t="array" ref="BA57">SUM((YEAR(Gastos!$A$2:$A$2500)=BA$1)*(MONTH(Gastos!$A$2:$A$2500)=BA$3)*(Gastos!$B$2:$B$2500=$A57)*(Gastos!$D$2:$D$2500))</f>
        <v>0</v>
      </c>
      <c r="BB57" s="75">
        <f t="array" ref="BB57">SUM((YEAR(Gastos!$A$2:$A$2500)=BB$1)*(MONTH(Gastos!$A$2:$A$2500)=BB$3)*(Gastos!$B$2:$B$2500=$A57)*(Gastos!$D$2:$D$2500))</f>
        <v>0</v>
      </c>
      <c r="BC57" s="75">
        <f t="array" ref="BC57">SUM((YEAR(Gastos!$A$2:$A$2500)=BC$1)*(MONTH(Gastos!$A$2:$A$2500)=BC$3)*(Gastos!$B$2:$B$2500=$A57)*(Gastos!$D$2:$D$2500))</f>
        <v>0</v>
      </c>
      <c r="BD57" s="75">
        <f t="array" ref="BD57">SUM((YEAR(Gastos!$A$2:$A$2500)=BD$1)*(MONTH(Gastos!$A$2:$A$2500)=BD$3)*(Gastos!$B$2:$B$2500=$A57)*(Gastos!$D$2:$D$2500))</f>
        <v>0</v>
      </c>
      <c r="BE57" s="75">
        <f t="array" ref="BE57">SUM((YEAR(Gastos!$A$2:$A$2500)=BE$1)*(MONTH(Gastos!$A$2:$A$2500)=BE$3)*(Gastos!$B$2:$B$2500=$A57)*(Gastos!$D$2:$D$2500))</f>
        <v>0</v>
      </c>
      <c r="BF57" s="75">
        <f t="array" ref="BF57">SUM((YEAR(Gastos!$A$2:$A$2500)=BF$1)*(MONTH(Gastos!$A$2:$A$2500)=BF$3)*(Gastos!$B$2:$B$2500=$A57)*(Gastos!$D$2:$D$2500))</f>
        <v>0</v>
      </c>
      <c r="BG57" s="75">
        <f t="array" ref="BG57">SUM((YEAR(Gastos!$A$2:$A$2500)=BG$1)*(MONTH(Gastos!$A$2:$A$2500)=BG$3)*(Gastos!$B$2:$B$2500=$A57)*(Gastos!$D$2:$D$2500))</f>
        <v>0</v>
      </c>
      <c r="BH57" s="75">
        <f t="array" ref="BH57">SUM((YEAR(Gastos!$A$2:$A$2500)=BH$1)*(MONTH(Gastos!$A$2:$A$2500)=BH$3)*(Gastos!$B$2:$B$2500=$A57)*(Gastos!$D$2:$D$2500))</f>
        <v>0</v>
      </c>
      <c r="BI57" s="75">
        <f t="array" ref="BI57">SUM((YEAR(Gastos!$A$2:$A$2500)=BI$1)*(MONTH(Gastos!$A$2:$A$2500)=BI$3)*(Gastos!$B$2:$B$2500=$A57)*(Gastos!$D$2:$D$2500))</f>
        <v>0</v>
      </c>
      <c r="BJ57" s="75">
        <f t="array" ref="BJ57">SUM((YEAR(Gastos!$A$2:$A$2500)=BJ$1)*(MONTH(Gastos!$A$2:$A$2500)=BJ$3)*(Gastos!$B$2:$B$2500=$A57)*(Gastos!$D$2:$D$2500))</f>
        <v>0</v>
      </c>
      <c r="BK57" s="75">
        <f t="array" ref="BK57">SUM((YEAR(Gastos!$A$2:$A$2500)=BK$1)*(MONTH(Gastos!$A$2:$A$2500)=BK$3)*(Gastos!$B$2:$B$2500=$A57)*(Gastos!$D$2:$D$2500))</f>
        <v>0</v>
      </c>
      <c r="BL57" s="75">
        <f t="array" ref="BL57">SUM((YEAR(Gastos!$A$2:$A$2500)=BL$1)*(MONTH(Gastos!$A$2:$A$2500)=BL$3)*(Gastos!$B$2:$B$2500=$A57)*(Gastos!$D$2:$D$2500))</f>
        <v>0</v>
      </c>
      <c r="BM57" s="75">
        <f t="array" ref="BM57">SUM((YEAR(Gastos!$A$2:$A$2500)=BM$1)*(MONTH(Gastos!$A$2:$A$2500)=BM$3)*(Gastos!$B$2:$B$2500=$A57)*(Gastos!$D$2:$D$2500))</f>
        <v>0</v>
      </c>
      <c r="BN57" s="75">
        <f t="array" ref="BN57">SUM((YEAR(Gastos!$A$2:$A$2500)=BN$1)*(MONTH(Gastos!$A$2:$A$2500)=BN$3)*(Gastos!$B$2:$B$2500=$A57)*(Gastos!$D$2:$D$2500))</f>
        <v>0</v>
      </c>
      <c r="BO57" s="75">
        <f t="array" ref="BO57">SUM((YEAR(Gastos!$A$2:$A$2500)=BO$1)*(MONTH(Gastos!$A$2:$A$2500)=BO$3)*(Gastos!$B$2:$B$2500=$A57)*(Gastos!$D$2:$D$2500))</f>
        <v>0</v>
      </c>
      <c r="BP57" s="75">
        <f t="array" ref="BP57">SUM((YEAR(Gastos!$A$2:$A$2500)=BP$1)*(MONTH(Gastos!$A$2:$A$2500)=BP$3)*(Gastos!$B$2:$B$2500=$A57)*(Gastos!$D$2:$D$2500))</f>
        <v>0</v>
      </c>
      <c r="BQ57" s="75">
        <f t="array" ref="BQ57">SUM((YEAR(Gastos!$A$2:$A$2500)=BQ$1)*(MONTH(Gastos!$A$2:$A$2500)=BQ$3)*(Gastos!$B$2:$B$2500=$A57)*(Gastos!$D$2:$D$2500))</f>
        <v>0</v>
      </c>
      <c r="BR57" s="75">
        <f t="array" ref="BR57">SUM((YEAR(Gastos!$A$2:$A$2500)=BR$1)*(MONTH(Gastos!$A$2:$A$2500)=BR$3)*(Gastos!$B$2:$B$2500=$A57)*(Gastos!$D$2:$D$2500))</f>
        <v>0</v>
      </c>
      <c r="BS57" s="75">
        <f t="array" ref="BS57">SUM((YEAR(Gastos!$A$2:$A$2500)=BS$1)*(MONTH(Gastos!$A$2:$A$2500)=BS$3)*(Gastos!$B$2:$B$2500=$A57)*(Gastos!$D$2:$D$2500))</f>
        <v>0</v>
      </c>
      <c r="BT57" s="75">
        <f t="array" ref="BT57">SUM((YEAR(Gastos!$A$2:$A$2500)=BT$1)*(MONTH(Gastos!$A$2:$A$2500)=BT$3)*(Gastos!$B$2:$B$2500=$A57)*(Gastos!$D$2:$D$2500))</f>
        <v>0</v>
      </c>
      <c r="BU57" s="75">
        <f t="array" ref="BU57">SUM((YEAR(Gastos!$A$2:$A$2500)=BU$1)*(MONTH(Gastos!$A$2:$A$2500)=BU$3)*(Gastos!$B$2:$B$2500=$A57)*(Gastos!$D$2:$D$2500))</f>
        <v>0</v>
      </c>
      <c r="BV57" s="75">
        <f t="array" ref="BV57">SUM((YEAR(Gastos!$A$2:$A$2500)=BV$1)*(MONTH(Gastos!$A$2:$A$2500)=BV$3)*(Gastos!$B$2:$B$2500=$A57)*(Gastos!$D$2:$D$2500))</f>
        <v>0</v>
      </c>
      <c r="BW57" s="75">
        <f t="array" ref="BW57">SUM((YEAR(Gastos!$A$2:$A$2500)=BW$1)*(MONTH(Gastos!$A$2:$A$2500)=BW$3)*(Gastos!$B$2:$B$2500=$A57)*(Gastos!$D$2:$D$2500))</f>
        <v>0</v>
      </c>
      <c r="BX57" s="75">
        <f t="array" ref="BX57">SUM((YEAR(Gastos!$A$2:$A$2500)=BX$1)*(MONTH(Gastos!$A$2:$A$2500)=BX$3)*(Gastos!$B$2:$B$2500=$A57)*(Gastos!$D$2:$D$2500))</f>
        <v>0</v>
      </c>
      <c r="BY57" s="75">
        <f t="array" ref="BY57">SUM((YEAR(Gastos!$A$2:$A$2500)=BY$1)*(MONTH(Gastos!$A$2:$A$2500)=BY$3)*(Gastos!$B$2:$B$2500=$A57)*(Gastos!$D$2:$D$2500))</f>
        <v>0</v>
      </c>
      <c r="BZ57" s="75">
        <f t="array" ref="BZ57">SUM((YEAR(Gastos!$A$2:$A$2500)=BZ$1)*(MONTH(Gastos!$A$2:$A$2500)=BZ$3)*(Gastos!$B$2:$B$2500=$A57)*(Gastos!$D$2:$D$2500))</f>
        <v>0</v>
      </c>
      <c r="CA57" s="75">
        <f t="array" ref="CA57">SUM((YEAR(Gastos!$A$2:$A$2500)=CA$1)*(MONTH(Gastos!$A$2:$A$2500)=CA$3)*(Gastos!$B$2:$B$2500=$A57)*(Gastos!$D$2:$D$2500))</f>
        <v>0</v>
      </c>
      <c r="CB57" s="75">
        <f t="array" ref="CB57">SUM((YEAR(Gastos!$A$2:$A$2500)=CB$1)*(MONTH(Gastos!$A$2:$A$2500)=CB$3)*(Gastos!$B$2:$B$2500=$A57)*(Gastos!$D$2:$D$2500))</f>
        <v>0</v>
      </c>
      <c r="CC57" s="75">
        <f t="array" ref="CC57">SUM((YEAR(Gastos!$A$2:$A$2500)=CC$1)*(MONTH(Gastos!$A$2:$A$2500)=CC$3)*(Gastos!$B$2:$B$2500=$A57)*(Gastos!$D$2:$D$2500))</f>
        <v>0</v>
      </c>
      <c r="CD57" s="75">
        <f t="array" ref="CD57">SUM((YEAR(Gastos!$A$2:$A$2500)=CD$1)*(MONTH(Gastos!$A$2:$A$2500)=CD$3)*(Gastos!$B$2:$B$2500=$A57)*(Gastos!$D$2:$D$2500))</f>
        <v>0</v>
      </c>
      <c r="CE57" s="75">
        <f t="array" ref="CE57">SUM((YEAR(Gastos!$A$2:$A$2500)=CE$1)*(MONTH(Gastos!$A$2:$A$2500)=CE$3)*(Gastos!$B$2:$B$2500=$A57)*(Gastos!$D$2:$D$2500))</f>
        <v>0</v>
      </c>
      <c r="CF57" s="75">
        <f t="array" ref="CF57">SUM((YEAR(Gastos!$A$2:$A$2500)=CF$1)*(MONTH(Gastos!$A$2:$A$2500)=CF$3)*(Gastos!$B$2:$B$2500=$A57)*(Gastos!$D$2:$D$2500))</f>
        <v>0</v>
      </c>
      <c r="CG57" s="75">
        <f t="array" ref="CG57">SUM((YEAR(Gastos!$A$2:$A$2500)=CG$1)*(MONTH(Gastos!$A$2:$A$2500)=CG$3)*(Gastos!$B$2:$B$2500=$A57)*(Gastos!$D$2:$D$2500))</f>
        <v>0</v>
      </c>
      <c r="CH57" s="75">
        <f t="array" ref="CH57">SUM((YEAR(Gastos!$A$2:$A$2500)=CH$1)*(MONTH(Gastos!$A$2:$A$2500)=CH$3)*(Gastos!$B$2:$B$2500=$A57)*(Gastos!$D$2:$D$2500))</f>
        <v>0</v>
      </c>
      <c r="CI57" s="75">
        <f t="array" ref="CI57">SUM((YEAR(Gastos!$A$2:$A$2500)=CI$1)*(MONTH(Gastos!$A$2:$A$2500)=CI$3)*(Gastos!$B$2:$B$2500=$A57)*(Gastos!$D$2:$D$2500))</f>
        <v>0</v>
      </c>
      <c r="CJ57" s="75">
        <f t="array" ref="CJ57">SUM((YEAR(Gastos!$A$2:$A$2500)=CJ$1)*(MONTH(Gastos!$A$2:$A$2500)=CJ$3)*(Gastos!$B$2:$B$2500=$A57)*(Gastos!$D$2:$D$2500))</f>
        <v>0</v>
      </c>
      <c r="CK57" s="75">
        <f t="array" ref="CK57">SUM((YEAR(Gastos!$A$2:$A$2500)=CK$1)*(MONTH(Gastos!$A$2:$A$2500)=CK$3)*(Gastos!$B$2:$B$2500=$A57)*(Gastos!$D$2:$D$2500))</f>
        <v>0</v>
      </c>
      <c r="CL57" s="75">
        <f t="array" ref="CL57">SUM((YEAR(Gastos!$A$2:$A$2500)=CL$1)*(MONTH(Gastos!$A$2:$A$2500)=CL$3)*(Gastos!$B$2:$B$2500=$A57)*(Gastos!$D$2:$D$2500))</f>
        <v>0</v>
      </c>
      <c r="CM57" s="75">
        <f t="array" ref="CM57">SUM((YEAR(Gastos!$A$2:$A$2500)=CM$1)*(MONTH(Gastos!$A$2:$A$2500)=CM$3)*(Gastos!$B$2:$B$2500=$A57)*(Gastos!$D$2:$D$2500))</f>
        <v>0</v>
      </c>
      <c r="CN57" s="75">
        <f t="array" ref="CN57">SUM((YEAR(Gastos!$A$2:$A$2500)=CN$1)*(MONTH(Gastos!$A$2:$A$2500)=CN$3)*(Gastos!$B$2:$B$2500=$A57)*(Gastos!$D$2:$D$2500))</f>
        <v>0</v>
      </c>
      <c r="CO57" s="75">
        <f t="array" ref="CO57">SUM((YEAR(Gastos!$A$2:$A$2500)=CO$1)*(MONTH(Gastos!$A$2:$A$2500)=CO$3)*(Gastos!$B$2:$B$2500=$A57)*(Gastos!$D$2:$D$2500))</f>
        <v>0</v>
      </c>
      <c r="CP57" s="75">
        <f t="array" ref="CP57">SUM((YEAR(Gastos!$A$2:$A$2500)=CP$1)*(MONTH(Gastos!$A$2:$A$2500)=CP$3)*(Gastos!$B$2:$B$2500=$A57)*(Gastos!$D$2:$D$2500))</f>
        <v>0</v>
      </c>
      <c r="CQ57" s="75">
        <f t="array" ref="CQ57">SUM((YEAR(Gastos!$A$2:$A$2500)=CQ$1)*(MONTH(Gastos!$A$2:$A$2500)=CQ$3)*(Gastos!$B$2:$B$2500=$A57)*(Gastos!$D$2:$D$2500))</f>
        <v>0</v>
      </c>
      <c r="CR57" s="75">
        <f t="array" ref="CR57">SUM((YEAR(Gastos!$A$2:$A$2500)=CR$1)*(MONTH(Gastos!$A$2:$A$2500)=CR$3)*(Gastos!$B$2:$B$2500=$A57)*(Gastos!$D$2:$D$2500))</f>
        <v>0</v>
      </c>
      <c r="CS57" s="75">
        <f t="array" ref="CS57">SUM((YEAR(Gastos!$A$2:$A$2500)=CS$1)*(MONTH(Gastos!$A$2:$A$2500)=CS$3)*(Gastos!$B$2:$B$2500=$A57)*(Gastos!$D$2:$D$2500))</f>
        <v>0</v>
      </c>
      <c r="CT57" s="75">
        <f t="array" ref="CT57">SUM((YEAR(Gastos!$A$2:$A$2500)=CT$1)*(MONTH(Gastos!$A$2:$A$2500)=CT$3)*(Gastos!$B$2:$B$2500=$A57)*(Gastos!$D$2:$D$2500))</f>
        <v>0</v>
      </c>
      <c r="CU57" s="75">
        <f t="array" ref="CU57">SUM((YEAR(Gastos!$A$2:$A$2500)=CU$1)*(MONTH(Gastos!$A$2:$A$2500)=CU$3)*(Gastos!$B$2:$B$2500=$A57)*(Gastos!$D$2:$D$2500))</f>
        <v>0</v>
      </c>
      <c r="CV57" s="75">
        <f t="array" ref="CV57">SUM((YEAR(Gastos!$A$2:$A$2500)=CV$1)*(MONTH(Gastos!$A$2:$A$2500)=CV$3)*(Gastos!$B$2:$B$2500=$A57)*(Gastos!$D$2:$D$2500))</f>
        <v>0</v>
      </c>
      <c r="CW57" s="75">
        <f t="array" ref="CW57">SUM((YEAR(Gastos!$A$2:$A$2500)=CW$1)*(MONTH(Gastos!$A$2:$A$2500)=CW$3)*(Gastos!$B$2:$B$2500=$A57)*(Gastos!$D$2:$D$2500))</f>
        <v>0</v>
      </c>
      <c r="CX57" s="75">
        <f t="array" ref="CX57">SUM((YEAR(Gastos!$A$2:$A$2500)=CX$1)*(MONTH(Gastos!$A$2:$A$2500)=CX$3)*(Gastos!$B$2:$B$2500=$A57)*(Gastos!$D$2:$D$2500))</f>
        <v>0</v>
      </c>
      <c r="CY57" s="75">
        <f t="array" ref="CY57">SUM((YEAR(Gastos!$A$2:$A$2500)=CY$1)*(MONTH(Gastos!$A$2:$A$2500)=CY$3)*(Gastos!$B$2:$B$2500=$A57)*(Gastos!$D$2:$D$2500))</f>
        <v>0</v>
      </c>
      <c r="CZ57" s="75">
        <f t="array" ref="CZ57">SUM((YEAR(Gastos!$A$2:$A$2500)=CZ$1)*(MONTH(Gastos!$A$2:$A$2500)=CZ$3)*(Gastos!$B$2:$B$2500=$A57)*(Gastos!$D$2:$D$2500))</f>
        <v>0</v>
      </c>
      <c r="DA57" s="75">
        <f t="array" ref="DA57">SUM((YEAR(Gastos!$A$2:$A$2500)=DA$1)*(MONTH(Gastos!$A$2:$A$2500)=DA$3)*(Gastos!$B$2:$B$2500=$A57)*(Gastos!$D$2:$D$2500))</f>
        <v>0</v>
      </c>
      <c r="DB57" s="75">
        <f t="array" ref="DB57">SUM((YEAR(Gastos!$A$2:$A$2500)=DB$1)*(MONTH(Gastos!$A$2:$A$2500)=DB$3)*(Gastos!$B$2:$B$2500=$A57)*(Gastos!$D$2:$D$2500))</f>
        <v>0</v>
      </c>
      <c r="DC57" s="75">
        <f t="array" ref="DC57">SUM((YEAR(Gastos!$A$2:$A$2500)=DC$1)*(MONTH(Gastos!$A$2:$A$2500)=DC$3)*(Gastos!$B$2:$B$2500=$A57)*(Gastos!$D$2:$D$2500))</f>
        <v>0</v>
      </c>
      <c r="DD57" s="75">
        <f t="array" ref="DD57">SUM((YEAR(Gastos!$A$2:$A$2500)=DD$1)*(MONTH(Gastos!$A$2:$A$2500)=DD$3)*(Gastos!$B$2:$B$2500=$A57)*(Gastos!$D$2:$D$2500))</f>
        <v>0</v>
      </c>
      <c r="DE57" s="75">
        <f t="array" ref="DE57">SUM((YEAR(Gastos!$A$2:$A$2500)=DE$1)*(MONTH(Gastos!$A$2:$A$2500)=DE$3)*(Gastos!$B$2:$B$2500=$A57)*(Gastos!$D$2:$D$2500))</f>
        <v>0</v>
      </c>
      <c r="DF57" s="75">
        <f t="array" ref="DF57">SUM((YEAR(Gastos!$A$2:$A$2500)=DF$1)*(MONTH(Gastos!$A$2:$A$2500)=DF$3)*(Gastos!$B$2:$B$2500=$A57)*(Gastos!$D$2:$D$2500))</f>
        <v>0</v>
      </c>
      <c r="DG57" s="75">
        <f t="array" ref="DG57">SUM((YEAR(Gastos!$A$2:$A$2500)=DG$1)*(MONTH(Gastos!$A$2:$A$2500)=DG$3)*(Gastos!$B$2:$B$2500=$A57)*(Gastos!$D$2:$D$2500))</f>
        <v>0</v>
      </c>
      <c r="DH57" s="75">
        <f t="array" ref="DH57">SUM((YEAR(Gastos!$A$2:$A$2500)=DH$1)*(MONTH(Gastos!$A$2:$A$2500)=DH$3)*(Gastos!$B$2:$B$2500=$A57)*(Gastos!$D$2:$D$2500))</f>
        <v>0</v>
      </c>
      <c r="DI57" s="75">
        <f t="array" ref="DI57">SUM((YEAR(Gastos!$A$2:$A$2500)=DI$1)*(MONTH(Gastos!$A$2:$A$2500)=DI$3)*(Gastos!$B$2:$B$2500=$A57)*(Gastos!$D$2:$D$2500))</f>
        <v>0</v>
      </c>
      <c r="DJ57" s="75">
        <f t="array" ref="DJ57">SUM((YEAR(Gastos!$A$2:$A$2500)=DJ$1)*(MONTH(Gastos!$A$2:$A$2500)=DJ$3)*(Gastos!$B$2:$B$2500=$A57)*(Gastos!$D$2:$D$2500))</f>
        <v>0</v>
      </c>
      <c r="DK57" s="75">
        <f t="array" ref="DK57">SUM((YEAR(Gastos!$A$2:$A$2500)=DK$1)*(MONTH(Gastos!$A$2:$A$2500)=DK$3)*(Gastos!$B$2:$B$2500=$A57)*(Gastos!$D$2:$D$2500))</f>
        <v>0</v>
      </c>
      <c r="DL57" s="75">
        <f t="array" ref="DL57">SUM((YEAR(Gastos!$A$2:$A$2500)=DL$1)*(MONTH(Gastos!$A$2:$A$2500)=DL$3)*(Gastos!$B$2:$B$2500=$A57)*(Gastos!$D$2:$D$2500))</f>
        <v>0</v>
      </c>
      <c r="DM57" s="75">
        <f t="array" ref="DM57">SUM((YEAR(Gastos!$A$2:$A$2500)=DM$1)*(MONTH(Gastos!$A$2:$A$2500)=DM$3)*(Gastos!$B$2:$B$2500=$A57)*(Gastos!$D$2:$D$2500))</f>
        <v>0</v>
      </c>
      <c r="DN57" s="75">
        <f t="array" ref="DN57">SUM((YEAR(Gastos!$A$2:$A$2500)=DN$1)*(MONTH(Gastos!$A$2:$A$2500)=DN$3)*(Gastos!$B$2:$B$2500=$A57)*(Gastos!$D$2:$D$2500))</f>
        <v>0</v>
      </c>
      <c r="DO57" s="75">
        <f t="array" ref="DO57">SUM((YEAR(Gastos!$A$2:$A$2500)=DO$1)*(MONTH(Gastos!$A$2:$A$2500)=DO$3)*(Gastos!$B$2:$B$2500=$A57)*(Gastos!$D$2:$D$2500))</f>
        <v>0</v>
      </c>
      <c r="DP57" s="75">
        <f t="array" ref="DP57">SUM((YEAR(Gastos!$A$2:$A$2500)=DP$1)*(MONTH(Gastos!$A$2:$A$2500)=DP$3)*(Gastos!$B$2:$B$2500=$A57)*(Gastos!$D$2:$D$2500))</f>
        <v>0</v>
      </c>
      <c r="DQ57" s="75">
        <f t="array" ref="DQ57">SUM((YEAR(Gastos!$A$2:$A$2500)=DQ$1)*(MONTH(Gastos!$A$2:$A$2500)=DQ$3)*(Gastos!$B$2:$B$2500=$A57)*(Gastos!$D$2:$D$2500))</f>
        <v>0</v>
      </c>
      <c r="DR57" s="75">
        <f t="array" ref="DR57">SUM((YEAR(Gastos!$A$2:$A$2500)=DR$1)*(MONTH(Gastos!$A$2:$A$2500)=DR$3)*(Gastos!$B$2:$B$2500=$A57)*(Gastos!$D$2:$D$2500))</f>
        <v>0</v>
      </c>
      <c r="DS57" s="75">
        <f t="array" ref="DS57">SUM((YEAR(Gastos!$A$2:$A$2500)=DS$1)*(MONTH(Gastos!$A$2:$A$2500)=DS$3)*(Gastos!$B$2:$B$2500=$A57)*(Gastos!$D$2:$D$2500))</f>
        <v>0</v>
      </c>
      <c r="DT57" s="75">
        <f t="array" ref="DT57">SUM((YEAR(Gastos!$A$2:$A$2500)=DT$1)*(MONTH(Gastos!$A$2:$A$2500)=DT$3)*(Gastos!$B$2:$B$2500=$A57)*(Gastos!$D$2:$D$2500))</f>
        <v>0</v>
      </c>
      <c r="DU57" s="75">
        <f t="array" ref="DU57">SUM((YEAR(Gastos!$A$2:$A$2500)=DU$1)*(MONTH(Gastos!$A$2:$A$2500)=DU$3)*(Gastos!$B$2:$B$2500=$A57)*(Gastos!$D$2:$D$2500))</f>
        <v>0</v>
      </c>
      <c r="DV57" s="75">
        <f t="array" ref="DV57">SUM((YEAR(Gastos!$A$2:$A$2500)=DV$1)*(MONTH(Gastos!$A$2:$A$2500)=DV$3)*(Gastos!$B$2:$B$2500=$A57)*(Gastos!$D$2:$D$2500))</f>
        <v>0</v>
      </c>
      <c r="DW57" s="75">
        <f t="array" ref="DW57">SUM((YEAR(Gastos!$A$2:$A$2500)=DW$1)*(MONTH(Gastos!$A$2:$A$2500)=DW$3)*(Gastos!$B$2:$B$2500=$A57)*(Gastos!$D$2:$D$2500))</f>
        <v>0</v>
      </c>
      <c r="DX57" s="75">
        <f t="array" ref="DX57">SUM((YEAR(Gastos!$A$2:$A$2500)=DX$1)*(MONTH(Gastos!$A$2:$A$2500)=DX$3)*(Gastos!$B$2:$B$2500=$A57)*(Gastos!$D$2:$D$2500))</f>
        <v>0</v>
      </c>
      <c r="DY57" s="75">
        <f t="array" ref="DY57">SUM((YEAR(Gastos!$A$2:$A$2500)=DY$1)*(MONTH(Gastos!$A$2:$A$2500)=DY$3)*(Gastos!$B$2:$B$2500=$A57)*(Gastos!$D$2:$D$2500))</f>
        <v>0</v>
      </c>
      <c r="DZ57" s="75">
        <f t="array" ref="DZ57">SUM((YEAR(Gastos!$A$2:$A$2500)=DZ$1)*(MONTH(Gastos!$A$2:$A$2500)=DZ$3)*(Gastos!$B$2:$B$2500=$A57)*(Gastos!$D$2:$D$2500))</f>
        <v>0</v>
      </c>
      <c r="EA57" s="75">
        <f t="array" ref="EA57">SUM((YEAR(Gastos!$A$2:$A$2500)=EA$1)*(MONTH(Gastos!$A$2:$A$2500)=EA$3)*(Gastos!$B$2:$B$2500=$A57)*(Gastos!$D$2:$D$2500))</f>
        <v>0</v>
      </c>
      <c r="EB57" s="75">
        <f t="array" ref="EB57">SUM((YEAR(Gastos!$A$2:$A$2500)=EB$1)*(MONTH(Gastos!$A$2:$A$2500)=EB$3)*(Gastos!$B$2:$B$2500=$A57)*(Gastos!$D$2:$D$2500))</f>
        <v>0</v>
      </c>
      <c r="EC57" s="75">
        <f t="array" ref="EC57">SUM((YEAR(Gastos!$A$2:$A$2500)=EC$1)*(MONTH(Gastos!$A$2:$A$2500)=EC$3)*(Gastos!$B$2:$B$2500=$A57)*(Gastos!$D$2:$D$2500))</f>
        <v>0</v>
      </c>
      <c r="ED57" s="75">
        <f t="array" ref="ED57">SUM((YEAR(Gastos!$A$2:$A$2500)=ED$1)*(MONTH(Gastos!$A$2:$A$2500)=ED$3)*(Gastos!$B$2:$B$2500=$A57)*(Gastos!$D$2:$D$2500))</f>
        <v>0</v>
      </c>
      <c r="EE57" s="75">
        <f t="array" ref="EE57">SUM((YEAR(Gastos!$A$2:$A$2500)=EE$1)*(MONTH(Gastos!$A$2:$A$2500)=EE$3)*(Gastos!$B$2:$B$2500=$A57)*(Gastos!$D$2:$D$2500))</f>
        <v>0</v>
      </c>
      <c r="EF57" s="75">
        <f t="array" ref="EF57">SUM((YEAR(Gastos!$A$2:$A$2500)=EF$1)*(MONTH(Gastos!$A$2:$A$2500)=EF$3)*(Gastos!$B$2:$B$2500=$A57)*(Gastos!$D$2:$D$2500))</f>
        <v>0</v>
      </c>
      <c r="EG57" s="75">
        <f t="array" ref="EG57">SUM((YEAR(Gastos!$A$2:$A$2500)=EG$1)*(MONTH(Gastos!$A$2:$A$2500)=EG$3)*(Gastos!$B$2:$B$2500=$A57)*(Gastos!$D$2:$D$2500))</f>
        <v>0</v>
      </c>
      <c r="EH57" s="75">
        <f t="array" ref="EH57">SUM((YEAR(Gastos!$A$2:$A$2500)=EH$1)*(MONTH(Gastos!$A$2:$A$2500)=EH$3)*(Gastos!$B$2:$B$2500=$A57)*(Gastos!$D$2:$D$2500))</f>
        <v>0</v>
      </c>
      <c r="EI57" s="75">
        <f t="array" ref="EI57">SUM((YEAR(Gastos!$A$2:$A$2500)=EI$1)*(MONTH(Gastos!$A$2:$A$2500)=EI$3)*(Gastos!$B$2:$B$2500=$A57)*(Gastos!$D$2:$D$2500))</f>
        <v>0</v>
      </c>
      <c r="EJ57" s="75">
        <f t="array" ref="EJ57">SUM((YEAR(Gastos!$A$2:$A$2500)=EJ$1)*(MONTH(Gastos!$A$2:$A$2500)=EJ$3)*(Gastos!$B$2:$B$2500=$A57)*(Gastos!$D$2:$D$2500))</f>
        <v>0</v>
      </c>
      <c r="EK57" s="75">
        <f t="array" ref="EK57">SUM((YEAR(Gastos!$A$2:$A$2500)=EK$1)*(MONTH(Gastos!$A$2:$A$2500)=EK$3)*(Gastos!$B$2:$B$2500=$A57)*(Gastos!$D$2:$D$2500))</f>
        <v>0</v>
      </c>
      <c r="EL57" s="75">
        <f t="array" ref="EL57">SUM((YEAR(Gastos!$A$2:$A$2500)=EL$1)*(MONTH(Gastos!$A$2:$A$2500)=EL$3)*(Gastos!$B$2:$B$2500=$A57)*(Gastos!$D$2:$D$2500))</f>
        <v>0</v>
      </c>
      <c r="EM57" s="75">
        <f t="array" ref="EM57">SUM((YEAR(Gastos!$A$2:$A$2500)=EM$1)*(MONTH(Gastos!$A$2:$A$2500)=EM$3)*(Gastos!$B$2:$B$2500=$A57)*(Gastos!$D$2:$D$2500))</f>
        <v>0</v>
      </c>
      <c r="EN57" s="75">
        <f t="array" ref="EN57">SUM((YEAR(Gastos!$A$2:$A$2500)=EN$1)*(MONTH(Gastos!$A$2:$A$2500)=EN$3)*(Gastos!$B$2:$B$2500=$A57)*(Gastos!$D$2:$D$2500))</f>
        <v>0</v>
      </c>
      <c r="EO57" s="75">
        <f t="array" ref="EO57">SUM((YEAR(Gastos!$A$2:$A$2500)=EO$1)*(MONTH(Gastos!$A$2:$A$2500)=EO$3)*(Gastos!$B$2:$B$2500=$A57)*(Gastos!$D$2:$D$2500))</f>
        <v>0</v>
      </c>
      <c r="EP57" s="75">
        <f t="array" ref="EP57">SUM((YEAR(Gastos!$A$2:$A$2500)=EP$1)*(MONTH(Gastos!$A$2:$A$2500)=EP$3)*(Gastos!$B$2:$B$2500=$A57)*(Gastos!$D$2:$D$2500))</f>
        <v>0</v>
      </c>
      <c r="EQ57" s="75">
        <f t="array" ref="EQ57">SUM((YEAR(Gastos!$A$2:$A$2500)=EQ$1)*(MONTH(Gastos!$A$2:$A$2500)=EQ$3)*(Gastos!$B$2:$B$2500=$A57)*(Gastos!$D$2:$D$2500))</f>
        <v>0</v>
      </c>
      <c r="ER57" s="75">
        <f t="array" ref="ER57">SUM((YEAR(Gastos!$A$2:$A$2500)=ER$1)*(MONTH(Gastos!$A$2:$A$2500)=ER$3)*(Gastos!$B$2:$B$2500=$A57)*(Gastos!$D$2:$D$2500))</f>
        <v>0</v>
      </c>
      <c r="ES57" s="75">
        <f t="array" ref="ES57">SUM((YEAR(Gastos!$A$2:$A$2500)=ES$1)*(MONTH(Gastos!$A$2:$A$2500)=ES$3)*(Gastos!$B$2:$B$2500=$A57)*(Gastos!$D$2:$D$2500))</f>
        <v>0</v>
      </c>
      <c r="ET57" s="75">
        <f t="array" ref="ET57">SUM((YEAR(Gastos!$A$2:$A$2500)=ET$1)*(MONTH(Gastos!$A$2:$A$2500)=ET$3)*(Gastos!$B$2:$B$2500=$A57)*(Gastos!$D$2:$D$2500))</f>
        <v>0</v>
      </c>
      <c r="EU57" s="75">
        <f t="array" ref="EU57">SUM((YEAR(Gastos!$A$2:$A$2500)=EU$1)*(MONTH(Gastos!$A$2:$A$2500)=EU$3)*(Gastos!$B$2:$B$2500=$A57)*(Gastos!$D$2:$D$2500))</f>
        <v>0</v>
      </c>
      <c r="EV57" s="75">
        <f t="array" ref="EV57">SUM((YEAR(Gastos!$A$2:$A$2500)=EV$1)*(MONTH(Gastos!$A$2:$A$2500)=EV$3)*(Gastos!$B$2:$B$2500=$A57)*(Gastos!$D$2:$D$2500))</f>
        <v>0</v>
      </c>
      <c r="EW57" s="75">
        <f t="array" ref="EW57">SUM((YEAR(Gastos!$A$2:$A$2500)=EW$1)*(MONTH(Gastos!$A$2:$A$2500)=EW$3)*(Gastos!$B$2:$B$2500=$A57)*(Gastos!$D$2:$D$2500))</f>
        <v>0</v>
      </c>
      <c r="EX57" s="75">
        <f t="array" ref="EX57">SUM((YEAR(Gastos!$A$2:$A$2500)=EX$1)*(MONTH(Gastos!$A$2:$A$2500)=EX$3)*(Gastos!$B$2:$B$2500=$A57)*(Gastos!$D$2:$D$2500))</f>
        <v>0</v>
      </c>
      <c r="EY57" s="75">
        <f t="array" ref="EY57">SUM((YEAR(Gastos!$A$2:$A$2500)=EY$1)*(MONTH(Gastos!$A$2:$A$2500)=EY$3)*(Gastos!$B$2:$B$2500=$A57)*(Gastos!$D$2:$D$2500))</f>
        <v>0</v>
      </c>
      <c r="EZ57" s="75">
        <f t="array" ref="EZ57">SUM((YEAR(Gastos!$A$2:$A$2500)=EZ$1)*(MONTH(Gastos!$A$2:$A$2500)=EZ$3)*(Gastos!$B$2:$B$2500=$A57)*(Gastos!$D$2:$D$2500))</f>
        <v>0</v>
      </c>
      <c r="FA57" s="75">
        <f t="array" ref="FA57">SUM((YEAR(Gastos!$A$2:$A$2500)=FA$1)*(MONTH(Gastos!$A$2:$A$2500)=FA$3)*(Gastos!$B$2:$B$2500=$A57)*(Gastos!$D$2:$D$2500))</f>
        <v>0</v>
      </c>
      <c r="FB57" s="75">
        <f t="array" ref="FB57">SUM((YEAR(Gastos!$A$2:$A$2500)=FB$1)*(MONTH(Gastos!$A$2:$A$2500)=FB$3)*(Gastos!$B$2:$B$2500=$A57)*(Gastos!$D$2:$D$2500))</f>
        <v>0</v>
      </c>
      <c r="FC57" s="75">
        <f t="array" ref="FC57">SUM((YEAR(Gastos!$A$2:$A$2500)=FC$1)*(MONTH(Gastos!$A$2:$A$2500)=FC$3)*(Gastos!$B$2:$B$2500=$A57)*(Gastos!$D$2:$D$2500))</f>
        <v>0</v>
      </c>
      <c r="FD57" s="75">
        <f t="array" ref="FD57">SUM((YEAR(Gastos!$A$2:$A$2500)=FD$1)*(MONTH(Gastos!$A$2:$A$2500)=FD$3)*(Gastos!$B$2:$B$2500=$A57)*(Gastos!$D$2:$D$2500))</f>
        <v>0</v>
      </c>
      <c r="FE57" s="75">
        <f t="array" ref="FE57">SUM((YEAR(Gastos!$A$2:$A$2500)=FE$1)*(MONTH(Gastos!$A$2:$A$2500)=FE$3)*(Gastos!$B$2:$B$2500=$A57)*(Gastos!$D$2:$D$2500))</f>
        <v>0</v>
      </c>
      <c r="FF57" s="75">
        <f t="array" ref="FF57">SUM((YEAR(Gastos!$A$2:$A$2500)=FF$1)*(MONTH(Gastos!$A$2:$A$2500)=FF$3)*(Gastos!$B$2:$B$2500=$A57)*(Gastos!$D$2:$D$2500))</f>
        <v>0</v>
      </c>
      <c r="FG57" s="75">
        <f t="array" ref="FG57">SUM((YEAR(Gastos!$A$2:$A$2500)=FG$1)*(MONTH(Gastos!$A$2:$A$2500)=FG$3)*(Gastos!$B$2:$B$2500=$A57)*(Gastos!$D$2:$D$2500))</f>
        <v>0</v>
      </c>
      <c r="FH57" s="75">
        <f t="array" ref="FH57">SUM((YEAR(Gastos!$A$2:$A$2500)=FH$1)*(MONTH(Gastos!$A$2:$A$2500)=FH$3)*(Gastos!$B$2:$B$2500=$A57)*(Gastos!$D$2:$D$2500))</f>
        <v>0</v>
      </c>
      <c r="FI57" s="75">
        <f t="array" ref="FI57">SUM((YEAR(Gastos!$A$2:$A$2500)=FI$1)*(MONTH(Gastos!$A$2:$A$2500)=FI$3)*(Gastos!$B$2:$B$2500=$A57)*(Gastos!$D$2:$D$2500))</f>
        <v>0</v>
      </c>
      <c r="FJ57" s="75">
        <f t="array" ref="FJ57">SUM((YEAR(Gastos!$A$2:$A$2500)=FJ$1)*(MONTH(Gastos!$A$2:$A$2500)=FJ$3)*(Gastos!$B$2:$B$2500=$A57)*(Gastos!$D$2:$D$2500))</f>
        <v>0</v>
      </c>
      <c r="FK57" s="75">
        <f t="array" ref="FK57">SUM((YEAR(Gastos!$A$2:$A$2500)=FK$1)*(MONTH(Gastos!$A$2:$A$2500)=FK$3)*(Gastos!$B$2:$B$2500=$A57)*(Gastos!$D$2:$D$2500))</f>
        <v>0</v>
      </c>
      <c r="FL57" s="75">
        <f t="array" ref="FL57">SUM((YEAR(Gastos!$A$2:$A$2500)=FL$1)*(MONTH(Gastos!$A$2:$A$2500)=FL$3)*(Gastos!$B$2:$B$2500=$A57)*(Gastos!$D$2:$D$2500))</f>
        <v>0</v>
      </c>
      <c r="FM57" s="75">
        <f t="array" ref="FM57">SUM((YEAR(Gastos!$A$2:$A$2500)=FM$1)*(MONTH(Gastos!$A$2:$A$2500)=FM$3)*(Gastos!$B$2:$B$2500=$A57)*(Gastos!$D$2:$D$2500))</f>
        <v>0</v>
      </c>
      <c r="FN57" s="75">
        <f t="array" ref="FN57">SUM((YEAR(Gastos!$A$2:$A$2500)=FN$1)*(MONTH(Gastos!$A$2:$A$2500)=FN$3)*(Gastos!$B$2:$B$2500=$A57)*(Gastos!$D$2:$D$2500))</f>
        <v>0</v>
      </c>
      <c r="FO57" s="75">
        <f t="array" ref="FO57">SUM((YEAR(Gastos!$A$2:$A$2500)=FO$1)*(MONTH(Gastos!$A$2:$A$2500)=FO$3)*(Gastos!$B$2:$B$2500=$A57)*(Gastos!$D$2:$D$2500))</f>
        <v>0</v>
      </c>
      <c r="FP57" s="75">
        <f t="array" ref="FP57">SUM((YEAR(Gastos!$A$2:$A$2500)=FP$1)*(MONTH(Gastos!$A$2:$A$2500)=FP$3)*(Gastos!$B$2:$B$2500=$A57)*(Gastos!$D$2:$D$2500))</f>
        <v>0</v>
      </c>
      <c r="FQ57" s="75">
        <f t="array" ref="FQ57">SUM((YEAR(Gastos!$A$2:$A$2500)=FQ$1)*(MONTH(Gastos!$A$2:$A$2500)=FQ$3)*(Gastos!$B$2:$B$2500=$A57)*(Gastos!$D$2:$D$2500))</f>
        <v>0</v>
      </c>
      <c r="FR57" s="75">
        <f t="array" ref="FR57">SUM((YEAR(Gastos!$A$2:$A$2500)=FR$1)*(MONTH(Gastos!$A$2:$A$2500)=FR$3)*(Gastos!$B$2:$B$2500=$A57)*(Gastos!$D$2:$D$2500))</f>
        <v>0</v>
      </c>
      <c r="FS57" s="75">
        <f t="array" ref="FS57">SUM((YEAR(Gastos!$A$2:$A$2500)=FS$1)*(MONTH(Gastos!$A$2:$A$2500)=FS$3)*(Gastos!$B$2:$B$2500=$A57)*(Gastos!$D$2:$D$2500))</f>
        <v>0</v>
      </c>
      <c r="FT57" s="75">
        <f t="array" ref="FT57">SUM((YEAR(Gastos!$A$2:$A$2500)=FT$1)*(MONTH(Gastos!$A$2:$A$2500)=FT$3)*(Gastos!$B$2:$B$2500=$A57)*(Gastos!$D$2:$D$2500))</f>
        <v>0</v>
      </c>
      <c r="FU57" s="75">
        <f t="array" ref="FU57">SUM((YEAR(Gastos!$A$2:$A$2500)=FU$1)*(MONTH(Gastos!$A$2:$A$2500)=FU$3)*(Gastos!$B$2:$B$2500=$A57)*(Gastos!$D$2:$D$2500))</f>
        <v>0</v>
      </c>
      <c r="FV57" s="75">
        <f t="array" ref="FV57">SUM((YEAR(Gastos!$A$2:$A$2500)=FV$1)*(MONTH(Gastos!$A$2:$A$2500)=FV$3)*(Gastos!$B$2:$B$2500=$A57)*(Gastos!$D$2:$D$2500))</f>
        <v>0</v>
      </c>
      <c r="FW57" s="75">
        <f t="array" ref="FW57">SUM((YEAR(Gastos!$A$2:$A$2500)=FW$1)*(MONTH(Gastos!$A$2:$A$2500)=FW$3)*(Gastos!$B$2:$B$2500=$A57)*(Gastos!$D$2:$D$2500))</f>
        <v>0</v>
      </c>
      <c r="FX57" s="75">
        <f t="array" ref="FX57">SUM((YEAR(Gastos!$A$2:$A$2500)=FX$1)*(MONTH(Gastos!$A$2:$A$2500)=FX$3)*(Gastos!$B$2:$B$2500=$A57)*(Gastos!$D$2:$D$2500))</f>
        <v>0</v>
      </c>
      <c r="FY57" s="75">
        <f t="array" ref="FY57">SUM((YEAR(Gastos!$A$2:$A$2500)=FY$1)*(MONTH(Gastos!$A$2:$A$2500)=FY$3)*(Gastos!$B$2:$B$2500=$A57)*(Gastos!$D$2:$D$2500))</f>
        <v>0</v>
      </c>
      <c r="FZ57" s="76">
        <f t="shared" si="65"/>
        <v>0</v>
      </c>
      <c r="GA57" s="80"/>
      <c r="GB57" s="82"/>
    </row>
    <row r="58" spans="1:191" ht="15" thickBot="1" x14ac:dyDescent="0.4">
      <c r="A58" s="74" t="str">
        <f>Gastos!AA56</f>
        <v>X</v>
      </c>
      <c r="B58" s="75">
        <f t="array" ref="B58">SUM((YEAR(Gastos!$A$2:$A$2500)=B$1)*(MONTH(Gastos!$A$2:$A$2500)=B$3)*(Gastos!$B$2:$B$2500=$A58)*(Gastos!$D$2:$D$2500))</f>
        <v>0</v>
      </c>
      <c r="C58" s="75">
        <f t="array" ref="C58">SUM((YEAR(Gastos!$A$2:$A$2500)=C$1)*(MONTH(Gastos!$A$2:$A$2500)=C$3)*(Gastos!$B$2:$B$2500=$A58)*(Gastos!$D$2:$D$2500))</f>
        <v>0</v>
      </c>
      <c r="D58" s="75">
        <f t="array" ref="D58">SUM((YEAR(Gastos!$A$2:$A$2500)=D$1)*(MONTH(Gastos!$A$2:$A$2500)=D$3)*(Gastos!$B$2:$B$2500=$A58)*(Gastos!$D$2:$D$2500))</f>
        <v>0</v>
      </c>
      <c r="E58" s="75">
        <f t="array" ref="E58">SUM((YEAR(Gastos!$A$2:$A$2500)=E$1)*(MONTH(Gastos!$A$2:$A$2500)=E$3)*(Gastos!$B$2:$B$2500=$A58)*(Gastos!$D$2:$D$2500))</f>
        <v>0</v>
      </c>
      <c r="F58" s="75">
        <f t="array" ref="F58">SUM((YEAR(Gastos!$A$2:$A$2500)=F$1)*(MONTH(Gastos!$A$2:$A$2500)=F$3)*(Gastos!$B$2:$B$2500=$A58)*(Gastos!$D$2:$D$2500))</f>
        <v>0</v>
      </c>
      <c r="G58" s="75">
        <f t="array" ref="G58">SUM((YEAR(Gastos!$A$2:$A$2500)=G$1)*(MONTH(Gastos!$A$2:$A$2500)=G$3)*(Gastos!$B$2:$B$2500=$A58)*(Gastos!$D$2:$D$2500))</f>
        <v>0</v>
      </c>
      <c r="H58" s="75">
        <f t="array" ref="H58">SUM((YEAR(Gastos!$A$2:$A$2500)=H$1)*(MONTH(Gastos!$A$2:$A$2500)=H$3)*(Gastos!$B$2:$B$2500=$A58)*(Gastos!$D$2:$D$2500))</f>
        <v>0</v>
      </c>
      <c r="I58" s="75">
        <f t="array" ref="I58">SUM((YEAR(Gastos!$A$2:$A$2500)=I$1)*(MONTH(Gastos!$A$2:$A$2500)=I$3)*(Gastos!$B$2:$B$2500=$A58)*(Gastos!$D$2:$D$2500))</f>
        <v>0</v>
      </c>
      <c r="J58" s="75">
        <f t="array" ref="J58">SUM((YEAR(Gastos!$A$2:$A$2500)=J$1)*(MONTH(Gastos!$A$2:$A$2500)=J$3)*(Gastos!$B$2:$B$2500=$A58)*(Gastos!$D$2:$D$2500))</f>
        <v>0</v>
      </c>
      <c r="K58" s="75">
        <f t="array" ref="K58">SUM((YEAR(Gastos!$A$2:$A$2500)=K$1)*(MONTH(Gastos!$A$2:$A$2500)=K$3)*(Gastos!$B$2:$B$2500=$A58)*(Gastos!$D$2:$D$2500))</f>
        <v>0</v>
      </c>
      <c r="L58" s="75">
        <f t="array" ref="L58">SUM((YEAR(Gastos!$A$2:$A$2500)=L$1)*(MONTH(Gastos!$A$2:$A$2500)=L$3)*(Gastos!$B$2:$B$2500=$A58)*(Gastos!$D$2:$D$2500))</f>
        <v>0</v>
      </c>
      <c r="M58" s="75">
        <f t="array" ref="M58">SUM((YEAR(Gastos!$A$2:$A$2500)=M$1)*(MONTH(Gastos!$A$2:$A$2500)=M$3)*(Gastos!$B$2:$B$2500=$A58)*(Gastos!$D$2:$D$2500))</f>
        <v>0</v>
      </c>
      <c r="N58" s="75">
        <f t="array" ref="N58">SUM((YEAR(Gastos!$A$2:$A$2500)=N$1)*(MONTH(Gastos!$A$2:$A$2500)=N$3)*(Gastos!$B$2:$B$2500=$A58)*(Gastos!$D$2:$D$2500))</f>
        <v>0</v>
      </c>
      <c r="O58" s="75">
        <f t="array" ref="O58">SUM((YEAR(Gastos!$A$2:$A$2500)=O$1)*(MONTH(Gastos!$A$2:$A$2500)=O$3)*(Gastos!$B$2:$B$2500=$A58)*(Gastos!$D$2:$D$2500))</f>
        <v>0</v>
      </c>
      <c r="P58" s="75">
        <f t="array" ref="P58">SUM((YEAR(Gastos!$A$2:$A$2500)=P$1)*(MONTH(Gastos!$A$2:$A$2500)=P$3)*(Gastos!$B$2:$B$2500=$A58)*(Gastos!$D$2:$D$2500))</f>
        <v>0</v>
      </c>
      <c r="Q58" s="75">
        <f t="array" ref="Q58">SUM((YEAR(Gastos!$A$2:$A$2500)=Q$1)*(MONTH(Gastos!$A$2:$A$2500)=Q$3)*(Gastos!$B$2:$B$2500=$A58)*(Gastos!$D$2:$D$2500))</f>
        <v>0</v>
      </c>
      <c r="R58" s="75">
        <f t="array" ref="R58">SUM((YEAR(Gastos!$A$2:$A$2500)=R$1)*(MONTH(Gastos!$A$2:$A$2500)=R$3)*(Gastos!$B$2:$B$2500=$A58)*(Gastos!$D$2:$D$2500))</f>
        <v>0</v>
      </c>
      <c r="S58" s="75">
        <f t="array" ref="S58">SUM((YEAR(Gastos!$A$2:$A$2500)=S$1)*(MONTH(Gastos!$A$2:$A$2500)=S$3)*(Gastos!$B$2:$B$2500=$A58)*(Gastos!$D$2:$D$2500))</f>
        <v>0</v>
      </c>
      <c r="T58" s="75">
        <f t="array" ref="T58">SUM((YEAR(Gastos!$A$2:$A$2500)=T$1)*(MONTH(Gastos!$A$2:$A$2500)=T$3)*(Gastos!$B$2:$B$2500=$A58)*(Gastos!$D$2:$D$2500))</f>
        <v>0</v>
      </c>
      <c r="U58" s="75">
        <f t="array" ref="U58">SUM((YEAR(Gastos!$A$2:$A$2500)=U$1)*(MONTH(Gastos!$A$2:$A$2500)=U$3)*(Gastos!$B$2:$B$2500=$A58)*(Gastos!$D$2:$D$2500))</f>
        <v>0</v>
      </c>
      <c r="V58" s="75">
        <f t="array" ref="V58">SUM((YEAR(Gastos!$A$2:$A$2500)=V$1)*(MONTH(Gastos!$A$2:$A$2500)=V$3)*(Gastos!$B$2:$B$2500=$A58)*(Gastos!$D$2:$D$2500))</f>
        <v>0</v>
      </c>
      <c r="W58" s="75">
        <f t="array" ref="W58">SUM((YEAR(Gastos!$A$2:$A$2500)=W$1)*(MONTH(Gastos!$A$2:$A$2500)=W$3)*(Gastos!$B$2:$B$2500=$A58)*(Gastos!$D$2:$D$2500))</f>
        <v>0</v>
      </c>
      <c r="X58" s="75">
        <f t="array" ref="X58">SUM((YEAR(Gastos!$A$2:$A$2500)=X$1)*(MONTH(Gastos!$A$2:$A$2500)=X$3)*(Gastos!$B$2:$B$2500=$A58)*(Gastos!$D$2:$D$2500))</f>
        <v>0</v>
      </c>
      <c r="Y58" s="75">
        <f t="array" ref="Y58">SUM((YEAR(Gastos!$A$2:$A$2500)=Y$1)*(MONTH(Gastos!$A$2:$A$2500)=Y$3)*(Gastos!$B$2:$B$2500=$A58)*(Gastos!$D$2:$D$2500))</f>
        <v>0</v>
      </c>
      <c r="Z58" s="75">
        <f t="array" ref="Z58">SUM((YEAR(Gastos!$A$2:$A$2500)=Z$1)*(MONTH(Gastos!$A$2:$A$2500)=Z$3)*(Gastos!$B$2:$B$2500=$A58)*(Gastos!$D$2:$D$2500))</f>
        <v>0</v>
      </c>
      <c r="AA58" s="75">
        <f t="array" ref="AA58">SUM((YEAR(Gastos!$A$2:$A$2500)=AA$1)*(MONTH(Gastos!$A$2:$A$2500)=AA$3)*(Gastos!$B$2:$B$2500=$A58)*(Gastos!$D$2:$D$2500))</f>
        <v>0</v>
      </c>
      <c r="AB58" s="75">
        <f t="array" ref="AB58">SUM((YEAR(Gastos!$A$2:$A$2500)=AB$1)*(MONTH(Gastos!$A$2:$A$2500)=AB$3)*(Gastos!$B$2:$B$2500=$A58)*(Gastos!$D$2:$D$2500))</f>
        <v>0</v>
      </c>
      <c r="AC58" s="75">
        <f t="array" ref="AC58">SUM((YEAR(Gastos!$A$2:$A$2500)=AC$1)*(MONTH(Gastos!$A$2:$A$2500)=AC$3)*(Gastos!$B$2:$B$2500=$A58)*(Gastos!$D$2:$D$2500))</f>
        <v>0</v>
      </c>
      <c r="AD58" s="75">
        <f t="array" ref="AD58">SUM((YEAR(Gastos!$A$2:$A$2500)=AD$1)*(MONTH(Gastos!$A$2:$A$2500)=AD$3)*(Gastos!$B$2:$B$2500=$A58)*(Gastos!$D$2:$D$2500))</f>
        <v>0</v>
      </c>
      <c r="AE58" s="75">
        <f t="array" ref="AE58">SUM((YEAR(Gastos!$A$2:$A$2500)=AE$1)*(MONTH(Gastos!$A$2:$A$2500)=AE$3)*(Gastos!$B$2:$B$2500=$A58)*(Gastos!$D$2:$D$2500))</f>
        <v>0</v>
      </c>
      <c r="AF58" s="75">
        <f t="array" ref="AF58">SUM((YEAR(Gastos!$A$2:$A$2500)=AF$1)*(MONTH(Gastos!$A$2:$A$2500)=AF$3)*(Gastos!$B$2:$B$2500=$A58)*(Gastos!$D$2:$D$2500))</f>
        <v>0</v>
      </c>
      <c r="AG58" s="75">
        <f t="array" ref="AG58">SUM((YEAR(Gastos!$A$2:$A$2500)=AG$1)*(MONTH(Gastos!$A$2:$A$2500)=AG$3)*(Gastos!$B$2:$B$2500=$A58)*(Gastos!$D$2:$D$2500))</f>
        <v>0</v>
      </c>
      <c r="AH58" s="75">
        <f t="array" ref="AH58">SUM((YEAR(Gastos!$A$2:$A$2500)=AH$1)*(MONTH(Gastos!$A$2:$A$2500)=AH$3)*(Gastos!$B$2:$B$2500=$A58)*(Gastos!$D$2:$D$2500))</f>
        <v>0</v>
      </c>
      <c r="AI58" s="75">
        <f t="array" ref="AI58">SUM((YEAR(Gastos!$A$2:$A$2500)=AI$1)*(MONTH(Gastos!$A$2:$A$2500)=AI$3)*(Gastos!$B$2:$B$2500=$A58)*(Gastos!$D$2:$D$2500))</f>
        <v>0</v>
      </c>
      <c r="AJ58" s="75">
        <f t="array" ref="AJ58">SUM((YEAR(Gastos!$A$2:$A$2500)=AJ$1)*(MONTH(Gastos!$A$2:$A$2500)=AJ$3)*(Gastos!$B$2:$B$2500=$A58)*(Gastos!$D$2:$D$2500))</f>
        <v>0</v>
      </c>
      <c r="AK58" s="75">
        <f t="array" ref="AK58">SUM((YEAR(Gastos!$A$2:$A$2500)=AK$1)*(MONTH(Gastos!$A$2:$A$2500)=AK$3)*(Gastos!$B$2:$B$2500=$A58)*(Gastos!$D$2:$D$2500))</f>
        <v>0</v>
      </c>
      <c r="AL58" s="75">
        <f t="array" ref="AL58">SUM((YEAR(Gastos!$A$2:$A$2500)=AL$1)*(MONTH(Gastos!$A$2:$A$2500)=AL$3)*(Gastos!$B$2:$B$2500=$A58)*(Gastos!$D$2:$D$2500))</f>
        <v>0</v>
      </c>
      <c r="AM58" s="75">
        <f t="array" ref="AM58">SUM((YEAR(Gastos!$A$2:$A$2500)=AM$1)*(MONTH(Gastos!$A$2:$A$2500)=AM$3)*(Gastos!$B$2:$B$2500=$A58)*(Gastos!$D$2:$D$2500))</f>
        <v>0</v>
      </c>
      <c r="AN58" s="75">
        <f t="array" ref="AN58">SUM((YEAR(Gastos!$A$2:$A$2500)=AN$1)*(MONTH(Gastos!$A$2:$A$2500)=AN$3)*(Gastos!$B$2:$B$2500=$A58)*(Gastos!$D$2:$D$2500))</f>
        <v>0</v>
      </c>
      <c r="AO58" s="75">
        <f t="array" ref="AO58">SUM((YEAR(Gastos!$A$2:$A$2500)=AO$1)*(MONTH(Gastos!$A$2:$A$2500)=AO$3)*(Gastos!$B$2:$B$2500=$A58)*(Gastos!$D$2:$D$2500))</f>
        <v>0</v>
      </c>
      <c r="AP58" s="75">
        <f t="array" ref="AP58">SUM((YEAR(Gastos!$A$2:$A$2500)=AP$1)*(MONTH(Gastos!$A$2:$A$2500)=AP$3)*(Gastos!$B$2:$B$2500=$A58)*(Gastos!$D$2:$D$2500))</f>
        <v>0</v>
      </c>
      <c r="AQ58" s="75">
        <f t="array" ref="AQ58">SUM((YEAR(Gastos!$A$2:$A$2500)=AQ$1)*(MONTH(Gastos!$A$2:$A$2500)=AQ$3)*(Gastos!$B$2:$B$2500=$A58)*(Gastos!$D$2:$D$2500))</f>
        <v>0</v>
      </c>
      <c r="AR58" s="75">
        <f t="array" ref="AR58">SUM((YEAR(Gastos!$A$2:$A$2500)=AR$1)*(MONTH(Gastos!$A$2:$A$2500)=AR$3)*(Gastos!$B$2:$B$2500=$A58)*(Gastos!$D$2:$D$2500))</f>
        <v>0</v>
      </c>
      <c r="AS58" s="75">
        <f t="array" ref="AS58">SUM((YEAR(Gastos!$A$2:$A$2500)=AS$1)*(MONTH(Gastos!$A$2:$A$2500)=AS$3)*(Gastos!$B$2:$B$2500=$A58)*(Gastos!$D$2:$D$2500))</f>
        <v>0</v>
      </c>
      <c r="AT58" s="75">
        <f t="array" ref="AT58">SUM((YEAR(Gastos!$A$2:$A$2500)=AT$1)*(MONTH(Gastos!$A$2:$A$2500)=AT$3)*(Gastos!$B$2:$B$2500=$A58)*(Gastos!$D$2:$D$2500))</f>
        <v>0</v>
      </c>
      <c r="AU58" s="75">
        <f t="array" ref="AU58">SUM((YEAR(Gastos!$A$2:$A$2500)=AU$1)*(MONTH(Gastos!$A$2:$A$2500)=AU$3)*(Gastos!$B$2:$B$2500=$A58)*(Gastos!$D$2:$D$2500))</f>
        <v>0</v>
      </c>
      <c r="AV58" s="75">
        <f t="array" ref="AV58">SUM((YEAR(Gastos!$A$2:$A$2500)=AV$1)*(MONTH(Gastos!$A$2:$A$2500)=AV$3)*(Gastos!$B$2:$B$2500=$A58)*(Gastos!$D$2:$D$2500))</f>
        <v>0</v>
      </c>
      <c r="AW58" s="75">
        <f t="array" ref="AW58">SUM((YEAR(Gastos!$A$2:$A$2500)=AW$1)*(MONTH(Gastos!$A$2:$A$2500)=AW$3)*(Gastos!$B$2:$B$2500=$A58)*(Gastos!$D$2:$D$2500))</f>
        <v>0</v>
      </c>
      <c r="AX58" s="75">
        <f t="array" ref="AX58">SUM((YEAR(Gastos!$A$2:$A$2500)=AX$1)*(MONTH(Gastos!$A$2:$A$2500)=AX$3)*(Gastos!$B$2:$B$2500=$A58)*(Gastos!$D$2:$D$2500))</f>
        <v>0</v>
      </c>
      <c r="AY58" s="75">
        <f t="array" ref="AY58">SUM((YEAR(Gastos!$A$2:$A$2500)=AY$1)*(MONTH(Gastos!$A$2:$A$2500)=AY$3)*(Gastos!$B$2:$B$2500=$A58)*(Gastos!$D$2:$D$2500))</f>
        <v>0</v>
      </c>
      <c r="AZ58" s="75">
        <f t="array" ref="AZ58">SUM((YEAR(Gastos!$A$2:$A$2500)=AZ$1)*(MONTH(Gastos!$A$2:$A$2500)=AZ$3)*(Gastos!$B$2:$B$2500=$A58)*(Gastos!$D$2:$D$2500))</f>
        <v>0</v>
      </c>
      <c r="BA58" s="75">
        <f t="array" ref="BA58">SUM((YEAR(Gastos!$A$2:$A$2500)=BA$1)*(MONTH(Gastos!$A$2:$A$2500)=BA$3)*(Gastos!$B$2:$B$2500=$A58)*(Gastos!$D$2:$D$2500))</f>
        <v>0</v>
      </c>
      <c r="BB58" s="75">
        <f t="array" ref="BB58">SUM((YEAR(Gastos!$A$2:$A$2500)=BB$1)*(MONTH(Gastos!$A$2:$A$2500)=BB$3)*(Gastos!$B$2:$B$2500=$A58)*(Gastos!$D$2:$D$2500))</f>
        <v>0</v>
      </c>
      <c r="BC58" s="75">
        <f t="array" ref="BC58">SUM((YEAR(Gastos!$A$2:$A$2500)=BC$1)*(MONTH(Gastos!$A$2:$A$2500)=BC$3)*(Gastos!$B$2:$B$2500=$A58)*(Gastos!$D$2:$D$2500))</f>
        <v>0</v>
      </c>
      <c r="BD58" s="75">
        <f t="array" ref="BD58">SUM((YEAR(Gastos!$A$2:$A$2500)=BD$1)*(MONTH(Gastos!$A$2:$A$2500)=BD$3)*(Gastos!$B$2:$B$2500=$A58)*(Gastos!$D$2:$D$2500))</f>
        <v>0</v>
      </c>
      <c r="BE58" s="75">
        <f t="array" ref="BE58">SUM((YEAR(Gastos!$A$2:$A$2500)=BE$1)*(MONTH(Gastos!$A$2:$A$2500)=BE$3)*(Gastos!$B$2:$B$2500=$A58)*(Gastos!$D$2:$D$2500))</f>
        <v>0</v>
      </c>
      <c r="BF58" s="75">
        <f t="array" ref="BF58">SUM((YEAR(Gastos!$A$2:$A$2500)=BF$1)*(MONTH(Gastos!$A$2:$A$2500)=BF$3)*(Gastos!$B$2:$B$2500=$A58)*(Gastos!$D$2:$D$2500))</f>
        <v>0</v>
      </c>
      <c r="BG58" s="75">
        <f t="array" ref="BG58">SUM((YEAR(Gastos!$A$2:$A$2500)=BG$1)*(MONTH(Gastos!$A$2:$A$2500)=BG$3)*(Gastos!$B$2:$B$2500=$A58)*(Gastos!$D$2:$D$2500))</f>
        <v>0</v>
      </c>
      <c r="BH58" s="75">
        <f t="array" ref="BH58">SUM((YEAR(Gastos!$A$2:$A$2500)=BH$1)*(MONTH(Gastos!$A$2:$A$2500)=BH$3)*(Gastos!$B$2:$B$2500=$A58)*(Gastos!$D$2:$D$2500))</f>
        <v>0</v>
      </c>
      <c r="BI58" s="75">
        <f t="array" ref="BI58">SUM((YEAR(Gastos!$A$2:$A$2500)=BI$1)*(MONTH(Gastos!$A$2:$A$2500)=BI$3)*(Gastos!$B$2:$B$2500=$A58)*(Gastos!$D$2:$D$2500))</f>
        <v>0</v>
      </c>
      <c r="BJ58" s="75">
        <f t="array" ref="BJ58">SUM((YEAR(Gastos!$A$2:$A$2500)=BJ$1)*(MONTH(Gastos!$A$2:$A$2500)=BJ$3)*(Gastos!$B$2:$B$2500=$A58)*(Gastos!$D$2:$D$2500))</f>
        <v>0</v>
      </c>
      <c r="BK58" s="75">
        <f t="array" ref="BK58">SUM((YEAR(Gastos!$A$2:$A$2500)=BK$1)*(MONTH(Gastos!$A$2:$A$2500)=BK$3)*(Gastos!$B$2:$B$2500=$A58)*(Gastos!$D$2:$D$2500))</f>
        <v>0</v>
      </c>
      <c r="BL58" s="75">
        <f t="array" ref="BL58">SUM((YEAR(Gastos!$A$2:$A$2500)=BL$1)*(MONTH(Gastos!$A$2:$A$2500)=BL$3)*(Gastos!$B$2:$B$2500=$A58)*(Gastos!$D$2:$D$2500))</f>
        <v>0</v>
      </c>
      <c r="BM58" s="75">
        <f t="array" ref="BM58">SUM((YEAR(Gastos!$A$2:$A$2500)=BM$1)*(MONTH(Gastos!$A$2:$A$2500)=BM$3)*(Gastos!$B$2:$B$2500=$A58)*(Gastos!$D$2:$D$2500))</f>
        <v>0</v>
      </c>
      <c r="BN58" s="75">
        <f t="array" ref="BN58">SUM((YEAR(Gastos!$A$2:$A$2500)=BN$1)*(MONTH(Gastos!$A$2:$A$2500)=BN$3)*(Gastos!$B$2:$B$2500=$A58)*(Gastos!$D$2:$D$2500))</f>
        <v>0</v>
      </c>
      <c r="BO58" s="75">
        <f t="array" ref="BO58">SUM((YEAR(Gastos!$A$2:$A$2500)=BO$1)*(MONTH(Gastos!$A$2:$A$2500)=BO$3)*(Gastos!$B$2:$B$2500=$A58)*(Gastos!$D$2:$D$2500))</f>
        <v>0</v>
      </c>
      <c r="BP58" s="75">
        <f t="array" ref="BP58">SUM((YEAR(Gastos!$A$2:$A$2500)=BP$1)*(MONTH(Gastos!$A$2:$A$2500)=BP$3)*(Gastos!$B$2:$B$2500=$A58)*(Gastos!$D$2:$D$2500))</f>
        <v>0</v>
      </c>
      <c r="BQ58" s="75">
        <f t="array" ref="BQ58">SUM((YEAR(Gastos!$A$2:$A$2500)=BQ$1)*(MONTH(Gastos!$A$2:$A$2500)=BQ$3)*(Gastos!$B$2:$B$2500=$A58)*(Gastos!$D$2:$D$2500))</f>
        <v>0</v>
      </c>
      <c r="BR58" s="75">
        <f t="array" ref="BR58">SUM((YEAR(Gastos!$A$2:$A$2500)=BR$1)*(MONTH(Gastos!$A$2:$A$2500)=BR$3)*(Gastos!$B$2:$B$2500=$A58)*(Gastos!$D$2:$D$2500))</f>
        <v>0</v>
      </c>
      <c r="BS58" s="75">
        <f t="array" ref="BS58">SUM((YEAR(Gastos!$A$2:$A$2500)=BS$1)*(MONTH(Gastos!$A$2:$A$2500)=BS$3)*(Gastos!$B$2:$B$2500=$A58)*(Gastos!$D$2:$D$2500))</f>
        <v>0</v>
      </c>
      <c r="BT58" s="75">
        <f t="array" ref="BT58">SUM((YEAR(Gastos!$A$2:$A$2500)=BT$1)*(MONTH(Gastos!$A$2:$A$2500)=BT$3)*(Gastos!$B$2:$B$2500=$A58)*(Gastos!$D$2:$D$2500))</f>
        <v>0</v>
      </c>
      <c r="BU58" s="75">
        <f t="array" ref="BU58">SUM((YEAR(Gastos!$A$2:$A$2500)=BU$1)*(MONTH(Gastos!$A$2:$A$2500)=BU$3)*(Gastos!$B$2:$B$2500=$A58)*(Gastos!$D$2:$D$2500))</f>
        <v>0</v>
      </c>
      <c r="BV58" s="75">
        <f t="array" ref="BV58">SUM((YEAR(Gastos!$A$2:$A$2500)=BV$1)*(MONTH(Gastos!$A$2:$A$2500)=BV$3)*(Gastos!$B$2:$B$2500=$A58)*(Gastos!$D$2:$D$2500))</f>
        <v>0</v>
      </c>
      <c r="BW58" s="75">
        <f t="array" ref="BW58">SUM((YEAR(Gastos!$A$2:$A$2500)=BW$1)*(MONTH(Gastos!$A$2:$A$2500)=BW$3)*(Gastos!$B$2:$B$2500=$A58)*(Gastos!$D$2:$D$2500))</f>
        <v>0</v>
      </c>
      <c r="BX58" s="75">
        <f t="array" ref="BX58">SUM((YEAR(Gastos!$A$2:$A$2500)=BX$1)*(MONTH(Gastos!$A$2:$A$2500)=BX$3)*(Gastos!$B$2:$B$2500=$A58)*(Gastos!$D$2:$D$2500))</f>
        <v>0</v>
      </c>
      <c r="BY58" s="75">
        <f t="array" ref="BY58">SUM((YEAR(Gastos!$A$2:$A$2500)=BY$1)*(MONTH(Gastos!$A$2:$A$2500)=BY$3)*(Gastos!$B$2:$B$2500=$A58)*(Gastos!$D$2:$D$2500))</f>
        <v>0</v>
      </c>
      <c r="BZ58" s="75">
        <f t="array" ref="BZ58">SUM((YEAR(Gastos!$A$2:$A$2500)=BZ$1)*(MONTH(Gastos!$A$2:$A$2500)=BZ$3)*(Gastos!$B$2:$B$2500=$A58)*(Gastos!$D$2:$D$2500))</f>
        <v>0</v>
      </c>
      <c r="CA58" s="75">
        <f t="array" ref="CA58">SUM((YEAR(Gastos!$A$2:$A$2500)=CA$1)*(MONTH(Gastos!$A$2:$A$2500)=CA$3)*(Gastos!$B$2:$B$2500=$A58)*(Gastos!$D$2:$D$2500))</f>
        <v>0</v>
      </c>
      <c r="CB58" s="75">
        <f t="array" ref="CB58">SUM((YEAR(Gastos!$A$2:$A$2500)=CB$1)*(MONTH(Gastos!$A$2:$A$2500)=CB$3)*(Gastos!$B$2:$B$2500=$A58)*(Gastos!$D$2:$D$2500))</f>
        <v>0</v>
      </c>
      <c r="CC58" s="75">
        <f t="array" ref="CC58">SUM((YEAR(Gastos!$A$2:$A$2500)=CC$1)*(MONTH(Gastos!$A$2:$A$2500)=CC$3)*(Gastos!$B$2:$B$2500=$A58)*(Gastos!$D$2:$D$2500))</f>
        <v>0</v>
      </c>
      <c r="CD58" s="75">
        <f t="array" ref="CD58">SUM((YEAR(Gastos!$A$2:$A$2500)=CD$1)*(MONTH(Gastos!$A$2:$A$2500)=CD$3)*(Gastos!$B$2:$B$2500=$A58)*(Gastos!$D$2:$D$2500))</f>
        <v>0</v>
      </c>
      <c r="CE58" s="75">
        <f t="array" ref="CE58">SUM((YEAR(Gastos!$A$2:$A$2500)=CE$1)*(MONTH(Gastos!$A$2:$A$2500)=CE$3)*(Gastos!$B$2:$B$2500=$A58)*(Gastos!$D$2:$D$2500))</f>
        <v>0</v>
      </c>
      <c r="CF58" s="75">
        <f t="array" ref="CF58">SUM((YEAR(Gastos!$A$2:$A$2500)=CF$1)*(MONTH(Gastos!$A$2:$A$2500)=CF$3)*(Gastos!$B$2:$B$2500=$A58)*(Gastos!$D$2:$D$2500))</f>
        <v>0</v>
      </c>
      <c r="CG58" s="75">
        <f t="array" ref="CG58">SUM((YEAR(Gastos!$A$2:$A$2500)=CG$1)*(MONTH(Gastos!$A$2:$A$2500)=CG$3)*(Gastos!$B$2:$B$2500=$A58)*(Gastos!$D$2:$D$2500))</f>
        <v>0</v>
      </c>
      <c r="CH58" s="75">
        <f t="array" ref="CH58">SUM((YEAR(Gastos!$A$2:$A$2500)=CH$1)*(MONTH(Gastos!$A$2:$A$2500)=CH$3)*(Gastos!$B$2:$B$2500=$A58)*(Gastos!$D$2:$D$2500))</f>
        <v>0</v>
      </c>
      <c r="CI58" s="75">
        <f t="array" ref="CI58">SUM((YEAR(Gastos!$A$2:$A$2500)=CI$1)*(MONTH(Gastos!$A$2:$A$2500)=CI$3)*(Gastos!$B$2:$B$2500=$A58)*(Gastos!$D$2:$D$2500))</f>
        <v>0</v>
      </c>
      <c r="CJ58" s="75">
        <f t="array" ref="CJ58">SUM((YEAR(Gastos!$A$2:$A$2500)=CJ$1)*(MONTH(Gastos!$A$2:$A$2500)=CJ$3)*(Gastos!$B$2:$B$2500=$A58)*(Gastos!$D$2:$D$2500))</f>
        <v>0</v>
      </c>
      <c r="CK58" s="75">
        <f t="array" ref="CK58">SUM((YEAR(Gastos!$A$2:$A$2500)=CK$1)*(MONTH(Gastos!$A$2:$A$2500)=CK$3)*(Gastos!$B$2:$B$2500=$A58)*(Gastos!$D$2:$D$2500))</f>
        <v>0</v>
      </c>
      <c r="CL58" s="75">
        <f t="array" ref="CL58">SUM((YEAR(Gastos!$A$2:$A$2500)=CL$1)*(MONTH(Gastos!$A$2:$A$2500)=CL$3)*(Gastos!$B$2:$B$2500=$A58)*(Gastos!$D$2:$D$2500))</f>
        <v>0</v>
      </c>
      <c r="CM58" s="75">
        <f t="array" ref="CM58">SUM((YEAR(Gastos!$A$2:$A$2500)=CM$1)*(MONTH(Gastos!$A$2:$A$2500)=CM$3)*(Gastos!$B$2:$B$2500=$A58)*(Gastos!$D$2:$D$2500))</f>
        <v>0</v>
      </c>
      <c r="CN58" s="75">
        <f t="array" ref="CN58">SUM((YEAR(Gastos!$A$2:$A$2500)=CN$1)*(MONTH(Gastos!$A$2:$A$2500)=CN$3)*(Gastos!$B$2:$B$2500=$A58)*(Gastos!$D$2:$D$2500))</f>
        <v>0</v>
      </c>
      <c r="CO58" s="75">
        <f t="array" ref="CO58">SUM((YEAR(Gastos!$A$2:$A$2500)=CO$1)*(MONTH(Gastos!$A$2:$A$2500)=CO$3)*(Gastos!$B$2:$B$2500=$A58)*(Gastos!$D$2:$D$2500))</f>
        <v>0</v>
      </c>
      <c r="CP58" s="75">
        <f t="array" ref="CP58">SUM((YEAR(Gastos!$A$2:$A$2500)=CP$1)*(MONTH(Gastos!$A$2:$A$2500)=CP$3)*(Gastos!$B$2:$B$2500=$A58)*(Gastos!$D$2:$D$2500))</f>
        <v>0</v>
      </c>
      <c r="CQ58" s="75">
        <f t="array" ref="CQ58">SUM((YEAR(Gastos!$A$2:$A$2500)=CQ$1)*(MONTH(Gastos!$A$2:$A$2500)=CQ$3)*(Gastos!$B$2:$B$2500=$A58)*(Gastos!$D$2:$D$2500))</f>
        <v>0</v>
      </c>
      <c r="CR58" s="75">
        <f t="array" ref="CR58">SUM((YEAR(Gastos!$A$2:$A$2500)=CR$1)*(MONTH(Gastos!$A$2:$A$2500)=CR$3)*(Gastos!$B$2:$B$2500=$A58)*(Gastos!$D$2:$D$2500))</f>
        <v>0</v>
      </c>
      <c r="CS58" s="75">
        <f t="array" ref="CS58">SUM((YEAR(Gastos!$A$2:$A$2500)=CS$1)*(MONTH(Gastos!$A$2:$A$2500)=CS$3)*(Gastos!$B$2:$B$2500=$A58)*(Gastos!$D$2:$D$2500))</f>
        <v>0</v>
      </c>
      <c r="CT58" s="75">
        <f t="array" ref="CT58">SUM((YEAR(Gastos!$A$2:$A$2500)=CT$1)*(MONTH(Gastos!$A$2:$A$2500)=CT$3)*(Gastos!$B$2:$B$2500=$A58)*(Gastos!$D$2:$D$2500))</f>
        <v>0</v>
      </c>
      <c r="CU58" s="75">
        <f t="array" ref="CU58">SUM((YEAR(Gastos!$A$2:$A$2500)=CU$1)*(MONTH(Gastos!$A$2:$A$2500)=CU$3)*(Gastos!$B$2:$B$2500=$A58)*(Gastos!$D$2:$D$2500))</f>
        <v>0</v>
      </c>
      <c r="CV58" s="75">
        <f t="array" ref="CV58">SUM((YEAR(Gastos!$A$2:$A$2500)=CV$1)*(MONTH(Gastos!$A$2:$A$2500)=CV$3)*(Gastos!$B$2:$B$2500=$A58)*(Gastos!$D$2:$D$2500))</f>
        <v>0</v>
      </c>
      <c r="CW58" s="75">
        <f t="array" ref="CW58">SUM((YEAR(Gastos!$A$2:$A$2500)=CW$1)*(MONTH(Gastos!$A$2:$A$2500)=CW$3)*(Gastos!$B$2:$B$2500=$A58)*(Gastos!$D$2:$D$2500))</f>
        <v>0</v>
      </c>
      <c r="CX58" s="75">
        <f t="array" ref="CX58">SUM((YEAR(Gastos!$A$2:$A$2500)=CX$1)*(MONTH(Gastos!$A$2:$A$2500)=CX$3)*(Gastos!$B$2:$B$2500=$A58)*(Gastos!$D$2:$D$2500))</f>
        <v>0</v>
      </c>
      <c r="CY58" s="75">
        <f t="array" ref="CY58">SUM((YEAR(Gastos!$A$2:$A$2500)=CY$1)*(MONTH(Gastos!$A$2:$A$2500)=CY$3)*(Gastos!$B$2:$B$2500=$A58)*(Gastos!$D$2:$D$2500))</f>
        <v>0</v>
      </c>
      <c r="CZ58" s="75">
        <f t="array" ref="CZ58">SUM((YEAR(Gastos!$A$2:$A$2500)=CZ$1)*(MONTH(Gastos!$A$2:$A$2500)=CZ$3)*(Gastos!$B$2:$B$2500=$A58)*(Gastos!$D$2:$D$2500))</f>
        <v>0</v>
      </c>
      <c r="DA58" s="75">
        <f t="array" ref="DA58">SUM((YEAR(Gastos!$A$2:$A$2500)=DA$1)*(MONTH(Gastos!$A$2:$A$2500)=DA$3)*(Gastos!$B$2:$B$2500=$A58)*(Gastos!$D$2:$D$2500))</f>
        <v>0</v>
      </c>
      <c r="DB58" s="75">
        <f t="array" ref="DB58">SUM((YEAR(Gastos!$A$2:$A$2500)=DB$1)*(MONTH(Gastos!$A$2:$A$2500)=DB$3)*(Gastos!$B$2:$B$2500=$A58)*(Gastos!$D$2:$D$2500))</f>
        <v>0</v>
      </c>
      <c r="DC58" s="75">
        <f t="array" ref="DC58">SUM((YEAR(Gastos!$A$2:$A$2500)=DC$1)*(MONTH(Gastos!$A$2:$A$2500)=DC$3)*(Gastos!$B$2:$B$2500=$A58)*(Gastos!$D$2:$D$2500))</f>
        <v>0</v>
      </c>
      <c r="DD58" s="75">
        <f t="array" ref="DD58">SUM((YEAR(Gastos!$A$2:$A$2500)=DD$1)*(MONTH(Gastos!$A$2:$A$2500)=DD$3)*(Gastos!$B$2:$B$2500=$A58)*(Gastos!$D$2:$D$2500))</f>
        <v>0</v>
      </c>
      <c r="DE58" s="75">
        <f t="array" ref="DE58">SUM((YEAR(Gastos!$A$2:$A$2500)=DE$1)*(MONTH(Gastos!$A$2:$A$2500)=DE$3)*(Gastos!$B$2:$B$2500=$A58)*(Gastos!$D$2:$D$2500))</f>
        <v>0</v>
      </c>
      <c r="DF58" s="75">
        <f t="array" ref="DF58">SUM((YEAR(Gastos!$A$2:$A$2500)=DF$1)*(MONTH(Gastos!$A$2:$A$2500)=DF$3)*(Gastos!$B$2:$B$2500=$A58)*(Gastos!$D$2:$D$2500))</f>
        <v>0</v>
      </c>
      <c r="DG58" s="75">
        <f t="array" ref="DG58">SUM((YEAR(Gastos!$A$2:$A$2500)=DG$1)*(MONTH(Gastos!$A$2:$A$2500)=DG$3)*(Gastos!$B$2:$B$2500=$A58)*(Gastos!$D$2:$D$2500))</f>
        <v>0</v>
      </c>
      <c r="DH58" s="75">
        <f t="array" ref="DH58">SUM((YEAR(Gastos!$A$2:$A$2500)=DH$1)*(MONTH(Gastos!$A$2:$A$2500)=DH$3)*(Gastos!$B$2:$B$2500=$A58)*(Gastos!$D$2:$D$2500))</f>
        <v>0</v>
      </c>
      <c r="DI58" s="75">
        <f t="array" ref="DI58">SUM((YEAR(Gastos!$A$2:$A$2500)=DI$1)*(MONTH(Gastos!$A$2:$A$2500)=DI$3)*(Gastos!$B$2:$B$2500=$A58)*(Gastos!$D$2:$D$2500))</f>
        <v>0</v>
      </c>
      <c r="DJ58" s="75">
        <f t="array" ref="DJ58">SUM((YEAR(Gastos!$A$2:$A$2500)=DJ$1)*(MONTH(Gastos!$A$2:$A$2500)=DJ$3)*(Gastos!$B$2:$B$2500=$A58)*(Gastos!$D$2:$D$2500))</f>
        <v>0</v>
      </c>
      <c r="DK58" s="75">
        <f t="array" ref="DK58">SUM((YEAR(Gastos!$A$2:$A$2500)=DK$1)*(MONTH(Gastos!$A$2:$A$2500)=DK$3)*(Gastos!$B$2:$B$2500=$A58)*(Gastos!$D$2:$D$2500))</f>
        <v>0</v>
      </c>
      <c r="DL58" s="75">
        <f t="array" ref="DL58">SUM((YEAR(Gastos!$A$2:$A$2500)=DL$1)*(MONTH(Gastos!$A$2:$A$2500)=DL$3)*(Gastos!$B$2:$B$2500=$A58)*(Gastos!$D$2:$D$2500))</f>
        <v>0</v>
      </c>
      <c r="DM58" s="75">
        <f t="array" ref="DM58">SUM((YEAR(Gastos!$A$2:$A$2500)=DM$1)*(MONTH(Gastos!$A$2:$A$2500)=DM$3)*(Gastos!$B$2:$B$2500=$A58)*(Gastos!$D$2:$D$2500))</f>
        <v>0</v>
      </c>
      <c r="DN58" s="75">
        <f t="array" ref="DN58">SUM((YEAR(Gastos!$A$2:$A$2500)=DN$1)*(MONTH(Gastos!$A$2:$A$2500)=DN$3)*(Gastos!$B$2:$B$2500=$A58)*(Gastos!$D$2:$D$2500))</f>
        <v>0</v>
      </c>
      <c r="DO58" s="75">
        <f t="array" ref="DO58">SUM((YEAR(Gastos!$A$2:$A$2500)=DO$1)*(MONTH(Gastos!$A$2:$A$2500)=DO$3)*(Gastos!$B$2:$B$2500=$A58)*(Gastos!$D$2:$D$2500))</f>
        <v>0</v>
      </c>
      <c r="DP58" s="75">
        <f t="array" ref="DP58">SUM((YEAR(Gastos!$A$2:$A$2500)=DP$1)*(MONTH(Gastos!$A$2:$A$2500)=DP$3)*(Gastos!$B$2:$B$2500=$A58)*(Gastos!$D$2:$D$2500))</f>
        <v>0</v>
      </c>
      <c r="DQ58" s="75">
        <f t="array" ref="DQ58">SUM((YEAR(Gastos!$A$2:$A$2500)=DQ$1)*(MONTH(Gastos!$A$2:$A$2500)=DQ$3)*(Gastos!$B$2:$B$2500=$A58)*(Gastos!$D$2:$D$2500))</f>
        <v>0</v>
      </c>
      <c r="DR58" s="75">
        <f t="array" ref="DR58">SUM((YEAR(Gastos!$A$2:$A$2500)=DR$1)*(MONTH(Gastos!$A$2:$A$2500)=DR$3)*(Gastos!$B$2:$B$2500=$A58)*(Gastos!$D$2:$D$2500))</f>
        <v>0</v>
      </c>
      <c r="DS58" s="75">
        <f t="array" ref="DS58">SUM((YEAR(Gastos!$A$2:$A$2500)=DS$1)*(MONTH(Gastos!$A$2:$A$2500)=DS$3)*(Gastos!$B$2:$B$2500=$A58)*(Gastos!$D$2:$D$2500))</f>
        <v>0</v>
      </c>
      <c r="DT58" s="75">
        <f t="array" ref="DT58">SUM((YEAR(Gastos!$A$2:$A$2500)=DT$1)*(MONTH(Gastos!$A$2:$A$2500)=DT$3)*(Gastos!$B$2:$B$2500=$A58)*(Gastos!$D$2:$D$2500))</f>
        <v>0</v>
      </c>
      <c r="DU58" s="75">
        <f t="array" ref="DU58">SUM((YEAR(Gastos!$A$2:$A$2500)=DU$1)*(MONTH(Gastos!$A$2:$A$2500)=DU$3)*(Gastos!$B$2:$B$2500=$A58)*(Gastos!$D$2:$D$2500))</f>
        <v>0</v>
      </c>
      <c r="DV58" s="75">
        <f t="array" ref="DV58">SUM((YEAR(Gastos!$A$2:$A$2500)=DV$1)*(MONTH(Gastos!$A$2:$A$2500)=DV$3)*(Gastos!$B$2:$B$2500=$A58)*(Gastos!$D$2:$D$2500))</f>
        <v>0</v>
      </c>
      <c r="DW58" s="75">
        <f t="array" ref="DW58">SUM((YEAR(Gastos!$A$2:$A$2500)=DW$1)*(MONTH(Gastos!$A$2:$A$2500)=DW$3)*(Gastos!$B$2:$B$2500=$A58)*(Gastos!$D$2:$D$2500))</f>
        <v>0</v>
      </c>
      <c r="DX58" s="75">
        <f t="array" ref="DX58">SUM((YEAR(Gastos!$A$2:$A$2500)=DX$1)*(MONTH(Gastos!$A$2:$A$2500)=DX$3)*(Gastos!$B$2:$B$2500=$A58)*(Gastos!$D$2:$D$2500))</f>
        <v>0</v>
      </c>
      <c r="DY58" s="75">
        <f t="array" ref="DY58">SUM((YEAR(Gastos!$A$2:$A$2500)=DY$1)*(MONTH(Gastos!$A$2:$A$2500)=DY$3)*(Gastos!$B$2:$B$2500=$A58)*(Gastos!$D$2:$D$2500))</f>
        <v>0</v>
      </c>
      <c r="DZ58" s="75">
        <f t="array" ref="DZ58">SUM((YEAR(Gastos!$A$2:$A$2500)=DZ$1)*(MONTH(Gastos!$A$2:$A$2500)=DZ$3)*(Gastos!$B$2:$B$2500=$A58)*(Gastos!$D$2:$D$2500))</f>
        <v>0</v>
      </c>
      <c r="EA58" s="75">
        <f t="array" ref="EA58">SUM((YEAR(Gastos!$A$2:$A$2500)=EA$1)*(MONTH(Gastos!$A$2:$A$2500)=EA$3)*(Gastos!$B$2:$B$2500=$A58)*(Gastos!$D$2:$D$2500))</f>
        <v>0</v>
      </c>
      <c r="EB58" s="75">
        <f t="array" ref="EB58">SUM((YEAR(Gastos!$A$2:$A$2500)=EB$1)*(MONTH(Gastos!$A$2:$A$2500)=EB$3)*(Gastos!$B$2:$B$2500=$A58)*(Gastos!$D$2:$D$2500))</f>
        <v>0</v>
      </c>
      <c r="EC58" s="75">
        <f t="array" ref="EC58">SUM((YEAR(Gastos!$A$2:$A$2500)=EC$1)*(MONTH(Gastos!$A$2:$A$2500)=EC$3)*(Gastos!$B$2:$B$2500=$A58)*(Gastos!$D$2:$D$2500))</f>
        <v>0</v>
      </c>
      <c r="ED58" s="75">
        <f t="array" ref="ED58">SUM((YEAR(Gastos!$A$2:$A$2500)=ED$1)*(MONTH(Gastos!$A$2:$A$2500)=ED$3)*(Gastos!$B$2:$B$2500=$A58)*(Gastos!$D$2:$D$2500))</f>
        <v>0</v>
      </c>
      <c r="EE58" s="75">
        <f t="array" ref="EE58">SUM((YEAR(Gastos!$A$2:$A$2500)=EE$1)*(MONTH(Gastos!$A$2:$A$2500)=EE$3)*(Gastos!$B$2:$B$2500=$A58)*(Gastos!$D$2:$D$2500))</f>
        <v>0</v>
      </c>
      <c r="EF58" s="75">
        <f t="array" ref="EF58">SUM((YEAR(Gastos!$A$2:$A$2500)=EF$1)*(MONTH(Gastos!$A$2:$A$2500)=EF$3)*(Gastos!$B$2:$B$2500=$A58)*(Gastos!$D$2:$D$2500))</f>
        <v>0</v>
      </c>
      <c r="EG58" s="75">
        <f t="array" ref="EG58">SUM((YEAR(Gastos!$A$2:$A$2500)=EG$1)*(MONTH(Gastos!$A$2:$A$2500)=EG$3)*(Gastos!$B$2:$B$2500=$A58)*(Gastos!$D$2:$D$2500))</f>
        <v>0</v>
      </c>
      <c r="EH58" s="75">
        <f t="array" ref="EH58">SUM((YEAR(Gastos!$A$2:$A$2500)=EH$1)*(MONTH(Gastos!$A$2:$A$2500)=EH$3)*(Gastos!$B$2:$B$2500=$A58)*(Gastos!$D$2:$D$2500))</f>
        <v>0</v>
      </c>
      <c r="EI58" s="75">
        <f t="array" ref="EI58">SUM((YEAR(Gastos!$A$2:$A$2500)=EI$1)*(MONTH(Gastos!$A$2:$A$2500)=EI$3)*(Gastos!$B$2:$B$2500=$A58)*(Gastos!$D$2:$D$2500))</f>
        <v>0</v>
      </c>
      <c r="EJ58" s="75">
        <f t="array" ref="EJ58">SUM((YEAR(Gastos!$A$2:$A$2500)=EJ$1)*(MONTH(Gastos!$A$2:$A$2500)=EJ$3)*(Gastos!$B$2:$B$2500=$A58)*(Gastos!$D$2:$D$2500))</f>
        <v>0</v>
      </c>
      <c r="EK58" s="75">
        <f t="array" ref="EK58">SUM((YEAR(Gastos!$A$2:$A$2500)=EK$1)*(MONTH(Gastos!$A$2:$A$2500)=EK$3)*(Gastos!$B$2:$B$2500=$A58)*(Gastos!$D$2:$D$2500))</f>
        <v>0</v>
      </c>
      <c r="EL58" s="75">
        <f t="array" ref="EL58">SUM((YEAR(Gastos!$A$2:$A$2500)=EL$1)*(MONTH(Gastos!$A$2:$A$2500)=EL$3)*(Gastos!$B$2:$B$2500=$A58)*(Gastos!$D$2:$D$2500))</f>
        <v>0</v>
      </c>
      <c r="EM58" s="75">
        <f t="array" ref="EM58">SUM((YEAR(Gastos!$A$2:$A$2500)=EM$1)*(MONTH(Gastos!$A$2:$A$2500)=EM$3)*(Gastos!$B$2:$B$2500=$A58)*(Gastos!$D$2:$D$2500))</f>
        <v>0</v>
      </c>
      <c r="EN58" s="75">
        <f t="array" ref="EN58">SUM((YEAR(Gastos!$A$2:$A$2500)=EN$1)*(MONTH(Gastos!$A$2:$A$2500)=EN$3)*(Gastos!$B$2:$B$2500=$A58)*(Gastos!$D$2:$D$2500))</f>
        <v>0</v>
      </c>
      <c r="EO58" s="75">
        <f t="array" ref="EO58">SUM((YEAR(Gastos!$A$2:$A$2500)=EO$1)*(MONTH(Gastos!$A$2:$A$2500)=EO$3)*(Gastos!$B$2:$B$2500=$A58)*(Gastos!$D$2:$D$2500))</f>
        <v>0</v>
      </c>
      <c r="EP58" s="75">
        <f t="array" ref="EP58">SUM((YEAR(Gastos!$A$2:$A$2500)=EP$1)*(MONTH(Gastos!$A$2:$A$2500)=EP$3)*(Gastos!$B$2:$B$2500=$A58)*(Gastos!$D$2:$D$2500))</f>
        <v>0</v>
      </c>
      <c r="EQ58" s="75">
        <f t="array" ref="EQ58">SUM((YEAR(Gastos!$A$2:$A$2500)=EQ$1)*(MONTH(Gastos!$A$2:$A$2500)=EQ$3)*(Gastos!$B$2:$B$2500=$A58)*(Gastos!$D$2:$D$2500))</f>
        <v>0</v>
      </c>
      <c r="ER58" s="75">
        <f t="array" ref="ER58">SUM((YEAR(Gastos!$A$2:$A$2500)=ER$1)*(MONTH(Gastos!$A$2:$A$2500)=ER$3)*(Gastos!$B$2:$B$2500=$A58)*(Gastos!$D$2:$D$2500))</f>
        <v>0</v>
      </c>
      <c r="ES58" s="75">
        <f t="array" ref="ES58">SUM((YEAR(Gastos!$A$2:$A$2500)=ES$1)*(MONTH(Gastos!$A$2:$A$2500)=ES$3)*(Gastos!$B$2:$B$2500=$A58)*(Gastos!$D$2:$D$2500))</f>
        <v>0</v>
      </c>
      <c r="ET58" s="75">
        <f t="array" ref="ET58">SUM((YEAR(Gastos!$A$2:$A$2500)=ET$1)*(MONTH(Gastos!$A$2:$A$2500)=ET$3)*(Gastos!$B$2:$B$2500=$A58)*(Gastos!$D$2:$D$2500))</f>
        <v>0</v>
      </c>
      <c r="EU58" s="75">
        <f t="array" ref="EU58">SUM((YEAR(Gastos!$A$2:$A$2500)=EU$1)*(MONTH(Gastos!$A$2:$A$2500)=EU$3)*(Gastos!$B$2:$B$2500=$A58)*(Gastos!$D$2:$D$2500))</f>
        <v>0</v>
      </c>
      <c r="EV58" s="75">
        <f t="array" ref="EV58">SUM((YEAR(Gastos!$A$2:$A$2500)=EV$1)*(MONTH(Gastos!$A$2:$A$2500)=EV$3)*(Gastos!$B$2:$B$2500=$A58)*(Gastos!$D$2:$D$2500))</f>
        <v>0</v>
      </c>
      <c r="EW58" s="75">
        <f t="array" ref="EW58">SUM((YEAR(Gastos!$A$2:$A$2500)=EW$1)*(MONTH(Gastos!$A$2:$A$2500)=EW$3)*(Gastos!$B$2:$B$2500=$A58)*(Gastos!$D$2:$D$2500))</f>
        <v>0</v>
      </c>
      <c r="EX58" s="75">
        <f t="array" ref="EX58">SUM((YEAR(Gastos!$A$2:$A$2500)=EX$1)*(MONTH(Gastos!$A$2:$A$2500)=EX$3)*(Gastos!$B$2:$B$2500=$A58)*(Gastos!$D$2:$D$2500))</f>
        <v>0</v>
      </c>
      <c r="EY58" s="75">
        <f t="array" ref="EY58">SUM((YEAR(Gastos!$A$2:$A$2500)=EY$1)*(MONTH(Gastos!$A$2:$A$2500)=EY$3)*(Gastos!$B$2:$B$2500=$A58)*(Gastos!$D$2:$D$2500))</f>
        <v>0</v>
      </c>
      <c r="EZ58" s="75">
        <f t="array" ref="EZ58">SUM((YEAR(Gastos!$A$2:$A$2500)=EZ$1)*(MONTH(Gastos!$A$2:$A$2500)=EZ$3)*(Gastos!$B$2:$B$2500=$A58)*(Gastos!$D$2:$D$2500))</f>
        <v>0</v>
      </c>
      <c r="FA58" s="75">
        <f t="array" ref="FA58">SUM((YEAR(Gastos!$A$2:$A$2500)=FA$1)*(MONTH(Gastos!$A$2:$A$2500)=FA$3)*(Gastos!$B$2:$B$2500=$A58)*(Gastos!$D$2:$D$2500))</f>
        <v>0</v>
      </c>
      <c r="FB58" s="75">
        <f t="array" ref="FB58">SUM((YEAR(Gastos!$A$2:$A$2500)=FB$1)*(MONTH(Gastos!$A$2:$A$2500)=FB$3)*(Gastos!$B$2:$B$2500=$A58)*(Gastos!$D$2:$D$2500))</f>
        <v>0</v>
      </c>
      <c r="FC58" s="75">
        <f t="array" ref="FC58">SUM((YEAR(Gastos!$A$2:$A$2500)=FC$1)*(MONTH(Gastos!$A$2:$A$2500)=FC$3)*(Gastos!$B$2:$B$2500=$A58)*(Gastos!$D$2:$D$2500))</f>
        <v>0</v>
      </c>
      <c r="FD58" s="75">
        <f t="array" ref="FD58">SUM((YEAR(Gastos!$A$2:$A$2500)=FD$1)*(MONTH(Gastos!$A$2:$A$2500)=FD$3)*(Gastos!$B$2:$B$2500=$A58)*(Gastos!$D$2:$D$2500))</f>
        <v>0</v>
      </c>
      <c r="FE58" s="75">
        <f t="array" ref="FE58">SUM((YEAR(Gastos!$A$2:$A$2500)=FE$1)*(MONTH(Gastos!$A$2:$A$2500)=FE$3)*(Gastos!$B$2:$B$2500=$A58)*(Gastos!$D$2:$D$2500))</f>
        <v>0</v>
      </c>
      <c r="FF58" s="75">
        <f t="array" ref="FF58">SUM((YEAR(Gastos!$A$2:$A$2500)=FF$1)*(MONTH(Gastos!$A$2:$A$2500)=FF$3)*(Gastos!$B$2:$B$2500=$A58)*(Gastos!$D$2:$D$2500))</f>
        <v>0</v>
      </c>
      <c r="FG58" s="75">
        <f t="array" ref="FG58">SUM((YEAR(Gastos!$A$2:$A$2500)=FG$1)*(MONTH(Gastos!$A$2:$A$2500)=FG$3)*(Gastos!$B$2:$B$2500=$A58)*(Gastos!$D$2:$D$2500))</f>
        <v>0</v>
      </c>
      <c r="FH58" s="75">
        <f t="array" ref="FH58">SUM((YEAR(Gastos!$A$2:$A$2500)=FH$1)*(MONTH(Gastos!$A$2:$A$2500)=FH$3)*(Gastos!$B$2:$B$2500=$A58)*(Gastos!$D$2:$D$2500))</f>
        <v>0</v>
      </c>
      <c r="FI58" s="75">
        <f t="array" ref="FI58">SUM((YEAR(Gastos!$A$2:$A$2500)=FI$1)*(MONTH(Gastos!$A$2:$A$2500)=FI$3)*(Gastos!$B$2:$B$2500=$A58)*(Gastos!$D$2:$D$2500))</f>
        <v>0</v>
      </c>
      <c r="FJ58" s="75">
        <f t="array" ref="FJ58">SUM((YEAR(Gastos!$A$2:$A$2500)=FJ$1)*(MONTH(Gastos!$A$2:$A$2500)=FJ$3)*(Gastos!$B$2:$B$2500=$A58)*(Gastos!$D$2:$D$2500))</f>
        <v>0</v>
      </c>
      <c r="FK58" s="75">
        <f t="array" ref="FK58">SUM((YEAR(Gastos!$A$2:$A$2500)=FK$1)*(MONTH(Gastos!$A$2:$A$2500)=FK$3)*(Gastos!$B$2:$B$2500=$A58)*(Gastos!$D$2:$D$2500))</f>
        <v>0</v>
      </c>
      <c r="FL58" s="75">
        <f t="array" ref="FL58">SUM((YEAR(Gastos!$A$2:$A$2500)=FL$1)*(MONTH(Gastos!$A$2:$A$2500)=FL$3)*(Gastos!$B$2:$B$2500=$A58)*(Gastos!$D$2:$D$2500))</f>
        <v>0</v>
      </c>
      <c r="FM58" s="75">
        <f t="array" ref="FM58">SUM((YEAR(Gastos!$A$2:$A$2500)=FM$1)*(MONTH(Gastos!$A$2:$A$2500)=FM$3)*(Gastos!$B$2:$B$2500=$A58)*(Gastos!$D$2:$D$2500))</f>
        <v>0</v>
      </c>
      <c r="FN58" s="75">
        <f t="array" ref="FN58">SUM((YEAR(Gastos!$A$2:$A$2500)=FN$1)*(MONTH(Gastos!$A$2:$A$2500)=FN$3)*(Gastos!$B$2:$B$2500=$A58)*(Gastos!$D$2:$D$2500))</f>
        <v>0</v>
      </c>
      <c r="FO58" s="75">
        <f t="array" ref="FO58">SUM((YEAR(Gastos!$A$2:$A$2500)=FO$1)*(MONTH(Gastos!$A$2:$A$2500)=FO$3)*(Gastos!$B$2:$B$2500=$A58)*(Gastos!$D$2:$D$2500))</f>
        <v>0</v>
      </c>
      <c r="FP58" s="75">
        <f t="array" ref="FP58">SUM((YEAR(Gastos!$A$2:$A$2500)=FP$1)*(MONTH(Gastos!$A$2:$A$2500)=FP$3)*(Gastos!$B$2:$B$2500=$A58)*(Gastos!$D$2:$D$2500))</f>
        <v>0</v>
      </c>
      <c r="FQ58" s="75">
        <f t="array" ref="FQ58">SUM((YEAR(Gastos!$A$2:$A$2500)=FQ$1)*(MONTH(Gastos!$A$2:$A$2500)=FQ$3)*(Gastos!$B$2:$B$2500=$A58)*(Gastos!$D$2:$D$2500))</f>
        <v>0</v>
      </c>
      <c r="FR58" s="75">
        <f t="array" ref="FR58">SUM((YEAR(Gastos!$A$2:$A$2500)=FR$1)*(MONTH(Gastos!$A$2:$A$2500)=FR$3)*(Gastos!$B$2:$B$2500=$A58)*(Gastos!$D$2:$D$2500))</f>
        <v>0</v>
      </c>
      <c r="FS58" s="75">
        <f t="array" ref="FS58">SUM((YEAR(Gastos!$A$2:$A$2500)=FS$1)*(MONTH(Gastos!$A$2:$A$2500)=FS$3)*(Gastos!$B$2:$B$2500=$A58)*(Gastos!$D$2:$D$2500))</f>
        <v>0</v>
      </c>
      <c r="FT58" s="75">
        <f t="array" ref="FT58">SUM((YEAR(Gastos!$A$2:$A$2500)=FT$1)*(MONTH(Gastos!$A$2:$A$2500)=FT$3)*(Gastos!$B$2:$B$2500=$A58)*(Gastos!$D$2:$D$2500))</f>
        <v>0</v>
      </c>
      <c r="FU58" s="75">
        <f t="array" ref="FU58">SUM((YEAR(Gastos!$A$2:$A$2500)=FU$1)*(MONTH(Gastos!$A$2:$A$2500)=FU$3)*(Gastos!$B$2:$B$2500=$A58)*(Gastos!$D$2:$D$2500))</f>
        <v>0</v>
      </c>
      <c r="FV58" s="75">
        <f t="array" ref="FV58">SUM((YEAR(Gastos!$A$2:$A$2500)=FV$1)*(MONTH(Gastos!$A$2:$A$2500)=FV$3)*(Gastos!$B$2:$B$2500=$A58)*(Gastos!$D$2:$D$2500))</f>
        <v>0</v>
      </c>
      <c r="FW58" s="75">
        <f t="array" ref="FW58">SUM((YEAR(Gastos!$A$2:$A$2500)=FW$1)*(MONTH(Gastos!$A$2:$A$2500)=FW$3)*(Gastos!$B$2:$B$2500=$A58)*(Gastos!$D$2:$D$2500))</f>
        <v>0</v>
      </c>
      <c r="FX58" s="75">
        <f t="array" ref="FX58">SUM((YEAR(Gastos!$A$2:$A$2500)=FX$1)*(MONTH(Gastos!$A$2:$A$2500)=FX$3)*(Gastos!$B$2:$B$2500=$A58)*(Gastos!$D$2:$D$2500))</f>
        <v>0</v>
      </c>
      <c r="FY58" s="75">
        <f t="array" ref="FY58">SUM((YEAR(Gastos!$A$2:$A$2500)=FY$1)*(MONTH(Gastos!$A$2:$A$2500)=FY$3)*(Gastos!$B$2:$B$2500=$A58)*(Gastos!$D$2:$D$2500))</f>
        <v>0</v>
      </c>
      <c r="FZ58" s="76">
        <f t="shared" si="65"/>
        <v>0</v>
      </c>
      <c r="GA58" s="80"/>
      <c r="GB58" s="82"/>
    </row>
    <row r="59" spans="1:191" ht="15" thickBot="1" x14ac:dyDescent="0.4">
      <c r="A59" s="74" t="str">
        <f>Gastos!AA57</f>
        <v>X</v>
      </c>
      <c r="B59" s="75">
        <f t="array" ref="B59">SUM((YEAR(Gastos!$A$2:$A$2500)=B$1)*(MONTH(Gastos!$A$2:$A$2500)=B$3)*(Gastos!$B$2:$B$2500=$A59)*(Gastos!$D$2:$D$2500))</f>
        <v>0</v>
      </c>
      <c r="C59" s="75">
        <f t="array" ref="C59">SUM((YEAR(Gastos!$A$2:$A$2500)=C$1)*(MONTH(Gastos!$A$2:$A$2500)=C$3)*(Gastos!$B$2:$B$2500=$A59)*(Gastos!$D$2:$D$2500))</f>
        <v>0</v>
      </c>
      <c r="D59" s="75">
        <f t="array" ref="D59">SUM((YEAR(Gastos!$A$2:$A$2500)=D$1)*(MONTH(Gastos!$A$2:$A$2500)=D$3)*(Gastos!$B$2:$B$2500=$A59)*(Gastos!$D$2:$D$2500))</f>
        <v>0</v>
      </c>
      <c r="E59" s="75">
        <f t="array" ref="E59">SUM((YEAR(Gastos!$A$2:$A$2500)=E$1)*(MONTH(Gastos!$A$2:$A$2500)=E$3)*(Gastos!$B$2:$B$2500=$A59)*(Gastos!$D$2:$D$2500))</f>
        <v>0</v>
      </c>
      <c r="F59" s="75">
        <f t="array" ref="F59">SUM((YEAR(Gastos!$A$2:$A$2500)=F$1)*(MONTH(Gastos!$A$2:$A$2500)=F$3)*(Gastos!$B$2:$B$2500=$A59)*(Gastos!$D$2:$D$2500))</f>
        <v>0</v>
      </c>
      <c r="G59" s="75">
        <f t="array" ref="G59">SUM((YEAR(Gastos!$A$2:$A$2500)=G$1)*(MONTH(Gastos!$A$2:$A$2500)=G$3)*(Gastos!$B$2:$B$2500=$A59)*(Gastos!$D$2:$D$2500))</f>
        <v>0</v>
      </c>
      <c r="H59" s="75">
        <f t="array" ref="H59">SUM((YEAR(Gastos!$A$2:$A$2500)=H$1)*(MONTH(Gastos!$A$2:$A$2500)=H$3)*(Gastos!$B$2:$B$2500=$A59)*(Gastos!$D$2:$D$2500))</f>
        <v>0</v>
      </c>
      <c r="I59" s="75">
        <f t="array" ref="I59">SUM((YEAR(Gastos!$A$2:$A$2500)=I$1)*(MONTH(Gastos!$A$2:$A$2500)=I$3)*(Gastos!$B$2:$B$2500=$A59)*(Gastos!$D$2:$D$2500))</f>
        <v>0</v>
      </c>
      <c r="J59" s="75">
        <f t="array" ref="J59">SUM((YEAR(Gastos!$A$2:$A$2500)=J$1)*(MONTH(Gastos!$A$2:$A$2500)=J$3)*(Gastos!$B$2:$B$2500=$A59)*(Gastos!$D$2:$D$2500))</f>
        <v>0</v>
      </c>
      <c r="K59" s="75">
        <f t="array" ref="K59">SUM((YEAR(Gastos!$A$2:$A$2500)=K$1)*(MONTH(Gastos!$A$2:$A$2500)=K$3)*(Gastos!$B$2:$B$2500=$A59)*(Gastos!$D$2:$D$2500))</f>
        <v>0</v>
      </c>
      <c r="L59" s="75">
        <f t="array" ref="L59">SUM((YEAR(Gastos!$A$2:$A$2500)=L$1)*(MONTH(Gastos!$A$2:$A$2500)=L$3)*(Gastos!$B$2:$B$2500=$A59)*(Gastos!$D$2:$D$2500))</f>
        <v>0</v>
      </c>
      <c r="M59" s="75">
        <f t="array" ref="M59">SUM((YEAR(Gastos!$A$2:$A$2500)=M$1)*(MONTH(Gastos!$A$2:$A$2500)=M$3)*(Gastos!$B$2:$B$2500=$A59)*(Gastos!$D$2:$D$2500))</f>
        <v>0</v>
      </c>
      <c r="N59" s="75">
        <f t="array" ref="N59">SUM((YEAR(Gastos!$A$2:$A$2500)=N$1)*(MONTH(Gastos!$A$2:$A$2500)=N$3)*(Gastos!$B$2:$B$2500=$A59)*(Gastos!$D$2:$D$2500))</f>
        <v>0</v>
      </c>
      <c r="O59" s="75">
        <f t="array" ref="O59">SUM((YEAR(Gastos!$A$2:$A$2500)=O$1)*(MONTH(Gastos!$A$2:$A$2500)=O$3)*(Gastos!$B$2:$B$2500=$A59)*(Gastos!$D$2:$D$2500))</f>
        <v>0</v>
      </c>
      <c r="P59" s="75">
        <f t="array" ref="P59">SUM((YEAR(Gastos!$A$2:$A$2500)=P$1)*(MONTH(Gastos!$A$2:$A$2500)=P$3)*(Gastos!$B$2:$B$2500=$A59)*(Gastos!$D$2:$D$2500))</f>
        <v>0</v>
      </c>
      <c r="Q59" s="75">
        <f t="array" ref="Q59">SUM((YEAR(Gastos!$A$2:$A$2500)=Q$1)*(MONTH(Gastos!$A$2:$A$2500)=Q$3)*(Gastos!$B$2:$B$2500=$A59)*(Gastos!$D$2:$D$2500))</f>
        <v>0</v>
      </c>
      <c r="R59" s="75">
        <f t="array" ref="R59">SUM((YEAR(Gastos!$A$2:$A$2500)=R$1)*(MONTH(Gastos!$A$2:$A$2500)=R$3)*(Gastos!$B$2:$B$2500=$A59)*(Gastos!$D$2:$D$2500))</f>
        <v>0</v>
      </c>
      <c r="S59" s="75">
        <f t="array" ref="S59">SUM((YEAR(Gastos!$A$2:$A$2500)=S$1)*(MONTH(Gastos!$A$2:$A$2500)=S$3)*(Gastos!$B$2:$B$2500=$A59)*(Gastos!$D$2:$D$2500))</f>
        <v>0</v>
      </c>
      <c r="T59" s="75">
        <f t="array" ref="T59">SUM((YEAR(Gastos!$A$2:$A$2500)=T$1)*(MONTH(Gastos!$A$2:$A$2500)=T$3)*(Gastos!$B$2:$B$2500=$A59)*(Gastos!$D$2:$D$2500))</f>
        <v>0</v>
      </c>
      <c r="U59" s="75">
        <f t="array" ref="U59">SUM((YEAR(Gastos!$A$2:$A$2500)=U$1)*(MONTH(Gastos!$A$2:$A$2500)=U$3)*(Gastos!$B$2:$B$2500=$A59)*(Gastos!$D$2:$D$2500))</f>
        <v>0</v>
      </c>
      <c r="V59" s="75">
        <f t="array" ref="V59">SUM((YEAR(Gastos!$A$2:$A$2500)=V$1)*(MONTH(Gastos!$A$2:$A$2500)=V$3)*(Gastos!$B$2:$B$2500=$A59)*(Gastos!$D$2:$D$2500))</f>
        <v>0</v>
      </c>
      <c r="W59" s="75">
        <f t="array" ref="W59">SUM((YEAR(Gastos!$A$2:$A$2500)=W$1)*(MONTH(Gastos!$A$2:$A$2500)=W$3)*(Gastos!$B$2:$B$2500=$A59)*(Gastos!$D$2:$D$2500))</f>
        <v>0</v>
      </c>
      <c r="X59" s="75">
        <f t="array" ref="X59">SUM((YEAR(Gastos!$A$2:$A$2500)=X$1)*(MONTH(Gastos!$A$2:$A$2500)=X$3)*(Gastos!$B$2:$B$2500=$A59)*(Gastos!$D$2:$D$2500))</f>
        <v>0</v>
      </c>
      <c r="Y59" s="75">
        <f t="array" ref="Y59">SUM((YEAR(Gastos!$A$2:$A$2500)=Y$1)*(MONTH(Gastos!$A$2:$A$2500)=Y$3)*(Gastos!$B$2:$B$2500=$A59)*(Gastos!$D$2:$D$2500))</f>
        <v>0</v>
      </c>
      <c r="Z59" s="75">
        <f t="array" ref="Z59">SUM((YEAR(Gastos!$A$2:$A$2500)=Z$1)*(MONTH(Gastos!$A$2:$A$2500)=Z$3)*(Gastos!$B$2:$B$2500=$A59)*(Gastos!$D$2:$D$2500))</f>
        <v>0</v>
      </c>
      <c r="AA59" s="75">
        <f t="array" ref="AA59">SUM((YEAR(Gastos!$A$2:$A$2500)=AA$1)*(MONTH(Gastos!$A$2:$A$2500)=AA$3)*(Gastos!$B$2:$B$2500=$A59)*(Gastos!$D$2:$D$2500))</f>
        <v>0</v>
      </c>
      <c r="AB59" s="75">
        <f t="array" ref="AB59">SUM((YEAR(Gastos!$A$2:$A$2500)=AB$1)*(MONTH(Gastos!$A$2:$A$2500)=AB$3)*(Gastos!$B$2:$B$2500=$A59)*(Gastos!$D$2:$D$2500))</f>
        <v>0</v>
      </c>
      <c r="AC59" s="75">
        <f t="array" ref="AC59">SUM((YEAR(Gastos!$A$2:$A$2500)=AC$1)*(MONTH(Gastos!$A$2:$A$2500)=AC$3)*(Gastos!$B$2:$B$2500=$A59)*(Gastos!$D$2:$D$2500))</f>
        <v>0</v>
      </c>
      <c r="AD59" s="75">
        <f t="array" ref="AD59">SUM((YEAR(Gastos!$A$2:$A$2500)=AD$1)*(MONTH(Gastos!$A$2:$A$2500)=AD$3)*(Gastos!$B$2:$B$2500=$A59)*(Gastos!$D$2:$D$2500))</f>
        <v>0</v>
      </c>
      <c r="AE59" s="75">
        <f t="array" ref="AE59">SUM((YEAR(Gastos!$A$2:$A$2500)=AE$1)*(MONTH(Gastos!$A$2:$A$2500)=AE$3)*(Gastos!$B$2:$B$2500=$A59)*(Gastos!$D$2:$D$2500))</f>
        <v>0</v>
      </c>
      <c r="AF59" s="75">
        <f t="array" ref="AF59">SUM((YEAR(Gastos!$A$2:$A$2500)=AF$1)*(MONTH(Gastos!$A$2:$A$2500)=AF$3)*(Gastos!$B$2:$B$2500=$A59)*(Gastos!$D$2:$D$2500))</f>
        <v>0</v>
      </c>
      <c r="AG59" s="75">
        <f t="array" ref="AG59">SUM((YEAR(Gastos!$A$2:$A$2500)=AG$1)*(MONTH(Gastos!$A$2:$A$2500)=AG$3)*(Gastos!$B$2:$B$2500=$A59)*(Gastos!$D$2:$D$2500))</f>
        <v>0</v>
      </c>
      <c r="AH59" s="75">
        <f t="array" ref="AH59">SUM((YEAR(Gastos!$A$2:$A$2500)=AH$1)*(MONTH(Gastos!$A$2:$A$2500)=AH$3)*(Gastos!$B$2:$B$2500=$A59)*(Gastos!$D$2:$D$2500))</f>
        <v>0</v>
      </c>
      <c r="AI59" s="75">
        <f t="array" ref="AI59">SUM((YEAR(Gastos!$A$2:$A$2500)=AI$1)*(MONTH(Gastos!$A$2:$A$2500)=AI$3)*(Gastos!$B$2:$B$2500=$A59)*(Gastos!$D$2:$D$2500))</f>
        <v>0</v>
      </c>
      <c r="AJ59" s="75">
        <f t="array" ref="AJ59">SUM((YEAR(Gastos!$A$2:$A$2500)=AJ$1)*(MONTH(Gastos!$A$2:$A$2500)=AJ$3)*(Gastos!$B$2:$B$2500=$A59)*(Gastos!$D$2:$D$2500))</f>
        <v>0</v>
      </c>
      <c r="AK59" s="75">
        <f t="array" ref="AK59">SUM((YEAR(Gastos!$A$2:$A$2500)=AK$1)*(MONTH(Gastos!$A$2:$A$2500)=AK$3)*(Gastos!$B$2:$B$2500=$A59)*(Gastos!$D$2:$D$2500))</f>
        <v>0</v>
      </c>
      <c r="AL59" s="75">
        <f t="array" ref="AL59">SUM((YEAR(Gastos!$A$2:$A$2500)=AL$1)*(MONTH(Gastos!$A$2:$A$2500)=AL$3)*(Gastos!$B$2:$B$2500=$A59)*(Gastos!$D$2:$D$2500))</f>
        <v>0</v>
      </c>
      <c r="AM59" s="75">
        <f t="array" ref="AM59">SUM((YEAR(Gastos!$A$2:$A$2500)=AM$1)*(MONTH(Gastos!$A$2:$A$2500)=AM$3)*(Gastos!$B$2:$B$2500=$A59)*(Gastos!$D$2:$D$2500))</f>
        <v>0</v>
      </c>
      <c r="AN59" s="75">
        <f t="array" ref="AN59">SUM((YEAR(Gastos!$A$2:$A$2500)=AN$1)*(MONTH(Gastos!$A$2:$A$2500)=AN$3)*(Gastos!$B$2:$B$2500=$A59)*(Gastos!$D$2:$D$2500))</f>
        <v>0</v>
      </c>
      <c r="AO59" s="75">
        <f t="array" ref="AO59">SUM((YEAR(Gastos!$A$2:$A$2500)=AO$1)*(MONTH(Gastos!$A$2:$A$2500)=AO$3)*(Gastos!$B$2:$B$2500=$A59)*(Gastos!$D$2:$D$2500))</f>
        <v>0</v>
      </c>
      <c r="AP59" s="75">
        <f t="array" ref="AP59">SUM((YEAR(Gastos!$A$2:$A$2500)=AP$1)*(MONTH(Gastos!$A$2:$A$2500)=AP$3)*(Gastos!$B$2:$B$2500=$A59)*(Gastos!$D$2:$D$2500))</f>
        <v>0</v>
      </c>
      <c r="AQ59" s="75">
        <f t="array" ref="AQ59">SUM((YEAR(Gastos!$A$2:$A$2500)=AQ$1)*(MONTH(Gastos!$A$2:$A$2500)=AQ$3)*(Gastos!$B$2:$B$2500=$A59)*(Gastos!$D$2:$D$2500))</f>
        <v>0</v>
      </c>
      <c r="AR59" s="75">
        <f t="array" ref="AR59">SUM((YEAR(Gastos!$A$2:$A$2500)=AR$1)*(MONTH(Gastos!$A$2:$A$2500)=AR$3)*(Gastos!$B$2:$B$2500=$A59)*(Gastos!$D$2:$D$2500))</f>
        <v>0</v>
      </c>
      <c r="AS59" s="75">
        <f t="array" ref="AS59">SUM((YEAR(Gastos!$A$2:$A$2500)=AS$1)*(MONTH(Gastos!$A$2:$A$2500)=AS$3)*(Gastos!$B$2:$B$2500=$A59)*(Gastos!$D$2:$D$2500))</f>
        <v>0</v>
      </c>
      <c r="AT59" s="75">
        <f t="array" ref="AT59">SUM((YEAR(Gastos!$A$2:$A$2500)=AT$1)*(MONTH(Gastos!$A$2:$A$2500)=AT$3)*(Gastos!$B$2:$B$2500=$A59)*(Gastos!$D$2:$D$2500))</f>
        <v>0</v>
      </c>
      <c r="AU59" s="75">
        <f t="array" ref="AU59">SUM((YEAR(Gastos!$A$2:$A$2500)=AU$1)*(MONTH(Gastos!$A$2:$A$2500)=AU$3)*(Gastos!$B$2:$B$2500=$A59)*(Gastos!$D$2:$D$2500))</f>
        <v>0</v>
      </c>
      <c r="AV59" s="75">
        <f t="array" ref="AV59">SUM((YEAR(Gastos!$A$2:$A$2500)=AV$1)*(MONTH(Gastos!$A$2:$A$2500)=AV$3)*(Gastos!$B$2:$B$2500=$A59)*(Gastos!$D$2:$D$2500))</f>
        <v>0</v>
      </c>
      <c r="AW59" s="75">
        <f t="array" ref="AW59">SUM((YEAR(Gastos!$A$2:$A$2500)=AW$1)*(MONTH(Gastos!$A$2:$A$2500)=AW$3)*(Gastos!$B$2:$B$2500=$A59)*(Gastos!$D$2:$D$2500))</f>
        <v>0</v>
      </c>
      <c r="AX59" s="75">
        <f t="array" ref="AX59">SUM((YEAR(Gastos!$A$2:$A$2500)=AX$1)*(MONTH(Gastos!$A$2:$A$2500)=AX$3)*(Gastos!$B$2:$B$2500=$A59)*(Gastos!$D$2:$D$2500))</f>
        <v>0</v>
      </c>
      <c r="AY59" s="75">
        <f t="array" ref="AY59">SUM((YEAR(Gastos!$A$2:$A$2500)=AY$1)*(MONTH(Gastos!$A$2:$A$2500)=AY$3)*(Gastos!$B$2:$B$2500=$A59)*(Gastos!$D$2:$D$2500))</f>
        <v>0</v>
      </c>
      <c r="AZ59" s="75">
        <f t="array" ref="AZ59">SUM((YEAR(Gastos!$A$2:$A$2500)=AZ$1)*(MONTH(Gastos!$A$2:$A$2500)=AZ$3)*(Gastos!$B$2:$B$2500=$A59)*(Gastos!$D$2:$D$2500))</f>
        <v>0</v>
      </c>
      <c r="BA59" s="75">
        <f t="array" ref="BA59">SUM((YEAR(Gastos!$A$2:$A$2500)=BA$1)*(MONTH(Gastos!$A$2:$A$2500)=BA$3)*(Gastos!$B$2:$B$2500=$A59)*(Gastos!$D$2:$D$2500))</f>
        <v>0</v>
      </c>
      <c r="BB59" s="75">
        <f t="array" ref="BB59">SUM((YEAR(Gastos!$A$2:$A$2500)=BB$1)*(MONTH(Gastos!$A$2:$A$2500)=BB$3)*(Gastos!$B$2:$B$2500=$A59)*(Gastos!$D$2:$D$2500))</f>
        <v>0</v>
      </c>
      <c r="BC59" s="75">
        <f t="array" ref="BC59">SUM((YEAR(Gastos!$A$2:$A$2500)=BC$1)*(MONTH(Gastos!$A$2:$A$2500)=BC$3)*(Gastos!$B$2:$B$2500=$A59)*(Gastos!$D$2:$D$2500))</f>
        <v>0</v>
      </c>
      <c r="BD59" s="75">
        <f t="array" ref="BD59">SUM((YEAR(Gastos!$A$2:$A$2500)=BD$1)*(MONTH(Gastos!$A$2:$A$2500)=BD$3)*(Gastos!$B$2:$B$2500=$A59)*(Gastos!$D$2:$D$2500))</f>
        <v>0</v>
      </c>
      <c r="BE59" s="75">
        <f t="array" ref="BE59">SUM((YEAR(Gastos!$A$2:$A$2500)=BE$1)*(MONTH(Gastos!$A$2:$A$2500)=BE$3)*(Gastos!$B$2:$B$2500=$A59)*(Gastos!$D$2:$D$2500))</f>
        <v>0</v>
      </c>
      <c r="BF59" s="75">
        <f t="array" ref="BF59">SUM((YEAR(Gastos!$A$2:$A$2500)=BF$1)*(MONTH(Gastos!$A$2:$A$2500)=BF$3)*(Gastos!$B$2:$B$2500=$A59)*(Gastos!$D$2:$D$2500))</f>
        <v>0</v>
      </c>
      <c r="BG59" s="75">
        <f t="array" ref="BG59">SUM((YEAR(Gastos!$A$2:$A$2500)=BG$1)*(MONTH(Gastos!$A$2:$A$2500)=BG$3)*(Gastos!$B$2:$B$2500=$A59)*(Gastos!$D$2:$D$2500))</f>
        <v>0</v>
      </c>
      <c r="BH59" s="75">
        <f t="array" ref="BH59">SUM((YEAR(Gastos!$A$2:$A$2500)=BH$1)*(MONTH(Gastos!$A$2:$A$2500)=BH$3)*(Gastos!$B$2:$B$2500=$A59)*(Gastos!$D$2:$D$2500))</f>
        <v>0</v>
      </c>
      <c r="BI59" s="75">
        <f t="array" ref="BI59">SUM((YEAR(Gastos!$A$2:$A$2500)=BI$1)*(MONTH(Gastos!$A$2:$A$2500)=BI$3)*(Gastos!$B$2:$B$2500=$A59)*(Gastos!$D$2:$D$2500))</f>
        <v>0</v>
      </c>
      <c r="BJ59" s="75">
        <f t="array" ref="BJ59">SUM((YEAR(Gastos!$A$2:$A$2500)=BJ$1)*(MONTH(Gastos!$A$2:$A$2500)=BJ$3)*(Gastos!$B$2:$B$2500=$A59)*(Gastos!$D$2:$D$2500))</f>
        <v>0</v>
      </c>
      <c r="BK59" s="75">
        <f t="array" ref="BK59">SUM((YEAR(Gastos!$A$2:$A$2500)=BK$1)*(MONTH(Gastos!$A$2:$A$2500)=BK$3)*(Gastos!$B$2:$B$2500=$A59)*(Gastos!$D$2:$D$2500))</f>
        <v>0</v>
      </c>
      <c r="BL59" s="75">
        <f t="array" ref="BL59">SUM((YEAR(Gastos!$A$2:$A$2500)=BL$1)*(MONTH(Gastos!$A$2:$A$2500)=BL$3)*(Gastos!$B$2:$B$2500=$A59)*(Gastos!$D$2:$D$2500))</f>
        <v>0</v>
      </c>
      <c r="BM59" s="75">
        <f t="array" ref="BM59">SUM((YEAR(Gastos!$A$2:$A$2500)=BM$1)*(MONTH(Gastos!$A$2:$A$2500)=BM$3)*(Gastos!$B$2:$B$2500=$A59)*(Gastos!$D$2:$D$2500))</f>
        <v>0</v>
      </c>
      <c r="BN59" s="75">
        <f t="array" ref="BN59">SUM((YEAR(Gastos!$A$2:$A$2500)=BN$1)*(MONTH(Gastos!$A$2:$A$2500)=BN$3)*(Gastos!$B$2:$B$2500=$A59)*(Gastos!$D$2:$D$2500))</f>
        <v>0</v>
      </c>
      <c r="BO59" s="75">
        <f t="array" ref="BO59">SUM((YEAR(Gastos!$A$2:$A$2500)=BO$1)*(MONTH(Gastos!$A$2:$A$2500)=BO$3)*(Gastos!$B$2:$B$2500=$A59)*(Gastos!$D$2:$D$2500))</f>
        <v>0</v>
      </c>
      <c r="BP59" s="75">
        <f t="array" ref="BP59">SUM((YEAR(Gastos!$A$2:$A$2500)=BP$1)*(MONTH(Gastos!$A$2:$A$2500)=BP$3)*(Gastos!$B$2:$B$2500=$A59)*(Gastos!$D$2:$D$2500))</f>
        <v>0</v>
      </c>
      <c r="BQ59" s="75">
        <f t="array" ref="BQ59">SUM((YEAR(Gastos!$A$2:$A$2500)=BQ$1)*(MONTH(Gastos!$A$2:$A$2500)=BQ$3)*(Gastos!$B$2:$B$2500=$A59)*(Gastos!$D$2:$D$2500))</f>
        <v>0</v>
      </c>
      <c r="BR59" s="75">
        <f t="array" ref="BR59">SUM((YEAR(Gastos!$A$2:$A$2500)=BR$1)*(MONTH(Gastos!$A$2:$A$2500)=BR$3)*(Gastos!$B$2:$B$2500=$A59)*(Gastos!$D$2:$D$2500))</f>
        <v>0</v>
      </c>
      <c r="BS59" s="75">
        <f t="array" ref="BS59">SUM((YEAR(Gastos!$A$2:$A$2500)=BS$1)*(MONTH(Gastos!$A$2:$A$2500)=BS$3)*(Gastos!$B$2:$B$2500=$A59)*(Gastos!$D$2:$D$2500))</f>
        <v>0</v>
      </c>
      <c r="BT59" s="75">
        <f t="array" ref="BT59">SUM((YEAR(Gastos!$A$2:$A$2500)=BT$1)*(MONTH(Gastos!$A$2:$A$2500)=BT$3)*(Gastos!$B$2:$B$2500=$A59)*(Gastos!$D$2:$D$2500))</f>
        <v>0</v>
      </c>
      <c r="BU59" s="75">
        <f t="array" ref="BU59">SUM((YEAR(Gastos!$A$2:$A$2500)=BU$1)*(MONTH(Gastos!$A$2:$A$2500)=BU$3)*(Gastos!$B$2:$B$2500=$A59)*(Gastos!$D$2:$D$2500))</f>
        <v>0</v>
      </c>
      <c r="BV59" s="75">
        <f t="array" ref="BV59">SUM((YEAR(Gastos!$A$2:$A$2500)=BV$1)*(MONTH(Gastos!$A$2:$A$2500)=BV$3)*(Gastos!$B$2:$B$2500=$A59)*(Gastos!$D$2:$D$2500))</f>
        <v>0</v>
      </c>
      <c r="BW59" s="75">
        <f t="array" ref="BW59">SUM((YEAR(Gastos!$A$2:$A$2500)=BW$1)*(MONTH(Gastos!$A$2:$A$2500)=BW$3)*(Gastos!$B$2:$B$2500=$A59)*(Gastos!$D$2:$D$2500))</f>
        <v>0</v>
      </c>
      <c r="BX59" s="75">
        <f t="array" ref="BX59">SUM((YEAR(Gastos!$A$2:$A$2500)=BX$1)*(MONTH(Gastos!$A$2:$A$2500)=BX$3)*(Gastos!$B$2:$B$2500=$A59)*(Gastos!$D$2:$D$2500))</f>
        <v>0</v>
      </c>
      <c r="BY59" s="75">
        <f t="array" ref="BY59">SUM((YEAR(Gastos!$A$2:$A$2500)=BY$1)*(MONTH(Gastos!$A$2:$A$2500)=BY$3)*(Gastos!$B$2:$B$2500=$A59)*(Gastos!$D$2:$D$2500))</f>
        <v>0</v>
      </c>
      <c r="BZ59" s="75">
        <f t="array" ref="BZ59">SUM((YEAR(Gastos!$A$2:$A$2500)=BZ$1)*(MONTH(Gastos!$A$2:$A$2500)=BZ$3)*(Gastos!$B$2:$B$2500=$A59)*(Gastos!$D$2:$D$2500))</f>
        <v>0</v>
      </c>
      <c r="CA59" s="75">
        <f t="array" ref="CA59">SUM((YEAR(Gastos!$A$2:$A$2500)=CA$1)*(MONTH(Gastos!$A$2:$A$2500)=CA$3)*(Gastos!$B$2:$B$2500=$A59)*(Gastos!$D$2:$D$2500))</f>
        <v>0</v>
      </c>
      <c r="CB59" s="75">
        <f t="array" ref="CB59">SUM((YEAR(Gastos!$A$2:$A$2500)=CB$1)*(MONTH(Gastos!$A$2:$A$2500)=CB$3)*(Gastos!$B$2:$B$2500=$A59)*(Gastos!$D$2:$D$2500))</f>
        <v>0</v>
      </c>
      <c r="CC59" s="75">
        <f t="array" ref="CC59">SUM((YEAR(Gastos!$A$2:$A$2500)=CC$1)*(MONTH(Gastos!$A$2:$A$2500)=CC$3)*(Gastos!$B$2:$B$2500=$A59)*(Gastos!$D$2:$D$2500))</f>
        <v>0</v>
      </c>
      <c r="CD59" s="75">
        <f t="array" ref="CD59">SUM((YEAR(Gastos!$A$2:$A$2500)=CD$1)*(MONTH(Gastos!$A$2:$A$2500)=CD$3)*(Gastos!$B$2:$B$2500=$A59)*(Gastos!$D$2:$D$2500))</f>
        <v>0</v>
      </c>
      <c r="CE59" s="75">
        <f t="array" ref="CE59">SUM((YEAR(Gastos!$A$2:$A$2500)=CE$1)*(MONTH(Gastos!$A$2:$A$2500)=CE$3)*(Gastos!$B$2:$B$2500=$A59)*(Gastos!$D$2:$D$2500))</f>
        <v>0</v>
      </c>
      <c r="CF59" s="75">
        <f t="array" ref="CF59">SUM((YEAR(Gastos!$A$2:$A$2500)=CF$1)*(MONTH(Gastos!$A$2:$A$2500)=CF$3)*(Gastos!$B$2:$B$2500=$A59)*(Gastos!$D$2:$D$2500))</f>
        <v>0</v>
      </c>
      <c r="CG59" s="75">
        <f t="array" ref="CG59">SUM((YEAR(Gastos!$A$2:$A$2500)=CG$1)*(MONTH(Gastos!$A$2:$A$2500)=CG$3)*(Gastos!$B$2:$B$2500=$A59)*(Gastos!$D$2:$D$2500))</f>
        <v>0</v>
      </c>
      <c r="CH59" s="75">
        <f t="array" ref="CH59">SUM((YEAR(Gastos!$A$2:$A$2500)=CH$1)*(MONTH(Gastos!$A$2:$A$2500)=CH$3)*(Gastos!$B$2:$B$2500=$A59)*(Gastos!$D$2:$D$2500))</f>
        <v>0</v>
      </c>
      <c r="CI59" s="75">
        <f t="array" ref="CI59">SUM((YEAR(Gastos!$A$2:$A$2500)=CI$1)*(MONTH(Gastos!$A$2:$A$2500)=CI$3)*(Gastos!$B$2:$B$2500=$A59)*(Gastos!$D$2:$D$2500))</f>
        <v>0</v>
      </c>
      <c r="CJ59" s="75">
        <f t="array" ref="CJ59">SUM((YEAR(Gastos!$A$2:$A$2500)=CJ$1)*(MONTH(Gastos!$A$2:$A$2500)=CJ$3)*(Gastos!$B$2:$B$2500=$A59)*(Gastos!$D$2:$D$2500))</f>
        <v>0</v>
      </c>
      <c r="CK59" s="75">
        <f t="array" ref="CK59">SUM((YEAR(Gastos!$A$2:$A$2500)=CK$1)*(MONTH(Gastos!$A$2:$A$2500)=CK$3)*(Gastos!$B$2:$B$2500=$A59)*(Gastos!$D$2:$D$2500))</f>
        <v>0</v>
      </c>
      <c r="CL59" s="75">
        <f t="array" ref="CL59">SUM((YEAR(Gastos!$A$2:$A$2500)=CL$1)*(MONTH(Gastos!$A$2:$A$2500)=CL$3)*(Gastos!$B$2:$B$2500=$A59)*(Gastos!$D$2:$D$2500))</f>
        <v>0</v>
      </c>
      <c r="CM59" s="75">
        <f t="array" ref="CM59">SUM((YEAR(Gastos!$A$2:$A$2500)=CM$1)*(MONTH(Gastos!$A$2:$A$2500)=CM$3)*(Gastos!$B$2:$B$2500=$A59)*(Gastos!$D$2:$D$2500))</f>
        <v>0</v>
      </c>
      <c r="CN59" s="75">
        <f t="array" ref="CN59">SUM((YEAR(Gastos!$A$2:$A$2500)=CN$1)*(MONTH(Gastos!$A$2:$A$2500)=CN$3)*(Gastos!$B$2:$B$2500=$A59)*(Gastos!$D$2:$D$2500))</f>
        <v>0</v>
      </c>
      <c r="CO59" s="75">
        <f t="array" ref="CO59">SUM((YEAR(Gastos!$A$2:$A$2500)=CO$1)*(MONTH(Gastos!$A$2:$A$2500)=CO$3)*(Gastos!$B$2:$B$2500=$A59)*(Gastos!$D$2:$D$2500))</f>
        <v>0</v>
      </c>
      <c r="CP59" s="75">
        <f t="array" ref="CP59">SUM((YEAR(Gastos!$A$2:$A$2500)=CP$1)*(MONTH(Gastos!$A$2:$A$2500)=CP$3)*(Gastos!$B$2:$B$2500=$A59)*(Gastos!$D$2:$D$2500))</f>
        <v>0</v>
      </c>
      <c r="CQ59" s="75">
        <f t="array" ref="CQ59">SUM((YEAR(Gastos!$A$2:$A$2500)=CQ$1)*(MONTH(Gastos!$A$2:$A$2500)=CQ$3)*(Gastos!$B$2:$B$2500=$A59)*(Gastos!$D$2:$D$2500))</f>
        <v>0</v>
      </c>
      <c r="CR59" s="75">
        <f t="array" ref="CR59">SUM((YEAR(Gastos!$A$2:$A$2500)=CR$1)*(MONTH(Gastos!$A$2:$A$2500)=CR$3)*(Gastos!$B$2:$B$2500=$A59)*(Gastos!$D$2:$D$2500))</f>
        <v>0</v>
      </c>
      <c r="CS59" s="75">
        <f t="array" ref="CS59">SUM((YEAR(Gastos!$A$2:$A$2500)=CS$1)*(MONTH(Gastos!$A$2:$A$2500)=CS$3)*(Gastos!$B$2:$B$2500=$A59)*(Gastos!$D$2:$D$2500))</f>
        <v>0</v>
      </c>
      <c r="CT59" s="75">
        <f t="array" ref="CT59">SUM((YEAR(Gastos!$A$2:$A$2500)=CT$1)*(MONTH(Gastos!$A$2:$A$2500)=CT$3)*(Gastos!$B$2:$B$2500=$A59)*(Gastos!$D$2:$D$2500))</f>
        <v>0</v>
      </c>
      <c r="CU59" s="75">
        <f t="array" ref="CU59">SUM((YEAR(Gastos!$A$2:$A$2500)=CU$1)*(MONTH(Gastos!$A$2:$A$2500)=CU$3)*(Gastos!$B$2:$B$2500=$A59)*(Gastos!$D$2:$D$2500))</f>
        <v>0</v>
      </c>
      <c r="CV59" s="75">
        <f t="array" ref="CV59">SUM((YEAR(Gastos!$A$2:$A$2500)=CV$1)*(MONTH(Gastos!$A$2:$A$2500)=CV$3)*(Gastos!$B$2:$B$2500=$A59)*(Gastos!$D$2:$D$2500))</f>
        <v>0</v>
      </c>
      <c r="CW59" s="75">
        <f t="array" ref="CW59">SUM((YEAR(Gastos!$A$2:$A$2500)=CW$1)*(MONTH(Gastos!$A$2:$A$2500)=CW$3)*(Gastos!$B$2:$B$2500=$A59)*(Gastos!$D$2:$D$2500))</f>
        <v>0</v>
      </c>
      <c r="CX59" s="75">
        <f t="array" ref="CX59">SUM((YEAR(Gastos!$A$2:$A$2500)=CX$1)*(MONTH(Gastos!$A$2:$A$2500)=CX$3)*(Gastos!$B$2:$B$2500=$A59)*(Gastos!$D$2:$D$2500))</f>
        <v>0</v>
      </c>
      <c r="CY59" s="75">
        <f t="array" ref="CY59">SUM((YEAR(Gastos!$A$2:$A$2500)=CY$1)*(MONTH(Gastos!$A$2:$A$2500)=CY$3)*(Gastos!$B$2:$B$2500=$A59)*(Gastos!$D$2:$D$2500))</f>
        <v>0</v>
      </c>
      <c r="CZ59" s="75">
        <f t="array" ref="CZ59">SUM((YEAR(Gastos!$A$2:$A$2500)=CZ$1)*(MONTH(Gastos!$A$2:$A$2500)=CZ$3)*(Gastos!$B$2:$B$2500=$A59)*(Gastos!$D$2:$D$2500))</f>
        <v>0</v>
      </c>
      <c r="DA59" s="75">
        <f t="array" ref="DA59">SUM((YEAR(Gastos!$A$2:$A$2500)=DA$1)*(MONTH(Gastos!$A$2:$A$2500)=DA$3)*(Gastos!$B$2:$B$2500=$A59)*(Gastos!$D$2:$D$2500))</f>
        <v>0</v>
      </c>
      <c r="DB59" s="75">
        <f t="array" ref="DB59">SUM((YEAR(Gastos!$A$2:$A$2500)=DB$1)*(MONTH(Gastos!$A$2:$A$2500)=DB$3)*(Gastos!$B$2:$B$2500=$A59)*(Gastos!$D$2:$D$2500))</f>
        <v>0</v>
      </c>
      <c r="DC59" s="75">
        <f t="array" ref="DC59">SUM((YEAR(Gastos!$A$2:$A$2500)=DC$1)*(MONTH(Gastos!$A$2:$A$2500)=DC$3)*(Gastos!$B$2:$B$2500=$A59)*(Gastos!$D$2:$D$2500))</f>
        <v>0</v>
      </c>
      <c r="DD59" s="75">
        <f t="array" ref="DD59">SUM((YEAR(Gastos!$A$2:$A$2500)=DD$1)*(MONTH(Gastos!$A$2:$A$2500)=DD$3)*(Gastos!$B$2:$B$2500=$A59)*(Gastos!$D$2:$D$2500))</f>
        <v>0</v>
      </c>
      <c r="DE59" s="75">
        <f t="array" ref="DE59">SUM((YEAR(Gastos!$A$2:$A$2500)=DE$1)*(MONTH(Gastos!$A$2:$A$2500)=DE$3)*(Gastos!$B$2:$B$2500=$A59)*(Gastos!$D$2:$D$2500))</f>
        <v>0</v>
      </c>
      <c r="DF59" s="75">
        <f t="array" ref="DF59">SUM((YEAR(Gastos!$A$2:$A$2500)=DF$1)*(MONTH(Gastos!$A$2:$A$2500)=DF$3)*(Gastos!$B$2:$B$2500=$A59)*(Gastos!$D$2:$D$2500))</f>
        <v>0</v>
      </c>
      <c r="DG59" s="75">
        <f t="array" ref="DG59">SUM((YEAR(Gastos!$A$2:$A$2500)=DG$1)*(MONTH(Gastos!$A$2:$A$2500)=DG$3)*(Gastos!$B$2:$B$2500=$A59)*(Gastos!$D$2:$D$2500))</f>
        <v>0</v>
      </c>
      <c r="DH59" s="75">
        <f t="array" ref="DH59">SUM((YEAR(Gastos!$A$2:$A$2500)=DH$1)*(MONTH(Gastos!$A$2:$A$2500)=DH$3)*(Gastos!$B$2:$B$2500=$A59)*(Gastos!$D$2:$D$2500))</f>
        <v>0</v>
      </c>
      <c r="DI59" s="75">
        <f t="array" ref="DI59">SUM((YEAR(Gastos!$A$2:$A$2500)=DI$1)*(MONTH(Gastos!$A$2:$A$2500)=DI$3)*(Gastos!$B$2:$B$2500=$A59)*(Gastos!$D$2:$D$2500))</f>
        <v>0</v>
      </c>
      <c r="DJ59" s="75">
        <f t="array" ref="DJ59">SUM((YEAR(Gastos!$A$2:$A$2500)=DJ$1)*(MONTH(Gastos!$A$2:$A$2500)=DJ$3)*(Gastos!$B$2:$B$2500=$A59)*(Gastos!$D$2:$D$2500))</f>
        <v>0</v>
      </c>
      <c r="DK59" s="75">
        <f t="array" ref="DK59">SUM((YEAR(Gastos!$A$2:$A$2500)=DK$1)*(MONTH(Gastos!$A$2:$A$2500)=DK$3)*(Gastos!$B$2:$B$2500=$A59)*(Gastos!$D$2:$D$2500))</f>
        <v>0</v>
      </c>
      <c r="DL59" s="75">
        <f t="array" ref="DL59">SUM((YEAR(Gastos!$A$2:$A$2500)=DL$1)*(MONTH(Gastos!$A$2:$A$2500)=DL$3)*(Gastos!$B$2:$B$2500=$A59)*(Gastos!$D$2:$D$2500))</f>
        <v>0</v>
      </c>
      <c r="DM59" s="75">
        <f t="array" ref="DM59">SUM((YEAR(Gastos!$A$2:$A$2500)=DM$1)*(MONTH(Gastos!$A$2:$A$2500)=DM$3)*(Gastos!$B$2:$B$2500=$A59)*(Gastos!$D$2:$D$2500))</f>
        <v>0</v>
      </c>
      <c r="DN59" s="75">
        <f t="array" ref="DN59">SUM((YEAR(Gastos!$A$2:$A$2500)=DN$1)*(MONTH(Gastos!$A$2:$A$2500)=DN$3)*(Gastos!$B$2:$B$2500=$A59)*(Gastos!$D$2:$D$2500))</f>
        <v>0</v>
      </c>
      <c r="DO59" s="75">
        <f t="array" ref="DO59">SUM((YEAR(Gastos!$A$2:$A$2500)=DO$1)*(MONTH(Gastos!$A$2:$A$2500)=DO$3)*(Gastos!$B$2:$B$2500=$A59)*(Gastos!$D$2:$D$2500))</f>
        <v>0</v>
      </c>
      <c r="DP59" s="75">
        <f t="array" ref="DP59">SUM((YEAR(Gastos!$A$2:$A$2500)=DP$1)*(MONTH(Gastos!$A$2:$A$2500)=DP$3)*(Gastos!$B$2:$B$2500=$A59)*(Gastos!$D$2:$D$2500))</f>
        <v>0</v>
      </c>
      <c r="DQ59" s="75">
        <f t="array" ref="DQ59">SUM((YEAR(Gastos!$A$2:$A$2500)=DQ$1)*(MONTH(Gastos!$A$2:$A$2500)=DQ$3)*(Gastos!$B$2:$B$2500=$A59)*(Gastos!$D$2:$D$2500))</f>
        <v>0</v>
      </c>
      <c r="DR59" s="75">
        <f t="array" ref="DR59">SUM((YEAR(Gastos!$A$2:$A$2500)=DR$1)*(MONTH(Gastos!$A$2:$A$2500)=DR$3)*(Gastos!$B$2:$B$2500=$A59)*(Gastos!$D$2:$D$2500))</f>
        <v>0</v>
      </c>
      <c r="DS59" s="75">
        <f t="array" ref="DS59">SUM((YEAR(Gastos!$A$2:$A$2500)=DS$1)*(MONTH(Gastos!$A$2:$A$2500)=DS$3)*(Gastos!$B$2:$B$2500=$A59)*(Gastos!$D$2:$D$2500))</f>
        <v>0</v>
      </c>
      <c r="DT59" s="75">
        <f t="array" ref="DT59">SUM((YEAR(Gastos!$A$2:$A$2500)=DT$1)*(MONTH(Gastos!$A$2:$A$2500)=DT$3)*(Gastos!$B$2:$B$2500=$A59)*(Gastos!$D$2:$D$2500))</f>
        <v>0</v>
      </c>
      <c r="DU59" s="75">
        <f t="array" ref="DU59">SUM((YEAR(Gastos!$A$2:$A$2500)=DU$1)*(MONTH(Gastos!$A$2:$A$2500)=DU$3)*(Gastos!$B$2:$B$2500=$A59)*(Gastos!$D$2:$D$2500))</f>
        <v>0</v>
      </c>
      <c r="DV59" s="75">
        <f t="array" ref="DV59">SUM((YEAR(Gastos!$A$2:$A$2500)=DV$1)*(MONTH(Gastos!$A$2:$A$2500)=DV$3)*(Gastos!$B$2:$B$2500=$A59)*(Gastos!$D$2:$D$2500))</f>
        <v>0</v>
      </c>
      <c r="DW59" s="75">
        <f t="array" ref="DW59">SUM((YEAR(Gastos!$A$2:$A$2500)=DW$1)*(MONTH(Gastos!$A$2:$A$2500)=DW$3)*(Gastos!$B$2:$B$2500=$A59)*(Gastos!$D$2:$D$2500))</f>
        <v>0</v>
      </c>
      <c r="DX59" s="75">
        <f t="array" ref="DX59">SUM((YEAR(Gastos!$A$2:$A$2500)=DX$1)*(MONTH(Gastos!$A$2:$A$2500)=DX$3)*(Gastos!$B$2:$B$2500=$A59)*(Gastos!$D$2:$D$2500))</f>
        <v>0</v>
      </c>
      <c r="DY59" s="75">
        <f t="array" ref="DY59">SUM((YEAR(Gastos!$A$2:$A$2500)=DY$1)*(MONTH(Gastos!$A$2:$A$2500)=DY$3)*(Gastos!$B$2:$B$2500=$A59)*(Gastos!$D$2:$D$2500))</f>
        <v>0</v>
      </c>
      <c r="DZ59" s="75">
        <f t="array" ref="DZ59">SUM((YEAR(Gastos!$A$2:$A$2500)=DZ$1)*(MONTH(Gastos!$A$2:$A$2500)=DZ$3)*(Gastos!$B$2:$B$2500=$A59)*(Gastos!$D$2:$D$2500))</f>
        <v>0</v>
      </c>
      <c r="EA59" s="75">
        <f t="array" ref="EA59">SUM((YEAR(Gastos!$A$2:$A$2500)=EA$1)*(MONTH(Gastos!$A$2:$A$2500)=EA$3)*(Gastos!$B$2:$B$2500=$A59)*(Gastos!$D$2:$D$2500))</f>
        <v>0</v>
      </c>
      <c r="EB59" s="75">
        <f t="array" ref="EB59">SUM((YEAR(Gastos!$A$2:$A$2500)=EB$1)*(MONTH(Gastos!$A$2:$A$2500)=EB$3)*(Gastos!$B$2:$B$2500=$A59)*(Gastos!$D$2:$D$2500))</f>
        <v>0</v>
      </c>
      <c r="EC59" s="75">
        <f t="array" ref="EC59">SUM((YEAR(Gastos!$A$2:$A$2500)=EC$1)*(MONTH(Gastos!$A$2:$A$2500)=EC$3)*(Gastos!$B$2:$B$2500=$A59)*(Gastos!$D$2:$D$2500))</f>
        <v>0</v>
      </c>
      <c r="ED59" s="75">
        <f t="array" ref="ED59">SUM((YEAR(Gastos!$A$2:$A$2500)=ED$1)*(MONTH(Gastos!$A$2:$A$2500)=ED$3)*(Gastos!$B$2:$B$2500=$A59)*(Gastos!$D$2:$D$2500))</f>
        <v>0</v>
      </c>
      <c r="EE59" s="75">
        <f t="array" ref="EE59">SUM((YEAR(Gastos!$A$2:$A$2500)=EE$1)*(MONTH(Gastos!$A$2:$A$2500)=EE$3)*(Gastos!$B$2:$B$2500=$A59)*(Gastos!$D$2:$D$2500))</f>
        <v>0</v>
      </c>
      <c r="EF59" s="75">
        <f t="array" ref="EF59">SUM((YEAR(Gastos!$A$2:$A$2500)=EF$1)*(MONTH(Gastos!$A$2:$A$2500)=EF$3)*(Gastos!$B$2:$B$2500=$A59)*(Gastos!$D$2:$D$2500))</f>
        <v>0</v>
      </c>
      <c r="EG59" s="75">
        <f t="array" ref="EG59">SUM((YEAR(Gastos!$A$2:$A$2500)=EG$1)*(MONTH(Gastos!$A$2:$A$2500)=EG$3)*(Gastos!$B$2:$B$2500=$A59)*(Gastos!$D$2:$D$2500))</f>
        <v>0</v>
      </c>
      <c r="EH59" s="75">
        <f t="array" ref="EH59">SUM((YEAR(Gastos!$A$2:$A$2500)=EH$1)*(MONTH(Gastos!$A$2:$A$2500)=EH$3)*(Gastos!$B$2:$B$2500=$A59)*(Gastos!$D$2:$D$2500))</f>
        <v>0</v>
      </c>
      <c r="EI59" s="75">
        <f t="array" ref="EI59">SUM((YEAR(Gastos!$A$2:$A$2500)=EI$1)*(MONTH(Gastos!$A$2:$A$2500)=EI$3)*(Gastos!$B$2:$B$2500=$A59)*(Gastos!$D$2:$D$2500))</f>
        <v>0</v>
      </c>
      <c r="EJ59" s="75">
        <f t="array" ref="EJ59">SUM((YEAR(Gastos!$A$2:$A$2500)=EJ$1)*(MONTH(Gastos!$A$2:$A$2500)=EJ$3)*(Gastos!$B$2:$B$2500=$A59)*(Gastos!$D$2:$D$2500))</f>
        <v>0</v>
      </c>
      <c r="EK59" s="75">
        <f t="array" ref="EK59">SUM((YEAR(Gastos!$A$2:$A$2500)=EK$1)*(MONTH(Gastos!$A$2:$A$2500)=EK$3)*(Gastos!$B$2:$B$2500=$A59)*(Gastos!$D$2:$D$2500))</f>
        <v>0</v>
      </c>
      <c r="EL59" s="75">
        <f t="array" ref="EL59">SUM((YEAR(Gastos!$A$2:$A$2500)=EL$1)*(MONTH(Gastos!$A$2:$A$2500)=EL$3)*(Gastos!$B$2:$B$2500=$A59)*(Gastos!$D$2:$D$2500))</f>
        <v>0</v>
      </c>
      <c r="EM59" s="75">
        <f t="array" ref="EM59">SUM((YEAR(Gastos!$A$2:$A$2500)=EM$1)*(MONTH(Gastos!$A$2:$A$2500)=EM$3)*(Gastos!$B$2:$B$2500=$A59)*(Gastos!$D$2:$D$2500))</f>
        <v>0</v>
      </c>
      <c r="EN59" s="75">
        <f t="array" ref="EN59">SUM((YEAR(Gastos!$A$2:$A$2500)=EN$1)*(MONTH(Gastos!$A$2:$A$2500)=EN$3)*(Gastos!$B$2:$B$2500=$A59)*(Gastos!$D$2:$D$2500))</f>
        <v>0</v>
      </c>
      <c r="EO59" s="75">
        <f t="array" ref="EO59">SUM((YEAR(Gastos!$A$2:$A$2500)=EO$1)*(MONTH(Gastos!$A$2:$A$2500)=EO$3)*(Gastos!$B$2:$B$2500=$A59)*(Gastos!$D$2:$D$2500))</f>
        <v>0</v>
      </c>
      <c r="EP59" s="75">
        <f t="array" ref="EP59">SUM((YEAR(Gastos!$A$2:$A$2500)=EP$1)*(MONTH(Gastos!$A$2:$A$2500)=EP$3)*(Gastos!$B$2:$B$2500=$A59)*(Gastos!$D$2:$D$2500))</f>
        <v>0</v>
      </c>
      <c r="EQ59" s="75">
        <f t="array" ref="EQ59">SUM((YEAR(Gastos!$A$2:$A$2500)=EQ$1)*(MONTH(Gastos!$A$2:$A$2500)=EQ$3)*(Gastos!$B$2:$B$2500=$A59)*(Gastos!$D$2:$D$2500))</f>
        <v>0</v>
      </c>
      <c r="ER59" s="75">
        <f t="array" ref="ER59">SUM((YEAR(Gastos!$A$2:$A$2500)=ER$1)*(MONTH(Gastos!$A$2:$A$2500)=ER$3)*(Gastos!$B$2:$B$2500=$A59)*(Gastos!$D$2:$D$2500))</f>
        <v>0</v>
      </c>
      <c r="ES59" s="75">
        <f t="array" ref="ES59">SUM((YEAR(Gastos!$A$2:$A$2500)=ES$1)*(MONTH(Gastos!$A$2:$A$2500)=ES$3)*(Gastos!$B$2:$B$2500=$A59)*(Gastos!$D$2:$D$2500))</f>
        <v>0</v>
      </c>
      <c r="ET59" s="75">
        <f t="array" ref="ET59">SUM((YEAR(Gastos!$A$2:$A$2500)=ET$1)*(MONTH(Gastos!$A$2:$A$2500)=ET$3)*(Gastos!$B$2:$B$2500=$A59)*(Gastos!$D$2:$D$2500))</f>
        <v>0</v>
      </c>
      <c r="EU59" s="75">
        <f t="array" ref="EU59">SUM((YEAR(Gastos!$A$2:$A$2500)=EU$1)*(MONTH(Gastos!$A$2:$A$2500)=EU$3)*(Gastos!$B$2:$B$2500=$A59)*(Gastos!$D$2:$D$2500))</f>
        <v>0</v>
      </c>
      <c r="EV59" s="75">
        <f t="array" ref="EV59">SUM((YEAR(Gastos!$A$2:$A$2500)=EV$1)*(MONTH(Gastos!$A$2:$A$2500)=EV$3)*(Gastos!$B$2:$B$2500=$A59)*(Gastos!$D$2:$D$2500))</f>
        <v>0</v>
      </c>
      <c r="EW59" s="75">
        <f t="array" ref="EW59">SUM((YEAR(Gastos!$A$2:$A$2500)=EW$1)*(MONTH(Gastos!$A$2:$A$2500)=EW$3)*(Gastos!$B$2:$B$2500=$A59)*(Gastos!$D$2:$D$2500))</f>
        <v>0</v>
      </c>
      <c r="EX59" s="75">
        <f t="array" ref="EX59">SUM((YEAR(Gastos!$A$2:$A$2500)=EX$1)*(MONTH(Gastos!$A$2:$A$2500)=EX$3)*(Gastos!$B$2:$B$2500=$A59)*(Gastos!$D$2:$D$2500))</f>
        <v>0</v>
      </c>
      <c r="EY59" s="75">
        <f t="array" ref="EY59">SUM((YEAR(Gastos!$A$2:$A$2500)=EY$1)*(MONTH(Gastos!$A$2:$A$2500)=EY$3)*(Gastos!$B$2:$B$2500=$A59)*(Gastos!$D$2:$D$2500))</f>
        <v>0</v>
      </c>
      <c r="EZ59" s="75">
        <f t="array" ref="EZ59">SUM((YEAR(Gastos!$A$2:$A$2500)=EZ$1)*(MONTH(Gastos!$A$2:$A$2500)=EZ$3)*(Gastos!$B$2:$B$2500=$A59)*(Gastos!$D$2:$D$2500))</f>
        <v>0</v>
      </c>
      <c r="FA59" s="75">
        <f t="array" ref="FA59">SUM((YEAR(Gastos!$A$2:$A$2500)=FA$1)*(MONTH(Gastos!$A$2:$A$2500)=FA$3)*(Gastos!$B$2:$B$2500=$A59)*(Gastos!$D$2:$D$2500))</f>
        <v>0</v>
      </c>
      <c r="FB59" s="75">
        <f t="array" ref="FB59">SUM((YEAR(Gastos!$A$2:$A$2500)=FB$1)*(MONTH(Gastos!$A$2:$A$2500)=FB$3)*(Gastos!$B$2:$B$2500=$A59)*(Gastos!$D$2:$D$2500))</f>
        <v>0</v>
      </c>
      <c r="FC59" s="75">
        <f t="array" ref="FC59">SUM((YEAR(Gastos!$A$2:$A$2500)=FC$1)*(MONTH(Gastos!$A$2:$A$2500)=FC$3)*(Gastos!$B$2:$B$2500=$A59)*(Gastos!$D$2:$D$2500))</f>
        <v>0</v>
      </c>
      <c r="FD59" s="75">
        <f t="array" ref="FD59">SUM((YEAR(Gastos!$A$2:$A$2500)=FD$1)*(MONTH(Gastos!$A$2:$A$2500)=FD$3)*(Gastos!$B$2:$B$2500=$A59)*(Gastos!$D$2:$D$2500))</f>
        <v>0</v>
      </c>
      <c r="FE59" s="75">
        <f t="array" ref="FE59">SUM((YEAR(Gastos!$A$2:$A$2500)=FE$1)*(MONTH(Gastos!$A$2:$A$2500)=FE$3)*(Gastos!$B$2:$B$2500=$A59)*(Gastos!$D$2:$D$2500))</f>
        <v>0</v>
      </c>
      <c r="FF59" s="75">
        <f t="array" ref="FF59">SUM((YEAR(Gastos!$A$2:$A$2500)=FF$1)*(MONTH(Gastos!$A$2:$A$2500)=FF$3)*(Gastos!$B$2:$B$2500=$A59)*(Gastos!$D$2:$D$2500))</f>
        <v>0</v>
      </c>
      <c r="FG59" s="75">
        <f t="array" ref="FG59">SUM((YEAR(Gastos!$A$2:$A$2500)=FG$1)*(MONTH(Gastos!$A$2:$A$2500)=FG$3)*(Gastos!$B$2:$B$2500=$A59)*(Gastos!$D$2:$D$2500))</f>
        <v>0</v>
      </c>
      <c r="FH59" s="75">
        <f t="array" ref="FH59">SUM((YEAR(Gastos!$A$2:$A$2500)=FH$1)*(MONTH(Gastos!$A$2:$A$2500)=FH$3)*(Gastos!$B$2:$B$2500=$A59)*(Gastos!$D$2:$D$2500))</f>
        <v>0</v>
      </c>
      <c r="FI59" s="75">
        <f t="array" ref="FI59">SUM((YEAR(Gastos!$A$2:$A$2500)=FI$1)*(MONTH(Gastos!$A$2:$A$2500)=FI$3)*(Gastos!$B$2:$B$2500=$A59)*(Gastos!$D$2:$D$2500))</f>
        <v>0</v>
      </c>
      <c r="FJ59" s="75">
        <f t="array" ref="FJ59">SUM((YEAR(Gastos!$A$2:$A$2500)=FJ$1)*(MONTH(Gastos!$A$2:$A$2500)=FJ$3)*(Gastos!$B$2:$B$2500=$A59)*(Gastos!$D$2:$D$2500))</f>
        <v>0</v>
      </c>
      <c r="FK59" s="75">
        <f t="array" ref="FK59">SUM((YEAR(Gastos!$A$2:$A$2500)=FK$1)*(MONTH(Gastos!$A$2:$A$2500)=FK$3)*(Gastos!$B$2:$B$2500=$A59)*(Gastos!$D$2:$D$2500))</f>
        <v>0</v>
      </c>
      <c r="FL59" s="75">
        <f t="array" ref="FL59">SUM((YEAR(Gastos!$A$2:$A$2500)=FL$1)*(MONTH(Gastos!$A$2:$A$2500)=FL$3)*(Gastos!$B$2:$B$2500=$A59)*(Gastos!$D$2:$D$2500))</f>
        <v>0</v>
      </c>
      <c r="FM59" s="75">
        <f t="array" ref="FM59">SUM((YEAR(Gastos!$A$2:$A$2500)=FM$1)*(MONTH(Gastos!$A$2:$A$2500)=FM$3)*(Gastos!$B$2:$B$2500=$A59)*(Gastos!$D$2:$D$2500))</f>
        <v>0</v>
      </c>
      <c r="FN59" s="75">
        <f t="array" ref="FN59">SUM((YEAR(Gastos!$A$2:$A$2500)=FN$1)*(MONTH(Gastos!$A$2:$A$2500)=FN$3)*(Gastos!$B$2:$B$2500=$A59)*(Gastos!$D$2:$D$2500))</f>
        <v>0</v>
      </c>
      <c r="FO59" s="75">
        <f t="array" ref="FO59">SUM((YEAR(Gastos!$A$2:$A$2500)=FO$1)*(MONTH(Gastos!$A$2:$A$2500)=FO$3)*(Gastos!$B$2:$B$2500=$A59)*(Gastos!$D$2:$D$2500))</f>
        <v>0</v>
      </c>
      <c r="FP59" s="75">
        <f t="array" ref="FP59">SUM((YEAR(Gastos!$A$2:$A$2500)=FP$1)*(MONTH(Gastos!$A$2:$A$2500)=FP$3)*(Gastos!$B$2:$B$2500=$A59)*(Gastos!$D$2:$D$2500))</f>
        <v>0</v>
      </c>
      <c r="FQ59" s="75">
        <f t="array" ref="FQ59">SUM((YEAR(Gastos!$A$2:$A$2500)=FQ$1)*(MONTH(Gastos!$A$2:$A$2500)=FQ$3)*(Gastos!$B$2:$B$2500=$A59)*(Gastos!$D$2:$D$2500))</f>
        <v>0</v>
      </c>
      <c r="FR59" s="75">
        <f t="array" ref="FR59">SUM((YEAR(Gastos!$A$2:$A$2500)=FR$1)*(MONTH(Gastos!$A$2:$A$2500)=FR$3)*(Gastos!$B$2:$B$2500=$A59)*(Gastos!$D$2:$D$2500))</f>
        <v>0</v>
      </c>
      <c r="FS59" s="75">
        <f t="array" ref="FS59">SUM((YEAR(Gastos!$A$2:$A$2500)=FS$1)*(MONTH(Gastos!$A$2:$A$2500)=FS$3)*(Gastos!$B$2:$B$2500=$A59)*(Gastos!$D$2:$D$2500))</f>
        <v>0</v>
      </c>
      <c r="FT59" s="75">
        <f t="array" ref="FT59">SUM((YEAR(Gastos!$A$2:$A$2500)=FT$1)*(MONTH(Gastos!$A$2:$A$2500)=FT$3)*(Gastos!$B$2:$B$2500=$A59)*(Gastos!$D$2:$D$2500))</f>
        <v>0</v>
      </c>
      <c r="FU59" s="75">
        <f t="array" ref="FU59">SUM((YEAR(Gastos!$A$2:$A$2500)=FU$1)*(MONTH(Gastos!$A$2:$A$2500)=FU$3)*(Gastos!$B$2:$B$2500=$A59)*(Gastos!$D$2:$D$2500))</f>
        <v>0</v>
      </c>
      <c r="FV59" s="75">
        <f t="array" ref="FV59">SUM((YEAR(Gastos!$A$2:$A$2500)=FV$1)*(MONTH(Gastos!$A$2:$A$2500)=FV$3)*(Gastos!$B$2:$B$2500=$A59)*(Gastos!$D$2:$D$2500))</f>
        <v>0</v>
      </c>
      <c r="FW59" s="75">
        <f t="array" ref="FW59">SUM((YEAR(Gastos!$A$2:$A$2500)=FW$1)*(MONTH(Gastos!$A$2:$A$2500)=FW$3)*(Gastos!$B$2:$B$2500=$A59)*(Gastos!$D$2:$D$2500))</f>
        <v>0</v>
      </c>
      <c r="FX59" s="75">
        <f t="array" ref="FX59">SUM((YEAR(Gastos!$A$2:$A$2500)=FX$1)*(MONTH(Gastos!$A$2:$A$2500)=FX$3)*(Gastos!$B$2:$B$2500=$A59)*(Gastos!$D$2:$D$2500))</f>
        <v>0</v>
      </c>
      <c r="FY59" s="75">
        <f t="array" ref="FY59">SUM((YEAR(Gastos!$A$2:$A$2500)=FY$1)*(MONTH(Gastos!$A$2:$A$2500)=FY$3)*(Gastos!$B$2:$B$2500=$A59)*(Gastos!$D$2:$D$2500))</f>
        <v>0</v>
      </c>
      <c r="FZ59" s="76">
        <f t="shared" si="65"/>
        <v>0</v>
      </c>
      <c r="GA59" s="80"/>
      <c r="GB59" s="82"/>
    </row>
    <row r="60" spans="1:191" ht="15" thickBot="1" x14ac:dyDescent="0.4">
      <c r="A60" s="74" t="str">
        <f>Gastos!AA58</f>
        <v>X</v>
      </c>
      <c r="B60" s="75">
        <f t="array" ref="B60">SUM((YEAR(Gastos!$A$2:$A$2500)=B$1)*(MONTH(Gastos!$A$2:$A$2500)=B$3)*(Gastos!$B$2:$B$2500=$A60)*(Gastos!$D$2:$D$2500))</f>
        <v>0</v>
      </c>
      <c r="C60" s="75">
        <f t="array" ref="C60">SUM((YEAR(Gastos!$A$2:$A$2500)=C$1)*(MONTH(Gastos!$A$2:$A$2500)=C$3)*(Gastos!$B$2:$B$2500=$A60)*(Gastos!$D$2:$D$2500))</f>
        <v>0</v>
      </c>
      <c r="D60" s="75">
        <f t="array" ref="D60">SUM((YEAR(Gastos!$A$2:$A$2500)=D$1)*(MONTH(Gastos!$A$2:$A$2500)=D$3)*(Gastos!$B$2:$B$2500=$A60)*(Gastos!$D$2:$D$2500))</f>
        <v>0</v>
      </c>
      <c r="E60" s="75">
        <f t="array" ref="E60">SUM((YEAR(Gastos!$A$2:$A$2500)=E$1)*(MONTH(Gastos!$A$2:$A$2500)=E$3)*(Gastos!$B$2:$B$2500=$A60)*(Gastos!$D$2:$D$2500))</f>
        <v>0</v>
      </c>
      <c r="F60" s="75">
        <f t="array" ref="F60">SUM((YEAR(Gastos!$A$2:$A$2500)=F$1)*(MONTH(Gastos!$A$2:$A$2500)=F$3)*(Gastos!$B$2:$B$2500=$A60)*(Gastos!$D$2:$D$2500))</f>
        <v>0</v>
      </c>
      <c r="G60" s="75">
        <f t="array" ref="G60">SUM((YEAR(Gastos!$A$2:$A$2500)=G$1)*(MONTH(Gastos!$A$2:$A$2500)=G$3)*(Gastos!$B$2:$B$2500=$A60)*(Gastos!$D$2:$D$2500))</f>
        <v>0</v>
      </c>
      <c r="H60" s="75">
        <f t="array" ref="H60">SUM((YEAR(Gastos!$A$2:$A$2500)=H$1)*(MONTH(Gastos!$A$2:$A$2500)=H$3)*(Gastos!$B$2:$B$2500=$A60)*(Gastos!$D$2:$D$2500))</f>
        <v>0</v>
      </c>
      <c r="I60" s="75">
        <f t="array" ref="I60">SUM((YEAR(Gastos!$A$2:$A$2500)=I$1)*(MONTH(Gastos!$A$2:$A$2500)=I$3)*(Gastos!$B$2:$B$2500=$A60)*(Gastos!$D$2:$D$2500))</f>
        <v>0</v>
      </c>
      <c r="J60" s="75">
        <f t="array" ref="J60">SUM((YEAR(Gastos!$A$2:$A$2500)=J$1)*(MONTH(Gastos!$A$2:$A$2500)=J$3)*(Gastos!$B$2:$B$2500=$A60)*(Gastos!$D$2:$D$2500))</f>
        <v>0</v>
      </c>
      <c r="K60" s="75">
        <f t="array" ref="K60">SUM((YEAR(Gastos!$A$2:$A$2500)=K$1)*(MONTH(Gastos!$A$2:$A$2500)=K$3)*(Gastos!$B$2:$B$2500=$A60)*(Gastos!$D$2:$D$2500))</f>
        <v>0</v>
      </c>
      <c r="L60" s="75">
        <f t="array" ref="L60">SUM((YEAR(Gastos!$A$2:$A$2500)=L$1)*(MONTH(Gastos!$A$2:$A$2500)=L$3)*(Gastos!$B$2:$B$2500=$A60)*(Gastos!$D$2:$D$2500))</f>
        <v>0</v>
      </c>
      <c r="M60" s="75">
        <f t="array" ref="M60">SUM((YEAR(Gastos!$A$2:$A$2500)=M$1)*(MONTH(Gastos!$A$2:$A$2500)=M$3)*(Gastos!$B$2:$B$2500=$A60)*(Gastos!$D$2:$D$2500))</f>
        <v>0</v>
      </c>
      <c r="N60" s="75">
        <f t="array" ref="N60">SUM((YEAR(Gastos!$A$2:$A$2500)=N$1)*(MONTH(Gastos!$A$2:$A$2500)=N$3)*(Gastos!$B$2:$B$2500=$A60)*(Gastos!$D$2:$D$2500))</f>
        <v>0</v>
      </c>
      <c r="O60" s="75">
        <f t="array" ref="O60">SUM((YEAR(Gastos!$A$2:$A$2500)=O$1)*(MONTH(Gastos!$A$2:$A$2500)=O$3)*(Gastos!$B$2:$B$2500=$A60)*(Gastos!$D$2:$D$2500))</f>
        <v>0</v>
      </c>
      <c r="P60" s="75">
        <f t="array" ref="P60">SUM((YEAR(Gastos!$A$2:$A$2500)=P$1)*(MONTH(Gastos!$A$2:$A$2500)=P$3)*(Gastos!$B$2:$B$2500=$A60)*(Gastos!$D$2:$D$2500))</f>
        <v>0</v>
      </c>
      <c r="Q60" s="75">
        <f t="array" ref="Q60">SUM((YEAR(Gastos!$A$2:$A$2500)=Q$1)*(MONTH(Gastos!$A$2:$A$2500)=Q$3)*(Gastos!$B$2:$B$2500=$A60)*(Gastos!$D$2:$D$2500))</f>
        <v>0</v>
      </c>
      <c r="R60" s="75">
        <f t="array" ref="R60">SUM((YEAR(Gastos!$A$2:$A$2500)=R$1)*(MONTH(Gastos!$A$2:$A$2500)=R$3)*(Gastos!$B$2:$B$2500=$A60)*(Gastos!$D$2:$D$2500))</f>
        <v>0</v>
      </c>
      <c r="S60" s="75">
        <f t="array" ref="S60">SUM((YEAR(Gastos!$A$2:$A$2500)=S$1)*(MONTH(Gastos!$A$2:$A$2500)=S$3)*(Gastos!$B$2:$B$2500=$A60)*(Gastos!$D$2:$D$2500))</f>
        <v>0</v>
      </c>
      <c r="T60" s="75">
        <f t="array" ref="T60">SUM((YEAR(Gastos!$A$2:$A$2500)=T$1)*(MONTH(Gastos!$A$2:$A$2500)=T$3)*(Gastos!$B$2:$B$2500=$A60)*(Gastos!$D$2:$D$2500))</f>
        <v>0</v>
      </c>
      <c r="U60" s="75">
        <f t="array" ref="U60">SUM((YEAR(Gastos!$A$2:$A$2500)=U$1)*(MONTH(Gastos!$A$2:$A$2500)=U$3)*(Gastos!$B$2:$B$2500=$A60)*(Gastos!$D$2:$D$2500))</f>
        <v>0</v>
      </c>
      <c r="V60" s="75">
        <f t="array" ref="V60">SUM((YEAR(Gastos!$A$2:$A$2500)=V$1)*(MONTH(Gastos!$A$2:$A$2500)=V$3)*(Gastos!$B$2:$B$2500=$A60)*(Gastos!$D$2:$D$2500))</f>
        <v>0</v>
      </c>
      <c r="W60" s="75">
        <f t="array" ref="W60">SUM((YEAR(Gastos!$A$2:$A$2500)=W$1)*(MONTH(Gastos!$A$2:$A$2500)=W$3)*(Gastos!$B$2:$B$2500=$A60)*(Gastos!$D$2:$D$2500))</f>
        <v>0</v>
      </c>
      <c r="X60" s="75">
        <f t="array" ref="X60">SUM((YEAR(Gastos!$A$2:$A$2500)=X$1)*(MONTH(Gastos!$A$2:$A$2500)=X$3)*(Gastos!$B$2:$B$2500=$A60)*(Gastos!$D$2:$D$2500))</f>
        <v>0</v>
      </c>
      <c r="Y60" s="75">
        <f t="array" ref="Y60">SUM((YEAR(Gastos!$A$2:$A$2500)=Y$1)*(MONTH(Gastos!$A$2:$A$2500)=Y$3)*(Gastos!$B$2:$B$2500=$A60)*(Gastos!$D$2:$D$2500))</f>
        <v>0</v>
      </c>
      <c r="Z60" s="75">
        <f t="array" ref="Z60">SUM((YEAR(Gastos!$A$2:$A$2500)=Z$1)*(MONTH(Gastos!$A$2:$A$2500)=Z$3)*(Gastos!$B$2:$B$2500=$A60)*(Gastos!$D$2:$D$2500))</f>
        <v>0</v>
      </c>
      <c r="AA60" s="75">
        <f t="array" ref="AA60">SUM((YEAR(Gastos!$A$2:$A$2500)=AA$1)*(MONTH(Gastos!$A$2:$A$2500)=AA$3)*(Gastos!$B$2:$B$2500=$A60)*(Gastos!$D$2:$D$2500))</f>
        <v>0</v>
      </c>
      <c r="AB60" s="75">
        <f t="array" ref="AB60">SUM((YEAR(Gastos!$A$2:$A$2500)=AB$1)*(MONTH(Gastos!$A$2:$A$2500)=AB$3)*(Gastos!$B$2:$B$2500=$A60)*(Gastos!$D$2:$D$2500))</f>
        <v>0</v>
      </c>
      <c r="AC60" s="75">
        <f t="array" ref="AC60">SUM((YEAR(Gastos!$A$2:$A$2500)=AC$1)*(MONTH(Gastos!$A$2:$A$2500)=AC$3)*(Gastos!$B$2:$B$2500=$A60)*(Gastos!$D$2:$D$2500))</f>
        <v>0</v>
      </c>
      <c r="AD60" s="75">
        <f t="array" ref="AD60">SUM((YEAR(Gastos!$A$2:$A$2500)=AD$1)*(MONTH(Gastos!$A$2:$A$2500)=AD$3)*(Gastos!$B$2:$B$2500=$A60)*(Gastos!$D$2:$D$2500))</f>
        <v>0</v>
      </c>
      <c r="AE60" s="75">
        <f t="array" ref="AE60">SUM((YEAR(Gastos!$A$2:$A$2500)=AE$1)*(MONTH(Gastos!$A$2:$A$2500)=AE$3)*(Gastos!$B$2:$B$2500=$A60)*(Gastos!$D$2:$D$2500))</f>
        <v>0</v>
      </c>
      <c r="AF60" s="75">
        <f t="array" ref="AF60">SUM((YEAR(Gastos!$A$2:$A$2500)=AF$1)*(MONTH(Gastos!$A$2:$A$2500)=AF$3)*(Gastos!$B$2:$B$2500=$A60)*(Gastos!$D$2:$D$2500))</f>
        <v>0</v>
      </c>
      <c r="AG60" s="75">
        <f t="array" ref="AG60">SUM((YEAR(Gastos!$A$2:$A$2500)=AG$1)*(MONTH(Gastos!$A$2:$A$2500)=AG$3)*(Gastos!$B$2:$B$2500=$A60)*(Gastos!$D$2:$D$2500))</f>
        <v>0</v>
      </c>
      <c r="AH60" s="75">
        <f t="array" ref="AH60">SUM((YEAR(Gastos!$A$2:$A$2500)=AH$1)*(MONTH(Gastos!$A$2:$A$2500)=AH$3)*(Gastos!$B$2:$B$2500=$A60)*(Gastos!$D$2:$D$2500))</f>
        <v>0</v>
      </c>
      <c r="AI60" s="75">
        <f t="array" ref="AI60">SUM((YEAR(Gastos!$A$2:$A$2500)=AI$1)*(MONTH(Gastos!$A$2:$A$2500)=AI$3)*(Gastos!$B$2:$B$2500=$A60)*(Gastos!$D$2:$D$2500))</f>
        <v>0</v>
      </c>
      <c r="AJ60" s="75">
        <f t="array" ref="AJ60">SUM((YEAR(Gastos!$A$2:$A$2500)=AJ$1)*(MONTH(Gastos!$A$2:$A$2500)=AJ$3)*(Gastos!$B$2:$B$2500=$A60)*(Gastos!$D$2:$D$2500))</f>
        <v>0</v>
      </c>
      <c r="AK60" s="75">
        <f t="array" ref="AK60">SUM((YEAR(Gastos!$A$2:$A$2500)=AK$1)*(MONTH(Gastos!$A$2:$A$2500)=AK$3)*(Gastos!$B$2:$B$2500=$A60)*(Gastos!$D$2:$D$2500))</f>
        <v>0</v>
      </c>
      <c r="AL60" s="75">
        <f t="array" ref="AL60">SUM((YEAR(Gastos!$A$2:$A$2500)=AL$1)*(MONTH(Gastos!$A$2:$A$2500)=AL$3)*(Gastos!$B$2:$B$2500=$A60)*(Gastos!$D$2:$D$2500))</f>
        <v>0</v>
      </c>
      <c r="AM60" s="75">
        <f t="array" ref="AM60">SUM((YEAR(Gastos!$A$2:$A$2500)=AM$1)*(MONTH(Gastos!$A$2:$A$2500)=AM$3)*(Gastos!$B$2:$B$2500=$A60)*(Gastos!$D$2:$D$2500))</f>
        <v>0</v>
      </c>
      <c r="AN60" s="75">
        <f t="array" ref="AN60">SUM((YEAR(Gastos!$A$2:$A$2500)=AN$1)*(MONTH(Gastos!$A$2:$A$2500)=AN$3)*(Gastos!$B$2:$B$2500=$A60)*(Gastos!$D$2:$D$2500))</f>
        <v>0</v>
      </c>
      <c r="AO60" s="75">
        <f t="array" ref="AO60">SUM((YEAR(Gastos!$A$2:$A$2500)=AO$1)*(MONTH(Gastos!$A$2:$A$2500)=AO$3)*(Gastos!$B$2:$B$2500=$A60)*(Gastos!$D$2:$D$2500))</f>
        <v>0</v>
      </c>
      <c r="AP60" s="75">
        <f t="array" ref="AP60">SUM((YEAR(Gastos!$A$2:$A$2500)=AP$1)*(MONTH(Gastos!$A$2:$A$2500)=AP$3)*(Gastos!$B$2:$B$2500=$A60)*(Gastos!$D$2:$D$2500))</f>
        <v>0</v>
      </c>
      <c r="AQ60" s="75">
        <f t="array" ref="AQ60">SUM((YEAR(Gastos!$A$2:$A$2500)=AQ$1)*(MONTH(Gastos!$A$2:$A$2500)=AQ$3)*(Gastos!$B$2:$B$2500=$A60)*(Gastos!$D$2:$D$2500))</f>
        <v>0</v>
      </c>
      <c r="AR60" s="75">
        <f t="array" ref="AR60">SUM((YEAR(Gastos!$A$2:$A$2500)=AR$1)*(MONTH(Gastos!$A$2:$A$2500)=AR$3)*(Gastos!$B$2:$B$2500=$A60)*(Gastos!$D$2:$D$2500))</f>
        <v>0</v>
      </c>
      <c r="AS60" s="75">
        <f t="array" ref="AS60">SUM((YEAR(Gastos!$A$2:$A$2500)=AS$1)*(MONTH(Gastos!$A$2:$A$2500)=AS$3)*(Gastos!$B$2:$B$2500=$A60)*(Gastos!$D$2:$D$2500))</f>
        <v>0</v>
      </c>
      <c r="AT60" s="75">
        <f t="array" ref="AT60">SUM((YEAR(Gastos!$A$2:$A$2500)=AT$1)*(MONTH(Gastos!$A$2:$A$2500)=AT$3)*(Gastos!$B$2:$B$2500=$A60)*(Gastos!$D$2:$D$2500))</f>
        <v>0</v>
      </c>
      <c r="AU60" s="75">
        <f t="array" ref="AU60">SUM((YEAR(Gastos!$A$2:$A$2500)=AU$1)*(MONTH(Gastos!$A$2:$A$2500)=AU$3)*(Gastos!$B$2:$B$2500=$A60)*(Gastos!$D$2:$D$2500))</f>
        <v>0</v>
      </c>
      <c r="AV60" s="75">
        <f t="array" ref="AV60">SUM((YEAR(Gastos!$A$2:$A$2500)=AV$1)*(MONTH(Gastos!$A$2:$A$2500)=AV$3)*(Gastos!$B$2:$B$2500=$A60)*(Gastos!$D$2:$D$2500))</f>
        <v>0</v>
      </c>
      <c r="AW60" s="75">
        <f t="array" ref="AW60">SUM((YEAR(Gastos!$A$2:$A$2500)=AW$1)*(MONTH(Gastos!$A$2:$A$2500)=AW$3)*(Gastos!$B$2:$B$2500=$A60)*(Gastos!$D$2:$D$2500))</f>
        <v>0</v>
      </c>
      <c r="AX60" s="75">
        <f t="array" ref="AX60">SUM((YEAR(Gastos!$A$2:$A$2500)=AX$1)*(MONTH(Gastos!$A$2:$A$2500)=AX$3)*(Gastos!$B$2:$B$2500=$A60)*(Gastos!$D$2:$D$2500))</f>
        <v>0</v>
      </c>
      <c r="AY60" s="75">
        <f t="array" ref="AY60">SUM((YEAR(Gastos!$A$2:$A$2500)=AY$1)*(MONTH(Gastos!$A$2:$A$2500)=AY$3)*(Gastos!$B$2:$B$2500=$A60)*(Gastos!$D$2:$D$2500))</f>
        <v>0</v>
      </c>
      <c r="AZ60" s="75">
        <f t="array" ref="AZ60">SUM((YEAR(Gastos!$A$2:$A$2500)=AZ$1)*(MONTH(Gastos!$A$2:$A$2500)=AZ$3)*(Gastos!$B$2:$B$2500=$A60)*(Gastos!$D$2:$D$2500))</f>
        <v>0</v>
      </c>
      <c r="BA60" s="75">
        <f t="array" ref="BA60">SUM((YEAR(Gastos!$A$2:$A$2500)=BA$1)*(MONTH(Gastos!$A$2:$A$2500)=BA$3)*(Gastos!$B$2:$B$2500=$A60)*(Gastos!$D$2:$D$2500))</f>
        <v>0</v>
      </c>
      <c r="BB60" s="75">
        <f t="array" ref="BB60">SUM((YEAR(Gastos!$A$2:$A$2500)=BB$1)*(MONTH(Gastos!$A$2:$A$2500)=BB$3)*(Gastos!$B$2:$B$2500=$A60)*(Gastos!$D$2:$D$2500))</f>
        <v>0</v>
      </c>
      <c r="BC60" s="75">
        <f t="array" ref="BC60">SUM((YEAR(Gastos!$A$2:$A$2500)=BC$1)*(MONTH(Gastos!$A$2:$A$2500)=BC$3)*(Gastos!$B$2:$B$2500=$A60)*(Gastos!$D$2:$D$2500))</f>
        <v>0</v>
      </c>
      <c r="BD60" s="75">
        <f t="array" ref="BD60">SUM((YEAR(Gastos!$A$2:$A$2500)=BD$1)*(MONTH(Gastos!$A$2:$A$2500)=BD$3)*(Gastos!$B$2:$B$2500=$A60)*(Gastos!$D$2:$D$2500))</f>
        <v>0</v>
      </c>
      <c r="BE60" s="75">
        <f t="array" ref="BE60">SUM((YEAR(Gastos!$A$2:$A$2500)=BE$1)*(MONTH(Gastos!$A$2:$A$2500)=BE$3)*(Gastos!$B$2:$B$2500=$A60)*(Gastos!$D$2:$D$2500))</f>
        <v>0</v>
      </c>
      <c r="BF60" s="75">
        <f t="array" ref="BF60">SUM((YEAR(Gastos!$A$2:$A$2500)=BF$1)*(MONTH(Gastos!$A$2:$A$2500)=BF$3)*(Gastos!$B$2:$B$2500=$A60)*(Gastos!$D$2:$D$2500))</f>
        <v>0</v>
      </c>
      <c r="BG60" s="75">
        <f t="array" ref="BG60">SUM((YEAR(Gastos!$A$2:$A$2500)=BG$1)*(MONTH(Gastos!$A$2:$A$2500)=BG$3)*(Gastos!$B$2:$B$2500=$A60)*(Gastos!$D$2:$D$2500))</f>
        <v>0</v>
      </c>
      <c r="BH60" s="75">
        <f t="array" ref="BH60">SUM((YEAR(Gastos!$A$2:$A$2500)=BH$1)*(MONTH(Gastos!$A$2:$A$2500)=BH$3)*(Gastos!$B$2:$B$2500=$A60)*(Gastos!$D$2:$D$2500))</f>
        <v>0</v>
      </c>
      <c r="BI60" s="75">
        <f t="array" ref="BI60">SUM((YEAR(Gastos!$A$2:$A$2500)=BI$1)*(MONTH(Gastos!$A$2:$A$2500)=BI$3)*(Gastos!$B$2:$B$2500=$A60)*(Gastos!$D$2:$D$2500))</f>
        <v>0</v>
      </c>
      <c r="BJ60" s="75">
        <f t="array" ref="BJ60">SUM((YEAR(Gastos!$A$2:$A$2500)=BJ$1)*(MONTH(Gastos!$A$2:$A$2500)=BJ$3)*(Gastos!$B$2:$B$2500=$A60)*(Gastos!$D$2:$D$2500))</f>
        <v>0</v>
      </c>
      <c r="BK60" s="75">
        <f t="array" ref="BK60">SUM((YEAR(Gastos!$A$2:$A$2500)=BK$1)*(MONTH(Gastos!$A$2:$A$2500)=BK$3)*(Gastos!$B$2:$B$2500=$A60)*(Gastos!$D$2:$D$2500))</f>
        <v>0</v>
      </c>
      <c r="BL60" s="75">
        <f t="array" ref="BL60">SUM((YEAR(Gastos!$A$2:$A$2500)=BL$1)*(MONTH(Gastos!$A$2:$A$2500)=BL$3)*(Gastos!$B$2:$B$2500=$A60)*(Gastos!$D$2:$D$2500))</f>
        <v>0</v>
      </c>
      <c r="BM60" s="75">
        <f t="array" ref="BM60">SUM((YEAR(Gastos!$A$2:$A$2500)=BM$1)*(MONTH(Gastos!$A$2:$A$2500)=BM$3)*(Gastos!$B$2:$B$2500=$A60)*(Gastos!$D$2:$D$2500))</f>
        <v>0</v>
      </c>
      <c r="BN60" s="75">
        <f t="array" ref="BN60">SUM((YEAR(Gastos!$A$2:$A$2500)=BN$1)*(MONTH(Gastos!$A$2:$A$2500)=BN$3)*(Gastos!$B$2:$B$2500=$A60)*(Gastos!$D$2:$D$2500))</f>
        <v>0</v>
      </c>
      <c r="BO60" s="75">
        <f t="array" ref="BO60">SUM((YEAR(Gastos!$A$2:$A$2500)=BO$1)*(MONTH(Gastos!$A$2:$A$2500)=BO$3)*(Gastos!$B$2:$B$2500=$A60)*(Gastos!$D$2:$D$2500))</f>
        <v>0</v>
      </c>
      <c r="BP60" s="75">
        <f t="array" ref="BP60">SUM((YEAR(Gastos!$A$2:$A$2500)=BP$1)*(MONTH(Gastos!$A$2:$A$2500)=BP$3)*(Gastos!$B$2:$B$2500=$A60)*(Gastos!$D$2:$D$2500))</f>
        <v>0</v>
      </c>
      <c r="BQ60" s="75">
        <f t="array" ref="BQ60">SUM((YEAR(Gastos!$A$2:$A$2500)=BQ$1)*(MONTH(Gastos!$A$2:$A$2500)=BQ$3)*(Gastos!$B$2:$B$2500=$A60)*(Gastos!$D$2:$D$2500))</f>
        <v>0</v>
      </c>
      <c r="BR60" s="75">
        <f t="array" ref="BR60">SUM((YEAR(Gastos!$A$2:$A$2500)=BR$1)*(MONTH(Gastos!$A$2:$A$2500)=BR$3)*(Gastos!$B$2:$B$2500=$A60)*(Gastos!$D$2:$D$2500))</f>
        <v>0</v>
      </c>
      <c r="BS60" s="75">
        <f t="array" ref="BS60">SUM((YEAR(Gastos!$A$2:$A$2500)=BS$1)*(MONTH(Gastos!$A$2:$A$2500)=BS$3)*(Gastos!$B$2:$B$2500=$A60)*(Gastos!$D$2:$D$2500))</f>
        <v>0</v>
      </c>
      <c r="BT60" s="75">
        <f t="array" ref="BT60">SUM((YEAR(Gastos!$A$2:$A$2500)=BT$1)*(MONTH(Gastos!$A$2:$A$2500)=BT$3)*(Gastos!$B$2:$B$2500=$A60)*(Gastos!$D$2:$D$2500))</f>
        <v>0</v>
      </c>
      <c r="BU60" s="75">
        <f t="array" ref="BU60">SUM((YEAR(Gastos!$A$2:$A$2500)=BU$1)*(MONTH(Gastos!$A$2:$A$2500)=BU$3)*(Gastos!$B$2:$B$2500=$A60)*(Gastos!$D$2:$D$2500))</f>
        <v>0</v>
      </c>
      <c r="BV60" s="75">
        <f t="array" ref="BV60">SUM((YEAR(Gastos!$A$2:$A$2500)=BV$1)*(MONTH(Gastos!$A$2:$A$2500)=BV$3)*(Gastos!$B$2:$B$2500=$A60)*(Gastos!$D$2:$D$2500))</f>
        <v>0</v>
      </c>
      <c r="BW60" s="75">
        <f t="array" ref="BW60">SUM((YEAR(Gastos!$A$2:$A$2500)=BW$1)*(MONTH(Gastos!$A$2:$A$2500)=BW$3)*(Gastos!$B$2:$B$2500=$A60)*(Gastos!$D$2:$D$2500))</f>
        <v>0</v>
      </c>
      <c r="BX60" s="75">
        <f t="array" ref="BX60">SUM((YEAR(Gastos!$A$2:$A$2500)=BX$1)*(MONTH(Gastos!$A$2:$A$2500)=BX$3)*(Gastos!$B$2:$B$2500=$A60)*(Gastos!$D$2:$D$2500))</f>
        <v>0</v>
      </c>
      <c r="BY60" s="75">
        <f t="array" ref="BY60">SUM((YEAR(Gastos!$A$2:$A$2500)=BY$1)*(MONTH(Gastos!$A$2:$A$2500)=BY$3)*(Gastos!$B$2:$B$2500=$A60)*(Gastos!$D$2:$D$2500))</f>
        <v>0</v>
      </c>
      <c r="BZ60" s="75">
        <f t="array" ref="BZ60">SUM((YEAR(Gastos!$A$2:$A$2500)=BZ$1)*(MONTH(Gastos!$A$2:$A$2500)=BZ$3)*(Gastos!$B$2:$B$2500=$A60)*(Gastos!$D$2:$D$2500))</f>
        <v>0</v>
      </c>
      <c r="CA60" s="75">
        <f t="array" ref="CA60">SUM((YEAR(Gastos!$A$2:$A$2500)=CA$1)*(MONTH(Gastos!$A$2:$A$2500)=CA$3)*(Gastos!$B$2:$B$2500=$A60)*(Gastos!$D$2:$D$2500))</f>
        <v>0</v>
      </c>
      <c r="CB60" s="75">
        <f t="array" ref="CB60">SUM((YEAR(Gastos!$A$2:$A$2500)=CB$1)*(MONTH(Gastos!$A$2:$A$2500)=CB$3)*(Gastos!$B$2:$B$2500=$A60)*(Gastos!$D$2:$D$2500))</f>
        <v>0</v>
      </c>
      <c r="CC60" s="75">
        <f t="array" ref="CC60">SUM((YEAR(Gastos!$A$2:$A$2500)=CC$1)*(MONTH(Gastos!$A$2:$A$2500)=CC$3)*(Gastos!$B$2:$B$2500=$A60)*(Gastos!$D$2:$D$2500))</f>
        <v>0</v>
      </c>
      <c r="CD60" s="75">
        <f t="array" ref="CD60">SUM((YEAR(Gastos!$A$2:$A$2500)=CD$1)*(MONTH(Gastos!$A$2:$A$2500)=CD$3)*(Gastos!$B$2:$B$2500=$A60)*(Gastos!$D$2:$D$2500))</f>
        <v>0</v>
      </c>
      <c r="CE60" s="75">
        <f t="array" ref="CE60">SUM((YEAR(Gastos!$A$2:$A$2500)=CE$1)*(MONTH(Gastos!$A$2:$A$2500)=CE$3)*(Gastos!$B$2:$B$2500=$A60)*(Gastos!$D$2:$D$2500))</f>
        <v>0</v>
      </c>
      <c r="CF60" s="75">
        <f t="array" ref="CF60">SUM((YEAR(Gastos!$A$2:$A$2500)=CF$1)*(MONTH(Gastos!$A$2:$A$2500)=CF$3)*(Gastos!$B$2:$B$2500=$A60)*(Gastos!$D$2:$D$2500))</f>
        <v>0</v>
      </c>
      <c r="CG60" s="75">
        <f t="array" ref="CG60">SUM((YEAR(Gastos!$A$2:$A$2500)=CG$1)*(MONTH(Gastos!$A$2:$A$2500)=CG$3)*(Gastos!$B$2:$B$2500=$A60)*(Gastos!$D$2:$D$2500))</f>
        <v>0</v>
      </c>
      <c r="CH60" s="75">
        <f t="array" ref="CH60">SUM((YEAR(Gastos!$A$2:$A$2500)=CH$1)*(MONTH(Gastos!$A$2:$A$2500)=CH$3)*(Gastos!$B$2:$B$2500=$A60)*(Gastos!$D$2:$D$2500))</f>
        <v>0</v>
      </c>
      <c r="CI60" s="75">
        <f t="array" ref="CI60">SUM((YEAR(Gastos!$A$2:$A$2500)=CI$1)*(MONTH(Gastos!$A$2:$A$2500)=CI$3)*(Gastos!$B$2:$B$2500=$A60)*(Gastos!$D$2:$D$2500))</f>
        <v>0</v>
      </c>
      <c r="CJ60" s="75">
        <f t="array" ref="CJ60">SUM((YEAR(Gastos!$A$2:$A$2500)=CJ$1)*(MONTH(Gastos!$A$2:$A$2500)=CJ$3)*(Gastos!$B$2:$B$2500=$A60)*(Gastos!$D$2:$D$2500))</f>
        <v>0</v>
      </c>
      <c r="CK60" s="75">
        <f t="array" ref="CK60">SUM((YEAR(Gastos!$A$2:$A$2500)=CK$1)*(MONTH(Gastos!$A$2:$A$2500)=CK$3)*(Gastos!$B$2:$B$2500=$A60)*(Gastos!$D$2:$D$2500))</f>
        <v>0</v>
      </c>
      <c r="CL60" s="75">
        <f t="array" ref="CL60">SUM((YEAR(Gastos!$A$2:$A$2500)=CL$1)*(MONTH(Gastos!$A$2:$A$2500)=CL$3)*(Gastos!$B$2:$B$2500=$A60)*(Gastos!$D$2:$D$2500))</f>
        <v>0</v>
      </c>
      <c r="CM60" s="75">
        <f t="array" ref="CM60">SUM((YEAR(Gastos!$A$2:$A$2500)=CM$1)*(MONTH(Gastos!$A$2:$A$2500)=CM$3)*(Gastos!$B$2:$B$2500=$A60)*(Gastos!$D$2:$D$2500))</f>
        <v>0</v>
      </c>
      <c r="CN60" s="75">
        <f t="array" ref="CN60">SUM((YEAR(Gastos!$A$2:$A$2500)=CN$1)*(MONTH(Gastos!$A$2:$A$2500)=CN$3)*(Gastos!$B$2:$B$2500=$A60)*(Gastos!$D$2:$D$2500))</f>
        <v>0</v>
      </c>
      <c r="CO60" s="75">
        <f t="array" ref="CO60">SUM((YEAR(Gastos!$A$2:$A$2500)=CO$1)*(MONTH(Gastos!$A$2:$A$2500)=CO$3)*(Gastos!$B$2:$B$2500=$A60)*(Gastos!$D$2:$D$2500))</f>
        <v>0</v>
      </c>
      <c r="CP60" s="75">
        <f t="array" ref="CP60">SUM((YEAR(Gastos!$A$2:$A$2500)=CP$1)*(MONTH(Gastos!$A$2:$A$2500)=CP$3)*(Gastos!$B$2:$B$2500=$A60)*(Gastos!$D$2:$D$2500))</f>
        <v>0</v>
      </c>
      <c r="CQ60" s="75">
        <f t="array" ref="CQ60">SUM((YEAR(Gastos!$A$2:$A$2500)=CQ$1)*(MONTH(Gastos!$A$2:$A$2500)=CQ$3)*(Gastos!$B$2:$B$2500=$A60)*(Gastos!$D$2:$D$2500))</f>
        <v>0</v>
      </c>
      <c r="CR60" s="75">
        <f t="array" ref="CR60">SUM((YEAR(Gastos!$A$2:$A$2500)=CR$1)*(MONTH(Gastos!$A$2:$A$2500)=CR$3)*(Gastos!$B$2:$B$2500=$A60)*(Gastos!$D$2:$D$2500))</f>
        <v>0</v>
      </c>
      <c r="CS60" s="75">
        <f t="array" ref="CS60">SUM((YEAR(Gastos!$A$2:$A$2500)=CS$1)*(MONTH(Gastos!$A$2:$A$2500)=CS$3)*(Gastos!$B$2:$B$2500=$A60)*(Gastos!$D$2:$D$2500))</f>
        <v>0</v>
      </c>
      <c r="CT60" s="75">
        <f t="array" ref="CT60">SUM((YEAR(Gastos!$A$2:$A$2500)=CT$1)*(MONTH(Gastos!$A$2:$A$2500)=CT$3)*(Gastos!$B$2:$B$2500=$A60)*(Gastos!$D$2:$D$2500))</f>
        <v>0</v>
      </c>
      <c r="CU60" s="75">
        <f t="array" ref="CU60">SUM((YEAR(Gastos!$A$2:$A$2500)=CU$1)*(MONTH(Gastos!$A$2:$A$2500)=CU$3)*(Gastos!$B$2:$B$2500=$A60)*(Gastos!$D$2:$D$2500))</f>
        <v>0</v>
      </c>
      <c r="CV60" s="75">
        <f t="array" ref="CV60">SUM((YEAR(Gastos!$A$2:$A$2500)=CV$1)*(MONTH(Gastos!$A$2:$A$2500)=CV$3)*(Gastos!$B$2:$B$2500=$A60)*(Gastos!$D$2:$D$2500))</f>
        <v>0</v>
      </c>
      <c r="CW60" s="75">
        <f t="array" ref="CW60">SUM((YEAR(Gastos!$A$2:$A$2500)=CW$1)*(MONTH(Gastos!$A$2:$A$2500)=CW$3)*(Gastos!$B$2:$B$2500=$A60)*(Gastos!$D$2:$D$2500))</f>
        <v>0</v>
      </c>
      <c r="CX60" s="75">
        <f t="array" ref="CX60">SUM((YEAR(Gastos!$A$2:$A$2500)=CX$1)*(MONTH(Gastos!$A$2:$A$2500)=CX$3)*(Gastos!$B$2:$B$2500=$A60)*(Gastos!$D$2:$D$2500))</f>
        <v>0</v>
      </c>
      <c r="CY60" s="75">
        <f t="array" ref="CY60">SUM((YEAR(Gastos!$A$2:$A$2500)=CY$1)*(MONTH(Gastos!$A$2:$A$2500)=CY$3)*(Gastos!$B$2:$B$2500=$A60)*(Gastos!$D$2:$D$2500))</f>
        <v>0</v>
      </c>
      <c r="CZ60" s="75">
        <f t="array" ref="CZ60">SUM((YEAR(Gastos!$A$2:$A$2500)=CZ$1)*(MONTH(Gastos!$A$2:$A$2500)=CZ$3)*(Gastos!$B$2:$B$2500=$A60)*(Gastos!$D$2:$D$2500))</f>
        <v>0</v>
      </c>
      <c r="DA60" s="75">
        <f t="array" ref="DA60">SUM((YEAR(Gastos!$A$2:$A$2500)=DA$1)*(MONTH(Gastos!$A$2:$A$2500)=DA$3)*(Gastos!$B$2:$B$2500=$A60)*(Gastos!$D$2:$D$2500))</f>
        <v>0</v>
      </c>
      <c r="DB60" s="75">
        <f t="array" ref="DB60">SUM((YEAR(Gastos!$A$2:$A$2500)=DB$1)*(MONTH(Gastos!$A$2:$A$2500)=DB$3)*(Gastos!$B$2:$B$2500=$A60)*(Gastos!$D$2:$D$2500))</f>
        <v>0</v>
      </c>
      <c r="DC60" s="75">
        <f t="array" ref="DC60">SUM((YEAR(Gastos!$A$2:$A$2500)=DC$1)*(MONTH(Gastos!$A$2:$A$2500)=DC$3)*(Gastos!$B$2:$B$2500=$A60)*(Gastos!$D$2:$D$2500))</f>
        <v>0</v>
      </c>
      <c r="DD60" s="75">
        <f t="array" ref="DD60">SUM((YEAR(Gastos!$A$2:$A$2500)=DD$1)*(MONTH(Gastos!$A$2:$A$2500)=DD$3)*(Gastos!$B$2:$B$2500=$A60)*(Gastos!$D$2:$D$2500))</f>
        <v>0</v>
      </c>
      <c r="DE60" s="75">
        <f t="array" ref="DE60">SUM((YEAR(Gastos!$A$2:$A$2500)=DE$1)*(MONTH(Gastos!$A$2:$A$2500)=DE$3)*(Gastos!$B$2:$B$2500=$A60)*(Gastos!$D$2:$D$2500))</f>
        <v>0</v>
      </c>
      <c r="DF60" s="75">
        <f t="array" ref="DF60">SUM((YEAR(Gastos!$A$2:$A$2500)=DF$1)*(MONTH(Gastos!$A$2:$A$2500)=DF$3)*(Gastos!$B$2:$B$2500=$A60)*(Gastos!$D$2:$D$2500))</f>
        <v>0</v>
      </c>
      <c r="DG60" s="75">
        <f t="array" ref="DG60">SUM((YEAR(Gastos!$A$2:$A$2500)=DG$1)*(MONTH(Gastos!$A$2:$A$2500)=DG$3)*(Gastos!$B$2:$B$2500=$A60)*(Gastos!$D$2:$D$2500))</f>
        <v>0</v>
      </c>
      <c r="DH60" s="75">
        <f t="array" ref="DH60">SUM((YEAR(Gastos!$A$2:$A$2500)=DH$1)*(MONTH(Gastos!$A$2:$A$2500)=DH$3)*(Gastos!$B$2:$B$2500=$A60)*(Gastos!$D$2:$D$2500))</f>
        <v>0</v>
      </c>
      <c r="DI60" s="75">
        <f t="array" ref="DI60">SUM((YEAR(Gastos!$A$2:$A$2500)=DI$1)*(MONTH(Gastos!$A$2:$A$2500)=DI$3)*(Gastos!$B$2:$B$2500=$A60)*(Gastos!$D$2:$D$2500))</f>
        <v>0</v>
      </c>
      <c r="DJ60" s="75">
        <f t="array" ref="DJ60">SUM((YEAR(Gastos!$A$2:$A$2500)=DJ$1)*(MONTH(Gastos!$A$2:$A$2500)=DJ$3)*(Gastos!$B$2:$B$2500=$A60)*(Gastos!$D$2:$D$2500))</f>
        <v>0</v>
      </c>
      <c r="DK60" s="75">
        <f t="array" ref="DK60">SUM((YEAR(Gastos!$A$2:$A$2500)=DK$1)*(MONTH(Gastos!$A$2:$A$2500)=DK$3)*(Gastos!$B$2:$B$2500=$A60)*(Gastos!$D$2:$D$2500))</f>
        <v>0</v>
      </c>
      <c r="DL60" s="75">
        <f t="array" ref="DL60">SUM((YEAR(Gastos!$A$2:$A$2500)=DL$1)*(MONTH(Gastos!$A$2:$A$2500)=DL$3)*(Gastos!$B$2:$B$2500=$A60)*(Gastos!$D$2:$D$2500))</f>
        <v>0</v>
      </c>
      <c r="DM60" s="75">
        <f t="array" ref="DM60">SUM((YEAR(Gastos!$A$2:$A$2500)=DM$1)*(MONTH(Gastos!$A$2:$A$2500)=DM$3)*(Gastos!$B$2:$B$2500=$A60)*(Gastos!$D$2:$D$2500))</f>
        <v>0</v>
      </c>
      <c r="DN60" s="75">
        <f t="array" ref="DN60">SUM((YEAR(Gastos!$A$2:$A$2500)=DN$1)*(MONTH(Gastos!$A$2:$A$2500)=DN$3)*(Gastos!$B$2:$B$2500=$A60)*(Gastos!$D$2:$D$2500))</f>
        <v>0</v>
      </c>
      <c r="DO60" s="75">
        <f t="array" ref="DO60">SUM((YEAR(Gastos!$A$2:$A$2500)=DO$1)*(MONTH(Gastos!$A$2:$A$2500)=DO$3)*(Gastos!$B$2:$B$2500=$A60)*(Gastos!$D$2:$D$2500))</f>
        <v>0</v>
      </c>
      <c r="DP60" s="75">
        <f t="array" ref="DP60">SUM((YEAR(Gastos!$A$2:$A$2500)=DP$1)*(MONTH(Gastos!$A$2:$A$2500)=DP$3)*(Gastos!$B$2:$B$2500=$A60)*(Gastos!$D$2:$D$2500))</f>
        <v>0</v>
      </c>
      <c r="DQ60" s="75">
        <f t="array" ref="DQ60">SUM((YEAR(Gastos!$A$2:$A$2500)=DQ$1)*(MONTH(Gastos!$A$2:$A$2500)=DQ$3)*(Gastos!$B$2:$B$2500=$A60)*(Gastos!$D$2:$D$2500))</f>
        <v>0</v>
      </c>
      <c r="DR60" s="75">
        <f t="array" ref="DR60">SUM((YEAR(Gastos!$A$2:$A$2500)=DR$1)*(MONTH(Gastos!$A$2:$A$2500)=DR$3)*(Gastos!$B$2:$B$2500=$A60)*(Gastos!$D$2:$D$2500))</f>
        <v>0</v>
      </c>
      <c r="DS60" s="75">
        <f t="array" ref="DS60">SUM((YEAR(Gastos!$A$2:$A$2500)=DS$1)*(MONTH(Gastos!$A$2:$A$2500)=DS$3)*(Gastos!$B$2:$B$2500=$A60)*(Gastos!$D$2:$D$2500))</f>
        <v>0</v>
      </c>
      <c r="DT60" s="75">
        <f t="array" ref="DT60">SUM((YEAR(Gastos!$A$2:$A$2500)=DT$1)*(MONTH(Gastos!$A$2:$A$2500)=DT$3)*(Gastos!$B$2:$B$2500=$A60)*(Gastos!$D$2:$D$2500))</f>
        <v>0</v>
      </c>
      <c r="DU60" s="75">
        <f t="array" ref="DU60">SUM((YEAR(Gastos!$A$2:$A$2500)=DU$1)*(MONTH(Gastos!$A$2:$A$2500)=DU$3)*(Gastos!$B$2:$B$2500=$A60)*(Gastos!$D$2:$D$2500))</f>
        <v>0</v>
      </c>
      <c r="DV60" s="75">
        <f t="array" ref="DV60">SUM((YEAR(Gastos!$A$2:$A$2500)=DV$1)*(MONTH(Gastos!$A$2:$A$2500)=DV$3)*(Gastos!$B$2:$B$2500=$A60)*(Gastos!$D$2:$D$2500))</f>
        <v>0</v>
      </c>
      <c r="DW60" s="75">
        <f t="array" ref="DW60">SUM((YEAR(Gastos!$A$2:$A$2500)=DW$1)*(MONTH(Gastos!$A$2:$A$2500)=DW$3)*(Gastos!$B$2:$B$2500=$A60)*(Gastos!$D$2:$D$2500))</f>
        <v>0</v>
      </c>
      <c r="DX60" s="75">
        <f t="array" ref="DX60">SUM((YEAR(Gastos!$A$2:$A$2500)=DX$1)*(MONTH(Gastos!$A$2:$A$2500)=DX$3)*(Gastos!$B$2:$B$2500=$A60)*(Gastos!$D$2:$D$2500))</f>
        <v>0</v>
      </c>
      <c r="DY60" s="75">
        <f t="array" ref="DY60">SUM((YEAR(Gastos!$A$2:$A$2500)=DY$1)*(MONTH(Gastos!$A$2:$A$2500)=DY$3)*(Gastos!$B$2:$B$2500=$A60)*(Gastos!$D$2:$D$2500))</f>
        <v>0</v>
      </c>
      <c r="DZ60" s="75">
        <f t="array" ref="DZ60">SUM((YEAR(Gastos!$A$2:$A$2500)=DZ$1)*(MONTH(Gastos!$A$2:$A$2500)=DZ$3)*(Gastos!$B$2:$B$2500=$A60)*(Gastos!$D$2:$D$2500))</f>
        <v>0</v>
      </c>
      <c r="EA60" s="75">
        <f t="array" ref="EA60">SUM((YEAR(Gastos!$A$2:$A$2500)=EA$1)*(MONTH(Gastos!$A$2:$A$2500)=EA$3)*(Gastos!$B$2:$B$2500=$A60)*(Gastos!$D$2:$D$2500))</f>
        <v>0</v>
      </c>
      <c r="EB60" s="75">
        <f t="array" ref="EB60">SUM((YEAR(Gastos!$A$2:$A$2500)=EB$1)*(MONTH(Gastos!$A$2:$A$2500)=EB$3)*(Gastos!$B$2:$B$2500=$A60)*(Gastos!$D$2:$D$2500))</f>
        <v>0</v>
      </c>
      <c r="EC60" s="75">
        <f t="array" ref="EC60">SUM((YEAR(Gastos!$A$2:$A$2500)=EC$1)*(MONTH(Gastos!$A$2:$A$2500)=EC$3)*(Gastos!$B$2:$B$2500=$A60)*(Gastos!$D$2:$D$2500))</f>
        <v>0</v>
      </c>
      <c r="ED60" s="75">
        <f t="array" ref="ED60">SUM((YEAR(Gastos!$A$2:$A$2500)=ED$1)*(MONTH(Gastos!$A$2:$A$2500)=ED$3)*(Gastos!$B$2:$B$2500=$A60)*(Gastos!$D$2:$D$2500))</f>
        <v>0</v>
      </c>
      <c r="EE60" s="75">
        <f t="array" ref="EE60">SUM((YEAR(Gastos!$A$2:$A$2500)=EE$1)*(MONTH(Gastos!$A$2:$A$2500)=EE$3)*(Gastos!$B$2:$B$2500=$A60)*(Gastos!$D$2:$D$2500))</f>
        <v>0</v>
      </c>
      <c r="EF60" s="75">
        <f t="array" ref="EF60">SUM((YEAR(Gastos!$A$2:$A$2500)=EF$1)*(MONTH(Gastos!$A$2:$A$2500)=EF$3)*(Gastos!$B$2:$B$2500=$A60)*(Gastos!$D$2:$D$2500))</f>
        <v>0</v>
      </c>
      <c r="EG60" s="75">
        <f t="array" ref="EG60">SUM((YEAR(Gastos!$A$2:$A$2500)=EG$1)*(MONTH(Gastos!$A$2:$A$2500)=EG$3)*(Gastos!$B$2:$B$2500=$A60)*(Gastos!$D$2:$D$2500))</f>
        <v>0</v>
      </c>
      <c r="EH60" s="75">
        <f t="array" ref="EH60">SUM((YEAR(Gastos!$A$2:$A$2500)=EH$1)*(MONTH(Gastos!$A$2:$A$2500)=EH$3)*(Gastos!$B$2:$B$2500=$A60)*(Gastos!$D$2:$D$2500))</f>
        <v>0</v>
      </c>
      <c r="EI60" s="75">
        <f t="array" ref="EI60">SUM((YEAR(Gastos!$A$2:$A$2500)=EI$1)*(MONTH(Gastos!$A$2:$A$2500)=EI$3)*(Gastos!$B$2:$B$2500=$A60)*(Gastos!$D$2:$D$2500))</f>
        <v>0</v>
      </c>
      <c r="EJ60" s="75">
        <f t="array" ref="EJ60">SUM((YEAR(Gastos!$A$2:$A$2500)=EJ$1)*(MONTH(Gastos!$A$2:$A$2500)=EJ$3)*(Gastos!$B$2:$B$2500=$A60)*(Gastos!$D$2:$D$2500))</f>
        <v>0</v>
      </c>
      <c r="EK60" s="75">
        <f t="array" ref="EK60">SUM((YEAR(Gastos!$A$2:$A$2500)=EK$1)*(MONTH(Gastos!$A$2:$A$2500)=EK$3)*(Gastos!$B$2:$B$2500=$A60)*(Gastos!$D$2:$D$2500))</f>
        <v>0</v>
      </c>
      <c r="EL60" s="75">
        <f t="array" ref="EL60">SUM((YEAR(Gastos!$A$2:$A$2500)=EL$1)*(MONTH(Gastos!$A$2:$A$2500)=EL$3)*(Gastos!$B$2:$B$2500=$A60)*(Gastos!$D$2:$D$2500))</f>
        <v>0</v>
      </c>
      <c r="EM60" s="75">
        <f t="array" ref="EM60">SUM((YEAR(Gastos!$A$2:$A$2500)=EM$1)*(MONTH(Gastos!$A$2:$A$2500)=EM$3)*(Gastos!$B$2:$B$2500=$A60)*(Gastos!$D$2:$D$2500))</f>
        <v>0</v>
      </c>
      <c r="EN60" s="75">
        <f t="array" ref="EN60">SUM((YEAR(Gastos!$A$2:$A$2500)=EN$1)*(MONTH(Gastos!$A$2:$A$2500)=EN$3)*(Gastos!$B$2:$B$2500=$A60)*(Gastos!$D$2:$D$2500))</f>
        <v>0</v>
      </c>
      <c r="EO60" s="75">
        <f t="array" ref="EO60">SUM((YEAR(Gastos!$A$2:$A$2500)=EO$1)*(MONTH(Gastos!$A$2:$A$2500)=EO$3)*(Gastos!$B$2:$B$2500=$A60)*(Gastos!$D$2:$D$2500))</f>
        <v>0</v>
      </c>
      <c r="EP60" s="75">
        <f t="array" ref="EP60">SUM((YEAR(Gastos!$A$2:$A$2500)=EP$1)*(MONTH(Gastos!$A$2:$A$2500)=EP$3)*(Gastos!$B$2:$B$2500=$A60)*(Gastos!$D$2:$D$2500))</f>
        <v>0</v>
      </c>
      <c r="EQ60" s="75">
        <f t="array" ref="EQ60">SUM((YEAR(Gastos!$A$2:$A$2500)=EQ$1)*(MONTH(Gastos!$A$2:$A$2500)=EQ$3)*(Gastos!$B$2:$B$2500=$A60)*(Gastos!$D$2:$D$2500))</f>
        <v>0</v>
      </c>
      <c r="ER60" s="75">
        <f t="array" ref="ER60">SUM((YEAR(Gastos!$A$2:$A$2500)=ER$1)*(MONTH(Gastos!$A$2:$A$2500)=ER$3)*(Gastos!$B$2:$B$2500=$A60)*(Gastos!$D$2:$D$2500))</f>
        <v>0</v>
      </c>
      <c r="ES60" s="75">
        <f t="array" ref="ES60">SUM((YEAR(Gastos!$A$2:$A$2500)=ES$1)*(MONTH(Gastos!$A$2:$A$2500)=ES$3)*(Gastos!$B$2:$B$2500=$A60)*(Gastos!$D$2:$D$2500))</f>
        <v>0</v>
      </c>
      <c r="ET60" s="75">
        <f t="array" ref="ET60">SUM((YEAR(Gastos!$A$2:$A$2500)=ET$1)*(MONTH(Gastos!$A$2:$A$2500)=ET$3)*(Gastos!$B$2:$B$2500=$A60)*(Gastos!$D$2:$D$2500))</f>
        <v>0</v>
      </c>
      <c r="EU60" s="75">
        <f t="array" ref="EU60">SUM((YEAR(Gastos!$A$2:$A$2500)=EU$1)*(MONTH(Gastos!$A$2:$A$2500)=EU$3)*(Gastos!$B$2:$B$2500=$A60)*(Gastos!$D$2:$D$2500))</f>
        <v>0</v>
      </c>
      <c r="EV60" s="75">
        <f t="array" ref="EV60">SUM((YEAR(Gastos!$A$2:$A$2500)=EV$1)*(MONTH(Gastos!$A$2:$A$2500)=EV$3)*(Gastos!$B$2:$B$2500=$A60)*(Gastos!$D$2:$D$2500))</f>
        <v>0</v>
      </c>
      <c r="EW60" s="75">
        <f t="array" ref="EW60">SUM((YEAR(Gastos!$A$2:$A$2500)=EW$1)*(MONTH(Gastos!$A$2:$A$2500)=EW$3)*(Gastos!$B$2:$B$2500=$A60)*(Gastos!$D$2:$D$2500))</f>
        <v>0</v>
      </c>
      <c r="EX60" s="75">
        <f t="array" ref="EX60">SUM((YEAR(Gastos!$A$2:$A$2500)=EX$1)*(MONTH(Gastos!$A$2:$A$2500)=EX$3)*(Gastos!$B$2:$B$2500=$A60)*(Gastos!$D$2:$D$2500))</f>
        <v>0</v>
      </c>
      <c r="EY60" s="75">
        <f t="array" ref="EY60">SUM((YEAR(Gastos!$A$2:$A$2500)=EY$1)*(MONTH(Gastos!$A$2:$A$2500)=EY$3)*(Gastos!$B$2:$B$2500=$A60)*(Gastos!$D$2:$D$2500))</f>
        <v>0</v>
      </c>
      <c r="EZ60" s="75">
        <f t="array" ref="EZ60">SUM((YEAR(Gastos!$A$2:$A$2500)=EZ$1)*(MONTH(Gastos!$A$2:$A$2500)=EZ$3)*(Gastos!$B$2:$B$2500=$A60)*(Gastos!$D$2:$D$2500))</f>
        <v>0</v>
      </c>
      <c r="FA60" s="75">
        <f t="array" ref="FA60">SUM((YEAR(Gastos!$A$2:$A$2500)=FA$1)*(MONTH(Gastos!$A$2:$A$2500)=FA$3)*(Gastos!$B$2:$B$2500=$A60)*(Gastos!$D$2:$D$2500))</f>
        <v>0</v>
      </c>
      <c r="FB60" s="75">
        <f t="array" ref="FB60">SUM((YEAR(Gastos!$A$2:$A$2500)=FB$1)*(MONTH(Gastos!$A$2:$A$2500)=FB$3)*(Gastos!$B$2:$B$2500=$A60)*(Gastos!$D$2:$D$2500))</f>
        <v>0</v>
      </c>
      <c r="FC60" s="75">
        <f t="array" ref="FC60">SUM((YEAR(Gastos!$A$2:$A$2500)=FC$1)*(MONTH(Gastos!$A$2:$A$2500)=FC$3)*(Gastos!$B$2:$B$2500=$A60)*(Gastos!$D$2:$D$2500))</f>
        <v>0</v>
      </c>
      <c r="FD60" s="75">
        <f t="array" ref="FD60">SUM((YEAR(Gastos!$A$2:$A$2500)=FD$1)*(MONTH(Gastos!$A$2:$A$2500)=FD$3)*(Gastos!$B$2:$B$2500=$A60)*(Gastos!$D$2:$D$2500))</f>
        <v>0</v>
      </c>
      <c r="FE60" s="75">
        <f t="array" ref="FE60">SUM((YEAR(Gastos!$A$2:$A$2500)=FE$1)*(MONTH(Gastos!$A$2:$A$2500)=FE$3)*(Gastos!$B$2:$B$2500=$A60)*(Gastos!$D$2:$D$2500))</f>
        <v>0</v>
      </c>
      <c r="FF60" s="75">
        <f t="array" ref="FF60">SUM((YEAR(Gastos!$A$2:$A$2500)=FF$1)*(MONTH(Gastos!$A$2:$A$2500)=FF$3)*(Gastos!$B$2:$B$2500=$A60)*(Gastos!$D$2:$D$2500))</f>
        <v>0</v>
      </c>
      <c r="FG60" s="75">
        <f t="array" ref="FG60">SUM((YEAR(Gastos!$A$2:$A$2500)=FG$1)*(MONTH(Gastos!$A$2:$A$2500)=FG$3)*(Gastos!$B$2:$B$2500=$A60)*(Gastos!$D$2:$D$2500))</f>
        <v>0</v>
      </c>
      <c r="FH60" s="75">
        <f t="array" ref="FH60">SUM((YEAR(Gastos!$A$2:$A$2500)=FH$1)*(MONTH(Gastos!$A$2:$A$2500)=FH$3)*(Gastos!$B$2:$B$2500=$A60)*(Gastos!$D$2:$D$2500))</f>
        <v>0</v>
      </c>
      <c r="FI60" s="75">
        <f t="array" ref="FI60">SUM((YEAR(Gastos!$A$2:$A$2500)=FI$1)*(MONTH(Gastos!$A$2:$A$2500)=FI$3)*(Gastos!$B$2:$B$2500=$A60)*(Gastos!$D$2:$D$2500))</f>
        <v>0</v>
      </c>
      <c r="FJ60" s="75">
        <f t="array" ref="FJ60">SUM((YEAR(Gastos!$A$2:$A$2500)=FJ$1)*(MONTH(Gastos!$A$2:$A$2500)=FJ$3)*(Gastos!$B$2:$B$2500=$A60)*(Gastos!$D$2:$D$2500))</f>
        <v>0</v>
      </c>
      <c r="FK60" s="75">
        <f t="array" ref="FK60">SUM((YEAR(Gastos!$A$2:$A$2500)=FK$1)*(MONTH(Gastos!$A$2:$A$2500)=FK$3)*(Gastos!$B$2:$B$2500=$A60)*(Gastos!$D$2:$D$2500))</f>
        <v>0</v>
      </c>
      <c r="FL60" s="75">
        <f t="array" ref="FL60">SUM((YEAR(Gastos!$A$2:$A$2500)=FL$1)*(MONTH(Gastos!$A$2:$A$2500)=FL$3)*(Gastos!$B$2:$B$2500=$A60)*(Gastos!$D$2:$D$2500))</f>
        <v>0</v>
      </c>
      <c r="FM60" s="75">
        <f t="array" ref="FM60">SUM((YEAR(Gastos!$A$2:$A$2500)=FM$1)*(MONTH(Gastos!$A$2:$A$2500)=FM$3)*(Gastos!$B$2:$B$2500=$A60)*(Gastos!$D$2:$D$2500))</f>
        <v>0</v>
      </c>
      <c r="FN60" s="75">
        <f t="array" ref="FN60">SUM((YEAR(Gastos!$A$2:$A$2500)=FN$1)*(MONTH(Gastos!$A$2:$A$2500)=FN$3)*(Gastos!$B$2:$B$2500=$A60)*(Gastos!$D$2:$D$2500))</f>
        <v>0</v>
      </c>
      <c r="FO60" s="75">
        <f t="array" ref="FO60">SUM((YEAR(Gastos!$A$2:$A$2500)=FO$1)*(MONTH(Gastos!$A$2:$A$2500)=FO$3)*(Gastos!$B$2:$B$2500=$A60)*(Gastos!$D$2:$D$2500))</f>
        <v>0</v>
      </c>
      <c r="FP60" s="75">
        <f t="array" ref="FP60">SUM((YEAR(Gastos!$A$2:$A$2500)=FP$1)*(MONTH(Gastos!$A$2:$A$2500)=FP$3)*(Gastos!$B$2:$B$2500=$A60)*(Gastos!$D$2:$D$2500))</f>
        <v>0</v>
      </c>
      <c r="FQ60" s="75">
        <f t="array" ref="FQ60">SUM((YEAR(Gastos!$A$2:$A$2500)=FQ$1)*(MONTH(Gastos!$A$2:$A$2500)=FQ$3)*(Gastos!$B$2:$B$2500=$A60)*(Gastos!$D$2:$D$2500))</f>
        <v>0</v>
      </c>
      <c r="FR60" s="75">
        <f t="array" ref="FR60">SUM((YEAR(Gastos!$A$2:$A$2500)=FR$1)*(MONTH(Gastos!$A$2:$A$2500)=FR$3)*(Gastos!$B$2:$B$2500=$A60)*(Gastos!$D$2:$D$2500))</f>
        <v>0</v>
      </c>
      <c r="FS60" s="75">
        <f t="array" ref="FS60">SUM((YEAR(Gastos!$A$2:$A$2500)=FS$1)*(MONTH(Gastos!$A$2:$A$2500)=FS$3)*(Gastos!$B$2:$B$2500=$A60)*(Gastos!$D$2:$D$2500))</f>
        <v>0</v>
      </c>
      <c r="FT60" s="75">
        <f t="array" ref="FT60">SUM((YEAR(Gastos!$A$2:$A$2500)=FT$1)*(MONTH(Gastos!$A$2:$A$2500)=FT$3)*(Gastos!$B$2:$B$2500=$A60)*(Gastos!$D$2:$D$2500))</f>
        <v>0</v>
      </c>
      <c r="FU60" s="75">
        <f t="array" ref="FU60">SUM((YEAR(Gastos!$A$2:$A$2500)=FU$1)*(MONTH(Gastos!$A$2:$A$2500)=FU$3)*(Gastos!$B$2:$B$2500=$A60)*(Gastos!$D$2:$D$2500))</f>
        <v>0</v>
      </c>
      <c r="FV60" s="75">
        <f t="array" ref="FV60">SUM((YEAR(Gastos!$A$2:$A$2500)=FV$1)*(MONTH(Gastos!$A$2:$A$2500)=FV$3)*(Gastos!$B$2:$B$2500=$A60)*(Gastos!$D$2:$D$2500))</f>
        <v>0</v>
      </c>
      <c r="FW60" s="75">
        <f t="array" ref="FW60">SUM((YEAR(Gastos!$A$2:$A$2500)=FW$1)*(MONTH(Gastos!$A$2:$A$2500)=FW$3)*(Gastos!$B$2:$B$2500=$A60)*(Gastos!$D$2:$D$2500))</f>
        <v>0</v>
      </c>
      <c r="FX60" s="75">
        <f t="array" ref="FX60">SUM((YEAR(Gastos!$A$2:$A$2500)=FX$1)*(MONTH(Gastos!$A$2:$A$2500)=FX$3)*(Gastos!$B$2:$B$2500=$A60)*(Gastos!$D$2:$D$2500))</f>
        <v>0</v>
      </c>
      <c r="FY60" s="75">
        <f t="array" ref="FY60">SUM((YEAR(Gastos!$A$2:$A$2500)=FY$1)*(MONTH(Gastos!$A$2:$A$2500)=FY$3)*(Gastos!$B$2:$B$2500=$A60)*(Gastos!$D$2:$D$2500))</f>
        <v>0</v>
      </c>
      <c r="FZ60" s="76">
        <f t="shared" si="65"/>
        <v>0</v>
      </c>
      <c r="GA60" s="80"/>
      <c r="GB60" s="82"/>
    </row>
    <row r="61" spans="1:191" ht="15" thickBot="1" x14ac:dyDescent="0.4">
      <c r="A61" s="74" t="str">
        <f>Gastos!AA59</f>
        <v>X</v>
      </c>
      <c r="B61" s="75">
        <f t="array" ref="B61">SUM((YEAR(Gastos!$A$2:$A$2500)=B$1)*(MONTH(Gastos!$A$2:$A$2500)=B$3)*(Gastos!$B$2:$B$2500=$A61)*(Gastos!$D$2:$D$2500))</f>
        <v>0</v>
      </c>
      <c r="C61" s="75">
        <f t="array" ref="C61">SUM((YEAR(Gastos!$A$2:$A$2500)=C$1)*(MONTH(Gastos!$A$2:$A$2500)=C$3)*(Gastos!$B$2:$B$2500=$A61)*(Gastos!$D$2:$D$2500))</f>
        <v>0</v>
      </c>
      <c r="D61" s="75">
        <f t="array" ref="D61">SUM((YEAR(Gastos!$A$2:$A$2500)=D$1)*(MONTH(Gastos!$A$2:$A$2500)=D$3)*(Gastos!$B$2:$B$2500=$A61)*(Gastos!$D$2:$D$2500))</f>
        <v>0</v>
      </c>
      <c r="E61" s="75">
        <f t="array" ref="E61">SUM((YEAR(Gastos!$A$2:$A$2500)=E$1)*(MONTH(Gastos!$A$2:$A$2500)=E$3)*(Gastos!$B$2:$B$2500=$A61)*(Gastos!$D$2:$D$2500))</f>
        <v>0</v>
      </c>
      <c r="F61" s="75">
        <f t="array" ref="F61">SUM((YEAR(Gastos!$A$2:$A$2500)=F$1)*(MONTH(Gastos!$A$2:$A$2500)=F$3)*(Gastos!$B$2:$B$2500=$A61)*(Gastos!$D$2:$D$2500))</f>
        <v>0</v>
      </c>
      <c r="G61" s="75">
        <f t="array" ref="G61">SUM((YEAR(Gastos!$A$2:$A$2500)=G$1)*(MONTH(Gastos!$A$2:$A$2500)=G$3)*(Gastos!$B$2:$B$2500=$A61)*(Gastos!$D$2:$D$2500))</f>
        <v>0</v>
      </c>
      <c r="H61" s="75">
        <f t="array" ref="H61">SUM((YEAR(Gastos!$A$2:$A$2500)=H$1)*(MONTH(Gastos!$A$2:$A$2500)=H$3)*(Gastos!$B$2:$B$2500=$A61)*(Gastos!$D$2:$D$2500))</f>
        <v>0</v>
      </c>
      <c r="I61" s="75">
        <f t="array" ref="I61">SUM((YEAR(Gastos!$A$2:$A$2500)=I$1)*(MONTH(Gastos!$A$2:$A$2500)=I$3)*(Gastos!$B$2:$B$2500=$A61)*(Gastos!$D$2:$D$2500))</f>
        <v>0</v>
      </c>
      <c r="J61" s="75">
        <f t="array" ref="J61">SUM((YEAR(Gastos!$A$2:$A$2500)=J$1)*(MONTH(Gastos!$A$2:$A$2500)=J$3)*(Gastos!$B$2:$B$2500=$A61)*(Gastos!$D$2:$D$2500))</f>
        <v>0</v>
      </c>
      <c r="K61" s="75">
        <f t="array" ref="K61">SUM((YEAR(Gastos!$A$2:$A$2500)=K$1)*(MONTH(Gastos!$A$2:$A$2500)=K$3)*(Gastos!$B$2:$B$2500=$A61)*(Gastos!$D$2:$D$2500))</f>
        <v>0</v>
      </c>
      <c r="L61" s="75">
        <f t="array" ref="L61">SUM((YEAR(Gastos!$A$2:$A$2500)=L$1)*(MONTH(Gastos!$A$2:$A$2500)=L$3)*(Gastos!$B$2:$B$2500=$A61)*(Gastos!$D$2:$D$2500))</f>
        <v>0</v>
      </c>
      <c r="M61" s="75">
        <f t="array" ref="M61">SUM((YEAR(Gastos!$A$2:$A$2500)=M$1)*(MONTH(Gastos!$A$2:$A$2500)=M$3)*(Gastos!$B$2:$B$2500=$A61)*(Gastos!$D$2:$D$2500))</f>
        <v>0</v>
      </c>
      <c r="N61" s="75">
        <f t="array" ref="N61">SUM((YEAR(Gastos!$A$2:$A$2500)=N$1)*(MONTH(Gastos!$A$2:$A$2500)=N$3)*(Gastos!$B$2:$B$2500=$A61)*(Gastos!$D$2:$D$2500))</f>
        <v>0</v>
      </c>
      <c r="O61" s="75">
        <f t="array" ref="O61">SUM((YEAR(Gastos!$A$2:$A$2500)=O$1)*(MONTH(Gastos!$A$2:$A$2500)=O$3)*(Gastos!$B$2:$B$2500=$A61)*(Gastos!$D$2:$D$2500))</f>
        <v>0</v>
      </c>
      <c r="P61" s="75">
        <f t="array" ref="P61">SUM((YEAR(Gastos!$A$2:$A$2500)=P$1)*(MONTH(Gastos!$A$2:$A$2500)=P$3)*(Gastos!$B$2:$B$2500=$A61)*(Gastos!$D$2:$D$2500))</f>
        <v>0</v>
      </c>
      <c r="Q61" s="75">
        <f t="array" ref="Q61">SUM((YEAR(Gastos!$A$2:$A$2500)=Q$1)*(MONTH(Gastos!$A$2:$A$2500)=Q$3)*(Gastos!$B$2:$B$2500=$A61)*(Gastos!$D$2:$D$2500))</f>
        <v>0</v>
      </c>
      <c r="R61" s="75">
        <f t="array" ref="R61">SUM((YEAR(Gastos!$A$2:$A$2500)=R$1)*(MONTH(Gastos!$A$2:$A$2500)=R$3)*(Gastos!$B$2:$B$2500=$A61)*(Gastos!$D$2:$D$2500))</f>
        <v>0</v>
      </c>
      <c r="S61" s="75">
        <f t="array" ref="S61">SUM((YEAR(Gastos!$A$2:$A$2500)=S$1)*(MONTH(Gastos!$A$2:$A$2500)=S$3)*(Gastos!$B$2:$B$2500=$A61)*(Gastos!$D$2:$D$2500))</f>
        <v>0</v>
      </c>
      <c r="T61" s="75">
        <f t="array" ref="T61">SUM((YEAR(Gastos!$A$2:$A$2500)=T$1)*(MONTH(Gastos!$A$2:$A$2500)=T$3)*(Gastos!$B$2:$B$2500=$A61)*(Gastos!$D$2:$D$2500))</f>
        <v>0</v>
      </c>
      <c r="U61" s="75">
        <f t="array" ref="U61">SUM((YEAR(Gastos!$A$2:$A$2500)=U$1)*(MONTH(Gastos!$A$2:$A$2500)=U$3)*(Gastos!$B$2:$B$2500=$A61)*(Gastos!$D$2:$D$2500))</f>
        <v>0</v>
      </c>
      <c r="V61" s="75">
        <f t="array" ref="V61">SUM((YEAR(Gastos!$A$2:$A$2500)=V$1)*(MONTH(Gastos!$A$2:$A$2500)=V$3)*(Gastos!$B$2:$B$2500=$A61)*(Gastos!$D$2:$D$2500))</f>
        <v>0</v>
      </c>
      <c r="W61" s="75">
        <f t="array" ref="W61">SUM((YEAR(Gastos!$A$2:$A$2500)=W$1)*(MONTH(Gastos!$A$2:$A$2500)=W$3)*(Gastos!$B$2:$B$2500=$A61)*(Gastos!$D$2:$D$2500))</f>
        <v>0</v>
      </c>
      <c r="X61" s="75">
        <f t="array" ref="X61">SUM((YEAR(Gastos!$A$2:$A$2500)=X$1)*(MONTH(Gastos!$A$2:$A$2500)=X$3)*(Gastos!$B$2:$B$2500=$A61)*(Gastos!$D$2:$D$2500))</f>
        <v>0</v>
      </c>
      <c r="Y61" s="75">
        <f t="array" ref="Y61">SUM((YEAR(Gastos!$A$2:$A$2500)=Y$1)*(MONTH(Gastos!$A$2:$A$2500)=Y$3)*(Gastos!$B$2:$B$2500=$A61)*(Gastos!$D$2:$D$2500))</f>
        <v>0</v>
      </c>
      <c r="Z61" s="75">
        <f t="array" ref="Z61">SUM((YEAR(Gastos!$A$2:$A$2500)=Z$1)*(MONTH(Gastos!$A$2:$A$2500)=Z$3)*(Gastos!$B$2:$B$2500=$A61)*(Gastos!$D$2:$D$2500))</f>
        <v>0</v>
      </c>
      <c r="AA61" s="75">
        <f t="array" ref="AA61">SUM((YEAR(Gastos!$A$2:$A$2500)=AA$1)*(MONTH(Gastos!$A$2:$A$2500)=AA$3)*(Gastos!$B$2:$B$2500=$A61)*(Gastos!$D$2:$D$2500))</f>
        <v>0</v>
      </c>
      <c r="AB61" s="75">
        <f t="array" ref="AB61">SUM((YEAR(Gastos!$A$2:$A$2500)=AB$1)*(MONTH(Gastos!$A$2:$A$2500)=AB$3)*(Gastos!$B$2:$B$2500=$A61)*(Gastos!$D$2:$D$2500))</f>
        <v>0</v>
      </c>
      <c r="AC61" s="75">
        <f t="array" ref="AC61">SUM((YEAR(Gastos!$A$2:$A$2500)=AC$1)*(MONTH(Gastos!$A$2:$A$2500)=AC$3)*(Gastos!$B$2:$B$2500=$A61)*(Gastos!$D$2:$D$2500))</f>
        <v>0</v>
      </c>
      <c r="AD61" s="75">
        <f t="array" ref="AD61">SUM((YEAR(Gastos!$A$2:$A$2500)=AD$1)*(MONTH(Gastos!$A$2:$A$2500)=AD$3)*(Gastos!$B$2:$B$2500=$A61)*(Gastos!$D$2:$D$2500))</f>
        <v>0</v>
      </c>
      <c r="AE61" s="75">
        <f t="array" ref="AE61">SUM((YEAR(Gastos!$A$2:$A$2500)=AE$1)*(MONTH(Gastos!$A$2:$A$2500)=AE$3)*(Gastos!$B$2:$B$2500=$A61)*(Gastos!$D$2:$D$2500))</f>
        <v>0</v>
      </c>
      <c r="AF61" s="75">
        <f t="array" ref="AF61">SUM((YEAR(Gastos!$A$2:$A$2500)=AF$1)*(MONTH(Gastos!$A$2:$A$2500)=AF$3)*(Gastos!$B$2:$B$2500=$A61)*(Gastos!$D$2:$D$2500))</f>
        <v>0</v>
      </c>
      <c r="AG61" s="75">
        <f t="array" ref="AG61">SUM((YEAR(Gastos!$A$2:$A$2500)=AG$1)*(MONTH(Gastos!$A$2:$A$2500)=AG$3)*(Gastos!$B$2:$B$2500=$A61)*(Gastos!$D$2:$D$2500))</f>
        <v>0</v>
      </c>
      <c r="AH61" s="75">
        <f t="array" ref="AH61">SUM((YEAR(Gastos!$A$2:$A$2500)=AH$1)*(MONTH(Gastos!$A$2:$A$2500)=AH$3)*(Gastos!$B$2:$B$2500=$A61)*(Gastos!$D$2:$D$2500))</f>
        <v>0</v>
      </c>
      <c r="AI61" s="75">
        <f t="array" ref="AI61">SUM((YEAR(Gastos!$A$2:$A$2500)=AI$1)*(MONTH(Gastos!$A$2:$A$2500)=AI$3)*(Gastos!$B$2:$B$2500=$A61)*(Gastos!$D$2:$D$2500))</f>
        <v>0</v>
      </c>
      <c r="AJ61" s="75">
        <f t="array" ref="AJ61">SUM((YEAR(Gastos!$A$2:$A$2500)=AJ$1)*(MONTH(Gastos!$A$2:$A$2500)=AJ$3)*(Gastos!$B$2:$B$2500=$A61)*(Gastos!$D$2:$D$2500))</f>
        <v>0</v>
      </c>
      <c r="AK61" s="75">
        <f t="array" ref="AK61">SUM((YEAR(Gastos!$A$2:$A$2500)=AK$1)*(MONTH(Gastos!$A$2:$A$2500)=AK$3)*(Gastos!$B$2:$B$2500=$A61)*(Gastos!$D$2:$D$2500))</f>
        <v>0</v>
      </c>
      <c r="AL61" s="75">
        <f t="array" ref="AL61">SUM((YEAR(Gastos!$A$2:$A$2500)=AL$1)*(MONTH(Gastos!$A$2:$A$2500)=AL$3)*(Gastos!$B$2:$B$2500=$A61)*(Gastos!$D$2:$D$2500))</f>
        <v>0</v>
      </c>
      <c r="AM61" s="75">
        <f t="array" ref="AM61">SUM((YEAR(Gastos!$A$2:$A$2500)=AM$1)*(MONTH(Gastos!$A$2:$A$2500)=AM$3)*(Gastos!$B$2:$B$2500=$A61)*(Gastos!$D$2:$D$2500))</f>
        <v>0</v>
      </c>
      <c r="AN61" s="75">
        <f t="array" ref="AN61">SUM((YEAR(Gastos!$A$2:$A$2500)=AN$1)*(MONTH(Gastos!$A$2:$A$2500)=AN$3)*(Gastos!$B$2:$B$2500=$A61)*(Gastos!$D$2:$D$2500))</f>
        <v>0</v>
      </c>
      <c r="AO61" s="75">
        <f t="array" ref="AO61">SUM((YEAR(Gastos!$A$2:$A$2500)=AO$1)*(MONTH(Gastos!$A$2:$A$2500)=AO$3)*(Gastos!$B$2:$B$2500=$A61)*(Gastos!$D$2:$D$2500))</f>
        <v>0</v>
      </c>
      <c r="AP61" s="75">
        <f t="array" ref="AP61">SUM((YEAR(Gastos!$A$2:$A$2500)=AP$1)*(MONTH(Gastos!$A$2:$A$2500)=AP$3)*(Gastos!$B$2:$B$2500=$A61)*(Gastos!$D$2:$D$2500))</f>
        <v>0</v>
      </c>
      <c r="AQ61" s="75">
        <f t="array" ref="AQ61">SUM((YEAR(Gastos!$A$2:$A$2500)=AQ$1)*(MONTH(Gastos!$A$2:$A$2500)=AQ$3)*(Gastos!$B$2:$B$2500=$A61)*(Gastos!$D$2:$D$2500))</f>
        <v>0</v>
      </c>
      <c r="AR61" s="75">
        <f t="array" ref="AR61">SUM((YEAR(Gastos!$A$2:$A$2500)=AR$1)*(MONTH(Gastos!$A$2:$A$2500)=AR$3)*(Gastos!$B$2:$B$2500=$A61)*(Gastos!$D$2:$D$2500))</f>
        <v>0</v>
      </c>
      <c r="AS61" s="75">
        <f t="array" ref="AS61">SUM((YEAR(Gastos!$A$2:$A$2500)=AS$1)*(MONTH(Gastos!$A$2:$A$2500)=AS$3)*(Gastos!$B$2:$B$2500=$A61)*(Gastos!$D$2:$D$2500))</f>
        <v>0</v>
      </c>
      <c r="AT61" s="75">
        <f t="array" ref="AT61">SUM((YEAR(Gastos!$A$2:$A$2500)=AT$1)*(MONTH(Gastos!$A$2:$A$2500)=AT$3)*(Gastos!$B$2:$B$2500=$A61)*(Gastos!$D$2:$D$2500))</f>
        <v>0</v>
      </c>
      <c r="AU61" s="75">
        <f t="array" ref="AU61">SUM((YEAR(Gastos!$A$2:$A$2500)=AU$1)*(MONTH(Gastos!$A$2:$A$2500)=AU$3)*(Gastos!$B$2:$B$2500=$A61)*(Gastos!$D$2:$D$2500))</f>
        <v>0</v>
      </c>
      <c r="AV61" s="75">
        <f t="array" ref="AV61">SUM((YEAR(Gastos!$A$2:$A$2500)=AV$1)*(MONTH(Gastos!$A$2:$A$2500)=AV$3)*(Gastos!$B$2:$B$2500=$A61)*(Gastos!$D$2:$D$2500))</f>
        <v>0</v>
      </c>
      <c r="AW61" s="75">
        <f t="array" ref="AW61">SUM((YEAR(Gastos!$A$2:$A$2500)=AW$1)*(MONTH(Gastos!$A$2:$A$2500)=AW$3)*(Gastos!$B$2:$B$2500=$A61)*(Gastos!$D$2:$D$2500))</f>
        <v>0</v>
      </c>
      <c r="AX61" s="75">
        <f t="array" ref="AX61">SUM((YEAR(Gastos!$A$2:$A$2500)=AX$1)*(MONTH(Gastos!$A$2:$A$2500)=AX$3)*(Gastos!$B$2:$B$2500=$A61)*(Gastos!$D$2:$D$2500))</f>
        <v>0</v>
      </c>
      <c r="AY61" s="75">
        <f t="array" ref="AY61">SUM((YEAR(Gastos!$A$2:$A$2500)=AY$1)*(MONTH(Gastos!$A$2:$A$2500)=AY$3)*(Gastos!$B$2:$B$2500=$A61)*(Gastos!$D$2:$D$2500))</f>
        <v>0</v>
      </c>
      <c r="AZ61" s="75">
        <f t="array" ref="AZ61">SUM((YEAR(Gastos!$A$2:$A$2500)=AZ$1)*(MONTH(Gastos!$A$2:$A$2500)=AZ$3)*(Gastos!$B$2:$B$2500=$A61)*(Gastos!$D$2:$D$2500))</f>
        <v>0</v>
      </c>
      <c r="BA61" s="75">
        <f t="array" ref="BA61">SUM((YEAR(Gastos!$A$2:$A$2500)=BA$1)*(MONTH(Gastos!$A$2:$A$2500)=BA$3)*(Gastos!$B$2:$B$2500=$A61)*(Gastos!$D$2:$D$2500))</f>
        <v>0</v>
      </c>
      <c r="BB61" s="75">
        <f t="array" ref="BB61">SUM((YEAR(Gastos!$A$2:$A$2500)=BB$1)*(MONTH(Gastos!$A$2:$A$2500)=BB$3)*(Gastos!$B$2:$B$2500=$A61)*(Gastos!$D$2:$D$2500))</f>
        <v>0</v>
      </c>
      <c r="BC61" s="75">
        <f t="array" ref="BC61">SUM((YEAR(Gastos!$A$2:$A$2500)=BC$1)*(MONTH(Gastos!$A$2:$A$2500)=BC$3)*(Gastos!$B$2:$B$2500=$A61)*(Gastos!$D$2:$D$2500))</f>
        <v>0</v>
      </c>
      <c r="BD61" s="75">
        <f t="array" ref="BD61">SUM((YEAR(Gastos!$A$2:$A$2500)=BD$1)*(MONTH(Gastos!$A$2:$A$2500)=BD$3)*(Gastos!$B$2:$B$2500=$A61)*(Gastos!$D$2:$D$2500))</f>
        <v>0</v>
      </c>
      <c r="BE61" s="75">
        <f t="array" ref="BE61">SUM((YEAR(Gastos!$A$2:$A$2500)=BE$1)*(MONTH(Gastos!$A$2:$A$2500)=BE$3)*(Gastos!$B$2:$B$2500=$A61)*(Gastos!$D$2:$D$2500))</f>
        <v>0</v>
      </c>
      <c r="BF61" s="75">
        <f t="array" ref="BF61">SUM((YEAR(Gastos!$A$2:$A$2500)=BF$1)*(MONTH(Gastos!$A$2:$A$2500)=BF$3)*(Gastos!$B$2:$B$2500=$A61)*(Gastos!$D$2:$D$2500))</f>
        <v>0</v>
      </c>
      <c r="BG61" s="75">
        <f t="array" ref="BG61">SUM((YEAR(Gastos!$A$2:$A$2500)=BG$1)*(MONTH(Gastos!$A$2:$A$2500)=BG$3)*(Gastos!$B$2:$B$2500=$A61)*(Gastos!$D$2:$D$2500))</f>
        <v>0</v>
      </c>
      <c r="BH61" s="75">
        <f t="array" ref="BH61">SUM((YEAR(Gastos!$A$2:$A$2500)=BH$1)*(MONTH(Gastos!$A$2:$A$2500)=BH$3)*(Gastos!$B$2:$B$2500=$A61)*(Gastos!$D$2:$D$2500))</f>
        <v>0</v>
      </c>
      <c r="BI61" s="75">
        <f t="array" ref="BI61">SUM((YEAR(Gastos!$A$2:$A$2500)=BI$1)*(MONTH(Gastos!$A$2:$A$2500)=BI$3)*(Gastos!$B$2:$B$2500=$A61)*(Gastos!$D$2:$D$2500))</f>
        <v>0</v>
      </c>
      <c r="BJ61" s="75">
        <f t="array" ref="BJ61">SUM((YEAR(Gastos!$A$2:$A$2500)=BJ$1)*(MONTH(Gastos!$A$2:$A$2500)=BJ$3)*(Gastos!$B$2:$B$2500=$A61)*(Gastos!$D$2:$D$2500))</f>
        <v>0</v>
      </c>
      <c r="BK61" s="75">
        <f t="array" ref="BK61">SUM((YEAR(Gastos!$A$2:$A$2500)=BK$1)*(MONTH(Gastos!$A$2:$A$2500)=BK$3)*(Gastos!$B$2:$B$2500=$A61)*(Gastos!$D$2:$D$2500))</f>
        <v>0</v>
      </c>
      <c r="BL61" s="75">
        <f t="array" ref="BL61">SUM((YEAR(Gastos!$A$2:$A$2500)=BL$1)*(MONTH(Gastos!$A$2:$A$2500)=BL$3)*(Gastos!$B$2:$B$2500=$A61)*(Gastos!$D$2:$D$2500))</f>
        <v>0</v>
      </c>
      <c r="BM61" s="75">
        <f t="array" ref="BM61">SUM((YEAR(Gastos!$A$2:$A$2500)=BM$1)*(MONTH(Gastos!$A$2:$A$2500)=BM$3)*(Gastos!$B$2:$B$2500=$A61)*(Gastos!$D$2:$D$2500))</f>
        <v>0</v>
      </c>
      <c r="BN61" s="75">
        <f t="array" ref="BN61">SUM((YEAR(Gastos!$A$2:$A$2500)=BN$1)*(MONTH(Gastos!$A$2:$A$2500)=BN$3)*(Gastos!$B$2:$B$2500=$A61)*(Gastos!$D$2:$D$2500))</f>
        <v>0</v>
      </c>
      <c r="BO61" s="75">
        <f t="array" ref="BO61">SUM((YEAR(Gastos!$A$2:$A$2500)=BO$1)*(MONTH(Gastos!$A$2:$A$2500)=BO$3)*(Gastos!$B$2:$B$2500=$A61)*(Gastos!$D$2:$D$2500))</f>
        <v>0</v>
      </c>
      <c r="BP61" s="75">
        <f t="array" ref="BP61">SUM((YEAR(Gastos!$A$2:$A$2500)=BP$1)*(MONTH(Gastos!$A$2:$A$2500)=BP$3)*(Gastos!$B$2:$B$2500=$A61)*(Gastos!$D$2:$D$2500))</f>
        <v>0</v>
      </c>
      <c r="BQ61" s="75">
        <f t="array" ref="BQ61">SUM((YEAR(Gastos!$A$2:$A$2500)=BQ$1)*(MONTH(Gastos!$A$2:$A$2500)=BQ$3)*(Gastos!$B$2:$B$2500=$A61)*(Gastos!$D$2:$D$2500))</f>
        <v>0</v>
      </c>
      <c r="BR61" s="75">
        <f t="array" ref="BR61">SUM((YEAR(Gastos!$A$2:$A$2500)=BR$1)*(MONTH(Gastos!$A$2:$A$2500)=BR$3)*(Gastos!$B$2:$B$2500=$A61)*(Gastos!$D$2:$D$2500))</f>
        <v>0</v>
      </c>
      <c r="BS61" s="75">
        <f t="array" ref="BS61">SUM((YEAR(Gastos!$A$2:$A$2500)=BS$1)*(MONTH(Gastos!$A$2:$A$2500)=BS$3)*(Gastos!$B$2:$B$2500=$A61)*(Gastos!$D$2:$D$2500))</f>
        <v>0</v>
      </c>
      <c r="BT61" s="75">
        <f t="array" ref="BT61">SUM((YEAR(Gastos!$A$2:$A$2500)=BT$1)*(MONTH(Gastos!$A$2:$A$2500)=BT$3)*(Gastos!$B$2:$B$2500=$A61)*(Gastos!$D$2:$D$2500))</f>
        <v>0</v>
      </c>
      <c r="BU61" s="75">
        <f t="array" ref="BU61">SUM((YEAR(Gastos!$A$2:$A$2500)=BU$1)*(MONTH(Gastos!$A$2:$A$2500)=BU$3)*(Gastos!$B$2:$B$2500=$A61)*(Gastos!$D$2:$D$2500))</f>
        <v>0</v>
      </c>
      <c r="BV61" s="75">
        <f t="array" ref="BV61">SUM((YEAR(Gastos!$A$2:$A$2500)=BV$1)*(MONTH(Gastos!$A$2:$A$2500)=BV$3)*(Gastos!$B$2:$B$2500=$A61)*(Gastos!$D$2:$D$2500))</f>
        <v>0</v>
      </c>
      <c r="BW61" s="75">
        <f t="array" ref="BW61">SUM((YEAR(Gastos!$A$2:$A$2500)=BW$1)*(MONTH(Gastos!$A$2:$A$2500)=BW$3)*(Gastos!$B$2:$B$2500=$A61)*(Gastos!$D$2:$D$2500))</f>
        <v>0</v>
      </c>
      <c r="BX61" s="75">
        <f t="array" ref="BX61">SUM((YEAR(Gastos!$A$2:$A$2500)=BX$1)*(MONTH(Gastos!$A$2:$A$2500)=BX$3)*(Gastos!$B$2:$B$2500=$A61)*(Gastos!$D$2:$D$2500))</f>
        <v>0</v>
      </c>
      <c r="BY61" s="75">
        <f t="array" ref="BY61">SUM((YEAR(Gastos!$A$2:$A$2500)=BY$1)*(MONTH(Gastos!$A$2:$A$2500)=BY$3)*(Gastos!$B$2:$B$2500=$A61)*(Gastos!$D$2:$D$2500))</f>
        <v>0</v>
      </c>
      <c r="BZ61" s="75">
        <f t="array" ref="BZ61">SUM((YEAR(Gastos!$A$2:$A$2500)=BZ$1)*(MONTH(Gastos!$A$2:$A$2500)=BZ$3)*(Gastos!$B$2:$B$2500=$A61)*(Gastos!$D$2:$D$2500))</f>
        <v>0</v>
      </c>
      <c r="CA61" s="75">
        <f t="array" ref="CA61">SUM((YEAR(Gastos!$A$2:$A$2500)=CA$1)*(MONTH(Gastos!$A$2:$A$2500)=CA$3)*(Gastos!$B$2:$B$2500=$A61)*(Gastos!$D$2:$D$2500))</f>
        <v>0</v>
      </c>
      <c r="CB61" s="75">
        <f t="array" ref="CB61">SUM((YEAR(Gastos!$A$2:$A$2500)=CB$1)*(MONTH(Gastos!$A$2:$A$2500)=CB$3)*(Gastos!$B$2:$B$2500=$A61)*(Gastos!$D$2:$D$2500))</f>
        <v>0</v>
      </c>
      <c r="CC61" s="75">
        <f t="array" ref="CC61">SUM((YEAR(Gastos!$A$2:$A$2500)=CC$1)*(MONTH(Gastos!$A$2:$A$2500)=CC$3)*(Gastos!$B$2:$B$2500=$A61)*(Gastos!$D$2:$D$2500))</f>
        <v>0</v>
      </c>
      <c r="CD61" s="75">
        <f t="array" ref="CD61">SUM((YEAR(Gastos!$A$2:$A$2500)=CD$1)*(MONTH(Gastos!$A$2:$A$2500)=CD$3)*(Gastos!$B$2:$B$2500=$A61)*(Gastos!$D$2:$D$2500))</f>
        <v>0</v>
      </c>
      <c r="CE61" s="75">
        <f t="array" ref="CE61">SUM((YEAR(Gastos!$A$2:$A$2500)=CE$1)*(MONTH(Gastos!$A$2:$A$2500)=CE$3)*(Gastos!$B$2:$B$2500=$A61)*(Gastos!$D$2:$D$2500))</f>
        <v>0</v>
      </c>
      <c r="CF61" s="75">
        <f t="array" ref="CF61">SUM((YEAR(Gastos!$A$2:$A$2500)=CF$1)*(MONTH(Gastos!$A$2:$A$2500)=CF$3)*(Gastos!$B$2:$B$2500=$A61)*(Gastos!$D$2:$D$2500))</f>
        <v>0</v>
      </c>
      <c r="CG61" s="75">
        <f t="array" ref="CG61">SUM((YEAR(Gastos!$A$2:$A$2500)=CG$1)*(MONTH(Gastos!$A$2:$A$2500)=CG$3)*(Gastos!$B$2:$B$2500=$A61)*(Gastos!$D$2:$D$2500))</f>
        <v>0</v>
      </c>
      <c r="CH61" s="75">
        <f t="array" ref="CH61">SUM((YEAR(Gastos!$A$2:$A$2500)=CH$1)*(MONTH(Gastos!$A$2:$A$2500)=CH$3)*(Gastos!$B$2:$B$2500=$A61)*(Gastos!$D$2:$D$2500))</f>
        <v>0</v>
      </c>
      <c r="CI61" s="75">
        <f t="array" ref="CI61">SUM((YEAR(Gastos!$A$2:$A$2500)=CI$1)*(MONTH(Gastos!$A$2:$A$2500)=CI$3)*(Gastos!$B$2:$B$2500=$A61)*(Gastos!$D$2:$D$2500))</f>
        <v>0</v>
      </c>
      <c r="CJ61" s="75">
        <f t="array" ref="CJ61">SUM((YEAR(Gastos!$A$2:$A$2500)=CJ$1)*(MONTH(Gastos!$A$2:$A$2500)=CJ$3)*(Gastos!$B$2:$B$2500=$A61)*(Gastos!$D$2:$D$2500))</f>
        <v>0</v>
      </c>
      <c r="CK61" s="75">
        <f t="array" ref="CK61">SUM((YEAR(Gastos!$A$2:$A$2500)=CK$1)*(MONTH(Gastos!$A$2:$A$2500)=CK$3)*(Gastos!$B$2:$B$2500=$A61)*(Gastos!$D$2:$D$2500))</f>
        <v>0</v>
      </c>
      <c r="CL61" s="75">
        <f t="array" ref="CL61">SUM((YEAR(Gastos!$A$2:$A$2500)=CL$1)*(MONTH(Gastos!$A$2:$A$2500)=CL$3)*(Gastos!$B$2:$B$2500=$A61)*(Gastos!$D$2:$D$2500))</f>
        <v>0</v>
      </c>
      <c r="CM61" s="75">
        <f t="array" ref="CM61">SUM((YEAR(Gastos!$A$2:$A$2500)=CM$1)*(MONTH(Gastos!$A$2:$A$2500)=CM$3)*(Gastos!$B$2:$B$2500=$A61)*(Gastos!$D$2:$D$2500))</f>
        <v>0</v>
      </c>
      <c r="CN61" s="75">
        <f t="array" ref="CN61">SUM((YEAR(Gastos!$A$2:$A$2500)=CN$1)*(MONTH(Gastos!$A$2:$A$2500)=CN$3)*(Gastos!$B$2:$B$2500=$A61)*(Gastos!$D$2:$D$2500))</f>
        <v>0</v>
      </c>
      <c r="CO61" s="75">
        <f t="array" ref="CO61">SUM((YEAR(Gastos!$A$2:$A$2500)=CO$1)*(MONTH(Gastos!$A$2:$A$2500)=CO$3)*(Gastos!$B$2:$B$2500=$A61)*(Gastos!$D$2:$D$2500))</f>
        <v>0</v>
      </c>
      <c r="CP61" s="75">
        <f t="array" ref="CP61">SUM((YEAR(Gastos!$A$2:$A$2500)=CP$1)*(MONTH(Gastos!$A$2:$A$2500)=CP$3)*(Gastos!$B$2:$B$2500=$A61)*(Gastos!$D$2:$D$2500))</f>
        <v>0</v>
      </c>
      <c r="CQ61" s="75">
        <f t="array" ref="CQ61">SUM((YEAR(Gastos!$A$2:$A$2500)=CQ$1)*(MONTH(Gastos!$A$2:$A$2500)=CQ$3)*(Gastos!$B$2:$B$2500=$A61)*(Gastos!$D$2:$D$2500))</f>
        <v>0</v>
      </c>
      <c r="CR61" s="75">
        <f t="array" ref="CR61">SUM((YEAR(Gastos!$A$2:$A$2500)=CR$1)*(MONTH(Gastos!$A$2:$A$2500)=CR$3)*(Gastos!$B$2:$B$2500=$A61)*(Gastos!$D$2:$D$2500))</f>
        <v>0</v>
      </c>
      <c r="CS61" s="75">
        <f t="array" ref="CS61">SUM((YEAR(Gastos!$A$2:$A$2500)=CS$1)*(MONTH(Gastos!$A$2:$A$2500)=CS$3)*(Gastos!$B$2:$B$2500=$A61)*(Gastos!$D$2:$D$2500))</f>
        <v>0</v>
      </c>
      <c r="CT61" s="75">
        <f t="array" ref="CT61">SUM((YEAR(Gastos!$A$2:$A$2500)=CT$1)*(MONTH(Gastos!$A$2:$A$2500)=CT$3)*(Gastos!$B$2:$B$2500=$A61)*(Gastos!$D$2:$D$2500))</f>
        <v>0</v>
      </c>
      <c r="CU61" s="75">
        <f t="array" ref="CU61">SUM((YEAR(Gastos!$A$2:$A$2500)=CU$1)*(MONTH(Gastos!$A$2:$A$2500)=CU$3)*(Gastos!$B$2:$B$2500=$A61)*(Gastos!$D$2:$D$2500))</f>
        <v>0</v>
      </c>
      <c r="CV61" s="75">
        <f t="array" ref="CV61">SUM((YEAR(Gastos!$A$2:$A$2500)=CV$1)*(MONTH(Gastos!$A$2:$A$2500)=CV$3)*(Gastos!$B$2:$B$2500=$A61)*(Gastos!$D$2:$D$2500))</f>
        <v>0</v>
      </c>
      <c r="CW61" s="75">
        <f t="array" ref="CW61">SUM((YEAR(Gastos!$A$2:$A$2500)=CW$1)*(MONTH(Gastos!$A$2:$A$2500)=CW$3)*(Gastos!$B$2:$B$2500=$A61)*(Gastos!$D$2:$D$2500))</f>
        <v>0</v>
      </c>
      <c r="CX61" s="75">
        <f t="array" ref="CX61">SUM((YEAR(Gastos!$A$2:$A$2500)=CX$1)*(MONTH(Gastos!$A$2:$A$2500)=CX$3)*(Gastos!$B$2:$B$2500=$A61)*(Gastos!$D$2:$D$2500))</f>
        <v>0</v>
      </c>
      <c r="CY61" s="75">
        <f t="array" ref="CY61">SUM((YEAR(Gastos!$A$2:$A$2500)=CY$1)*(MONTH(Gastos!$A$2:$A$2500)=CY$3)*(Gastos!$B$2:$B$2500=$A61)*(Gastos!$D$2:$D$2500))</f>
        <v>0</v>
      </c>
      <c r="CZ61" s="75">
        <f t="array" ref="CZ61">SUM((YEAR(Gastos!$A$2:$A$2500)=CZ$1)*(MONTH(Gastos!$A$2:$A$2500)=CZ$3)*(Gastos!$B$2:$B$2500=$A61)*(Gastos!$D$2:$D$2500))</f>
        <v>0</v>
      </c>
      <c r="DA61" s="75">
        <f t="array" ref="DA61">SUM((YEAR(Gastos!$A$2:$A$2500)=DA$1)*(MONTH(Gastos!$A$2:$A$2500)=DA$3)*(Gastos!$B$2:$B$2500=$A61)*(Gastos!$D$2:$D$2500))</f>
        <v>0</v>
      </c>
      <c r="DB61" s="75">
        <f t="array" ref="DB61">SUM((YEAR(Gastos!$A$2:$A$2500)=DB$1)*(MONTH(Gastos!$A$2:$A$2500)=DB$3)*(Gastos!$B$2:$B$2500=$A61)*(Gastos!$D$2:$D$2500))</f>
        <v>0</v>
      </c>
      <c r="DC61" s="75">
        <f t="array" ref="DC61">SUM((YEAR(Gastos!$A$2:$A$2500)=DC$1)*(MONTH(Gastos!$A$2:$A$2500)=DC$3)*(Gastos!$B$2:$B$2500=$A61)*(Gastos!$D$2:$D$2500))</f>
        <v>0</v>
      </c>
      <c r="DD61" s="75">
        <f t="array" ref="DD61">SUM((YEAR(Gastos!$A$2:$A$2500)=DD$1)*(MONTH(Gastos!$A$2:$A$2500)=DD$3)*(Gastos!$B$2:$B$2500=$A61)*(Gastos!$D$2:$D$2500))</f>
        <v>0</v>
      </c>
      <c r="DE61" s="75">
        <f t="array" ref="DE61">SUM((YEAR(Gastos!$A$2:$A$2500)=DE$1)*(MONTH(Gastos!$A$2:$A$2500)=DE$3)*(Gastos!$B$2:$B$2500=$A61)*(Gastos!$D$2:$D$2500))</f>
        <v>0</v>
      </c>
      <c r="DF61" s="75">
        <f t="array" ref="DF61">SUM((YEAR(Gastos!$A$2:$A$2500)=DF$1)*(MONTH(Gastos!$A$2:$A$2500)=DF$3)*(Gastos!$B$2:$B$2500=$A61)*(Gastos!$D$2:$D$2500))</f>
        <v>0</v>
      </c>
      <c r="DG61" s="75">
        <f t="array" ref="DG61">SUM((YEAR(Gastos!$A$2:$A$2500)=DG$1)*(MONTH(Gastos!$A$2:$A$2500)=DG$3)*(Gastos!$B$2:$B$2500=$A61)*(Gastos!$D$2:$D$2500))</f>
        <v>0</v>
      </c>
      <c r="DH61" s="75">
        <f t="array" ref="DH61">SUM((YEAR(Gastos!$A$2:$A$2500)=DH$1)*(MONTH(Gastos!$A$2:$A$2500)=DH$3)*(Gastos!$B$2:$B$2500=$A61)*(Gastos!$D$2:$D$2500))</f>
        <v>0</v>
      </c>
      <c r="DI61" s="75">
        <f t="array" ref="DI61">SUM((YEAR(Gastos!$A$2:$A$2500)=DI$1)*(MONTH(Gastos!$A$2:$A$2500)=DI$3)*(Gastos!$B$2:$B$2500=$A61)*(Gastos!$D$2:$D$2500))</f>
        <v>0</v>
      </c>
      <c r="DJ61" s="75">
        <f t="array" ref="DJ61">SUM((YEAR(Gastos!$A$2:$A$2500)=DJ$1)*(MONTH(Gastos!$A$2:$A$2500)=DJ$3)*(Gastos!$B$2:$B$2500=$A61)*(Gastos!$D$2:$D$2500))</f>
        <v>0</v>
      </c>
      <c r="DK61" s="75">
        <f t="array" ref="DK61">SUM((YEAR(Gastos!$A$2:$A$2500)=DK$1)*(MONTH(Gastos!$A$2:$A$2500)=DK$3)*(Gastos!$B$2:$B$2500=$A61)*(Gastos!$D$2:$D$2500))</f>
        <v>0</v>
      </c>
      <c r="DL61" s="75">
        <f t="array" ref="DL61">SUM((YEAR(Gastos!$A$2:$A$2500)=DL$1)*(MONTH(Gastos!$A$2:$A$2500)=DL$3)*(Gastos!$B$2:$B$2500=$A61)*(Gastos!$D$2:$D$2500))</f>
        <v>0</v>
      </c>
      <c r="DM61" s="75">
        <f t="array" ref="DM61">SUM((YEAR(Gastos!$A$2:$A$2500)=DM$1)*(MONTH(Gastos!$A$2:$A$2500)=DM$3)*(Gastos!$B$2:$B$2500=$A61)*(Gastos!$D$2:$D$2500))</f>
        <v>0</v>
      </c>
      <c r="DN61" s="75">
        <f t="array" ref="DN61">SUM((YEAR(Gastos!$A$2:$A$2500)=DN$1)*(MONTH(Gastos!$A$2:$A$2500)=DN$3)*(Gastos!$B$2:$B$2500=$A61)*(Gastos!$D$2:$D$2500))</f>
        <v>0</v>
      </c>
      <c r="DO61" s="75">
        <f t="array" ref="DO61">SUM((YEAR(Gastos!$A$2:$A$2500)=DO$1)*(MONTH(Gastos!$A$2:$A$2500)=DO$3)*(Gastos!$B$2:$B$2500=$A61)*(Gastos!$D$2:$D$2500))</f>
        <v>0</v>
      </c>
      <c r="DP61" s="75">
        <f t="array" ref="DP61">SUM((YEAR(Gastos!$A$2:$A$2500)=DP$1)*(MONTH(Gastos!$A$2:$A$2500)=DP$3)*(Gastos!$B$2:$B$2500=$A61)*(Gastos!$D$2:$D$2500))</f>
        <v>0</v>
      </c>
      <c r="DQ61" s="75">
        <f t="array" ref="DQ61">SUM((YEAR(Gastos!$A$2:$A$2500)=DQ$1)*(MONTH(Gastos!$A$2:$A$2500)=DQ$3)*(Gastos!$B$2:$B$2500=$A61)*(Gastos!$D$2:$D$2500))</f>
        <v>0</v>
      </c>
      <c r="DR61" s="75">
        <f t="array" ref="DR61">SUM((YEAR(Gastos!$A$2:$A$2500)=DR$1)*(MONTH(Gastos!$A$2:$A$2500)=DR$3)*(Gastos!$B$2:$B$2500=$A61)*(Gastos!$D$2:$D$2500))</f>
        <v>0</v>
      </c>
      <c r="DS61" s="75">
        <f t="array" ref="DS61">SUM((YEAR(Gastos!$A$2:$A$2500)=DS$1)*(MONTH(Gastos!$A$2:$A$2500)=DS$3)*(Gastos!$B$2:$B$2500=$A61)*(Gastos!$D$2:$D$2500))</f>
        <v>0</v>
      </c>
      <c r="DT61" s="75">
        <f t="array" ref="DT61">SUM((YEAR(Gastos!$A$2:$A$2500)=DT$1)*(MONTH(Gastos!$A$2:$A$2500)=DT$3)*(Gastos!$B$2:$B$2500=$A61)*(Gastos!$D$2:$D$2500))</f>
        <v>0</v>
      </c>
      <c r="DU61" s="75">
        <f t="array" ref="DU61">SUM((YEAR(Gastos!$A$2:$A$2500)=DU$1)*(MONTH(Gastos!$A$2:$A$2500)=DU$3)*(Gastos!$B$2:$B$2500=$A61)*(Gastos!$D$2:$D$2500))</f>
        <v>0</v>
      </c>
      <c r="DV61" s="75">
        <f t="array" ref="DV61">SUM((YEAR(Gastos!$A$2:$A$2500)=DV$1)*(MONTH(Gastos!$A$2:$A$2500)=DV$3)*(Gastos!$B$2:$B$2500=$A61)*(Gastos!$D$2:$D$2500))</f>
        <v>0</v>
      </c>
      <c r="DW61" s="75">
        <f t="array" ref="DW61">SUM((YEAR(Gastos!$A$2:$A$2500)=DW$1)*(MONTH(Gastos!$A$2:$A$2500)=DW$3)*(Gastos!$B$2:$B$2500=$A61)*(Gastos!$D$2:$D$2500))</f>
        <v>0</v>
      </c>
      <c r="DX61" s="75">
        <f t="array" ref="DX61">SUM((YEAR(Gastos!$A$2:$A$2500)=DX$1)*(MONTH(Gastos!$A$2:$A$2500)=DX$3)*(Gastos!$B$2:$B$2500=$A61)*(Gastos!$D$2:$D$2500))</f>
        <v>0</v>
      </c>
      <c r="DY61" s="75">
        <f t="array" ref="DY61">SUM((YEAR(Gastos!$A$2:$A$2500)=DY$1)*(MONTH(Gastos!$A$2:$A$2500)=DY$3)*(Gastos!$B$2:$B$2500=$A61)*(Gastos!$D$2:$D$2500))</f>
        <v>0</v>
      </c>
      <c r="DZ61" s="75">
        <f t="array" ref="DZ61">SUM((YEAR(Gastos!$A$2:$A$2500)=DZ$1)*(MONTH(Gastos!$A$2:$A$2500)=DZ$3)*(Gastos!$B$2:$B$2500=$A61)*(Gastos!$D$2:$D$2500))</f>
        <v>0</v>
      </c>
      <c r="EA61" s="75">
        <f t="array" ref="EA61">SUM((YEAR(Gastos!$A$2:$A$2500)=EA$1)*(MONTH(Gastos!$A$2:$A$2500)=EA$3)*(Gastos!$B$2:$B$2500=$A61)*(Gastos!$D$2:$D$2500))</f>
        <v>0</v>
      </c>
      <c r="EB61" s="75">
        <f t="array" ref="EB61">SUM((YEAR(Gastos!$A$2:$A$2500)=EB$1)*(MONTH(Gastos!$A$2:$A$2500)=EB$3)*(Gastos!$B$2:$B$2500=$A61)*(Gastos!$D$2:$D$2500))</f>
        <v>0</v>
      </c>
      <c r="EC61" s="75">
        <f t="array" ref="EC61">SUM((YEAR(Gastos!$A$2:$A$2500)=EC$1)*(MONTH(Gastos!$A$2:$A$2500)=EC$3)*(Gastos!$B$2:$B$2500=$A61)*(Gastos!$D$2:$D$2500))</f>
        <v>0</v>
      </c>
      <c r="ED61" s="75">
        <f t="array" ref="ED61">SUM((YEAR(Gastos!$A$2:$A$2500)=ED$1)*(MONTH(Gastos!$A$2:$A$2500)=ED$3)*(Gastos!$B$2:$B$2500=$A61)*(Gastos!$D$2:$D$2500))</f>
        <v>0</v>
      </c>
      <c r="EE61" s="75">
        <f t="array" ref="EE61">SUM((YEAR(Gastos!$A$2:$A$2500)=EE$1)*(MONTH(Gastos!$A$2:$A$2500)=EE$3)*(Gastos!$B$2:$B$2500=$A61)*(Gastos!$D$2:$D$2500))</f>
        <v>0</v>
      </c>
      <c r="EF61" s="75">
        <f t="array" ref="EF61">SUM((YEAR(Gastos!$A$2:$A$2500)=EF$1)*(MONTH(Gastos!$A$2:$A$2500)=EF$3)*(Gastos!$B$2:$B$2500=$A61)*(Gastos!$D$2:$D$2500))</f>
        <v>0</v>
      </c>
      <c r="EG61" s="75">
        <f t="array" ref="EG61">SUM((YEAR(Gastos!$A$2:$A$2500)=EG$1)*(MONTH(Gastos!$A$2:$A$2500)=EG$3)*(Gastos!$B$2:$B$2500=$A61)*(Gastos!$D$2:$D$2500))</f>
        <v>0</v>
      </c>
      <c r="EH61" s="75">
        <f t="array" ref="EH61">SUM((YEAR(Gastos!$A$2:$A$2500)=EH$1)*(MONTH(Gastos!$A$2:$A$2500)=EH$3)*(Gastos!$B$2:$B$2500=$A61)*(Gastos!$D$2:$D$2500))</f>
        <v>0</v>
      </c>
      <c r="EI61" s="75">
        <f t="array" ref="EI61">SUM((YEAR(Gastos!$A$2:$A$2500)=EI$1)*(MONTH(Gastos!$A$2:$A$2500)=EI$3)*(Gastos!$B$2:$B$2500=$A61)*(Gastos!$D$2:$D$2500))</f>
        <v>0</v>
      </c>
      <c r="EJ61" s="75">
        <f t="array" ref="EJ61">SUM((YEAR(Gastos!$A$2:$A$2500)=EJ$1)*(MONTH(Gastos!$A$2:$A$2500)=EJ$3)*(Gastos!$B$2:$B$2500=$A61)*(Gastos!$D$2:$D$2500))</f>
        <v>0</v>
      </c>
      <c r="EK61" s="75">
        <f t="array" ref="EK61">SUM((YEAR(Gastos!$A$2:$A$2500)=EK$1)*(MONTH(Gastos!$A$2:$A$2500)=EK$3)*(Gastos!$B$2:$B$2500=$A61)*(Gastos!$D$2:$D$2500))</f>
        <v>0</v>
      </c>
      <c r="EL61" s="75">
        <f t="array" ref="EL61">SUM((YEAR(Gastos!$A$2:$A$2500)=EL$1)*(MONTH(Gastos!$A$2:$A$2500)=EL$3)*(Gastos!$B$2:$B$2500=$A61)*(Gastos!$D$2:$D$2500))</f>
        <v>0</v>
      </c>
      <c r="EM61" s="75">
        <f t="array" ref="EM61">SUM((YEAR(Gastos!$A$2:$A$2500)=EM$1)*(MONTH(Gastos!$A$2:$A$2500)=EM$3)*(Gastos!$B$2:$B$2500=$A61)*(Gastos!$D$2:$D$2500))</f>
        <v>0</v>
      </c>
      <c r="EN61" s="75">
        <f t="array" ref="EN61">SUM((YEAR(Gastos!$A$2:$A$2500)=EN$1)*(MONTH(Gastos!$A$2:$A$2500)=EN$3)*(Gastos!$B$2:$B$2500=$A61)*(Gastos!$D$2:$D$2500))</f>
        <v>0</v>
      </c>
      <c r="EO61" s="75">
        <f t="array" ref="EO61">SUM((YEAR(Gastos!$A$2:$A$2500)=EO$1)*(MONTH(Gastos!$A$2:$A$2500)=EO$3)*(Gastos!$B$2:$B$2500=$A61)*(Gastos!$D$2:$D$2500))</f>
        <v>0</v>
      </c>
      <c r="EP61" s="75">
        <f t="array" ref="EP61">SUM((YEAR(Gastos!$A$2:$A$2500)=EP$1)*(MONTH(Gastos!$A$2:$A$2500)=EP$3)*(Gastos!$B$2:$B$2500=$A61)*(Gastos!$D$2:$D$2500))</f>
        <v>0</v>
      </c>
      <c r="EQ61" s="75">
        <f t="array" ref="EQ61">SUM((YEAR(Gastos!$A$2:$A$2500)=EQ$1)*(MONTH(Gastos!$A$2:$A$2500)=EQ$3)*(Gastos!$B$2:$B$2500=$A61)*(Gastos!$D$2:$D$2500))</f>
        <v>0</v>
      </c>
      <c r="ER61" s="75">
        <f t="array" ref="ER61">SUM((YEAR(Gastos!$A$2:$A$2500)=ER$1)*(MONTH(Gastos!$A$2:$A$2500)=ER$3)*(Gastos!$B$2:$B$2500=$A61)*(Gastos!$D$2:$D$2500))</f>
        <v>0</v>
      </c>
      <c r="ES61" s="75">
        <f t="array" ref="ES61">SUM((YEAR(Gastos!$A$2:$A$2500)=ES$1)*(MONTH(Gastos!$A$2:$A$2500)=ES$3)*(Gastos!$B$2:$B$2500=$A61)*(Gastos!$D$2:$D$2500))</f>
        <v>0</v>
      </c>
      <c r="ET61" s="75">
        <f t="array" ref="ET61">SUM((YEAR(Gastos!$A$2:$A$2500)=ET$1)*(MONTH(Gastos!$A$2:$A$2500)=ET$3)*(Gastos!$B$2:$B$2500=$A61)*(Gastos!$D$2:$D$2500))</f>
        <v>0</v>
      </c>
      <c r="EU61" s="75">
        <f t="array" ref="EU61">SUM((YEAR(Gastos!$A$2:$A$2500)=EU$1)*(MONTH(Gastos!$A$2:$A$2500)=EU$3)*(Gastos!$B$2:$B$2500=$A61)*(Gastos!$D$2:$D$2500))</f>
        <v>0</v>
      </c>
      <c r="EV61" s="75">
        <f t="array" ref="EV61">SUM((YEAR(Gastos!$A$2:$A$2500)=EV$1)*(MONTH(Gastos!$A$2:$A$2500)=EV$3)*(Gastos!$B$2:$B$2500=$A61)*(Gastos!$D$2:$D$2500))</f>
        <v>0</v>
      </c>
      <c r="EW61" s="75">
        <f t="array" ref="EW61">SUM((YEAR(Gastos!$A$2:$A$2500)=EW$1)*(MONTH(Gastos!$A$2:$A$2500)=EW$3)*(Gastos!$B$2:$B$2500=$A61)*(Gastos!$D$2:$D$2500))</f>
        <v>0</v>
      </c>
      <c r="EX61" s="75">
        <f t="array" ref="EX61">SUM((YEAR(Gastos!$A$2:$A$2500)=EX$1)*(MONTH(Gastos!$A$2:$A$2500)=EX$3)*(Gastos!$B$2:$B$2500=$A61)*(Gastos!$D$2:$D$2500))</f>
        <v>0</v>
      </c>
      <c r="EY61" s="75">
        <f t="array" ref="EY61">SUM((YEAR(Gastos!$A$2:$A$2500)=EY$1)*(MONTH(Gastos!$A$2:$A$2500)=EY$3)*(Gastos!$B$2:$B$2500=$A61)*(Gastos!$D$2:$D$2500))</f>
        <v>0</v>
      </c>
      <c r="EZ61" s="75">
        <f t="array" ref="EZ61">SUM((YEAR(Gastos!$A$2:$A$2500)=EZ$1)*(MONTH(Gastos!$A$2:$A$2500)=EZ$3)*(Gastos!$B$2:$B$2500=$A61)*(Gastos!$D$2:$D$2500))</f>
        <v>0</v>
      </c>
      <c r="FA61" s="75">
        <f t="array" ref="FA61">SUM((YEAR(Gastos!$A$2:$A$2500)=FA$1)*(MONTH(Gastos!$A$2:$A$2500)=FA$3)*(Gastos!$B$2:$B$2500=$A61)*(Gastos!$D$2:$D$2500))</f>
        <v>0</v>
      </c>
      <c r="FB61" s="75">
        <f t="array" ref="FB61">SUM((YEAR(Gastos!$A$2:$A$2500)=FB$1)*(MONTH(Gastos!$A$2:$A$2500)=FB$3)*(Gastos!$B$2:$B$2500=$A61)*(Gastos!$D$2:$D$2500))</f>
        <v>0</v>
      </c>
      <c r="FC61" s="75">
        <f t="array" ref="FC61">SUM((YEAR(Gastos!$A$2:$A$2500)=FC$1)*(MONTH(Gastos!$A$2:$A$2500)=FC$3)*(Gastos!$B$2:$B$2500=$A61)*(Gastos!$D$2:$D$2500))</f>
        <v>0</v>
      </c>
      <c r="FD61" s="75">
        <f t="array" ref="FD61">SUM((YEAR(Gastos!$A$2:$A$2500)=FD$1)*(MONTH(Gastos!$A$2:$A$2500)=FD$3)*(Gastos!$B$2:$B$2500=$A61)*(Gastos!$D$2:$D$2500))</f>
        <v>0</v>
      </c>
      <c r="FE61" s="75">
        <f t="array" ref="FE61">SUM((YEAR(Gastos!$A$2:$A$2500)=FE$1)*(MONTH(Gastos!$A$2:$A$2500)=FE$3)*(Gastos!$B$2:$B$2500=$A61)*(Gastos!$D$2:$D$2500))</f>
        <v>0</v>
      </c>
      <c r="FF61" s="75">
        <f t="array" ref="FF61">SUM((YEAR(Gastos!$A$2:$A$2500)=FF$1)*(MONTH(Gastos!$A$2:$A$2500)=FF$3)*(Gastos!$B$2:$B$2500=$A61)*(Gastos!$D$2:$D$2500))</f>
        <v>0</v>
      </c>
      <c r="FG61" s="75">
        <f t="array" ref="FG61">SUM((YEAR(Gastos!$A$2:$A$2500)=FG$1)*(MONTH(Gastos!$A$2:$A$2500)=FG$3)*(Gastos!$B$2:$B$2500=$A61)*(Gastos!$D$2:$D$2500))</f>
        <v>0</v>
      </c>
      <c r="FH61" s="75">
        <f t="array" ref="FH61">SUM((YEAR(Gastos!$A$2:$A$2500)=FH$1)*(MONTH(Gastos!$A$2:$A$2500)=FH$3)*(Gastos!$B$2:$B$2500=$A61)*(Gastos!$D$2:$D$2500))</f>
        <v>0</v>
      </c>
      <c r="FI61" s="75">
        <f t="array" ref="FI61">SUM((YEAR(Gastos!$A$2:$A$2500)=FI$1)*(MONTH(Gastos!$A$2:$A$2500)=FI$3)*(Gastos!$B$2:$B$2500=$A61)*(Gastos!$D$2:$D$2500))</f>
        <v>0</v>
      </c>
      <c r="FJ61" s="75">
        <f t="array" ref="FJ61">SUM((YEAR(Gastos!$A$2:$A$2500)=FJ$1)*(MONTH(Gastos!$A$2:$A$2500)=FJ$3)*(Gastos!$B$2:$B$2500=$A61)*(Gastos!$D$2:$D$2500))</f>
        <v>0</v>
      </c>
      <c r="FK61" s="75">
        <f t="array" ref="FK61">SUM((YEAR(Gastos!$A$2:$A$2500)=FK$1)*(MONTH(Gastos!$A$2:$A$2500)=FK$3)*(Gastos!$B$2:$B$2500=$A61)*(Gastos!$D$2:$D$2500))</f>
        <v>0</v>
      </c>
      <c r="FL61" s="75">
        <f t="array" ref="FL61">SUM((YEAR(Gastos!$A$2:$A$2500)=FL$1)*(MONTH(Gastos!$A$2:$A$2500)=FL$3)*(Gastos!$B$2:$B$2500=$A61)*(Gastos!$D$2:$D$2500))</f>
        <v>0</v>
      </c>
      <c r="FM61" s="75">
        <f t="array" ref="FM61">SUM((YEAR(Gastos!$A$2:$A$2500)=FM$1)*(MONTH(Gastos!$A$2:$A$2500)=FM$3)*(Gastos!$B$2:$B$2500=$A61)*(Gastos!$D$2:$D$2500))</f>
        <v>0</v>
      </c>
      <c r="FN61" s="75">
        <f t="array" ref="FN61">SUM((YEAR(Gastos!$A$2:$A$2500)=FN$1)*(MONTH(Gastos!$A$2:$A$2500)=FN$3)*(Gastos!$B$2:$B$2500=$A61)*(Gastos!$D$2:$D$2500))</f>
        <v>0</v>
      </c>
      <c r="FO61" s="75">
        <f t="array" ref="FO61">SUM((YEAR(Gastos!$A$2:$A$2500)=FO$1)*(MONTH(Gastos!$A$2:$A$2500)=FO$3)*(Gastos!$B$2:$B$2500=$A61)*(Gastos!$D$2:$D$2500))</f>
        <v>0</v>
      </c>
      <c r="FP61" s="75">
        <f t="array" ref="FP61">SUM((YEAR(Gastos!$A$2:$A$2500)=FP$1)*(MONTH(Gastos!$A$2:$A$2500)=FP$3)*(Gastos!$B$2:$B$2500=$A61)*(Gastos!$D$2:$D$2500))</f>
        <v>0</v>
      </c>
      <c r="FQ61" s="75">
        <f t="array" ref="FQ61">SUM((YEAR(Gastos!$A$2:$A$2500)=FQ$1)*(MONTH(Gastos!$A$2:$A$2500)=FQ$3)*(Gastos!$B$2:$B$2500=$A61)*(Gastos!$D$2:$D$2500))</f>
        <v>0</v>
      </c>
      <c r="FR61" s="75">
        <f t="array" ref="FR61">SUM((YEAR(Gastos!$A$2:$A$2500)=FR$1)*(MONTH(Gastos!$A$2:$A$2500)=FR$3)*(Gastos!$B$2:$B$2500=$A61)*(Gastos!$D$2:$D$2500))</f>
        <v>0</v>
      </c>
      <c r="FS61" s="75">
        <f t="array" ref="FS61">SUM((YEAR(Gastos!$A$2:$A$2500)=FS$1)*(MONTH(Gastos!$A$2:$A$2500)=FS$3)*(Gastos!$B$2:$B$2500=$A61)*(Gastos!$D$2:$D$2500))</f>
        <v>0</v>
      </c>
      <c r="FT61" s="75">
        <f t="array" ref="FT61">SUM((YEAR(Gastos!$A$2:$A$2500)=FT$1)*(MONTH(Gastos!$A$2:$A$2500)=FT$3)*(Gastos!$B$2:$B$2500=$A61)*(Gastos!$D$2:$D$2500))</f>
        <v>0</v>
      </c>
      <c r="FU61" s="75">
        <f t="array" ref="FU61">SUM((YEAR(Gastos!$A$2:$A$2500)=FU$1)*(MONTH(Gastos!$A$2:$A$2500)=FU$3)*(Gastos!$B$2:$B$2500=$A61)*(Gastos!$D$2:$D$2500))</f>
        <v>0</v>
      </c>
      <c r="FV61" s="75">
        <f t="array" ref="FV61">SUM((YEAR(Gastos!$A$2:$A$2500)=FV$1)*(MONTH(Gastos!$A$2:$A$2500)=FV$3)*(Gastos!$B$2:$B$2500=$A61)*(Gastos!$D$2:$D$2500))</f>
        <v>0</v>
      </c>
      <c r="FW61" s="75">
        <f t="array" ref="FW61">SUM((YEAR(Gastos!$A$2:$A$2500)=FW$1)*(MONTH(Gastos!$A$2:$A$2500)=FW$3)*(Gastos!$B$2:$B$2500=$A61)*(Gastos!$D$2:$D$2500))</f>
        <v>0</v>
      </c>
      <c r="FX61" s="75">
        <f t="array" ref="FX61">SUM((YEAR(Gastos!$A$2:$A$2500)=FX$1)*(MONTH(Gastos!$A$2:$A$2500)=FX$3)*(Gastos!$B$2:$B$2500=$A61)*(Gastos!$D$2:$D$2500))</f>
        <v>0</v>
      </c>
      <c r="FY61" s="75">
        <f t="array" ref="FY61">SUM((YEAR(Gastos!$A$2:$A$2500)=FY$1)*(MONTH(Gastos!$A$2:$A$2500)=FY$3)*(Gastos!$B$2:$B$2500=$A61)*(Gastos!$D$2:$D$2500))</f>
        <v>0</v>
      </c>
      <c r="FZ61" s="76">
        <f t="shared" si="65"/>
        <v>0</v>
      </c>
      <c r="GA61" s="80"/>
      <c r="GB61" s="82"/>
    </row>
    <row r="62" spans="1:191" ht="15" thickBot="1" x14ac:dyDescent="0.4">
      <c r="A62" s="74" t="str">
        <f>Gastos!AA60</f>
        <v>X</v>
      </c>
      <c r="B62" s="75">
        <f t="array" ref="B62">SUM((YEAR(Gastos!$A$2:$A$2500)=B$1)*(MONTH(Gastos!$A$2:$A$2500)=B$3)*(Gastos!$B$2:$B$2500=$A62)*(Gastos!$D$2:$D$2500))</f>
        <v>0</v>
      </c>
      <c r="C62" s="75">
        <f t="array" ref="C62">SUM((YEAR(Gastos!$A$2:$A$2500)=C$1)*(MONTH(Gastos!$A$2:$A$2500)=C$3)*(Gastos!$B$2:$B$2500=$A62)*(Gastos!$D$2:$D$2500))</f>
        <v>0</v>
      </c>
      <c r="D62" s="75">
        <f t="array" ref="D62">SUM((YEAR(Gastos!$A$2:$A$2500)=D$1)*(MONTH(Gastos!$A$2:$A$2500)=D$3)*(Gastos!$B$2:$B$2500=$A62)*(Gastos!$D$2:$D$2500))</f>
        <v>0</v>
      </c>
      <c r="E62" s="75">
        <f t="array" ref="E62">SUM((YEAR(Gastos!$A$2:$A$2500)=E$1)*(MONTH(Gastos!$A$2:$A$2500)=E$3)*(Gastos!$B$2:$B$2500=$A62)*(Gastos!$D$2:$D$2500))</f>
        <v>0</v>
      </c>
      <c r="F62" s="75">
        <f t="array" ref="F62">SUM((YEAR(Gastos!$A$2:$A$2500)=F$1)*(MONTH(Gastos!$A$2:$A$2500)=F$3)*(Gastos!$B$2:$B$2500=$A62)*(Gastos!$D$2:$D$2500))</f>
        <v>0</v>
      </c>
      <c r="G62" s="75">
        <f t="array" ref="G62">SUM((YEAR(Gastos!$A$2:$A$2500)=G$1)*(MONTH(Gastos!$A$2:$A$2500)=G$3)*(Gastos!$B$2:$B$2500=$A62)*(Gastos!$D$2:$D$2500))</f>
        <v>0</v>
      </c>
      <c r="H62" s="75">
        <f t="array" ref="H62">SUM((YEAR(Gastos!$A$2:$A$2500)=H$1)*(MONTH(Gastos!$A$2:$A$2500)=H$3)*(Gastos!$B$2:$B$2500=$A62)*(Gastos!$D$2:$D$2500))</f>
        <v>0</v>
      </c>
      <c r="I62" s="75">
        <f t="array" ref="I62">SUM((YEAR(Gastos!$A$2:$A$2500)=I$1)*(MONTH(Gastos!$A$2:$A$2500)=I$3)*(Gastos!$B$2:$B$2500=$A62)*(Gastos!$D$2:$D$2500))</f>
        <v>0</v>
      </c>
      <c r="J62" s="75">
        <f t="array" ref="J62">SUM((YEAR(Gastos!$A$2:$A$2500)=J$1)*(MONTH(Gastos!$A$2:$A$2500)=J$3)*(Gastos!$B$2:$B$2500=$A62)*(Gastos!$D$2:$D$2500))</f>
        <v>0</v>
      </c>
      <c r="K62" s="75">
        <f t="array" ref="K62">SUM((YEAR(Gastos!$A$2:$A$2500)=K$1)*(MONTH(Gastos!$A$2:$A$2500)=K$3)*(Gastos!$B$2:$B$2500=$A62)*(Gastos!$D$2:$D$2500))</f>
        <v>0</v>
      </c>
      <c r="L62" s="75">
        <f t="array" ref="L62">SUM((YEAR(Gastos!$A$2:$A$2500)=L$1)*(MONTH(Gastos!$A$2:$A$2500)=L$3)*(Gastos!$B$2:$B$2500=$A62)*(Gastos!$D$2:$D$2500))</f>
        <v>0</v>
      </c>
      <c r="M62" s="75">
        <f t="array" ref="M62">SUM((YEAR(Gastos!$A$2:$A$2500)=M$1)*(MONTH(Gastos!$A$2:$A$2500)=M$3)*(Gastos!$B$2:$B$2500=$A62)*(Gastos!$D$2:$D$2500))</f>
        <v>0</v>
      </c>
      <c r="N62" s="75">
        <f t="array" ref="N62">SUM((YEAR(Gastos!$A$2:$A$2500)=N$1)*(MONTH(Gastos!$A$2:$A$2500)=N$3)*(Gastos!$B$2:$B$2500=$A62)*(Gastos!$D$2:$D$2500))</f>
        <v>0</v>
      </c>
      <c r="O62" s="75">
        <f t="array" ref="O62">SUM((YEAR(Gastos!$A$2:$A$2500)=O$1)*(MONTH(Gastos!$A$2:$A$2500)=O$3)*(Gastos!$B$2:$B$2500=$A62)*(Gastos!$D$2:$D$2500))</f>
        <v>0</v>
      </c>
      <c r="P62" s="75">
        <f t="array" ref="P62">SUM((YEAR(Gastos!$A$2:$A$2500)=P$1)*(MONTH(Gastos!$A$2:$A$2500)=P$3)*(Gastos!$B$2:$B$2500=$A62)*(Gastos!$D$2:$D$2500))</f>
        <v>0</v>
      </c>
      <c r="Q62" s="75">
        <f t="array" ref="Q62">SUM((YEAR(Gastos!$A$2:$A$2500)=Q$1)*(MONTH(Gastos!$A$2:$A$2500)=Q$3)*(Gastos!$B$2:$B$2500=$A62)*(Gastos!$D$2:$D$2500))</f>
        <v>0</v>
      </c>
      <c r="R62" s="75">
        <f t="array" ref="R62">SUM((YEAR(Gastos!$A$2:$A$2500)=R$1)*(MONTH(Gastos!$A$2:$A$2500)=R$3)*(Gastos!$B$2:$B$2500=$A62)*(Gastos!$D$2:$D$2500))</f>
        <v>0</v>
      </c>
      <c r="S62" s="75">
        <f t="array" ref="S62">SUM((YEAR(Gastos!$A$2:$A$2500)=S$1)*(MONTH(Gastos!$A$2:$A$2500)=S$3)*(Gastos!$B$2:$B$2500=$A62)*(Gastos!$D$2:$D$2500))</f>
        <v>0</v>
      </c>
      <c r="T62" s="75">
        <f t="array" ref="T62">SUM((YEAR(Gastos!$A$2:$A$2500)=T$1)*(MONTH(Gastos!$A$2:$A$2500)=T$3)*(Gastos!$B$2:$B$2500=$A62)*(Gastos!$D$2:$D$2500))</f>
        <v>0</v>
      </c>
      <c r="U62" s="75">
        <f t="array" ref="U62">SUM((YEAR(Gastos!$A$2:$A$2500)=U$1)*(MONTH(Gastos!$A$2:$A$2500)=U$3)*(Gastos!$B$2:$B$2500=$A62)*(Gastos!$D$2:$D$2500))</f>
        <v>0</v>
      </c>
      <c r="V62" s="75">
        <f t="array" ref="V62">SUM((YEAR(Gastos!$A$2:$A$2500)=V$1)*(MONTH(Gastos!$A$2:$A$2500)=V$3)*(Gastos!$B$2:$B$2500=$A62)*(Gastos!$D$2:$D$2500))</f>
        <v>0</v>
      </c>
      <c r="W62" s="75">
        <f t="array" ref="W62">SUM((YEAR(Gastos!$A$2:$A$2500)=W$1)*(MONTH(Gastos!$A$2:$A$2500)=W$3)*(Gastos!$B$2:$B$2500=$A62)*(Gastos!$D$2:$D$2500))</f>
        <v>0</v>
      </c>
      <c r="X62" s="75">
        <f t="array" ref="X62">SUM((YEAR(Gastos!$A$2:$A$2500)=X$1)*(MONTH(Gastos!$A$2:$A$2500)=X$3)*(Gastos!$B$2:$B$2500=$A62)*(Gastos!$D$2:$D$2500))</f>
        <v>0</v>
      </c>
      <c r="Y62" s="75">
        <f t="array" ref="Y62">SUM((YEAR(Gastos!$A$2:$A$2500)=Y$1)*(MONTH(Gastos!$A$2:$A$2500)=Y$3)*(Gastos!$B$2:$B$2500=$A62)*(Gastos!$D$2:$D$2500))</f>
        <v>0</v>
      </c>
      <c r="Z62" s="75">
        <f t="array" ref="Z62">SUM((YEAR(Gastos!$A$2:$A$2500)=Z$1)*(MONTH(Gastos!$A$2:$A$2500)=Z$3)*(Gastos!$B$2:$B$2500=$A62)*(Gastos!$D$2:$D$2500))</f>
        <v>0</v>
      </c>
      <c r="AA62" s="75">
        <f t="array" ref="AA62">SUM((YEAR(Gastos!$A$2:$A$2500)=AA$1)*(MONTH(Gastos!$A$2:$A$2500)=AA$3)*(Gastos!$B$2:$B$2500=$A62)*(Gastos!$D$2:$D$2500))</f>
        <v>0</v>
      </c>
      <c r="AB62" s="75">
        <f t="array" ref="AB62">SUM((YEAR(Gastos!$A$2:$A$2500)=AB$1)*(MONTH(Gastos!$A$2:$A$2500)=AB$3)*(Gastos!$B$2:$B$2500=$A62)*(Gastos!$D$2:$D$2500))</f>
        <v>0</v>
      </c>
      <c r="AC62" s="75">
        <f t="array" ref="AC62">SUM((YEAR(Gastos!$A$2:$A$2500)=AC$1)*(MONTH(Gastos!$A$2:$A$2500)=AC$3)*(Gastos!$B$2:$B$2500=$A62)*(Gastos!$D$2:$D$2500))</f>
        <v>0</v>
      </c>
      <c r="AD62" s="75">
        <f t="array" ref="AD62">SUM((YEAR(Gastos!$A$2:$A$2500)=AD$1)*(MONTH(Gastos!$A$2:$A$2500)=AD$3)*(Gastos!$B$2:$B$2500=$A62)*(Gastos!$D$2:$D$2500))</f>
        <v>0</v>
      </c>
      <c r="AE62" s="75">
        <f t="array" ref="AE62">SUM((YEAR(Gastos!$A$2:$A$2500)=AE$1)*(MONTH(Gastos!$A$2:$A$2500)=AE$3)*(Gastos!$B$2:$B$2500=$A62)*(Gastos!$D$2:$D$2500))</f>
        <v>0</v>
      </c>
      <c r="AF62" s="75">
        <f t="array" ref="AF62">SUM((YEAR(Gastos!$A$2:$A$2500)=AF$1)*(MONTH(Gastos!$A$2:$A$2500)=AF$3)*(Gastos!$B$2:$B$2500=$A62)*(Gastos!$D$2:$D$2500))</f>
        <v>0</v>
      </c>
      <c r="AG62" s="75">
        <f t="array" ref="AG62">SUM((YEAR(Gastos!$A$2:$A$2500)=AG$1)*(MONTH(Gastos!$A$2:$A$2500)=AG$3)*(Gastos!$B$2:$B$2500=$A62)*(Gastos!$D$2:$D$2500))</f>
        <v>0</v>
      </c>
      <c r="AH62" s="75">
        <f t="array" ref="AH62">SUM((YEAR(Gastos!$A$2:$A$2500)=AH$1)*(MONTH(Gastos!$A$2:$A$2500)=AH$3)*(Gastos!$B$2:$B$2500=$A62)*(Gastos!$D$2:$D$2500))</f>
        <v>0</v>
      </c>
      <c r="AI62" s="75">
        <f t="array" ref="AI62">SUM((YEAR(Gastos!$A$2:$A$2500)=AI$1)*(MONTH(Gastos!$A$2:$A$2500)=AI$3)*(Gastos!$B$2:$B$2500=$A62)*(Gastos!$D$2:$D$2500))</f>
        <v>0</v>
      </c>
      <c r="AJ62" s="75">
        <f t="array" ref="AJ62">SUM((YEAR(Gastos!$A$2:$A$2500)=AJ$1)*(MONTH(Gastos!$A$2:$A$2500)=AJ$3)*(Gastos!$B$2:$B$2500=$A62)*(Gastos!$D$2:$D$2500))</f>
        <v>0</v>
      </c>
      <c r="AK62" s="75">
        <f t="array" ref="AK62">SUM((YEAR(Gastos!$A$2:$A$2500)=AK$1)*(MONTH(Gastos!$A$2:$A$2500)=AK$3)*(Gastos!$B$2:$B$2500=$A62)*(Gastos!$D$2:$D$2500))</f>
        <v>0</v>
      </c>
      <c r="AL62" s="75">
        <f t="array" ref="AL62">SUM((YEAR(Gastos!$A$2:$A$2500)=AL$1)*(MONTH(Gastos!$A$2:$A$2500)=AL$3)*(Gastos!$B$2:$B$2500=$A62)*(Gastos!$D$2:$D$2500))</f>
        <v>0</v>
      </c>
      <c r="AM62" s="75">
        <f t="array" ref="AM62">SUM((YEAR(Gastos!$A$2:$A$2500)=AM$1)*(MONTH(Gastos!$A$2:$A$2500)=AM$3)*(Gastos!$B$2:$B$2500=$A62)*(Gastos!$D$2:$D$2500))</f>
        <v>0</v>
      </c>
      <c r="AN62" s="75">
        <f t="array" ref="AN62">SUM((YEAR(Gastos!$A$2:$A$2500)=AN$1)*(MONTH(Gastos!$A$2:$A$2500)=AN$3)*(Gastos!$B$2:$B$2500=$A62)*(Gastos!$D$2:$D$2500))</f>
        <v>0</v>
      </c>
      <c r="AO62" s="75">
        <f t="array" ref="AO62">SUM((YEAR(Gastos!$A$2:$A$2500)=AO$1)*(MONTH(Gastos!$A$2:$A$2500)=AO$3)*(Gastos!$B$2:$B$2500=$A62)*(Gastos!$D$2:$D$2500))</f>
        <v>0</v>
      </c>
      <c r="AP62" s="75">
        <f t="array" ref="AP62">SUM((YEAR(Gastos!$A$2:$A$2500)=AP$1)*(MONTH(Gastos!$A$2:$A$2500)=AP$3)*(Gastos!$B$2:$B$2500=$A62)*(Gastos!$D$2:$D$2500))</f>
        <v>0</v>
      </c>
      <c r="AQ62" s="75">
        <f t="array" ref="AQ62">SUM((YEAR(Gastos!$A$2:$A$2500)=AQ$1)*(MONTH(Gastos!$A$2:$A$2500)=AQ$3)*(Gastos!$B$2:$B$2500=$A62)*(Gastos!$D$2:$D$2500))</f>
        <v>0</v>
      </c>
      <c r="AR62" s="75">
        <f t="array" ref="AR62">SUM((YEAR(Gastos!$A$2:$A$2500)=AR$1)*(MONTH(Gastos!$A$2:$A$2500)=AR$3)*(Gastos!$B$2:$B$2500=$A62)*(Gastos!$D$2:$D$2500))</f>
        <v>0</v>
      </c>
      <c r="AS62" s="75">
        <f t="array" ref="AS62">SUM((YEAR(Gastos!$A$2:$A$2500)=AS$1)*(MONTH(Gastos!$A$2:$A$2500)=AS$3)*(Gastos!$B$2:$B$2500=$A62)*(Gastos!$D$2:$D$2500))</f>
        <v>0</v>
      </c>
      <c r="AT62" s="75">
        <f t="array" ref="AT62">SUM((YEAR(Gastos!$A$2:$A$2500)=AT$1)*(MONTH(Gastos!$A$2:$A$2500)=AT$3)*(Gastos!$B$2:$B$2500=$A62)*(Gastos!$D$2:$D$2500))</f>
        <v>0</v>
      </c>
      <c r="AU62" s="75">
        <f t="array" ref="AU62">SUM((YEAR(Gastos!$A$2:$A$2500)=AU$1)*(MONTH(Gastos!$A$2:$A$2500)=AU$3)*(Gastos!$B$2:$B$2500=$A62)*(Gastos!$D$2:$D$2500))</f>
        <v>0</v>
      </c>
      <c r="AV62" s="75">
        <f t="array" ref="AV62">SUM((YEAR(Gastos!$A$2:$A$2500)=AV$1)*(MONTH(Gastos!$A$2:$A$2500)=AV$3)*(Gastos!$B$2:$B$2500=$A62)*(Gastos!$D$2:$D$2500))</f>
        <v>0</v>
      </c>
      <c r="AW62" s="75">
        <f t="array" ref="AW62">SUM((YEAR(Gastos!$A$2:$A$2500)=AW$1)*(MONTH(Gastos!$A$2:$A$2500)=AW$3)*(Gastos!$B$2:$B$2500=$A62)*(Gastos!$D$2:$D$2500))</f>
        <v>0</v>
      </c>
      <c r="AX62" s="75">
        <f t="array" ref="AX62">SUM((YEAR(Gastos!$A$2:$A$2500)=AX$1)*(MONTH(Gastos!$A$2:$A$2500)=AX$3)*(Gastos!$B$2:$B$2500=$A62)*(Gastos!$D$2:$D$2500))</f>
        <v>0</v>
      </c>
      <c r="AY62" s="75">
        <f t="array" ref="AY62">SUM((YEAR(Gastos!$A$2:$A$2500)=AY$1)*(MONTH(Gastos!$A$2:$A$2500)=AY$3)*(Gastos!$B$2:$B$2500=$A62)*(Gastos!$D$2:$D$2500))</f>
        <v>0</v>
      </c>
      <c r="AZ62" s="75">
        <f t="array" ref="AZ62">SUM((YEAR(Gastos!$A$2:$A$2500)=AZ$1)*(MONTH(Gastos!$A$2:$A$2500)=AZ$3)*(Gastos!$B$2:$B$2500=$A62)*(Gastos!$D$2:$D$2500))</f>
        <v>0</v>
      </c>
      <c r="BA62" s="75">
        <f t="array" ref="BA62">SUM((YEAR(Gastos!$A$2:$A$2500)=BA$1)*(MONTH(Gastos!$A$2:$A$2500)=BA$3)*(Gastos!$B$2:$B$2500=$A62)*(Gastos!$D$2:$D$2500))</f>
        <v>0</v>
      </c>
      <c r="BB62" s="75">
        <f t="array" ref="BB62">SUM((YEAR(Gastos!$A$2:$A$2500)=BB$1)*(MONTH(Gastos!$A$2:$A$2500)=BB$3)*(Gastos!$B$2:$B$2500=$A62)*(Gastos!$D$2:$D$2500))</f>
        <v>0</v>
      </c>
      <c r="BC62" s="75">
        <f t="array" ref="BC62">SUM((YEAR(Gastos!$A$2:$A$2500)=BC$1)*(MONTH(Gastos!$A$2:$A$2500)=BC$3)*(Gastos!$B$2:$B$2500=$A62)*(Gastos!$D$2:$D$2500))</f>
        <v>0</v>
      </c>
      <c r="BD62" s="75">
        <f t="array" ref="BD62">SUM((YEAR(Gastos!$A$2:$A$2500)=BD$1)*(MONTH(Gastos!$A$2:$A$2500)=BD$3)*(Gastos!$B$2:$B$2500=$A62)*(Gastos!$D$2:$D$2500))</f>
        <v>0</v>
      </c>
      <c r="BE62" s="75">
        <f t="array" ref="BE62">SUM((YEAR(Gastos!$A$2:$A$2500)=BE$1)*(MONTH(Gastos!$A$2:$A$2500)=BE$3)*(Gastos!$B$2:$B$2500=$A62)*(Gastos!$D$2:$D$2500))</f>
        <v>0</v>
      </c>
      <c r="BF62" s="75">
        <f t="array" ref="BF62">SUM((YEAR(Gastos!$A$2:$A$2500)=BF$1)*(MONTH(Gastos!$A$2:$A$2500)=BF$3)*(Gastos!$B$2:$B$2500=$A62)*(Gastos!$D$2:$D$2500))</f>
        <v>0</v>
      </c>
      <c r="BG62" s="75">
        <f t="array" ref="BG62">SUM((YEAR(Gastos!$A$2:$A$2500)=BG$1)*(MONTH(Gastos!$A$2:$A$2500)=BG$3)*(Gastos!$B$2:$B$2500=$A62)*(Gastos!$D$2:$D$2500))</f>
        <v>0</v>
      </c>
      <c r="BH62" s="75">
        <f t="array" ref="BH62">SUM((YEAR(Gastos!$A$2:$A$2500)=BH$1)*(MONTH(Gastos!$A$2:$A$2500)=BH$3)*(Gastos!$B$2:$B$2500=$A62)*(Gastos!$D$2:$D$2500))</f>
        <v>0</v>
      </c>
      <c r="BI62" s="75">
        <f t="array" ref="BI62">SUM((YEAR(Gastos!$A$2:$A$2500)=BI$1)*(MONTH(Gastos!$A$2:$A$2500)=BI$3)*(Gastos!$B$2:$B$2500=$A62)*(Gastos!$D$2:$D$2500))</f>
        <v>0</v>
      </c>
      <c r="BJ62" s="75">
        <f t="array" ref="BJ62">SUM((YEAR(Gastos!$A$2:$A$2500)=BJ$1)*(MONTH(Gastos!$A$2:$A$2500)=BJ$3)*(Gastos!$B$2:$B$2500=$A62)*(Gastos!$D$2:$D$2500))</f>
        <v>0</v>
      </c>
      <c r="BK62" s="75">
        <f t="array" ref="BK62">SUM((YEAR(Gastos!$A$2:$A$2500)=BK$1)*(MONTH(Gastos!$A$2:$A$2500)=BK$3)*(Gastos!$B$2:$B$2500=$A62)*(Gastos!$D$2:$D$2500))</f>
        <v>0</v>
      </c>
      <c r="BL62" s="75">
        <f t="array" ref="BL62">SUM((YEAR(Gastos!$A$2:$A$2500)=BL$1)*(MONTH(Gastos!$A$2:$A$2500)=BL$3)*(Gastos!$B$2:$B$2500=$A62)*(Gastos!$D$2:$D$2500))</f>
        <v>0</v>
      </c>
      <c r="BM62" s="75">
        <f t="array" ref="BM62">SUM((YEAR(Gastos!$A$2:$A$2500)=BM$1)*(MONTH(Gastos!$A$2:$A$2500)=BM$3)*(Gastos!$B$2:$B$2500=$A62)*(Gastos!$D$2:$D$2500))</f>
        <v>0</v>
      </c>
      <c r="BN62" s="75">
        <f t="array" ref="BN62">SUM((YEAR(Gastos!$A$2:$A$2500)=BN$1)*(MONTH(Gastos!$A$2:$A$2500)=BN$3)*(Gastos!$B$2:$B$2500=$A62)*(Gastos!$D$2:$D$2500))</f>
        <v>0</v>
      </c>
      <c r="BO62" s="75">
        <f t="array" ref="BO62">SUM((YEAR(Gastos!$A$2:$A$2500)=BO$1)*(MONTH(Gastos!$A$2:$A$2500)=BO$3)*(Gastos!$B$2:$B$2500=$A62)*(Gastos!$D$2:$D$2500))</f>
        <v>0</v>
      </c>
      <c r="BP62" s="75">
        <f t="array" ref="BP62">SUM((YEAR(Gastos!$A$2:$A$2500)=BP$1)*(MONTH(Gastos!$A$2:$A$2500)=BP$3)*(Gastos!$B$2:$B$2500=$A62)*(Gastos!$D$2:$D$2500))</f>
        <v>0</v>
      </c>
      <c r="BQ62" s="75">
        <f t="array" ref="BQ62">SUM((YEAR(Gastos!$A$2:$A$2500)=BQ$1)*(MONTH(Gastos!$A$2:$A$2500)=BQ$3)*(Gastos!$B$2:$B$2500=$A62)*(Gastos!$D$2:$D$2500))</f>
        <v>0</v>
      </c>
      <c r="BR62" s="75">
        <f t="array" ref="BR62">SUM((YEAR(Gastos!$A$2:$A$2500)=BR$1)*(MONTH(Gastos!$A$2:$A$2500)=BR$3)*(Gastos!$B$2:$B$2500=$A62)*(Gastos!$D$2:$D$2500))</f>
        <v>0</v>
      </c>
      <c r="BS62" s="75">
        <f t="array" ref="BS62">SUM((YEAR(Gastos!$A$2:$A$2500)=BS$1)*(MONTH(Gastos!$A$2:$A$2500)=BS$3)*(Gastos!$B$2:$B$2500=$A62)*(Gastos!$D$2:$D$2500))</f>
        <v>0</v>
      </c>
      <c r="BT62" s="75">
        <f t="array" ref="BT62">SUM((YEAR(Gastos!$A$2:$A$2500)=BT$1)*(MONTH(Gastos!$A$2:$A$2500)=BT$3)*(Gastos!$B$2:$B$2500=$A62)*(Gastos!$D$2:$D$2500))</f>
        <v>0</v>
      </c>
      <c r="BU62" s="75">
        <f t="array" ref="BU62">SUM((YEAR(Gastos!$A$2:$A$2500)=BU$1)*(MONTH(Gastos!$A$2:$A$2500)=BU$3)*(Gastos!$B$2:$B$2500=$A62)*(Gastos!$D$2:$D$2500))</f>
        <v>0</v>
      </c>
      <c r="BV62" s="75">
        <f t="array" ref="BV62">SUM((YEAR(Gastos!$A$2:$A$2500)=BV$1)*(MONTH(Gastos!$A$2:$A$2500)=BV$3)*(Gastos!$B$2:$B$2500=$A62)*(Gastos!$D$2:$D$2500))</f>
        <v>0</v>
      </c>
      <c r="BW62" s="75">
        <f t="array" ref="BW62">SUM((YEAR(Gastos!$A$2:$A$2500)=BW$1)*(MONTH(Gastos!$A$2:$A$2500)=BW$3)*(Gastos!$B$2:$B$2500=$A62)*(Gastos!$D$2:$D$2500))</f>
        <v>0</v>
      </c>
      <c r="BX62" s="75">
        <f t="array" ref="BX62">SUM((YEAR(Gastos!$A$2:$A$2500)=BX$1)*(MONTH(Gastos!$A$2:$A$2500)=BX$3)*(Gastos!$B$2:$B$2500=$A62)*(Gastos!$D$2:$D$2500))</f>
        <v>0</v>
      </c>
      <c r="BY62" s="75">
        <f t="array" ref="BY62">SUM((YEAR(Gastos!$A$2:$A$2500)=BY$1)*(MONTH(Gastos!$A$2:$A$2500)=BY$3)*(Gastos!$B$2:$B$2500=$A62)*(Gastos!$D$2:$D$2500))</f>
        <v>0</v>
      </c>
      <c r="BZ62" s="75">
        <f t="array" ref="BZ62">SUM((YEAR(Gastos!$A$2:$A$2500)=BZ$1)*(MONTH(Gastos!$A$2:$A$2500)=BZ$3)*(Gastos!$B$2:$B$2500=$A62)*(Gastos!$D$2:$D$2500))</f>
        <v>0</v>
      </c>
      <c r="CA62" s="75">
        <f t="array" ref="CA62">SUM((YEAR(Gastos!$A$2:$A$2500)=CA$1)*(MONTH(Gastos!$A$2:$A$2500)=CA$3)*(Gastos!$B$2:$B$2500=$A62)*(Gastos!$D$2:$D$2500))</f>
        <v>0</v>
      </c>
      <c r="CB62" s="75">
        <f t="array" ref="CB62">SUM((YEAR(Gastos!$A$2:$A$2500)=CB$1)*(MONTH(Gastos!$A$2:$A$2500)=CB$3)*(Gastos!$B$2:$B$2500=$A62)*(Gastos!$D$2:$D$2500))</f>
        <v>0</v>
      </c>
      <c r="CC62" s="75">
        <f t="array" ref="CC62">SUM((YEAR(Gastos!$A$2:$A$2500)=CC$1)*(MONTH(Gastos!$A$2:$A$2500)=CC$3)*(Gastos!$B$2:$B$2500=$A62)*(Gastos!$D$2:$D$2500))</f>
        <v>0</v>
      </c>
      <c r="CD62" s="75">
        <f t="array" ref="CD62">SUM((YEAR(Gastos!$A$2:$A$2500)=CD$1)*(MONTH(Gastos!$A$2:$A$2500)=CD$3)*(Gastos!$B$2:$B$2500=$A62)*(Gastos!$D$2:$D$2500))</f>
        <v>0</v>
      </c>
      <c r="CE62" s="75">
        <f t="array" ref="CE62">SUM((YEAR(Gastos!$A$2:$A$2500)=CE$1)*(MONTH(Gastos!$A$2:$A$2500)=CE$3)*(Gastos!$B$2:$B$2500=$A62)*(Gastos!$D$2:$D$2500))</f>
        <v>0</v>
      </c>
      <c r="CF62" s="75">
        <f t="array" ref="CF62">SUM((YEAR(Gastos!$A$2:$A$2500)=CF$1)*(MONTH(Gastos!$A$2:$A$2500)=CF$3)*(Gastos!$B$2:$B$2500=$A62)*(Gastos!$D$2:$D$2500))</f>
        <v>0</v>
      </c>
      <c r="CG62" s="75">
        <f t="array" ref="CG62">SUM((YEAR(Gastos!$A$2:$A$2500)=CG$1)*(MONTH(Gastos!$A$2:$A$2500)=CG$3)*(Gastos!$B$2:$B$2500=$A62)*(Gastos!$D$2:$D$2500))</f>
        <v>0</v>
      </c>
      <c r="CH62" s="75">
        <f t="array" ref="CH62">SUM((YEAR(Gastos!$A$2:$A$2500)=CH$1)*(MONTH(Gastos!$A$2:$A$2500)=CH$3)*(Gastos!$B$2:$B$2500=$A62)*(Gastos!$D$2:$D$2500))</f>
        <v>0</v>
      </c>
      <c r="CI62" s="75">
        <f t="array" ref="CI62">SUM((YEAR(Gastos!$A$2:$A$2500)=CI$1)*(MONTH(Gastos!$A$2:$A$2500)=CI$3)*(Gastos!$B$2:$B$2500=$A62)*(Gastos!$D$2:$D$2500))</f>
        <v>0</v>
      </c>
      <c r="CJ62" s="75">
        <f t="array" ref="CJ62">SUM((YEAR(Gastos!$A$2:$A$2500)=CJ$1)*(MONTH(Gastos!$A$2:$A$2500)=CJ$3)*(Gastos!$B$2:$B$2500=$A62)*(Gastos!$D$2:$D$2500))</f>
        <v>0</v>
      </c>
      <c r="CK62" s="75">
        <f t="array" ref="CK62">SUM((YEAR(Gastos!$A$2:$A$2500)=CK$1)*(MONTH(Gastos!$A$2:$A$2500)=CK$3)*(Gastos!$B$2:$B$2500=$A62)*(Gastos!$D$2:$D$2500))</f>
        <v>0</v>
      </c>
      <c r="CL62" s="75">
        <f t="array" ref="CL62">SUM((YEAR(Gastos!$A$2:$A$2500)=CL$1)*(MONTH(Gastos!$A$2:$A$2500)=CL$3)*(Gastos!$B$2:$B$2500=$A62)*(Gastos!$D$2:$D$2500))</f>
        <v>0</v>
      </c>
      <c r="CM62" s="75">
        <f t="array" ref="CM62">SUM((YEAR(Gastos!$A$2:$A$2500)=CM$1)*(MONTH(Gastos!$A$2:$A$2500)=CM$3)*(Gastos!$B$2:$B$2500=$A62)*(Gastos!$D$2:$D$2500))</f>
        <v>0</v>
      </c>
      <c r="CN62" s="75">
        <f t="array" ref="CN62">SUM((YEAR(Gastos!$A$2:$A$2500)=CN$1)*(MONTH(Gastos!$A$2:$A$2500)=CN$3)*(Gastos!$B$2:$B$2500=$A62)*(Gastos!$D$2:$D$2500))</f>
        <v>0</v>
      </c>
      <c r="CO62" s="75">
        <f t="array" ref="CO62">SUM((YEAR(Gastos!$A$2:$A$2500)=CO$1)*(MONTH(Gastos!$A$2:$A$2500)=CO$3)*(Gastos!$B$2:$B$2500=$A62)*(Gastos!$D$2:$D$2500))</f>
        <v>0</v>
      </c>
      <c r="CP62" s="75">
        <f t="array" ref="CP62">SUM((YEAR(Gastos!$A$2:$A$2500)=CP$1)*(MONTH(Gastos!$A$2:$A$2500)=CP$3)*(Gastos!$B$2:$B$2500=$A62)*(Gastos!$D$2:$D$2500))</f>
        <v>0</v>
      </c>
      <c r="CQ62" s="75">
        <f t="array" ref="CQ62">SUM((YEAR(Gastos!$A$2:$A$2500)=CQ$1)*(MONTH(Gastos!$A$2:$A$2500)=CQ$3)*(Gastos!$B$2:$B$2500=$A62)*(Gastos!$D$2:$D$2500))</f>
        <v>0</v>
      </c>
      <c r="CR62" s="75">
        <f t="array" ref="CR62">SUM((YEAR(Gastos!$A$2:$A$2500)=CR$1)*(MONTH(Gastos!$A$2:$A$2500)=CR$3)*(Gastos!$B$2:$B$2500=$A62)*(Gastos!$D$2:$D$2500))</f>
        <v>0</v>
      </c>
      <c r="CS62" s="75">
        <f t="array" ref="CS62">SUM((YEAR(Gastos!$A$2:$A$2500)=CS$1)*(MONTH(Gastos!$A$2:$A$2500)=CS$3)*(Gastos!$B$2:$B$2500=$A62)*(Gastos!$D$2:$D$2500))</f>
        <v>0</v>
      </c>
      <c r="CT62" s="75">
        <f t="array" ref="CT62">SUM((YEAR(Gastos!$A$2:$A$2500)=CT$1)*(MONTH(Gastos!$A$2:$A$2500)=CT$3)*(Gastos!$B$2:$B$2500=$A62)*(Gastos!$D$2:$D$2500))</f>
        <v>0</v>
      </c>
      <c r="CU62" s="75">
        <f t="array" ref="CU62">SUM((YEAR(Gastos!$A$2:$A$2500)=CU$1)*(MONTH(Gastos!$A$2:$A$2500)=CU$3)*(Gastos!$B$2:$B$2500=$A62)*(Gastos!$D$2:$D$2500))</f>
        <v>0</v>
      </c>
      <c r="CV62" s="75">
        <f t="array" ref="CV62">SUM((YEAR(Gastos!$A$2:$A$2500)=CV$1)*(MONTH(Gastos!$A$2:$A$2500)=CV$3)*(Gastos!$B$2:$B$2500=$A62)*(Gastos!$D$2:$D$2500))</f>
        <v>0</v>
      </c>
      <c r="CW62" s="75">
        <f t="array" ref="CW62">SUM((YEAR(Gastos!$A$2:$A$2500)=CW$1)*(MONTH(Gastos!$A$2:$A$2500)=CW$3)*(Gastos!$B$2:$B$2500=$A62)*(Gastos!$D$2:$D$2500))</f>
        <v>0</v>
      </c>
      <c r="CX62" s="75">
        <f t="array" ref="CX62">SUM((YEAR(Gastos!$A$2:$A$2500)=CX$1)*(MONTH(Gastos!$A$2:$A$2500)=CX$3)*(Gastos!$B$2:$B$2500=$A62)*(Gastos!$D$2:$D$2500))</f>
        <v>0</v>
      </c>
      <c r="CY62" s="75">
        <f t="array" ref="CY62">SUM((YEAR(Gastos!$A$2:$A$2500)=CY$1)*(MONTH(Gastos!$A$2:$A$2500)=CY$3)*(Gastos!$B$2:$B$2500=$A62)*(Gastos!$D$2:$D$2500))</f>
        <v>0</v>
      </c>
      <c r="CZ62" s="75">
        <f t="array" ref="CZ62">SUM((YEAR(Gastos!$A$2:$A$2500)=CZ$1)*(MONTH(Gastos!$A$2:$A$2500)=CZ$3)*(Gastos!$B$2:$B$2500=$A62)*(Gastos!$D$2:$D$2500))</f>
        <v>0</v>
      </c>
      <c r="DA62" s="75">
        <f t="array" ref="DA62">SUM((YEAR(Gastos!$A$2:$A$2500)=DA$1)*(MONTH(Gastos!$A$2:$A$2500)=DA$3)*(Gastos!$B$2:$B$2500=$A62)*(Gastos!$D$2:$D$2500))</f>
        <v>0</v>
      </c>
      <c r="DB62" s="75">
        <f t="array" ref="DB62">SUM((YEAR(Gastos!$A$2:$A$2500)=DB$1)*(MONTH(Gastos!$A$2:$A$2500)=DB$3)*(Gastos!$B$2:$B$2500=$A62)*(Gastos!$D$2:$D$2500))</f>
        <v>0</v>
      </c>
      <c r="DC62" s="75">
        <f t="array" ref="DC62">SUM((YEAR(Gastos!$A$2:$A$2500)=DC$1)*(MONTH(Gastos!$A$2:$A$2500)=DC$3)*(Gastos!$B$2:$B$2500=$A62)*(Gastos!$D$2:$D$2500))</f>
        <v>0</v>
      </c>
      <c r="DD62" s="75">
        <f t="array" ref="DD62">SUM((YEAR(Gastos!$A$2:$A$2500)=DD$1)*(MONTH(Gastos!$A$2:$A$2500)=DD$3)*(Gastos!$B$2:$B$2500=$A62)*(Gastos!$D$2:$D$2500))</f>
        <v>0</v>
      </c>
      <c r="DE62" s="75">
        <f t="array" ref="DE62">SUM((YEAR(Gastos!$A$2:$A$2500)=DE$1)*(MONTH(Gastos!$A$2:$A$2500)=DE$3)*(Gastos!$B$2:$B$2500=$A62)*(Gastos!$D$2:$D$2500))</f>
        <v>0</v>
      </c>
      <c r="DF62" s="75">
        <f t="array" ref="DF62">SUM((YEAR(Gastos!$A$2:$A$2500)=DF$1)*(MONTH(Gastos!$A$2:$A$2500)=DF$3)*(Gastos!$B$2:$B$2500=$A62)*(Gastos!$D$2:$D$2500))</f>
        <v>0</v>
      </c>
      <c r="DG62" s="75">
        <f t="array" ref="DG62">SUM((YEAR(Gastos!$A$2:$A$2500)=DG$1)*(MONTH(Gastos!$A$2:$A$2500)=DG$3)*(Gastos!$B$2:$B$2500=$A62)*(Gastos!$D$2:$D$2500))</f>
        <v>0</v>
      </c>
      <c r="DH62" s="75">
        <f t="array" ref="DH62">SUM((YEAR(Gastos!$A$2:$A$2500)=DH$1)*(MONTH(Gastos!$A$2:$A$2500)=DH$3)*(Gastos!$B$2:$B$2500=$A62)*(Gastos!$D$2:$D$2500))</f>
        <v>0</v>
      </c>
      <c r="DI62" s="75">
        <f t="array" ref="DI62">SUM((YEAR(Gastos!$A$2:$A$2500)=DI$1)*(MONTH(Gastos!$A$2:$A$2500)=DI$3)*(Gastos!$B$2:$B$2500=$A62)*(Gastos!$D$2:$D$2500))</f>
        <v>0</v>
      </c>
      <c r="DJ62" s="75">
        <f t="array" ref="DJ62">SUM((YEAR(Gastos!$A$2:$A$2500)=DJ$1)*(MONTH(Gastos!$A$2:$A$2500)=DJ$3)*(Gastos!$B$2:$B$2500=$A62)*(Gastos!$D$2:$D$2500))</f>
        <v>0</v>
      </c>
      <c r="DK62" s="75">
        <f t="array" ref="DK62">SUM((YEAR(Gastos!$A$2:$A$2500)=DK$1)*(MONTH(Gastos!$A$2:$A$2500)=DK$3)*(Gastos!$B$2:$B$2500=$A62)*(Gastos!$D$2:$D$2500))</f>
        <v>0</v>
      </c>
      <c r="DL62" s="75">
        <f t="array" ref="DL62">SUM((YEAR(Gastos!$A$2:$A$2500)=DL$1)*(MONTH(Gastos!$A$2:$A$2500)=DL$3)*(Gastos!$B$2:$B$2500=$A62)*(Gastos!$D$2:$D$2500))</f>
        <v>0</v>
      </c>
      <c r="DM62" s="75">
        <f t="array" ref="DM62">SUM((YEAR(Gastos!$A$2:$A$2500)=DM$1)*(MONTH(Gastos!$A$2:$A$2500)=DM$3)*(Gastos!$B$2:$B$2500=$A62)*(Gastos!$D$2:$D$2500))</f>
        <v>0</v>
      </c>
      <c r="DN62" s="75">
        <f t="array" ref="DN62">SUM((YEAR(Gastos!$A$2:$A$2500)=DN$1)*(MONTH(Gastos!$A$2:$A$2500)=DN$3)*(Gastos!$B$2:$B$2500=$A62)*(Gastos!$D$2:$D$2500))</f>
        <v>0</v>
      </c>
      <c r="DO62" s="75">
        <f t="array" ref="DO62">SUM((YEAR(Gastos!$A$2:$A$2500)=DO$1)*(MONTH(Gastos!$A$2:$A$2500)=DO$3)*(Gastos!$B$2:$B$2500=$A62)*(Gastos!$D$2:$D$2500))</f>
        <v>0</v>
      </c>
      <c r="DP62" s="75">
        <f t="array" ref="DP62">SUM((YEAR(Gastos!$A$2:$A$2500)=DP$1)*(MONTH(Gastos!$A$2:$A$2500)=DP$3)*(Gastos!$B$2:$B$2500=$A62)*(Gastos!$D$2:$D$2500))</f>
        <v>0</v>
      </c>
      <c r="DQ62" s="75">
        <f t="array" ref="DQ62">SUM((YEAR(Gastos!$A$2:$A$2500)=DQ$1)*(MONTH(Gastos!$A$2:$A$2500)=DQ$3)*(Gastos!$B$2:$B$2500=$A62)*(Gastos!$D$2:$D$2500))</f>
        <v>0</v>
      </c>
      <c r="DR62" s="75">
        <f t="array" ref="DR62">SUM((YEAR(Gastos!$A$2:$A$2500)=DR$1)*(MONTH(Gastos!$A$2:$A$2500)=DR$3)*(Gastos!$B$2:$B$2500=$A62)*(Gastos!$D$2:$D$2500))</f>
        <v>0</v>
      </c>
      <c r="DS62" s="75">
        <f t="array" ref="DS62">SUM((YEAR(Gastos!$A$2:$A$2500)=DS$1)*(MONTH(Gastos!$A$2:$A$2500)=DS$3)*(Gastos!$B$2:$B$2500=$A62)*(Gastos!$D$2:$D$2500))</f>
        <v>0</v>
      </c>
      <c r="DT62" s="75">
        <f t="array" ref="DT62">SUM((YEAR(Gastos!$A$2:$A$2500)=DT$1)*(MONTH(Gastos!$A$2:$A$2500)=DT$3)*(Gastos!$B$2:$B$2500=$A62)*(Gastos!$D$2:$D$2500))</f>
        <v>0</v>
      </c>
      <c r="DU62" s="75">
        <f t="array" ref="DU62">SUM((YEAR(Gastos!$A$2:$A$2500)=DU$1)*(MONTH(Gastos!$A$2:$A$2500)=DU$3)*(Gastos!$B$2:$B$2500=$A62)*(Gastos!$D$2:$D$2500))</f>
        <v>0</v>
      </c>
      <c r="DV62" s="75">
        <f t="array" ref="DV62">SUM((YEAR(Gastos!$A$2:$A$2500)=DV$1)*(MONTH(Gastos!$A$2:$A$2500)=DV$3)*(Gastos!$B$2:$B$2500=$A62)*(Gastos!$D$2:$D$2500))</f>
        <v>0</v>
      </c>
      <c r="DW62" s="75">
        <f t="array" ref="DW62">SUM((YEAR(Gastos!$A$2:$A$2500)=DW$1)*(MONTH(Gastos!$A$2:$A$2500)=DW$3)*(Gastos!$B$2:$B$2500=$A62)*(Gastos!$D$2:$D$2500))</f>
        <v>0</v>
      </c>
      <c r="DX62" s="75">
        <f t="array" ref="DX62">SUM((YEAR(Gastos!$A$2:$A$2500)=DX$1)*(MONTH(Gastos!$A$2:$A$2500)=DX$3)*(Gastos!$B$2:$B$2500=$A62)*(Gastos!$D$2:$D$2500))</f>
        <v>0</v>
      </c>
      <c r="DY62" s="75">
        <f t="array" ref="DY62">SUM((YEAR(Gastos!$A$2:$A$2500)=DY$1)*(MONTH(Gastos!$A$2:$A$2500)=DY$3)*(Gastos!$B$2:$B$2500=$A62)*(Gastos!$D$2:$D$2500))</f>
        <v>0</v>
      </c>
      <c r="DZ62" s="75">
        <f t="array" ref="DZ62">SUM((YEAR(Gastos!$A$2:$A$2500)=DZ$1)*(MONTH(Gastos!$A$2:$A$2500)=DZ$3)*(Gastos!$B$2:$B$2500=$A62)*(Gastos!$D$2:$D$2500))</f>
        <v>0</v>
      </c>
      <c r="EA62" s="75">
        <f t="array" ref="EA62">SUM((YEAR(Gastos!$A$2:$A$2500)=EA$1)*(MONTH(Gastos!$A$2:$A$2500)=EA$3)*(Gastos!$B$2:$B$2500=$A62)*(Gastos!$D$2:$D$2500))</f>
        <v>0</v>
      </c>
      <c r="EB62" s="75">
        <f t="array" ref="EB62">SUM((YEAR(Gastos!$A$2:$A$2500)=EB$1)*(MONTH(Gastos!$A$2:$A$2500)=EB$3)*(Gastos!$B$2:$B$2500=$A62)*(Gastos!$D$2:$D$2500))</f>
        <v>0</v>
      </c>
      <c r="EC62" s="75">
        <f t="array" ref="EC62">SUM((YEAR(Gastos!$A$2:$A$2500)=EC$1)*(MONTH(Gastos!$A$2:$A$2500)=EC$3)*(Gastos!$B$2:$B$2500=$A62)*(Gastos!$D$2:$D$2500))</f>
        <v>0</v>
      </c>
      <c r="ED62" s="75">
        <f t="array" ref="ED62">SUM((YEAR(Gastos!$A$2:$A$2500)=ED$1)*(MONTH(Gastos!$A$2:$A$2500)=ED$3)*(Gastos!$B$2:$B$2500=$A62)*(Gastos!$D$2:$D$2500))</f>
        <v>0</v>
      </c>
      <c r="EE62" s="75">
        <f t="array" ref="EE62">SUM((YEAR(Gastos!$A$2:$A$2500)=EE$1)*(MONTH(Gastos!$A$2:$A$2500)=EE$3)*(Gastos!$B$2:$B$2500=$A62)*(Gastos!$D$2:$D$2500))</f>
        <v>0</v>
      </c>
      <c r="EF62" s="75">
        <f t="array" ref="EF62">SUM((YEAR(Gastos!$A$2:$A$2500)=EF$1)*(MONTH(Gastos!$A$2:$A$2500)=EF$3)*(Gastos!$B$2:$B$2500=$A62)*(Gastos!$D$2:$D$2500))</f>
        <v>0</v>
      </c>
      <c r="EG62" s="75">
        <f t="array" ref="EG62">SUM((YEAR(Gastos!$A$2:$A$2500)=EG$1)*(MONTH(Gastos!$A$2:$A$2500)=EG$3)*(Gastos!$B$2:$B$2500=$A62)*(Gastos!$D$2:$D$2500))</f>
        <v>0</v>
      </c>
      <c r="EH62" s="75">
        <f t="array" ref="EH62">SUM((YEAR(Gastos!$A$2:$A$2500)=EH$1)*(MONTH(Gastos!$A$2:$A$2500)=EH$3)*(Gastos!$B$2:$B$2500=$A62)*(Gastos!$D$2:$D$2500))</f>
        <v>0</v>
      </c>
      <c r="EI62" s="75">
        <f t="array" ref="EI62">SUM((YEAR(Gastos!$A$2:$A$2500)=EI$1)*(MONTH(Gastos!$A$2:$A$2500)=EI$3)*(Gastos!$B$2:$B$2500=$A62)*(Gastos!$D$2:$D$2500))</f>
        <v>0</v>
      </c>
      <c r="EJ62" s="75">
        <f t="array" ref="EJ62">SUM((YEAR(Gastos!$A$2:$A$2500)=EJ$1)*(MONTH(Gastos!$A$2:$A$2500)=EJ$3)*(Gastos!$B$2:$B$2500=$A62)*(Gastos!$D$2:$D$2500))</f>
        <v>0</v>
      </c>
      <c r="EK62" s="75">
        <f t="array" ref="EK62">SUM((YEAR(Gastos!$A$2:$A$2500)=EK$1)*(MONTH(Gastos!$A$2:$A$2500)=EK$3)*(Gastos!$B$2:$B$2500=$A62)*(Gastos!$D$2:$D$2500))</f>
        <v>0</v>
      </c>
      <c r="EL62" s="75">
        <f t="array" ref="EL62">SUM((YEAR(Gastos!$A$2:$A$2500)=EL$1)*(MONTH(Gastos!$A$2:$A$2500)=EL$3)*(Gastos!$B$2:$B$2500=$A62)*(Gastos!$D$2:$D$2500))</f>
        <v>0</v>
      </c>
      <c r="EM62" s="75">
        <f t="array" ref="EM62">SUM((YEAR(Gastos!$A$2:$A$2500)=EM$1)*(MONTH(Gastos!$A$2:$A$2500)=EM$3)*(Gastos!$B$2:$B$2500=$A62)*(Gastos!$D$2:$D$2500))</f>
        <v>0</v>
      </c>
      <c r="EN62" s="75">
        <f t="array" ref="EN62">SUM((YEAR(Gastos!$A$2:$A$2500)=EN$1)*(MONTH(Gastos!$A$2:$A$2500)=EN$3)*(Gastos!$B$2:$B$2500=$A62)*(Gastos!$D$2:$D$2500))</f>
        <v>0</v>
      </c>
      <c r="EO62" s="75">
        <f t="array" ref="EO62">SUM((YEAR(Gastos!$A$2:$A$2500)=EO$1)*(MONTH(Gastos!$A$2:$A$2500)=EO$3)*(Gastos!$B$2:$B$2500=$A62)*(Gastos!$D$2:$D$2500))</f>
        <v>0</v>
      </c>
      <c r="EP62" s="75">
        <f t="array" ref="EP62">SUM((YEAR(Gastos!$A$2:$A$2500)=EP$1)*(MONTH(Gastos!$A$2:$A$2500)=EP$3)*(Gastos!$B$2:$B$2500=$A62)*(Gastos!$D$2:$D$2500))</f>
        <v>0</v>
      </c>
      <c r="EQ62" s="75">
        <f t="array" ref="EQ62">SUM((YEAR(Gastos!$A$2:$A$2500)=EQ$1)*(MONTH(Gastos!$A$2:$A$2500)=EQ$3)*(Gastos!$B$2:$B$2500=$A62)*(Gastos!$D$2:$D$2500))</f>
        <v>0</v>
      </c>
      <c r="ER62" s="75">
        <f t="array" ref="ER62">SUM((YEAR(Gastos!$A$2:$A$2500)=ER$1)*(MONTH(Gastos!$A$2:$A$2500)=ER$3)*(Gastos!$B$2:$B$2500=$A62)*(Gastos!$D$2:$D$2500))</f>
        <v>0</v>
      </c>
      <c r="ES62" s="75">
        <f t="array" ref="ES62">SUM((YEAR(Gastos!$A$2:$A$2500)=ES$1)*(MONTH(Gastos!$A$2:$A$2500)=ES$3)*(Gastos!$B$2:$B$2500=$A62)*(Gastos!$D$2:$D$2500))</f>
        <v>0</v>
      </c>
      <c r="ET62" s="75">
        <f t="array" ref="ET62">SUM((YEAR(Gastos!$A$2:$A$2500)=ET$1)*(MONTH(Gastos!$A$2:$A$2500)=ET$3)*(Gastos!$B$2:$B$2500=$A62)*(Gastos!$D$2:$D$2500))</f>
        <v>0</v>
      </c>
      <c r="EU62" s="75">
        <f t="array" ref="EU62">SUM((YEAR(Gastos!$A$2:$A$2500)=EU$1)*(MONTH(Gastos!$A$2:$A$2500)=EU$3)*(Gastos!$B$2:$B$2500=$A62)*(Gastos!$D$2:$D$2500))</f>
        <v>0</v>
      </c>
      <c r="EV62" s="75">
        <f t="array" ref="EV62">SUM((YEAR(Gastos!$A$2:$A$2500)=EV$1)*(MONTH(Gastos!$A$2:$A$2500)=EV$3)*(Gastos!$B$2:$B$2500=$A62)*(Gastos!$D$2:$D$2500))</f>
        <v>0</v>
      </c>
      <c r="EW62" s="75">
        <f t="array" ref="EW62">SUM((YEAR(Gastos!$A$2:$A$2500)=EW$1)*(MONTH(Gastos!$A$2:$A$2500)=EW$3)*(Gastos!$B$2:$B$2500=$A62)*(Gastos!$D$2:$D$2500))</f>
        <v>0</v>
      </c>
      <c r="EX62" s="75">
        <f t="array" ref="EX62">SUM((YEAR(Gastos!$A$2:$A$2500)=EX$1)*(MONTH(Gastos!$A$2:$A$2500)=EX$3)*(Gastos!$B$2:$B$2500=$A62)*(Gastos!$D$2:$D$2500))</f>
        <v>0</v>
      </c>
      <c r="EY62" s="75">
        <f t="array" ref="EY62">SUM((YEAR(Gastos!$A$2:$A$2500)=EY$1)*(MONTH(Gastos!$A$2:$A$2500)=EY$3)*(Gastos!$B$2:$B$2500=$A62)*(Gastos!$D$2:$D$2500))</f>
        <v>0</v>
      </c>
      <c r="EZ62" s="75">
        <f t="array" ref="EZ62">SUM((YEAR(Gastos!$A$2:$A$2500)=EZ$1)*(MONTH(Gastos!$A$2:$A$2500)=EZ$3)*(Gastos!$B$2:$B$2500=$A62)*(Gastos!$D$2:$D$2500))</f>
        <v>0</v>
      </c>
      <c r="FA62" s="75">
        <f t="array" ref="FA62">SUM((YEAR(Gastos!$A$2:$A$2500)=FA$1)*(MONTH(Gastos!$A$2:$A$2500)=FA$3)*(Gastos!$B$2:$B$2500=$A62)*(Gastos!$D$2:$D$2500))</f>
        <v>0</v>
      </c>
      <c r="FB62" s="75">
        <f t="array" ref="FB62">SUM((YEAR(Gastos!$A$2:$A$2500)=FB$1)*(MONTH(Gastos!$A$2:$A$2500)=FB$3)*(Gastos!$B$2:$B$2500=$A62)*(Gastos!$D$2:$D$2500))</f>
        <v>0</v>
      </c>
      <c r="FC62" s="75">
        <f t="array" ref="FC62">SUM((YEAR(Gastos!$A$2:$A$2500)=FC$1)*(MONTH(Gastos!$A$2:$A$2500)=FC$3)*(Gastos!$B$2:$B$2500=$A62)*(Gastos!$D$2:$D$2500))</f>
        <v>0</v>
      </c>
      <c r="FD62" s="75">
        <f t="array" ref="FD62">SUM((YEAR(Gastos!$A$2:$A$2500)=FD$1)*(MONTH(Gastos!$A$2:$A$2500)=FD$3)*(Gastos!$B$2:$B$2500=$A62)*(Gastos!$D$2:$D$2500))</f>
        <v>0</v>
      </c>
      <c r="FE62" s="75">
        <f t="array" ref="FE62">SUM((YEAR(Gastos!$A$2:$A$2500)=FE$1)*(MONTH(Gastos!$A$2:$A$2500)=FE$3)*(Gastos!$B$2:$B$2500=$A62)*(Gastos!$D$2:$D$2500))</f>
        <v>0</v>
      </c>
      <c r="FF62" s="75">
        <f t="array" ref="FF62">SUM((YEAR(Gastos!$A$2:$A$2500)=FF$1)*(MONTH(Gastos!$A$2:$A$2500)=FF$3)*(Gastos!$B$2:$B$2500=$A62)*(Gastos!$D$2:$D$2500))</f>
        <v>0</v>
      </c>
      <c r="FG62" s="75">
        <f t="array" ref="FG62">SUM((YEAR(Gastos!$A$2:$A$2500)=FG$1)*(MONTH(Gastos!$A$2:$A$2500)=FG$3)*(Gastos!$B$2:$B$2500=$A62)*(Gastos!$D$2:$D$2500))</f>
        <v>0</v>
      </c>
      <c r="FH62" s="75">
        <f t="array" ref="FH62">SUM((YEAR(Gastos!$A$2:$A$2500)=FH$1)*(MONTH(Gastos!$A$2:$A$2500)=FH$3)*(Gastos!$B$2:$B$2500=$A62)*(Gastos!$D$2:$D$2500))</f>
        <v>0</v>
      </c>
      <c r="FI62" s="75">
        <f t="array" ref="FI62">SUM((YEAR(Gastos!$A$2:$A$2500)=FI$1)*(MONTH(Gastos!$A$2:$A$2500)=FI$3)*(Gastos!$B$2:$B$2500=$A62)*(Gastos!$D$2:$D$2500))</f>
        <v>0</v>
      </c>
      <c r="FJ62" s="75">
        <f t="array" ref="FJ62">SUM((YEAR(Gastos!$A$2:$A$2500)=FJ$1)*(MONTH(Gastos!$A$2:$A$2500)=FJ$3)*(Gastos!$B$2:$B$2500=$A62)*(Gastos!$D$2:$D$2500))</f>
        <v>0</v>
      </c>
      <c r="FK62" s="75">
        <f t="array" ref="FK62">SUM((YEAR(Gastos!$A$2:$A$2500)=FK$1)*(MONTH(Gastos!$A$2:$A$2500)=FK$3)*(Gastos!$B$2:$B$2500=$A62)*(Gastos!$D$2:$D$2500))</f>
        <v>0</v>
      </c>
      <c r="FL62" s="75">
        <f t="array" ref="FL62">SUM((YEAR(Gastos!$A$2:$A$2500)=FL$1)*(MONTH(Gastos!$A$2:$A$2500)=FL$3)*(Gastos!$B$2:$B$2500=$A62)*(Gastos!$D$2:$D$2500))</f>
        <v>0</v>
      </c>
      <c r="FM62" s="75">
        <f t="array" ref="FM62">SUM((YEAR(Gastos!$A$2:$A$2500)=FM$1)*(MONTH(Gastos!$A$2:$A$2500)=FM$3)*(Gastos!$B$2:$B$2500=$A62)*(Gastos!$D$2:$D$2500))</f>
        <v>0</v>
      </c>
      <c r="FN62" s="75">
        <f t="array" ref="FN62">SUM((YEAR(Gastos!$A$2:$A$2500)=FN$1)*(MONTH(Gastos!$A$2:$A$2500)=FN$3)*(Gastos!$B$2:$B$2500=$A62)*(Gastos!$D$2:$D$2500))</f>
        <v>0</v>
      </c>
      <c r="FO62" s="75">
        <f t="array" ref="FO62">SUM((YEAR(Gastos!$A$2:$A$2500)=FO$1)*(MONTH(Gastos!$A$2:$A$2500)=FO$3)*(Gastos!$B$2:$B$2500=$A62)*(Gastos!$D$2:$D$2500))</f>
        <v>0</v>
      </c>
      <c r="FP62" s="75">
        <f t="array" ref="FP62">SUM((YEAR(Gastos!$A$2:$A$2500)=FP$1)*(MONTH(Gastos!$A$2:$A$2500)=FP$3)*(Gastos!$B$2:$B$2500=$A62)*(Gastos!$D$2:$D$2500))</f>
        <v>0</v>
      </c>
      <c r="FQ62" s="75">
        <f t="array" ref="FQ62">SUM((YEAR(Gastos!$A$2:$A$2500)=FQ$1)*(MONTH(Gastos!$A$2:$A$2500)=FQ$3)*(Gastos!$B$2:$B$2500=$A62)*(Gastos!$D$2:$D$2500))</f>
        <v>0</v>
      </c>
      <c r="FR62" s="75">
        <f t="array" ref="FR62">SUM((YEAR(Gastos!$A$2:$A$2500)=FR$1)*(MONTH(Gastos!$A$2:$A$2500)=FR$3)*(Gastos!$B$2:$B$2500=$A62)*(Gastos!$D$2:$D$2500))</f>
        <v>0</v>
      </c>
      <c r="FS62" s="75">
        <f t="array" ref="FS62">SUM((YEAR(Gastos!$A$2:$A$2500)=FS$1)*(MONTH(Gastos!$A$2:$A$2500)=FS$3)*(Gastos!$B$2:$B$2500=$A62)*(Gastos!$D$2:$D$2500))</f>
        <v>0</v>
      </c>
      <c r="FT62" s="75">
        <f t="array" ref="FT62">SUM((YEAR(Gastos!$A$2:$A$2500)=FT$1)*(MONTH(Gastos!$A$2:$A$2500)=FT$3)*(Gastos!$B$2:$B$2500=$A62)*(Gastos!$D$2:$D$2500))</f>
        <v>0</v>
      </c>
      <c r="FU62" s="75">
        <f t="array" ref="FU62">SUM((YEAR(Gastos!$A$2:$A$2500)=FU$1)*(MONTH(Gastos!$A$2:$A$2500)=FU$3)*(Gastos!$B$2:$B$2500=$A62)*(Gastos!$D$2:$D$2500))</f>
        <v>0</v>
      </c>
      <c r="FV62" s="75">
        <f t="array" ref="FV62">SUM((YEAR(Gastos!$A$2:$A$2500)=FV$1)*(MONTH(Gastos!$A$2:$A$2500)=FV$3)*(Gastos!$B$2:$B$2500=$A62)*(Gastos!$D$2:$D$2500))</f>
        <v>0</v>
      </c>
      <c r="FW62" s="75">
        <f t="array" ref="FW62">SUM((YEAR(Gastos!$A$2:$A$2500)=FW$1)*(MONTH(Gastos!$A$2:$A$2500)=FW$3)*(Gastos!$B$2:$B$2500=$A62)*(Gastos!$D$2:$D$2500))</f>
        <v>0</v>
      </c>
      <c r="FX62" s="75">
        <f t="array" ref="FX62">SUM((YEAR(Gastos!$A$2:$A$2500)=FX$1)*(MONTH(Gastos!$A$2:$A$2500)=FX$3)*(Gastos!$B$2:$B$2500=$A62)*(Gastos!$D$2:$D$2500))</f>
        <v>0</v>
      </c>
      <c r="FY62" s="75">
        <f t="array" ref="FY62">SUM((YEAR(Gastos!$A$2:$A$2500)=FY$1)*(MONTH(Gastos!$A$2:$A$2500)=FY$3)*(Gastos!$B$2:$B$2500=$A62)*(Gastos!$D$2:$D$2500))</f>
        <v>0</v>
      </c>
      <c r="FZ62" s="76">
        <f t="shared" si="65"/>
        <v>0</v>
      </c>
      <c r="GA62" s="80"/>
      <c r="GB62" s="82"/>
    </row>
    <row r="63" spans="1:191" ht="15" thickBot="1" x14ac:dyDescent="0.4">
      <c r="A63" s="74" t="str">
        <f>Gastos!AA61</f>
        <v>X</v>
      </c>
      <c r="B63" s="75">
        <f t="array" ref="B63">SUM((YEAR(Gastos!$A$2:$A$2500)=B$1)*(MONTH(Gastos!$A$2:$A$2500)=B$3)*(Gastos!$B$2:$B$2500=$A63)*(Gastos!$D$2:$D$2500))</f>
        <v>0</v>
      </c>
      <c r="C63" s="75">
        <f t="array" ref="C63">SUM((YEAR(Gastos!$A$2:$A$2500)=C$1)*(MONTH(Gastos!$A$2:$A$2500)=C$3)*(Gastos!$B$2:$B$2500=$A63)*(Gastos!$D$2:$D$2500))</f>
        <v>0</v>
      </c>
      <c r="D63" s="75">
        <f t="array" ref="D63">SUM((YEAR(Gastos!$A$2:$A$2500)=D$1)*(MONTH(Gastos!$A$2:$A$2500)=D$3)*(Gastos!$B$2:$B$2500=$A63)*(Gastos!$D$2:$D$2500))</f>
        <v>0</v>
      </c>
      <c r="E63" s="75">
        <f t="array" ref="E63">SUM((YEAR(Gastos!$A$2:$A$2500)=E$1)*(MONTH(Gastos!$A$2:$A$2500)=E$3)*(Gastos!$B$2:$B$2500=$A63)*(Gastos!$D$2:$D$2500))</f>
        <v>0</v>
      </c>
      <c r="F63" s="75">
        <f t="array" ref="F63">SUM((YEAR(Gastos!$A$2:$A$2500)=F$1)*(MONTH(Gastos!$A$2:$A$2500)=F$3)*(Gastos!$B$2:$B$2500=$A63)*(Gastos!$D$2:$D$2500))</f>
        <v>0</v>
      </c>
      <c r="G63" s="75">
        <f t="array" ref="G63">SUM((YEAR(Gastos!$A$2:$A$2500)=G$1)*(MONTH(Gastos!$A$2:$A$2500)=G$3)*(Gastos!$B$2:$B$2500=$A63)*(Gastos!$D$2:$D$2500))</f>
        <v>0</v>
      </c>
      <c r="H63" s="75">
        <f t="array" ref="H63">SUM((YEAR(Gastos!$A$2:$A$2500)=H$1)*(MONTH(Gastos!$A$2:$A$2500)=H$3)*(Gastos!$B$2:$B$2500=$A63)*(Gastos!$D$2:$D$2500))</f>
        <v>0</v>
      </c>
      <c r="I63" s="75">
        <f t="array" ref="I63">SUM((YEAR(Gastos!$A$2:$A$2500)=I$1)*(MONTH(Gastos!$A$2:$A$2500)=I$3)*(Gastos!$B$2:$B$2500=$A63)*(Gastos!$D$2:$D$2500))</f>
        <v>0</v>
      </c>
      <c r="J63" s="75">
        <f t="array" ref="J63">SUM((YEAR(Gastos!$A$2:$A$2500)=J$1)*(MONTH(Gastos!$A$2:$A$2500)=J$3)*(Gastos!$B$2:$B$2500=$A63)*(Gastos!$D$2:$D$2500))</f>
        <v>0</v>
      </c>
      <c r="K63" s="75">
        <f t="array" ref="K63">SUM((YEAR(Gastos!$A$2:$A$2500)=K$1)*(MONTH(Gastos!$A$2:$A$2500)=K$3)*(Gastos!$B$2:$B$2500=$A63)*(Gastos!$D$2:$D$2500))</f>
        <v>0</v>
      </c>
      <c r="L63" s="75">
        <f t="array" ref="L63">SUM((YEAR(Gastos!$A$2:$A$2500)=L$1)*(MONTH(Gastos!$A$2:$A$2500)=L$3)*(Gastos!$B$2:$B$2500=$A63)*(Gastos!$D$2:$D$2500))</f>
        <v>0</v>
      </c>
      <c r="M63" s="75">
        <f t="array" ref="M63">SUM((YEAR(Gastos!$A$2:$A$2500)=M$1)*(MONTH(Gastos!$A$2:$A$2500)=M$3)*(Gastos!$B$2:$B$2500=$A63)*(Gastos!$D$2:$D$2500))</f>
        <v>0</v>
      </c>
      <c r="N63" s="75">
        <f t="array" ref="N63">SUM((YEAR(Gastos!$A$2:$A$2500)=N$1)*(MONTH(Gastos!$A$2:$A$2500)=N$3)*(Gastos!$B$2:$B$2500=$A63)*(Gastos!$D$2:$D$2500))</f>
        <v>0</v>
      </c>
      <c r="O63" s="75">
        <f t="array" ref="O63">SUM((YEAR(Gastos!$A$2:$A$2500)=O$1)*(MONTH(Gastos!$A$2:$A$2500)=O$3)*(Gastos!$B$2:$B$2500=$A63)*(Gastos!$D$2:$D$2500))</f>
        <v>0</v>
      </c>
      <c r="P63" s="75">
        <f t="array" ref="P63">SUM((YEAR(Gastos!$A$2:$A$2500)=P$1)*(MONTH(Gastos!$A$2:$A$2500)=P$3)*(Gastos!$B$2:$B$2500=$A63)*(Gastos!$D$2:$D$2500))</f>
        <v>0</v>
      </c>
      <c r="Q63" s="75">
        <f t="array" ref="Q63">SUM((YEAR(Gastos!$A$2:$A$2500)=Q$1)*(MONTH(Gastos!$A$2:$A$2500)=Q$3)*(Gastos!$B$2:$B$2500=$A63)*(Gastos!$D$2:$D$2500))</f>
        <v>0</v>
      </c>
      <c r="R63" s="75">
        <f t="array" ref="R63">SUM((YEAR(Gastos!$A$2:$A$2500)=R$1)*(MONTH(Gastos!$A$2:$A$2500)=R$3)*(Gastos!$B$2:$B$2500=$A63)*(Gastos!$D$2:$D$2500))</f>
        <v>0</v>
      </c>
      <c r="S63" s="75">
        <f t="array" ref="S63">SUM((YEAR(Gastos!$A$2:$A$2500)=S$1)*(MONTH(Gastos!$A$2:$A$2500)=S$3)*(Gastos!$B$2:$B$2500=$A63)*(Gastos!$D$2:$D$2500))</f>
        <v>0</v>
      </c>
      <c r="T63" s="75">
        <f t="array" ref="T63">SUM((YEAR(Gastos!$A$2:$A$2500)=T$1)*(MONTH(Gastos!$A$2:$A$2500)=T$3)*(Gastos!$B$2:$B$2500=$A63)*(Gastos!$D$2:$D$2500))</f>
        <v>0</v>
      </c>
      <c r="U63" s="75">
        <f t="array" ref="U63">SUM((YEAR(Gastos!$A$2:$A$2500)=U$1)*(MONTH(Gastos!$A$2:$A$2500)=U$3)*(Gastos!$B$2:$B$2500=$A63)*(Gastos!$D$2:$D$2500))</f>
        <v>0</v>
      </c>
      <c r="V63" s="75">
        <f t="array" ref="V63">SUM((YEAR(Gastos!$A$2:$A$2500)=V$1)*(MONTH(Gastos!$A$2:$A$2500)=V$3)*(Gastos!$B$2:$B$2500=$A63)*(Gastos!$D$2:$D$2500))</f>
        <v>0</v>
      </c>
      <c r="W63" s="75">
        <f t="array" ref="W63">SUM((YEAR(Gastos!$A$2:$A$2500)=W$1)*(MONTH(Gastos!$A$2:$A$2500)=W$3)*(Gastos!$B$2:$B$2500=$A63)*(Gastos!$D$2:$D$2500))</f>
        <v>0</v>
      </c>
      <c r="X63" s="75">
        <f t="array" ref="X63">SUM((YEAR(Gastos!$A$2:$A$2500)=X$1)*(MONTH(Gastos!$A$2:$A$2500)=X$3)*(Gastos!$B$2:$B$2500=$A63)*(Gastos!$D$2:$D$2500))</f>
        <v>0</v>
      </c>
      <c r="Y63" s="75">
        <f t="array" ref="Y63">SUM((YEAR(Gastos!$A$2:$A$2500)=Y$1)*(MONTH(Gastos!$A$2:$A$2500)=Y$3)*(Gastos!$B$2:$B$2500=$A63)*(Gastos!$D$2:$D$2500))</f>
        <v>0</v>
      </c>
      <c r="Z63" s="75">
        <f t="array" ref="Z63">SUM((YEAR(Gastos!$A$2:$A$2500)=Z$1)*(MONTH(Gastos!$A$2:$A$2500)=Z$3)*(Gastos!$B$2:$B$2500=$A63)*(Gastos!$D$2:$D$2500))</f>
        <v>0</v>
      </c>
      <c r="AA63" s="75">
        <f t="array" ref="AA63">SUM((YEAR(Gastos!$A$2:$A$2500)=AA$1)*(MONTH(Gastos!$A$2:$A$2500)=AA$3)*(Gastos!$B$2:$B$2500=$A63)*(Gastos!$D$2:$D$2500))</f>
        <v>0</v>
      </c>
      <c r="AB63" s="75">
        <f t="array" ref="AB63">SUM((YEAR(Gastos!$A$2:$A$2500)=AB$1)*(MONTH(Gastos!$A$2:$A$2500)=AB$3)*(Gastos!$B$2:$B$2500=$A63)*(Gastos!$D$2:$D$2500))</f>
        <v>0</v>
      </c>
      <c r="AC63" s="75">
        <f t="array" ref="AC63">SUM((YEAR(Gastos!$A$2:$A$2500)=AC$1)*(MONTH(Gastos!$A$2:$A$2500)=AC$3)*(Gastos!$B$2:$B$2500=$A63)*(Gastos!$D$2:$D$2500))</f>
        <v>0</v>
      </c>
      <c r="AD63" s="75">
        <f t="array" ref="AD63">SUM((YEAR(Gastos!$A$2:$A$2500)=AD$1)*(MONTH(Gastos!$A$2:$A$2500)=AD$3)*(Gastos!$B$2:$B$2500=$A63)*(Gastos!$D$2:$D$2500))</f>
        <v>0</v>
      </c>
      <c r="AE63" s="75">
        <f t="array" ref="AE63">SUM((YEAR(Gastos!$A$2:$A$2500)=AE$1)*(MONTH(Gastos!$A$2:$A$2500)=AE$3)*(Gastos!$B$2:$B$2500=$A63)*(Gastos!$D$2:$D$2500))</f>
        <v>0</v>
      </c>
      <c r="AF63" s="75">
        <f t="array" ref="AF63">SUM((YEAR(Gastos!$A$2:$A$2500)=AF$1)*(MONTH(Gastos!$A$2:$A$2500)=AF$3)*(Gastos!$B$2:$B$2500=$A63)*(Gastos!$D$2:$D$2500))</f>
        <v>0</v>
      </c>
      <c r="AG63" s="75">
        <f t="array" ref="AG63">SUM((YEAR(Gastos!$A$2:$A$2500)=AG$1)*(MONTH(Gastos!$A$2:$A$2500)=AG$3)*(Gastos!$B$2:$B$2500=$A63)*(Gastos!$D$2:$D$2500))</f>
        <v>0</v>
      </c>
      <c r="AH63" s="75">
        <f t="array" ref="AH63">SUM((YEAR(Gastos!$A$2:$A$2500)=AH$1)*(MONTH(Gastos!$A$2:$A$2500)=AH$3)*(Gastos!$B$2:$B$2500=$A63)*(Gastos!$D$2:$D$2500))</f>
        <v>0</v>
      </c>
      <c r="AI63" s="75">
        <f t="array" ref="AI63">SUM((YEAR(Gastos!$A$2:$A$2500)=AI$1)*(MONTH(Gastos!$A$2:$A$2500)=AI$3)*(Gastos!$B$2:$B$2500=$A63)*(Gastos!$D$2:$D$2500))</f>
        <v>0</v>
      </c>
      <c r="AJ63" s="75">
        <f t="array" ref="AJ63">SUM((YEAR(Gastos!$A$2:$A$2500)=AJ$1)*(MONTH(Gastos!$A$2:$A$2500)=AJ$3)*(Gastos!$B$2:$B$2500=$A63)*(Gastos!$D$2:$D$2500))</f>
        <v>0</v>
      </c>
      <c r="AK63" s="75">
        <f t="array" ref="AK63">SUM((YEAR(Gastos!$A$2:$A$2500)=AK$1)*(MONTH(Gastos!$A$2:$A$2500)=AK$3)*(Gastos!$B$2:$B$2500=$A63)*(Gastos!$D$2:$D$2500))</f>
        <v>0</v>
      </c>
      <c r="AL63" s="75">
        <f t="array" ref="AL63">SUM((YEAR(Gastos!$A$2:$A$2500)=AL$1)*(MONTH(Gastos!$A$2:$A$2500)=AL$3)*(Gastos!$B$2:$B$2500=$A63)*(Gastos!$D$2:$D$2500))</f>
        <v>0</v>
      </c>
      <c r="AM63" s="75">
        <f t="array" ref="AM63">SUM((YEAR(Gastos!$A$2:$A$2500)=AM$1)*(MONTH(Gastos!$A$2:$A$2500)=AM$3)*(Gastos!$B$2:$B$2500=$A63)*(Gastos!$D$2:$D$2500))</f>
        <v>0</v>
      </c>
      <c r="AN63" s="75">
        <f t="array" ref="AN63">SUM((YEAR(Gastos!$A$2:$A$2500)=AN$1)*(MONTH(Gastos!$A$2:$A$2500)=AN$3)*(Gastos!$B$2:$B$2500=$A63)*(Gastos!$D$2:$D$2500))</f>
        <v>0</v>
      </c>
      <c r="AO63" s="75">
        <f t="array" ref="AO63">SUM((YEAR(Gastos!$A$2:$A$2500)=AO$1)*(MONTH(Gastos!$A$2:$A$2500)=AO$3)*(Gastos!$B$2:$B$2500=$A63)*(Gastos!$D$2:$D$2500))</f>
        <v>0</v>
      </c>
      <c r="AP63" s="75">
        <f t="array" ref="AP63">SUM((YEAR(Gastos!$A$2:$A$2500)=AP$1)*(MONTH(Gastos!$A$2:$A$2500)=AP$3)*(Gastos!$B$2:$B$2500=$A63)*(Gastos!$D$2:$D$2500))</f>
        <v>0</v>
      </c>
      <c r="AQ63" s="75">
        <f t="array" ref="AQ63">SUM((YEAR(Gastos!$A$2:$A$2500)=AQ$1)*(MONTH(Gastos!$A$2:$A$2500)=AQ$3)*(Gastos!$B$2:$B$2500=$A63)*(Gastos!$D$2:$D$2500))</f>
        <v>0</v>
      </c>
      <c r="AR63" s="75">
        <f t="array" ref="AR63">SUM((YEAR(Gastos!$A$2:$A$2500)=AR$1)*(MONTH(Gastos!$A$2:$A$2500)=AR$3)*(Gastos!$B$2:$B$2500=$A63)*(Gastos!$D$2:$D$2500))</f>
        <v>0</v>
      </c>
      <c r="AS63" s="75">
        <f t="array" ref="AS63">SUM((YEAR(Gastos!$A$2:$A$2500)=AS$1)*(MONTH(Gastos!$A$2:$A$2500)=AS$3)*(Gastos!$B$2:$B$2500=$A63)*(Gastos!$D$2:$D$2500))</f>
        <v>0</v>
      </c>
      <c r="AT63" s="75">
        <f t="array" ref="AT63">SUM((YEAR(Gastos!$A$2:$A$2500)=AT$1)*(MONTH(Gastos!$A$2:$A$2500)=AT$3)*(Gastos!$B$2:$B$2500=$A63)*(Gastos!$D$2:$D$2500))</f>
        <v>0</v>
      </c>
      <c r="AU63" s="75">
        <f t="array" ref="AU63">SUM((YEAR(Gastos!$A$2:$A$2500)=AU$1)*(MONTH(Gastos!$A$2:$A$2500)=AU$3)*(Gastos!$B$2:$B$2500=$A63)*(Gastos!$D$2:$D$2500))</f>
        <v>0</v>
      </c>
      <c r="AV63" s="75">
        <f t="array" ref="AV63">SUM((YEAR(Gastos!$A$2:$A$2500)=AV$1)*(MONTH(Gastos!$A$2:$A$2500)=AV$3)*(Gastos!$B$2:$B$2500=$A63)*(Gastos!$D$2:$D$2500))</f>
        <v>0</v>
      </c>
      <c r="AW63" s="75">
        <f t="array" ref="AW63">SUM((YEAR(Gastos!$A$2:$A$2500)=AW$1)*(MONTH(Gastos!$A$2:$A$2500)=AW$3)*(Gastos!$B$2:$B$2500=$A63)*(Gastos!$D$2:$D$2500))</f>
        <v>0</v>
      </c>
      <c r="AX63" s="75">
        <f t="array" ref="AX63">SUM((YEAR(Gastos!$A$2:$A$2500)=AX$1)*(MONTH(Gastos!$A$2:$A$2500)=AX$3)*(Gastos!$B$2:$B$2500=$A63)*(Gastos!$D$2:$D$2500))</f>
        <v>0</v>
      </c>
      <c r="AY63" s="75">
        <f t="array" ref="AY63">SUM((YEAR(Gastos!$A$2:$A$2500)=AY$1)*(MONTH(Gastos!$A$2:$A$2500)=AY$3)*(Gastos!$B$2:$B$2500=$A63)*(Gastos!$D$2:$D$2500))</f>
        <v>0</v>
      </c>
      <c r="AZ63" s="75">
        <f t="array" ref="AZ63">SUM((YEAR(Gastos!$A$2:$A$2500)=AZ$1)*(MONTH(Gastos!$A$2:$A$2500)=AZ$3)*(Gastos!$B$2:$B$2500=$A63)*(Gastos!$D$2:$D$2500))</f>
        <v>0</v>
      </c>
      <c r="BA63" s="75">
        <f t="array" ref="BA63">SUM((YEAR(Gastos!$A$2:$A$2500)=BA$1)*(MONTH(Gastos!$A$2:$A$2500)=BA$3)*(Gastos!$B$2:$B$2500=$A63)*(Gastos!$D$2:$D$2500))</f>
        <v>0</v>
      </c>
      <c r="BB63" s="75">
        <f t="array" ref="BB63">SUM((YEAR(Gastos!$A$2:$A$2500)=BB$1)*(MONTH(Gastos!$A$2:$A$2500)=BB$3)*(Gastos!$B$2:$B$2500=$A63)*(Gastos!$D$2:$D$2500))</f>
        <v>0</v>
      </c>
      <c r="BC63" s="75">
        <f t="array" ref="BC63">SUM((YEAR(Gastos!$A$2:$A$2500)=BC$1)*(MONTH(Gastos!$A$2:$A$2500)=BC$3)*(Gastos!$B$2:$B$2500=$A63)*(Gastos!$D$2:$D$2500))</f>
        <v>0</v>
      </c>
      <c r="BD63" s="75">
        <f t="array" ref="BD63">SUM((YEAR(Gastos!$A$2:$A$2500)=BD$1)*(MONTH(Gastos!$A$2:$A$2500)=BD$3)*(Gastos!$B$2:$B$2500=$A63)*(Gastos!$D$2:$D$2500))</f>
        <v>0</v>
      </c>
      <c r="BE63" s="75">
        <f t="array" ref="BE63">SUM((YEAR(Gastos!$A$2:$A$2500)=BE$1)*(MONTH(Gastos!$A$2:$A$2500)=BE$3)*(Gastos!$B$2:$B$2500=$A63)*(Gastos!$D$2:$D$2500))</f>
        <v>0</v>
      </c>
      <c r="BF63" s="75">
        <f t="array" ref="BF63">SUM((YEAR(Gastos!$A$2:$A$2500)=BF$1)*(MONTH(Gastos!$A$2:$A$2500)=BF$3)*(Gastos!$B$2:$B$2500=$A63)*(Gastos!$D$2:$D$2500))</f>
        <v>0</v>
      </c>
      <c r="BG63" s="75">
        <f t="array" ref="BG63">SUM((YEAR(Gastos!$A$2:$A$2500)=BG$1)*(MONTH(Gastos!$A$2:$A$2500)=BG$3)*(Gastos!$B$2:$B$2500=$A63)*(Gastos!$D$2:$D$2500))</f>
        <v>0</v>
      </c>
      <c r="BH63" s="75">
        <f t="array" ref="BH63">SUM((YEAR(Gastos!$A$2:$A$2500)=BH$1)*(MONTH(Gastos!$A$2:$A$2500)=BH$3)*(Gastos!$B$2:$B$2500=$A63)*(Gastos!$D$2:$D$2500))</f>
        <v>0</v>
      </c>
      <c r="BI63" s="75">
        <f t="array" ref="BI63">SUM((YEAR(Gastos!$A$2:$A$2500)=BI$1)*(MONTH(Gastos!$A$2:$A$2500)=BI$3)*(Gastos!$B$2:$B$2500=$A63)*(Gastos!$D$2:$D$2500))</f>
        <v>0</v>
      </c>
      <c r="BJ63" s="75">
        <f t="array" ref="BJ63">SUM((YEAR(Gastos!$A$2:$A$2500)=BJ$1)*(MONTH(Gastos!$A$2:$A$2500)=BJ$3)*(Gastos!$B$2:$B$2500=$A63)*(Gastos!$D$2:$D$2500))</f>
        <v>0</v>
      </c>
      <c r="BK63" s="75">
        <f t="array" ref="BK63">SUM((YEAR(Gastos!$A$2:$A$2500)=BK$1)*(MONTH(Gastos!$A$2:$A$2500)=BK$3)*(Gastos!$B$2:$B$2500=$A63)*(Gastos!$D$2:$D$2500))</f>
        <v>0</v>
      </c>
      <c r="BL63" s="75">
        <f t="array" ref="BL63">SUM((YEAR(Gastos!$A$2:$A$2500)=BL$1)*(MONTH(Gastos!$A$2:$A$2500)=BL$3)*(Gastos!$B$2:$B$2500=$A63)*(Gastos!$D$2:$D$2500))</f>
        <v>0</v>
      </c>
      <c r="BM63" s="75">
        <f t="array" ref="BM63">SUM((YEAR(Gastos!$A$2:$A$2500)=BM$1)*(MONTH(Gastos!$A$2:$A$2500)=BM$3)*(Gastos!$B$2:$B$2500=$A63)*(Gastos!$D$2:$D$2500))</f>
        <v>0</v>
      </c>
      <c r="BN63" s="75">
        <f t="array" ref="BN63">SUM((YEAR(Gastos!$A$2:$A$2500)=BN$1)*(MONTH(Gastos!$A$2:$A$2500)=BN$3)*(Gastos!$B$2:$B$2500=$A63)*(Gastos!$D$2:$D$2500))</f>
        <v>0</v>
      </c>
      <c r="BO63" s="75">
        <f t="array" ref="BO63">SUM((YEAR(Gastos!$A$2:$A$2500)=BO$1)*(MONTH(Gastos!$A$2:$A$2500)=BO$3)*(Gastos!$B$2:$B$2500=$A63)*(Gastos!$D$2:$D$2500))</f>
        <v>0</v>
      </c>
      <c r="BP63" s="75">
        <f t="array" ref="BP63">SUM((YEAR(Gastos!$A$2:$A$2500)=BP$1)*(MONTH(Gastos!$A$2:$A$2500)=BP$3)*(Gastos!$B$2:$B$2500=$A63)*(Gastos!$D$2:$D$2500))</f>
        <v>0</v>
      </c>
      <c r="BQ63" s="75">
        <f t="array" ref="BQ63">SUM((YEAR(Gastos!$A$2:$A$2500)=BQ$1)*(MONTH(Gastos!$A$2:$A$2500)=BQ$3)*(Gastos!$B$2:$B$2500=$A63)*(Gastos!$D$2:$D$2500))</f>
        <v>0</v>
      </c>
      <c r="BR63" s="75">
        <f t="array" ref="BR63">SUM((YEAR(Gastos!$A$2:$A$2500)=BR$1)*(MONTH(Gastos!$A$2:$A$2500)=BR$3)*(Gastos!$B$2:$B$2500=$A63)*(Gastos!$D$2:$D$2500))</f>
        <v>0</v>
      </c>
      <c r="BS63" s="75">
        <f t="array" ref="BS63">SUM((YEAR(Gastos!$A$2:$A$2500)=BS$1)*(MONTH(Gastos!$A$2:$A$2500)=BS$3)*(Gastos!$B$2:$B$2500=$A63)*(Gastos!$D$2:$D$2500))</f>
        <v>0</v>
      </c>
      <c r="BT63" s="75">
        <f t="array" ref="BT63">SUM((YEAR(Gastos!$A$2:$A$2500)=BT$1)*(MONTH(Gastos!$A$2:$A$2500)=BT$3)*(Gastos!$B$2:$B$2500=$A63)*(Gastos!$D$2:$D$2500))</f>
        <v>0</v>
      </c>
      <c r="BU63" s="75">
        <f t="array" ref="BU63">SUM((YEAR(Gastos!$A$2:$A$2500)=BU$1)*(MONTH(Gastos!$A$2:$A$2500)=BU$3)*(Gastos!$B$2:$B$2500=$A63)*(Gastos!$D$2:$D$2500))</f>
        <v>0</v>
      </c>
      <c r="BV63" s="75">
        <f t="array" ref="BV63">SUM((YEAR(Gastos!$A$2:$A$2500)=BV$1)*(MONTH(Gastos!$A$2:$A$2500)=BV$3)*(Gastos!$B$2:$B$2500=$A63)*(Gastos!$D$2:$D$2500))</f>
        <v>0</v>
      </c>
      <c r="BW63" s="75">
        <f t="array" ref="BW63">SUM((YEAR(Gastos!$A$2:$A$2500)=BW$1)*(MONTH(Gastos!$A$2:$A$2500)=BW$3)*(Gastos!$B$2:$B$2500=$A63)*(Gastos!$D$2:$D$2500))</f>
        <v>0</v>
      </c>
      <c r="BX63" s="75">
        <f t="array" ref="BX63">SUM((YEAR(Gastos!$A$2:$A$2500)=BX$1)*(MONTH(Gastos!$A$2:$A$2500)=BX$3)*(Gastos!$B$2:$B$2500=$A63)*(Gastos!$D$2:$D$2500))</f>
        <v>0</v>
      </c>
      <c r="BY63" s="75">
        <f t="array" ref="BY63">SUM((YEAR(Gastos!$A$2:$A$2500)=BY$1)*(MONTH(Gastos!$A$2:$A$2500)=BY$3)*(Gastos!$B$2:$B$2500=$A63)*(Gastos!$D$2:$D$2500))</f>
        <v>0</v>
      </c>
      <c r="BZ63" s="75">
        <f t="array" ref="BZ63">SUM((YEAR(Gastos!$A$2:$A$2500)=BZ$1)*(MONTH(Gastos!$A$2:$A$2500)=BZ$3)*(Gastos!$B$2:$B$2500=$A63)*(Gastos!$D$2:$D$2500))</f>
        <v>0</v>
      </c>
      <c r="CA63" s="75">
        <f t="array" ref="CA63">SUM((YEAR(Gastos!$A$2:$A$2500)=CA$1)*(MONTH(Gastos!$A$2:$A$2500)=CA$3)*(Gastos!$B$2:$B$2500=$A63)*(Gastos!$D$2:$D$2500))</f>
        <v>0</v>
      </c>
      <c r="CB63" s="75">
        <f t="array" ref="CB63">SUM((YEAR(Gastos!$A$2:$A$2500)=CB$1)*(MONTH(Gastos!$A$2:$A$2500)=CB$3)*(Gastos!$B$2:$B$2500=$A63)*(Gastos!$D$2:$D$2500))</f>
        <v>0</v>
      </c>
      <c r="CC63" s="75">
        <f t="array" ref="CC63">SUM((YEAR(Gastos!$A$2:$A$2500)=CC$1)*(MONTH(Gastos!$A$2:$A$2500)=CC$3)*(Gastos!$B$2:$B$2500=$A63)*(Gastos!$D$2:$D$2500))</f>
        <v>0</v>
      </c>
      <c r="CD63" s="75">
        <f t="array" ref="CD63">SUM((YEAR(Gastos!$A$2:$A$2500)=CD$1)*(MONTH(Gastos!$A$2:$A$2500)=CD$3)*(Gastos!$B$2:$B$2500=$A63)*(Gastos!$D$2:$D$2500))</f>
        <v>0</v>
      </c>
      <c r="CE63" s="75">
        <f t="array" ref="CE63">SUM((YEAR(Gastos!$A$2:$A$2500)=CE$1)*(MONTH(Gastos!$A$2:$A$2500)=CE$3)*(Gastos!$B$2:$B$2500=$A63)*(Gastos!$D$2:$D$2500))</f>
        <v>0</v>
      </c>
      <c r="CF63" s="75">
        <f t="array" ref="CF63">SUM((YEAR(Gastos!$A$2:$A$2500)=CF$1)*(MONTH(Gastos!$A$2:$A$2500)=CF$3)*(Gastos!$B$2:$B$2500=$A63)*(Gastos!$D$2:$D$2500))</f>
        <v>0</v>
      </c>
      <c r="CG63" s="75">
        <f t="array" ref="CG63">SUM((YEAR(Gastos!$A$2:$A$2500)=CG$1)*(MONTH(Gastos!$A$2:$A$2500)=CG$3)*(Gastos!$B$2:$B$2500=$A63)*(Gastos!$D$2:$D$2500))</f>
        <v>0</v>
      </c>
      <c r="CH63" s="75">
        <f t="array" ref="CH63">SUM((YEAR(Gastos!$A$2:$A$2500)=CH$1)*(MONTH(Gastos!$A$2:$A$2500)=CH$3)*(Gastos!$B$2:$B$2500=$A63)*(Gastos!$D$2:$D$2500))</f>
        <v>0</v>
      </c>
      <c r="CI63" s="75">
        <f t="array" ref="CI63">SUM((YEAR(Gastos!$A$2:$A$2500)=CI$1)*(MONTH(Gastos!$A$2:$A$2500)=CI$3)*(Gastos!$B$2:$B$2500=$A63)*(Gastos!$D$2:$D$2500))</f>
        <v>0</v>
      </c>
      <c r="CJ63" s="75">
        <f t="array" ref="CJ63">SUM((YEAR(Gastos!$A$2:$A$2500)=CJ$1)*(MONTH(Gastos!$A$2:$A$2500)=CJ$3)*(Gastos!$B$2:$B$2500=$A63)*(Gastos!$D$2:$D$2500))</f>
        <v>0</v>
      </c>
      <c r="CK63" s="75">
        <f t="array" ref="CK63">SUM((YEAR(Gastos!$A$2:$A$2500)=CK$1)*(MONTH(Gastos!$A$2:$A$2500)=CK$3)*(Gastos!$B$2:$B$2500=$A63)*(Gastos!$D$2:$D$2500))</f>
        <v>0</v>
      </c>
      <c r="CL63" s="75">
        <f t="array" ref="CL63">SUM((YEAR(Gastos!$A$2:$A$2500)=CL$1)*(MONTH(Gastos!$A$2:$A$2500)=CL$3)*(Gastos!$B$2:$B$2500=$A63)*(Gastos!$D$2:$D$2500))</f>
        <v>0</v>
      </c>
      <c r="CM63" s="75">
        <f t="array" ref="CM63">SUM((YEAR(Gastos!$A$2:$A$2500)=CM$1)*(MONTH(Gastos!$A$2:$A$2500)=CM$3)*(Gastos!$B$2:$B$2500=$A63)*(Gastos!$D$2:$D$2500))</f>
        <v>0</v>
      </c>
      <c r="CN63" s="75">
        <f t="array" ref="CN63">SUM((YEAR(Gastos!$A$2:$A$2500)=CN$1)*(MONTH(Gastos!$A$2:$A$2500)=CN$3)*(Gastos!$B$2:$B$2500=$A63)*(Gastos!$D$2:$D$2500))</f>
        <v>0</v>
      </c>
      <c r="CO63" s="75">
        <f t="array" ref="CO63">SUM((YEAR(Gastos!$A$2:$A$2500)=CO$1)*(MONTH(Gastos!$A$2:$A$2500)=CO$3)*(Gastos!$B$2:$B$2500=$A63)*(Gastos!$D$2:$D$2500))</f>
        <v>0</v>
      </c>
      <c r="CP63" s="75">
        <f t="array" ref="CP63">SUM((YEAR(Gastos!$A$2:$A$2500)=CP$1)*(MONTH(Gastos!$A$2:$A$2500)=CP$3)*(Gastos!$B$2:$B$2500=$A63)*(Gastos!$D$2:$D$2500))</f>
        <v>0</v>
      </c>
      <c r="CQ63" s="75">
        <f t="array" ref="CQ63">SUM((YEAR(Gastos!$A$2:$A$2500)=CQ$1)*(MONTH(Gastos!$A$2:$A$2500)=CQ$3)*(Gastos!$B$2:$B$2500=$A63)*(Gastos!$D$2:$D$2500))</f>
        <v>0</v>
      </c>
      <c r="CR63" s="75">
        <f t="array" ref="CR63">SUM((YEAR(Gastos!$A$2:$A$2500)=CR$1)*(MONTH(Gastos!$A$2:$A$2500)=CR$3)*(Gastos!$B$2:$B$2500=$A63)*(Gastos!$D$2:$D$2500))</f>
        <v>0</v>
      </c>
      <c r="CS63" s="75">
        <f t="array" ref="CS63">SUM((YEAR(Gastos!$A$2:$A$2500)=CS$1)*(MONTH(Gastos!$A$2:$A$2500)=CS$3)*(Gastos!$B$2:$B$2500=$A63)*(Gastos!$D$2:$D$2500))</f>
        <v>0</v>
      </c>
      <c r="CT63" s="75">
        <f t="array" ref="CT63">SUM((YEAR(Gastos!$A$2:$A$2500)=CT$1)*(MONTH(Gastos!$A$2:$A$2500)=CT$3)*(Gastos!$B$2:$B$2500=$A63)*(Gastos!$D$2:$D$2500))</f>
        <v>0</v>
      </c>
      <c r="CU63" s="75">
        <f t="array" ref="CU63">SUM((YEAR(Gastos!$A$2:$A$2500)=CU$1)*(MONTH(Gastos!$A$2:$A$2500)=CU$3)*(Gastos!$B$2:$B$2500=$A63)*(Gastos!$D$2:$D$2500))</f>
        <v>0</v>
      </c>
      <c r="CV63" s="75">
        <f t="array" ref="CV63">SUM((YEAR(Gastos!$A$2:$A$2500)=CV$1)*(MONTH(Gastos!$A$2:$A$2500)=CV$3)*(Gastos!$B$2:$B$2500=$A63)*(Gastos!$D$2:$D$2500))</f>
        <v>0</v>
      </c>
      <c r="CW63" s="75">
        <f t="array" ref="CW63">SUM((YEAR(Gastos!$A$2:$A$2500)=CW$1)*(MONTH(Gastos!$A$2:$A$2500)=CW$3)*(Gastos!$B$2:$B$2500=$A63)*(Gastos!$D$2:$D$2500))</f>
        <v>0</v>
      </c>
      <c r="CX63" s="75">
        <f t="array" ref="CX63">SUM((YEAR(Gastos!$A$2:$A$2500)=CX$1)*(MONTH(Gastos!$A$2:$A$2500)=CX$3)*(Gastos!$B$2:$B$2500=$A63)*(Gastos!$D$2:$D$2500))</f>
        <v>0</v>
      </c>
      <c r="CY63" s="75">
        <f t="array" ref="CY63">SUM((YEAR(Gastos!$A$2:$A$2500)=CY$1)*(MONTH(Gastos!$A$2:$A$2500)=CY$3)*(Gastos!$B$2:$B$2500=$A63)*(Gastos!$D$2:$D$2500))</f>
        <v>0</v>
      </c>
      <c r="CZ63" s="75">
        <f t="array" ref="CZ63">SUM((YEAR(Gastos!$A$2:$A$2500)=CZ$1)*(MONTH(Gastos!$A$2:$A$2500)=CZ$3)*(Gastos!$B$2:$B$2500=$A63)*(Gastos!$D$2:$D$2500))</f>
        <v>0</v>
      </c>
      <c r="DA63" s="75">
        <f t="array" ref="DA63">SUM((YEAR(Gastos!$A$2:$A$2500)=DA$1)*(MONTH(Gastos!$A$2:$A$2500)=DA$3)*(Gastos!$B$2:$B$2500=$A63)*(Gastos!$D$2:$D$2500))</f>
        <v>0</v>
      </c>
      <c r="DB63" s="75">
        <f t="array" ref="DB63">SUM((YEAR(Gastos!$A$2:$A$2500)=DB$1)*(MONTH(Gastos!$A$2:$A$2500)=DB$3)*(Gastos!$B$2:$B$2500=$A63)*(Gastos!$D$2:$D$2500))</f>
        <v>0</v>
      </c>
      <c r="DC63" s="75">
        <f t="array" ref="DC63">SUM((YEAR(Gastos!$A$2:$A$2500)=DC$1)*(MONTH(Gastos!$A$2:$A$2500)=DC$3)*(Gastos!$B$2:$B$2500=$A63)*(Gastos!$D$2:$D$2500))</f>
        <v>0</v>
      </c>
      <c r="DD63" s="75">
        <f t="array" ref="DD63">SUM((YEAR(Gastos!$A$2:$A$2500)=DD$1)*(MONTH(Gastos!$A$2:$A$2500)=DD$3)*(Gastos!$B$2:$B$2500=$A63)*(Gastos!$D$2:$D$2500))</f>
        <v>0</v>
      </c>
      <c r="DE63" s="75">
        <f t="array" ref="DE63">SUM((YEAR(Gastos!$A$2:$A$2500)=DE$1)*(MONTH(Gastos!$A$2:$A$2500)=DE$3)*(Gastos!$B$2:$B$2500=$A63)*(Gastos!$D$2:$D$2500))</f>
        <v>0</v>
      </c>
      <c r="DF63" s="75">
        <f t="array" ref="DF63">SUM((YEAR(Gastos!$A$2:$A$2500)=DF$1)*(MONTH(Gastos!$A$2:$A$2500)=DF$3)*(Gastos!$B$2:$B$2500=$A63)*(Gastos!$D$2:$D$2500))</f>
        <v>0</v>
      </c>
      <c r="DG63" s="75">
        <f t="array" ref="DG63">SUM((YEAR(Gastos!$A$2:$A$2500)=DG$1)*(MONTH(Gastos!$A$2:$A$2500)=DG$3)*(Gastos!$B$2:$B$2500=$A63)*(Gastos!$D$2:$D$2500))</f>
        <v>0</v>
      </c>
      <c r="DH63" s="75">
        <f t="array" ref="DH63">SUM((YEAR(Gastos!$A$2:$A$2500)=DH$1)*(MONTH(Gastos!$A$2:$A$2500)=DH$3)*(Gastos!$B$2:$B$2500=$A63)*(Gastos!$D$2:$D$2500))</f>
        <v>0</v>
      </c>
      <c r="DI63" s="75">
        <f t="array" ref="DI63">SUM((YEAR(Gastos!$A$2:$A$2500)=DI$1)*(MONTH(Gastos!$A$2:$A$2500)=DI$3)*(Gastos!$B$2:$B$2500=$A63)*(Gastos!$D$2:$D$2500))</f>
        <v>0</v>
      </c>
      <c r="DJ63" s="75">
        <f t="array" ref="DJ63">SUM((YEAR(Gastos!$A$2:$A$2500)=DJ$1)*(MONTH(Gastos!$A$2:$A$2500)=DJ$3)*(Gastos!$B$2:$B$2500=$A63)*(Gastos!$D$2:$D$2500))</f>
        <v>0</v>
      </c>
      <c r="DK63" s="75">
        <f t="array" ref="DK63">SUM((YEAR(Gastos!$A$2:$A$2500)=DK$1)*(MONTH(Gastos!$A$2:$A$2500)=DK$3)*(Gastos!$B$2:$B$2500=$A63)*(Gastos!$D$2:$D$2500))</f>
        <v>0</v>
      </c>
      <c r="DL63" s="75">
        <f t="array" ref="DL63">SUM((YEAR(Gastos!$A$2:$A$2500)=DL$1)*(MONTH(Gastos!$A$2:$A$2500)=DL$3)*(Gastos!$B$2:$B$2500=$A63)*(Gastos!$D$2:$D$2500))</f>
        <v>0</v>
      </c>
      <c r="DM63" s="75">
        <f t="array" ref="DM63">SUM((YEAR(Gastos!$A$2:$A$2500)=DM$1)*(MONTH(Gastos!$A$2:$A$2500)=DM$3)*(Gastos!$B$2:$B$2500=$A63)*(Gastos!$D$2:$D$2500))</f>
        <v>0</v>
      </c>
      <c r="DN63" s="75">
        <f t="array" ref="DN63">SUM((YEAR(Gastos!$A$2:$A$2500)=DN$1)*(MONTH(Gastos!$A$2:$A$2500)=DN$3)*(Gastos!$B$2:$B$2500=$A63)*(Gastos!$D$2:$D$2500))</f>
        <v>0</v>
      </c>
      <c r="DO63" s="75">
        <f t="array" ref="DO63">SUM((YEAR(Gastos!$A$2:$A$2500)=DO$1)*(MONTH(Gastos!$A$2:$A$2500)=DO$3)*(Gastos!$B$2:$B$2500=$A63)*(Gastos!$D$2:$D$2500))</f>
        <v>0</v>
      </c>
      <c r="DP63" s="75">
        <f t="array" ref="DP63">SUM((YEAR(Gastos!$A$2:$A$2500)=DP$1)*(MONTH(Gastos!$A$2:$A$2500)=DP$3)*(Gastos!$B$2:$B$2500=$A63)*(Gastos!$D$2:$D$2500))</f>
        <v>0</v>
      </c>
      <c r="DQ63" s="75">
        <f t="array" ref="DQ63">SUM((YEAR(Gastos!$A$2:$A$2500)=DQ$1)*(MONTH(Gastos!$A$2:$A$2500)=DQ$3)*(Gastos!$B$2:$B$2500=$A63)*(Gastos!$D$2:$D$2500))</f>
        <v>0</v>
      </c>
      <c r="DR63" s="75">
        <f t="array" ref="DR63">SUM((YEAR(Gastos!$A$2:$A$2500)=DR$1)*(MONTH(Gastos!$A$2:$A$2500)=DR$3)*(Gastos!$B$2:$B$2500=$A63)*(Gastos!$D$2:$D$2500))</f>
        <v>0</v>
      </c>
      <c r="DS63" s="75">
        <f t="array" ref="DS63">SUM((YEAR(Gastos!$A$2:$A$2500)=DS$1)*(MONTH(Gastos!$A$2:$A$2500)=DS$3)*(Gastos!$B$2:$B$2500=$A63)*(Gastos!$D$2:$D$2500))</f>
        <v>0</v>
      </c>
      <c r="DT63" s="75">
        <f t="array" ref="DT63">SUM((YEAR(Gastos!$A$2:$A$2500)=DT$1)*(MONTH(Gastos!$A$2:$A$2500)=DT$3)*(Gastos!$B$2:$B$2500=$A63)*(Gastos!$D$2:$D$2500))</f>
        <v>0</v>
      </c>
      <c r="DU63" s="75">
        <f t="array" ref="DU63">SUM((YEAR(Gastos!$A$2:$A$2500)=DU$1)*(MONTH(Gastos!$A$2:$A$2500)=DU$3)*(Gastos!$B$2:$B$2500=$A63)*(Gastos!$D$2:$D$2500))</f>
        <v>0</v>
      </c>
      <c r="DV63" s="75">
        <f t="array" ref="DV63">SUM((YEAR(Gastos!$A$2:$A$2500)=DV$1)*(MONTH(Gastos!$A$2:$A$2500)=DV$3)*(Gastos!$B$2:$B$2500=$A63)*(Gastos!$D$2:$D$2500))</f>
        <v>0</v>
      </c>
      <c r="DW63" s="75">
        <f t="array" ref="DW63">SUM((YEAR(Gastos!$A$2:$A$2500)=DW$1)*(MONTH(Gastos!$A$2:$A$2500)=DW$3)*(Gastos!$B$2:$B$2500=$A63)*(Gastos!$D$2:$D$2500))</f>
        <v>0</v>
      </c>
      <c r="DX63" s="75">
        <f t="array" ref="DX63">SUM((YEAR(Gastos!$A$2:$A$2500)=DX$1)*(MONTH(Gastos!$A$2:$A$2500)=DX$3)*(Gastos!$B$2:$B$2500=$A63)*(Gastos!$D$2:$D$2500))</f>
        <v>0</v>
      </c>
      <c r="DY63" s="75">
        <f t="array" ref="DY63">SUM((YEAR(Gastos!$A$2:$A$2500)=DY$1)*(MONTH(Gastos!$A$2:$A$2500)=DY$3)*(Gastos!$B$2:$B$2500=$A63)*(Gastos!$D$2:$D$2500))</f>
        <v>0</v>
      </c>
      <c r="DZ63" s="75">
        <f t="array" ref="DZ63">SUM((YEAR(Gastos!$A$2:$A$2500)=DZ$1)*(MONTH(Gastos!$A$2:$A$2500)=DZ$3)*(Gastos!$B$2:$B$2500=$A63)*(Gastos!$D$2:$D$2500))</f>
        <v>0</v>
      </c>
      <c r="EA63" s="75">
        <f t="array" ref="EA63">SUM((YEAR(Gastos!$A$2:$A$2500)=EA$1)*(MONTH(Gastos!$A$2:$A$2500)=EA$3)*(Gastos!$B$2:$B$2500=$A63)*(Gastos!$D$2:$D$2500))</f>
        <v>0</v>
      </c>
      <c r="EB63" s="75">
        <f t="array" ref="EB63">SUM((YEAR(Gastos!$A$2:$A$2500)=EB$1)*(MONTH(Gastos!$A$2:$A$2500)=EB$3)*(Gastos!$B$2:$B$2500=$A63)*(Gastos!$D$2:$D$2500))</f>
        <v>0</v>
      </c>
      <c r="EC63" s="75">
        <f t="array" ref="EC63">SUM((YEAR(Gastos!$A$2:$A$2500)=EC$1)*(MONTH(Gastos!$A$2:$A$2500)=EC$3)*(Gastos!$B$2:$B$2500=$A63)*(Gastos!$D$2:$D$2500))</f>
        <v>0</v>
      </c>
      <c r="ED63" s="75">
        <f t="array" ref="ED63">SUM((YEAR(Gastos!$A$2:$A$2500)=ED$1)*(MONTH(Gastos!$A$2:$A$2500)=ED$3)*(Gastos!$B$2:$B$2500=$A63)*(Gastos!$D$2:$D$2500))</f>
        <v>0</v>
      </c>
      <c r="EE63" s="75">
        <f t="array" ref="EE63">SUM((YEAR(Gastos!$A$2:$A$2500)=EE$1)*(MONTH(Gastos!$A$2:$A$2500)=EE$3)*(Gastos!$B$2:$B$2500=$A63)*(Gastos!$D$2:$D$2500))</f>
        <v>0</v>
      </c>
      <c r="EF63" s="75">
        <f t="array" ref="EF63">SUM((YEAR(Gastos!$A$2:$A$2500)=EF$1)*(MONTH(Gastos!$A$2:$A$2500)=EF$3)*(Gastos!$B$2:$B$2500=$A63)*(Gastos!$D$2:$D$2500))</f>
        <v>0</v>
      </c>
      <c r="EG63" s="75">
        <f t="array" ref="EG63">SUM((YEAR(Gastos!$A$2:$A$2500)=EG$1)*(MONTH(Gastos!$A$2:$A$2500)=EG$3)*(Gastos!$B$2:$B$2500=$A63)*(Gastos!$D$2:$D$2500))</f>
        <v>0</v>
      </c>
      <c r="EH63" s="75">
        <f t="array" ref="EH63">SUM((YEAR(Gastos!$A$2:$A$2500)=EH$1)*(MONTH(Gastos!$A$2:$A$2500)=EH$3)*(Gastos!$B$2:$B$2500=$A63)*(Gastos!$D$2:$D$2500))</f>
        <v>0</v>
      </c>
      <c r="EI63" s="75">
        <f t="array" ref="EI63">SUM((YEAR(Gastos!$A$2:$A$2500)=EI$1)*(MONTH(Gastos!$A$2:$A$2500)=EI$3)*(Gastos!$B$2:$B$2500=$A63)*(Gastos!$D$2:$D$2500))</f>
        <v>0</v>
      </c>
      <c r="EJ63" s="75">
        <f t="array" ref="EJ63">SUM((YEAR(Gastos!$A$2:$A$2500)=EJ$1)*(MONTH(Gastos!$A$2:$A$2500)=EJ$3)*(Gastos!$B$2:$B$2500=$A63)*(Gastos!$D$2:$D$2500))</f>
        <v>0</v>
      </c>
      <c r="EK63" s="75">
        <f t="array" ref="EK63">SUM((YEAR(Gastos!$A$2:$A$2500)=EK$1)*(MONTH(Gastos!$A$2:$A$2500)=EK$3)*(Gastos!$B$2:$B$2500=$A63)*(Gastos!$D$2:$D$2500))</f>
        <v>0</v>
      </c>
      <c r="EL63" s="75">
        <f t="array" ref="EL63">SUM((YEAR(Gastos!$A$2:$A$2500)=EL$1)*(MONTH(Gastos!$A$2:$A$2500)=EL$3)*(Gastos!$B$2:$B$2500=$A63)*(Gastos!$D$2:$D$2500))</f>
        <v>0</v>
      </c>
      <c r="EM63" s="75">
        <f t="array" ref="EM63">SUM((YEAR(Gastos!$A$2:$A$2500)=EM$1)*(MONTH(Gastos!$A$2:$A$2500)=EM$3)*(Gastos!$B$2:$B$2500=$A63)*(Gastos!$D$2:$D$2500))</f>
        <v>0</v>
      </c>
      <c r="EN63" s="75">
        <f t="array" ref="EN63">SUM((YEAR(Gastos!$A$2:$A$2500)=EN$1)*(MONTH(Gastos!$A$2:$A$2500)=EN$3)*(Gastos!$B$2:$B$2500=$A63)*(Gastos!$D$2:$D$2500))</f>
        <v>0</v>
      </c>
      <c r="EO63" s="75">
        <f t="array" ref="EO63">SUM((YEAR(Gastos!$A$2:$A$2500)=EO$1)*(MONTH(Gastos!$A$2:$A$2500)=EO$3)*(Gastos!$B$2:$B$2500=$A63)*(Gastos!$D$2:$D$2500))</f>
        <v>0</v>
      </c>
      <c r="EP63" s="75">
        <f t="array" ref="EP63">SUM((YEAR(Gastos!$A$2:$A$2500)=EP$1)*(MONTH(Gastos!$A$2:$A$2500)=EP$3)*(Gastos!$B$2:$B$2500=$A63)*(Gastos!$D$2:$D$2500))</f>
        <v>0</v>
      </c>
      <c r="EQ63" s="75">
        <f t="array" ref="EQ63">SUM((YEAR(Gastos!$A$2:$A$2500)=EQ$1)*(MONTH(Gastos!$A$2:$A$2500)=EQ$3)*(Gastos!$B$2:$B$2500=$A63)*(Gastos!$D$2:$D$2500))</f>
        <v>0</v>
      </c>
      <c r="ER63" s="75">
        <f t="array" ref="ER63">SUM((YEAR(Gastos!$A$2:$A$2500)=ER$1)*(MONTH(Gastos!$A$2:$A$2500)=ER$3)*(Gastos!$B$2:$B$2500=$A63)*(Gastos!$D$2:$D$2500))</f>
        <v>0</v>
      </c>
      <c r="ES63" s="75">
        <f t="array" ref="ES63">SUM((YEAR(Gastos!$A$2:$A$2500)=ES$1)*(MONTH(Gastos!$A$2:$A$2500)=ES$3)*(Gastos!$B$2:$B$2500=$A63)*(Gastos!$D$2:$D$2500))</f>
        <v>0</v>
      </c>
      <c r="ET63" s="75">
        <f t="array" ref="ET63">SUM((YEAR(Gastos!$A$2:$A$2500)=ET$1)*(MONTH(Gastos!$A$2:$A$2500)=ET$3)*(Gastos!$B$2:$B$2500=$A63)*(Gastos!$D$2:$D$2500))</f>
        <v>0</v>
      </c>
      <c r="EU63" s="75">
        <f t="array" ref="EU63">SUM((YEAR(Gastos!$A$2:$A$2500)=EU$1)*(MONTH(Gastos!$A$2:$A$2500)=EU$3)*(Gastos!$B$2:$B$2500=$A63)*(Gastos!$D$2:$D$2500))</f>
        <v>0</v>
      </c>
      <c r="EV63" s="75">
        <f t="array" ref="EV63">SUM((YEAR(Gastos!$A$2:$A$2500)=EV$1)*(MONTH(Gastos!$A$2:$A$2500)=EV$3)*(Gastos!$B$2:$B$2500=$A63)*(Gastos!$D$2:$D$2500))</f>
        <v>0</v>
      </c>
      <c r="EW63" s="75">
        <f t="array" ref="EW63">SUM((YEAR(Gastos!$A$2:$A$2500)=EW$1)*(MONTH(Gastos!$A$2:$A$2500)=EW$3)*(Gastos!$B$2:$B$2500=$A63)*(Gastos!$D$2:$D$2500))</f>
        <v>0</v>
      </c>
      <c r="EX63" s="75">
        <f t="array" ref="EX63">SUM((YEAR(Gastos!$A$2:$A$2500)=EX$1)*(MONTH(Gastos!$A$2:$A$2500)=EX$3)*(Gastos!$B$2:$B$2500=$A63)*(Gastos!$D$2:$D$2500))</f>
        <v>0</v>
      </c>
      <c r="EY63" s="75">
        <f t="array" ref="EY63">SUM((YEAR(Gastos!$A$2:$A$2500)=EY$1)*(MONTH(Gastos!$A$2:$A$2500)=EY$3)*(Gastos!$B$2:$B$2500=$A63)*(Gastos!$D$2:$D$2500))</f>
        <v>0</v>
      </c>
      <c r="EZ63" s="75">
        <f t="array" ref="EZ63">SUM((YEAR(Gastos!$A$2:$A$2500)=EZ$1)*(MONTH(Gastos!$A$2:$A$2500)=EZ$3)*(Gastos!$B$2:$B$2500=$A63)*(Gastos!$D$2:$D$2500))</f>
        <v>0</v>
      </c>
      <c r="FA63" s="75">
        <f t="array" ref="FA63">SUM((YEAR(Gastos!$A$2:$A$2500)=FA$1)*(MONTH(Gastos!$A$2:$A$2500)=FA$3)*(Gastos!$B$2:$B$2500=$A63)*(Gastos!$D$2:$D$2500))</f>
        <v>0</v>
      </c>
      <c r="FB63" s="75">
        <f t="array" ref="FB63">SUM((YEAR(Gastos!$A$2:$A$2500)=FB$1)*(MONTH(Gastos!$A$2:$A$2500)=FB$3)*(Gastos!$B$2:$B$2500=$A63)*(Gastos!$D$2:$D$2500))</f>
        <v>0</v>
      </c>
      <c r="FC63" s="75">
        <f t="array" ref="FC63">SUM((YEAR(Gastos!$A$2:$A$2500)=FC$1)*(MONTH(Gastos!$A$2:$A$2500)=FC$3)*(Gastos!$B$2:$B$2500=$A63)*(Gastos!$D$2:$D$2500))</f>
        <v>0</v>
      </c>
      <c r="FD63" s="75">
        <f t="array" ref="FD63">SUM((YEAR(Gastos!$A$2:$A$2500)=FD$1)*(MONTH(Gastos!$A$2:$A$2500)=FD$3)*(Gastos!$B$2:$B$2500=$A63)*(Gastos!$D$2:$D$2500))</f>
        <v>0</v>
      </c>
      <c r="FE63" s="75">
        <f t="array" ref="FE63">SUM((YEAR(Gastos!$A$2:$A$2500)=FE$1)*(MONTH(Gastos!$A$2:$A$2500)=FE$3)*(Gastos!$B$2:$B$2500=$A63)*(Gastos!$D$2:$D$2500))</f>
        <v>0</v>
      </c>
      <c r="FF63" s="75">
        <f t="array" ref="FF63">SUM((YEAR(Gastos!$A$2:$A$2500)=FF$1)*(MONTH(Gastos!$A$2:$A$2500)=FF$3)*(Gastos!$B$2:$B$2500=$A63)*(Gastos!$D$2:$D$2500))</f>
        <v>0</v>
      </c>
      <c r="FG63" s="75">
        <f t="array" ref="FG63">SUM((YEAR(Gastos!$A$2:$A$2500)=FG$1)*(MONTH(Gastos!$A$2:$A$2500)=FG$3)*(Gastos!$B$2:$B$2500=$A63)*(Gastos!$D$2:$D$2500))</f>
        <v>0</v>
      </c>
      <c r="FH63" s="75">
        <f t="array" ref="FH63">SUM((YEAR(Gastos!$A$2:$A$2500)=FH$1)*(MONTH(Gastos!$A$2:$A$2500)=FH$3)*(Gastos!$B$2:$B$2500=$A63)*(Gastos!$D$2:$D$2500))</f>
        <v>0</v>
      </c>
      <c r="FI63" s="75">
        <f t="array" ref="FI63">SUM((YEAR(Gastos!$A$2:$A$2500)=FI$1)*(MONTH(Gastos!$A$2:$A$2500)=FI$3)*(Gastos!$B$2:$B$2500=$A63)*(Gastos!$D$2:$D$2500))</f>
        <v>0</v>
      </c>
      <c r="FJ63" s="75">
        <f t="array" ref="FJ63">SUM((YEAR(Gastos!$A$2:$A$2500)=FJ$1)*(MONTH(Gastos!$A$2:$A$2500)=FJ$3)*(Gastos!$B$2:$B$2500=$A63)*(Gastos!$D$2:$D$2500))</f>
        <v>0</v>
      </c>
      <c r="FK63" s="75">
        <f t="array" ref="FK63">SUM((YEAR(Gastos!$A$2:$A$2500)=FK$1)*(MONTH(Gastos!$A$2:$A$2500)=FK$3)*(Gastos!$B$2:$B$2500=$A63)*(Gastos!$D$2:$D$2500))</f>
        <v>0</v>
      </c>
      <c r="FL63" s="75">
        <f t="array" ref="FL63">SUM((YEAR(Gastos!$A$2:$A$2500)=FL$1)*(MONTH(Gastos!$A$2:$A$2500)=FL$3)*(Gastos!$B$2:$B$2500=$A63)*(Gastos!$D$2:$D$2500))</f>
        <v>0</v>
      </c>
      <c r="FM63" s="75">
        <f t="array" ref="FM63">SUM((YEAR(Gastos!$A$2:$A$2500)=FM$1)*(MONTH(Gastos!$A$2:$A$2500)=FM$3)*(Gastos!$B$2:$B$2500=$A63)*(Gastos!$D$2:$D$2500))</f>
        <v>0</v>
      </c>
      <c r="FN63" s="75">
        <f t="array" ref="FN63">SUM((YEAR(Gastos!$A$2:$A$2500)=FN$1)*(MONTH(Gastos!$A$2:$A$2500)=FN$3)*(Gastos!$B$2:$B$2500=$A63)*(Gastos!$D$2:$D$2500))</f>
        <v>0</v>
      </c>
      <c r="FO63" s="75">
        <f t="array" ref="FO63">SUM((YEAR(Gastos!$A$2:$A$2500)=FO$1)*(MONTH(Gastos!$A$2:$A$2500)=FO$3)*(Gastos!$B$2:$B$2500=$A63)*(Gastos!$D$2:$D$2500))</f>
        <v>0</v>
      </c>
      <c r="FP63" s="75">
        <f t="array" ref="FP63">SUM((YEAR(Gastos!$A$2:$A$2500)=FP$1)*(MONTH(Gastos!$A$2:$A$2500)=FP$3)*(Gastos!$B$2:$B$2500=$A63)*(Gastos!$D$2:$D$2500))</f>
        <v>0</v>
      </c>
      <c r="FQ63" s="75">
        <f t="array" ref="FQ63">SUM((YEAR(Gastos!$A$2:$A$2500)=FQ$1)*(MONTH(Gastos!$A$2:$A$2500)=FQ$3)*(Gastos!$B$2:$B$2500=$A63)*(Gastos!$D$2:$D$2500))</f>
        <v>0</v>
      </c>
      <c r="FR63" s="75">
        <f t="array" ref="FR63">SUM((YEAR(Gastos!$A$2:$A$2500)=FR$1)*(MONTH(Gastos!$A$2:$A$2500)=FR$3)*(Gastos!$B$2:$B$2500=$A63)*(Gastos!$D$2:$D$2500))</f>
        <v>0</v>
      </c>
      <c r="FS63" s="75">
        <f t="array" ref="FS63">SUM((YEAR(Gastos!$A$2:$A$2500)=FS$1)*(MONTH(Gastos!$A$2:$A$2500)=FS$3)*(Gastos!$B$2:$B$2500=$A63)*(Gastos!$D$2:$D$2500))</f>
        <v>0</v>
      </c>
      <c r="FT63" s="75">
        <f t="array" ref="FT63">SUM((YEAR(Gastos!$A$2:$A$2500)=FT$1)*(MONTH(Gastos!$A$2:$A$2500)=FT$3)*(Gastos!$B$2:$B$2500=$A63)*(Gastos!$D$2:$D$2500))</f>
        <v>0</v>
      </c>
      <c r="FU63" s="75">
        <f t="array" ref="FU63">SUM((YEAR(Gastos!$A$2:$A$2500)=FU$1)*(MONTH(Gastos!$A$2:$A$2500)=FU$3)*(Gastos!$B$2:$B$2500=$A63)*(Gastos!$D$2:$D$2500))</f>
        <v>0</v>
      </c>
      <c r="FV63" s="75">
        <f t="array" ref="FV63">SUM((YEAR(Gastos!$A$2:$A$2500)=FV$1)*(MONTH(Gastos!$A$2:$A$2500)=FV$3)*(Gastos!$B$2:$B$2500=$A63)*(Gastos!$D$2:$D$2500))</f>
        <v>0</v>
      </c>
      <c r="FW63" s="75">
        <f t="array" ref="FW63">SUM((YEAR(Gastos!$A$2:$A$2500)=FW$1)*(MONTH(Gastos!$A$2:$A$2500)=FW$3)*(Gastos!$B$2:$B$2500=$A63)*(Gastos!$D$2:$D$2500))</f>
        <v>0</v>
      </c>
      <c r="FX63" s="75">
        <f t="array" ref="FX63">SUM((YEAR(Gastos!$A$2:$A$2500)=FX$1)*(MONTH(Gastos!$A$2:$A$2500)=FX$3)*(Gastos!$B$2:$B$2500=$A63)*(Gastos!$D$2:$D$2500))</f>
        <v>0</v>
      </c>
      <c r="FY63" s="75">
        <f t="array" ref="FY63">SUM((YEAR(Gastos!$A$2:$A$2500)=FY$1)*(MONTH(Gastos!$A$2:$A$2500)=FY$3)*(Gastos!$B$2:$B$2500=$A63)*(Gastos!$D$2:$D$2500))</f>
        <v>0</v>
      </c>
      <c r="FZ63" s="76">
        <f t="shared" si="65"/>
        <v>0</v>
      </c>
      <c r="GA63" s="80"/>
      <c r="GB63" s="82"/>
    </row>
    <row r="64" spans="1:191" ht="15" thickBot="1" x14ac:dyDescent="0.4">
      <c r="A64" s="74" t="str">
        <f>Gastos!AA62</f>
        <v>X</v>
      </c>
      <c r="B64" s="75">
        <f t="array" ref="B64">SUM((YEAR(Gastos!$A$2:$A$2500)=B$1)*(MONTH(Gastos!$A$2:$A$2500)=B$3)*(Gastos!$B$2:$B$2500=$A64)*(Gastos!$D$2:$D$2500))</f>
        <v>0</v>
      </c>
      <c r="C64" s="75">
        <f t="array" ref="C64">SUM((YEAR(Gastos!$A$2:$A$2500)=C$1)*(MONTH(Gastos!$A$2:$A$2500)=C$3)*(Gastos!$B$2:$B$2500=$A64)*(Gastos!$D$2:$D$2500))</f>
        <v>0</v>
      </c>
      <c r="D64" s="75">
        <f t="array" ref="D64">SUM((YEAR(Gastos!$A$2:$A$2500)=D$1)*(MONTH(Gastos!$A$2:$A$2500)=D$3)*(Gastos!$B$2:$B$2500=$A64)*(Gastos!$D$2:$D$2500))</f>
        <v>0</v>
      </c>
      <c r="E64" s="75">
        <f t="array" ref="E64">SUM((YEAR(Gastos!$A$2:$A$2500)=E$1)*(MONTH(Gastos!$A$2:$A$2500)=E$3)*(Gastos!$B$2:$B$2500=$A64)*(Gastos!$D$2:$D$2500))</f>
        <v>0</v>
      </c>
      <c r="F64" s="75">
        <f t="array" ref="F64">SUM((YEAR(Gastos!$A$2:$A$2500)=F$1)*(MONTH(Gastos!$A$2:$A$2500)=F$3)*(Gastos!$B$2:$B$2500=$A64)*(Gastos!$D$2:$D$2500))</f>
        <v>0</v>
      </c>
      <c r="G64" s="75">
        <f t="array" ref="G64">SUM((YEAR(Gastos!$A$2:$A$2500)=G$1)*(MONTH(Gastos!$A$2:$A$2500)=G$3)*(Gastos!$B$2:$B$2500=$A64)*(Gastos!$D$2:$D$2500))</f>
        <v>0</v>
      </c>
      <c r="H64" s="75">
        <f t="array" ref="H64">SUM((YEAR(Gastos!$A$2:$A$2500)=H$1)*(MONTH(Gastos!$A$2:$A$2500)=H$3)*(Gastos!$B$2:$B$2500=$A64)*(Gastos!$D$2:$D$2500))</f>
        <v>0</v>
      </c>
      <c r="I64" s="75">
        <f t="array" ref="I64">SUM((YEAR(Gastos!$A$2:$A$2500)=I$1)*(MONTH(Gastos!$A$2:$A$2500)=I$3)*(Gastos!$B$2:$B$2500=$A64)*(Gastos!$D$2:$D$2500))</f>
        <v>0</v>
      </c>
      <c r="J64" s="75">
        <f t="array" ref="J64">SUM((YEAR(Gastos!$A$2:$A$2500)=J$1)*(MONTH(Gastos!$A$2:$A$2500)=J$3)*(Gastos!$B$2:$B$2500=$A64)*(Gastos!$D$2:$D$2500))</f>
        <v>0</v>
      </c>
      <c r="K64" s="75">
        <f t="array" ref="K64">SUM((YEAR(Gastos!$A$2:$A$2500)=K$1)*(MONTH(Gastos!$A$2:$A$2500)=K$3)*(Gastos!$B$2:$B$2500=$A64)*(Gastos!$D$2:$D$2500))</f>
        <v>0</v>
      </c>
      <c r="L64" s="75">
        <f t="array" ref="L64">SUM((YEAR(Gastos!$A$2:$A$2500)=L$1)*(MONTH(Gastos!$A$2:$A$2500)=L$3)*(Gastos!$B$2:$B$2500=$A64)*(Gastos!$D$2:$D$2500))</f>
        <v>0</v>
      </c>
      <c r="M64" s="75">
        <f t="array" ref="M64">SUM((YEAR(Gastos!$A$2:$A$2500)=M$1)*(MONTH(Gastos!$A$2:$A$2500)=M$3)*(Gastos!$B$2:$B$2500=$A64)*(Gastos!$D$2:$D$2500))</f>
        <v>0</v>
      </c>
      <c r="N64" s="75">
        <f t="array" ref="N64">SUM((YEAR(Gastos!$A$2:$A$2500)=N$1)*(MONTH(Gastos!$A$2:$A$2500)=N$3)*(Gastos!$B$2:$B$2500=$A64)*(Gastos!$D$2:$D$2500))</f>
        <v>0</v>
      </c>
      <c r="O64" s="75">
        <f t="array" ref="O64">SUM((YEAR(Gastos!$A$2:$A$2500)=O$1)*(MONTH(Gastos!$A$2:$A$2500)=O$3)*(Gastos!$B$2:$B$2500=$A64)*(Gastos!$D$2:$D$2500))</f>
        <v>0</v>
      </c>
      <c r="P64" s="75">
        <f t="array" ref="P64">SUM((YEAR(Gastos!$A$2:$A$2500)=P$1)*(MONTH(Gastos!$A$2:$A$2500)=P$3)*(Gastos!$B$2:$B$2500=$A64)*(Gastos!$D$2:$D$2500))</f>
        <v>0</v>
      </c>
      <c r="Q64" s="75">
        <f t="array" ref="Q64">SUM((YEAR(Gastos!$A$2:$A$2500)=Q$1)*(MONTH(Gastos!$A$2:$A$2500)=Q$3)*(Gastos!$B$2:$B$2500=$A64)*(Gastos!$D$2:$D$2500))</f>
        <v>0</v>
      </c>
      <c r="R64" s="75">
        <f t="array" ref="R64">SUM((YEAR(Gastos!$A$2:$A$2500)=R$1)*(MONTH(Gastos!$A$2:$A$2500)=R$3)*(Gastos!$B$2:$B$2500=$A64)*(Gastos!$D$2:$D$2500))</f>
        <v>0</v>
      </c>
      <c r="S64" s="75">
        <f t="array" ref="S64">SUM((YEAR(Gastos!$A$2:$A$2500)=S$1)*(MONTH(Gastos!$A$2:$A$2500)=S$3)*(Gastos!$B$2:$B$2500=$A64)*(Gastos!$D$2:$D$2500))</f>
        <v>0</v>
      </c>
      <c r="T64" s="75">
        <f t="array" ref="T64">SUM((YEAR(Gastos!$A$2:$A$2500)=T$1)*(MONTH(Gastos!$A$2:$A$2500)=T$3)*(Gastos!$B$2:$B$2500=$A64)*(Gastos!$D$2:$D$2500))</f>
        <v>0</v>
      </c>
      <c r="U64" s="75">
        <f t="array" ref="U64">SUM((YEAR(Gastos!$A$2:$A$2500)=U$1)*(MONTH(Gastos!$A$2:$A$2500)=U$3)*(Gastos!$B$2:$B$2500=$A64)*(Gastos!$D$2:$D$2500))</f>
        <v>0</v>
      </c>
      <c r="V64" s="75">
        <f t="array" ref="V64">SUM((YEAR(Gastos!$A$2:$A$2500)=V$1)*(MONTH(Gastos!$A$2:$A$2500)=V$3)*(Gastos!$B$2:$B$2500=$A64)*(Gastos!$D$2:$D$2500))</f>
        <v>0</v>
      </c>
      <c r="W64" s="75">
        <f t="array" ref="W64">SUM((YEAR(Gastos!$A$2:$A$2500)=W$1)*(MONTH(Gastos!$A$2:$A$2500)=W$3)*(Gastos!$B$2:$B$2500=$A64)*(Gastos!$D$2:$D$2500))</f>
        <v>0</v>
      </c>
      <c r="X64" s="75">
        <f t="array" ref="X64">SUM((YEAR(Gastos!$A$2:$A$2500)=X$1)*(MONTH(Gastos!$A$2:$A$2500)=X$3)*(Gastos!$B$2:$B$2500=$A64)*(Gastos!$D$2:$D$2500))</f>
        <v>0</v>
      </c>
      <c r="Y64" s="75">
        <f t="array" ref="Y64">SUM((YEAR(Gastos!$A$2:$A$2500)=Y$1)*(MONTH(Gastos!$A$2:$A$2500)=Y$3)*(Gastos!$B$2:$B$2500=$A64)*(Gastos!$D$2:$D$2500))</f>
        <v>0</v>
      </c>
      <c r="Z64" s="75">
        <f t="array" ref="Z64">SUM((YEAR(Gastos!$A$2:$A$2500)=Z$1)*(MONTH(Gastos!$A$2:$A$2500)=Z$3)*(Gastos!$B$2:$B$2500=$A64)*(Gastos!$D$2:$D$2500))</f>
        <v>0</v>
      </c>
      <c r="AA64" s="75">
        <f t="array" ref="AA64">SUM((YEAR(Gastos!$A$2:$A$2500)=AA$1)*(MONTH(Gastos!$A$2:$A$2500)=AA$3)*(Gastos!$B$2:$B$2500=$A64)*(Gastos!$D$2:$D$2500))</f>
        <v>0</v>
      </c>
      <c r="AB64" s="75">
        <f t="array" ref="AB64">SUM((YEAR(Gastos!$A$2:$A$2500)=AB$1)*(MONTH(Gastos!$A$2:$A$2500)=AB$3)*(Gastos!$B$2:$B$2500=$A64)*(Gastos!$D$2:$D$2500))</f>
        <v>0</v>
      </c>
      <c r="AC64" s="75">
        <f t="array" ref="AC64">SUM((YEAR(Gastos!$A$2:$A$2500)=AC$1)*(MONTH(Gastos!$A$2:$A$2500)=AC$3)*(Gastos!$B$2:$B$2500=$A64)*(Gastos!$D$2:$D$2500))</f>
        <v>0</v>
      </c>
      <c r="AD64" s="75">
        <f t="array" ref="AD64">SUM((YEAR(Gastos!$A$2:$A$2500)=AD$1)*(MONTH(Gastos!$A$2:$A$2500)=AD$3)*(Gastos!$B$2:$B$2500=$A64)*(Gastos!$D$2:$D$2500))</f>
        <v>0</v>
      </c>
      <c r="AE64" s="75">
        <f t="array" ref="AE64">SUM((YEAR(Gastos!$A$2:$A$2500)=AE$1)*(MONTH(Gastos!$A$2:$A$2500)=AE$3)*(Gastos!$B$2:$B$2500=$A64)*(Gastos!$D$2:$D$2500))</f>
        <v>0</v>
      </c>
      <c r="AF64" s="75">
        <f t="array" ref="AF64">SUM((YEAR(Gastos!$A$2:$A$2500)=AF$1)*(MONTH(Gastos!$A$2:$A$2500)=AF$3)*(Gastos!$B$2:$B$2500=$A64)*(Gastos!$D$2:$D$2500))</f>
        <v>0</v>
      </c>
      <c r="AG64" s="75">
        <f t="array" ref="AG64">SUM((YEAR(Gastos!$A$2:$A$2500)=AG$1)*(MONTH(Gastos!$A$2:$A$2500)=AG$3)*(Gastos!$B$2:$B$2500=$A64)*(Gastos!$D$2:$D$2500))</f>
        <v>0</v>
      </c>
      <c r="AH64" s="75">
        <f t="array" ref="AH64">SUM((YEAR(Gastos!$A$2:$A$2500)=AH$1)*(MONTH(Gastos!$A$2:$A$2500)=AH$3)*(Gastos!$B$2:$B$2500=$A64)*(Gastos!$D$2:$D$2500))</f>
        <v>0</v>
      </c>
      <c r="AI64" s="75">
        <f t="array" ref="AI64">SUM((YEAR(Gastos!$A$2:$A$2500)=AI$1)*(MONTH(Gastos!$A$2:$A$2500)=AI$3)*(Gastos!$B$2:$B$2500=$A64)*(Gastos!$D$2:$D$2500))</f>
        <v>0</v>
      </c>
      <c r="AJ64" s="75">
        <f t="array" ref="AJ64">SUM((YEAR(Gastos!$A$2:$A$2500)=AJ$1)*(MONTH(Gastos!$A$2:$A$2500)=AJ$3)*(Gastos!$B$2:$B$2500=$A64)*(Gastos!$D$2:$D$2500))</f>
        <v>0</v>
      </c>
      <c r="AK64" s="75">
        <f t="array" ref="AK64">SUM((YEAR(Gastos!$A$2:$A$2500)=AK$1)*(MONTH(Gastos!$A$2:$A$2500)=AK$3)*(Gastos!$B$2:$B$2500=$A64)*(Gastos!$D$2:$D$2500))</f>
        <v>0</v>
      </c>
      <c r="AL64" s="75">
        <f t="array" ref="AL64">SUM((YEAR(Gastos!$A$2:$A$2500)=AL$1)*(MONTH(Gastos!$A$2:$A$2500)=AL$3)*(Gastos!$B$2:$B$2500=$A64)*(Gastos!$D$2:$D$2500))</f>
        <v>0</v>
      </c>
      <c r="AM64" s="75">
        <f t="array" ref="AM64">SUM((YEAR(Gastos!$A$2:$A$2500)=AM$1)*(MONTH(Gastos!$A$2:$A$2500)=AM$3)*(Gastos!$B$2:$B$2500=$A64)*(Gastos!$D$2:$D$2500))</f>
        <v>0</v>
      </c>
      <c r="AN64" s="75">
        <f t="array" ref="AN64">SUM((YEAR(Gastos!$A$2:$A$2500)=AN$1)*(MONTH(Gastos!$A$2:$A$2500)=AN$3)*(Gastos!$B$2:$B$2500=$A64)*(Gastos!$D$2:$D$2500))</f>
        <v>0</v>
      </c>
      <c r="AO64" s="75">
        <f t="array" ref="AO64">SUM((YEAR(Gastos!$A$2:$A$2500)=AO$1)*(MONTH(Gastos!$A$2:$A$2500)=AO$3)*(Gastos!$B$2:$B$2500=$A64)*(Gastos!$D$2:$D$2500))</f>
        <v>0</v>
      </c>
      <c r="AP64" s="75">
        <f t="array" ref="AP64">SUM((YEAR(Gastos!$A$2:$A$2500)=AP$1)*(MONTH(Gastos!$A$2:$A$2500)=AP$3)*(Gastos!$B$2:$B$2500=$A64)*(Gastos!$D$2:$D$2500))</f>
        <v>0</v>
      </c>
      <c r="AQ64" s="75">
        <f t="array" ref="AQ64">SUM((YEAR(Gastos!$A$2:$A$2500)=AQ$1)*(MONTH(Gastos!$A$2:$A$2500)=AQ$3)*(Gastos!$B$2:$B$2500=$A64)*(Gastos!$D$2:$D$2500))</f>
        <v>0</v>
      </c>
      <c r="AR64" s="75">
        <f t="array" ref="AR64">SUM((YEAR(Gastos!$A$2:$A$2500)=AR$1)*(MONTH(Gastos!$A$2:$A$2500)=AR$3)*(Gastos!$B$2:$B$2500=$A64)*(Gastos!$D$2:$D$2500))</f>
        <v>0</v>
      </c>
      <c r="AS64" s="75">
        <f t="array" ref="AS64">SUM((YEAR(Gastos!$A$2:$A$2500)=AS$1)*(MONTH(Gastos!$A$2:$A$2500)=AS$3)*(Gastos!$B$2:$B$2500=$A64)*(Gastos!$D$2:$D$2500))</f>
        <v>0</v>
      </c>
      <c r="AT64" s="75">
        <f t="array" ref="AT64">SUM((YEAR(Gastos!$A$2:$A$2500)=AT$1)*(MONTH(Gastos!$A$2:$A$2500)=AT$3)*(Gastos!$B$2:$B$2500=$A64)*(Gastos!$D$2:$D$2500))</f>
        <v>0</v>
      </c>
      <c r="AU64" s="75">
        <f t="array" ref="AU64">SUM((YEAR(Gastos!$A$2:$A$2500)=AU$1)*(MONTH(Gastos!$A$2:$A$2500)=AU$3)*(Gastos!$B$2:$B$2500=$A64)*(Gastos!$D$2:$D$2500))</f>
        <v>0</v>
      </c>
      <c r="AV64" s="75">
        <f t="array" ref="AV64">SUM((YEAR(Gastos!$A$2:$A$2500)=AV$1)*(MONTH(Gastos!$A$2:$A$2500)=AV$3)*(Gastos!$B$2:$B$2500=$A64)*(Gastos!$D$2:$D$2500))</f>
        <v>0</v>
      </c>
      <c r="AW64" s="75">
        <f t="array" ref="AW64">SUM((YEAR(Gastos!$A$2:$A$2500)=AW$1)*(MONTH(Gastos!$A$2:$A$2500)=AW$3)*(Gastos!$B$2:$B$2500=$A64)*(Gastos!$D$2:$D$2500))</f>
        <v>0</v>
      </c>
      <c r="AX64" s="75">
        <f t="array" ref="AX64">SUM((YEAR(Gastos!$A$2:$A$2500)=AX$1)*(MONTH(Gastos!$A$2:$A$2500)=AX$3)*(Gastos!$B$2:$B$2500=$A64)*(Gastos!$D$2:$D$2500))</f>
        <v>0</v>
      </c>
      <c r="AY64" s="75">
        <f t="array" ref="AY64">SUM((YEAR(Gastos!$A$2:$A$2500)=AY$1)*(MONTH(Gastos!$A$2:$A$2500)=AY$3)*(Gastos!$B$2:$B$2500=$A64)*(Gastos!$D$2:$D$2500))</f>
        <v>0</v>
      </c>
      <c r="AZ64" s="75">
        <f t="array" ref="AZ64">SUM((YEAR(Gastos!$A$2:$A$2500)=AZ$1)*(MONTH(Gastos!$A$2:$A$2500)=AZ$3)*(Gastos!$B$2:$B$2500=$A64)*(Gastos!$D$2:$D$2500))</f>
        <v>0</v>
      </c>
      <c r="BA64" s="75">
        <f t="array" ref="BA64">SUM((YEAR(Gastos!$A$2:$A$2500)=BA$1)*(MONTH(Gastos!$A$2:$A$2500)=BA$3)*(Gastos!$B$2:$B$2500=$A64)*(Gastos!$D$2:$D$2500))</f>
        <v>0</v>
      </c>
      <c r="BB64" s="75">
        <f t="array" ref="BB64">SUM((YEAR(Gastos!$A$2:$A$2500)=BB$1)*(MONTH(Gastos!$A$2:$A$2500)=BB$3)*(Gastos!$B$2:$B$2500=$A64)*(Gastos!$D$2:$D$2500))</f>
        <v>0</v>
      </c>
      <c r="BC64" s="75">
        <f t="array" ref="BC64">SUM((YEAR(Gastos!$A$2:$A$2500)=BC$1)*(MONTH(Gastos!$A$2:$A$2500)=BC$3)*(Gastos!$B$2:$B$2500=$A64)*(Gastos!$D$2:$D$2500))</f>
        <v>0</v>
      </c>
      <c r="BD64" s="75">
        <f t="array" ref="BD64">SUM((YEAR(Gastos!$A$2:$A$2500)=BD$1)*(MONTH(Gastos!$A$2:$A$2500)=BD$3)*(Gastos!$B$2:$B$2500=$A64)*(Gastos!$D$2:$D$2500))</f>
        <v>0</v>
      </c>
      <c r="BE64" s="75">
        <f t="array" ref="BE64">SUM((YEAR(Gastos!$A$2:$A$2500)=BE$1)*(MONTH(Gastos!$A$2:$A$2500)=BE$3)*(Gastos!$B$2:$B$2500=$A64)*(Gastos!$D$2:$D$2500))</f>
        <v>0</v>
      </c>
      <c r="BF64" s="75">
        <f t="array" ref="BF64">SUM((YEAR(Gastos!$A$2:$A$2500)=BF$1)*(MONTH(Gastos!$A$2:$A$2500)=BF$3)*(Gastos!$B$2:$B$2500=$A64)*(Gastos!$D$2:$D$2500))</f>
        <v>0</v>
      </c>
      <c r="BG64" s="75">
        <f t="array" ref="BG64">SUM((YEAR(Gastos!$A$2:$A$2500)=BG$1)*(MONTH(Gastos!$A$2:$A$2500)=BG$3)*(Gastos!$B$2:$B$2500=$A64)*(Gastos!$D$2:$D$2500))</f>
        <v>0</v>
      </c>
      <c r="BH64" s="75">
        <f t="array" ref="BH64">SUM((YEAR(Gastos!$A$2:$A$2500)=BH$1)*(MONTH(Gastos!$A$2:$A$2500)=BH$3)*(Gastos!$B$2:$B$2500=$A64)*(Gastos!$D$2:$D$2500))</f>
        <v>0</v>
      </c>
      <c r="BI64" s="75">
        <f t="array" ref="BI64">SUM((YEAR(Gastos!$A$2:$A$2500)=BI$1)*(MONTH(Gastos!$A$2:$A$2500)=BI$3)*(Gastos!$B$2:$B$2500=$A64)*(Gastos!$D$2:$D$2500))</f>
        <v>0</v>
      </c>
      <c r="BJ64" s="75">
        <f t="array" ref="BJ64">SUM((YEAR(Gastos!$A$2:$A$2500)=BJ$1)*(MONTH(Gastos!$A$2:$A$2500)=BJ$3)*(Gastos!$B$2:$B$2500=$A64)*(Gastos!$D$2:$D$2500))</f>
        <v>0</v>
      </c>
      <c r="BK64" s="75">
        <f t="array" ref="BK64">SUM((YEAR(Gastos!$A$2:$A$2500)=BK$1)*(MONTH(Gastos!$A$2:$A$2500)=BK$3)*(Gastos!$B$2:$B$2500=$A64)*(Gastos!$D$2:$D$2500))</f>
        <v>0</v>
      </c>
      <c r="BL64" s="75">
        <f t="array" ref="BL64">SUM((YEAR(Gastos!$A$2:$A$2500)=BL$1)*(MONTH(Gastos!$A$2:$A$2500)=BL$3)*(Gastos!$B$2:$B$2500=$A64)*(Gastos!$D$2:$D$2500))</f>
        <v>0</v>
      </c>
      <c r="BM64" s="75">
        <f t="array" ref="BM64">SUM((YEAR(Gastos!$A$2:$A$2500)=BM$1)*(MONTH(Gastos!$A$2:$A$2500)=BM$3)*(Gastos!$B$2:$B$2500=$A64)*(Gastos!$D$2:$D$2500))</f>
        <v>0</v>
      </c>
      <c r="BN64" s="75">
        <f t="array" ref="BN64">SUM((YEAR(Gastos!$A$2:$A$2500)=BN$1)*(MONTH(Gastos!$A$2:$A$2500)=BN$3)*(Gastos!$B$2:$B$2500=$A64)*(Gastos!$D$2:$D$2500))</f>
        <v>0</v>
      </c>
      <c r="BO64" s="75">
        <f t="array" ref="BO64">SUM((YEAR(Gastos!$A$2:$A$2500)=BO$1)*(MONTH(Gastos!$A$2:$A$2500)=BO$3)*(Gastos!$B$2:$B$2500=$A64)*(Gastos!$D$2:$D$2500))</f>
        <v>0</v>
      </c>
      <c r="BP64" s="75">
        <f t="array" ref="BP64">SUM((YEAR(Gastos!$A$2:$A$2500)=BP$1)*(MONTH(Gastos!$A$2:$A$2500)=BP$3)*(Gastos!$B$2:$B$2500=$A64)*(Gastos!$D$2:$D$2500))</f>
        <v>0</v>
      </c>
      <c r="BQ64" s="75">
        <f t="array" ref="BQ64">SUM((YEAR(Gastos!$A$2:$A$2500)=BQ$1)*(MONTH(Gastos!$A$2:$A$2500)=BQ$3)*(Gastos!$B$2:$B$2500=$A64)*(Gastos!$D$2:$D$2500))</f>
        <v>0</v>
      </c>
      <c r="BR64" s="75">
        <f t="array" ref="BR64">SUM((YEAR(Gastos!$A$2:$A$2500)=BR$1)*(MONTH(Gastos!$A$2:$A$2500)=BR$3)*(Gastos!$B$2:$B$2500=$A64)*(Gastos!$D$2:$D$2500))</f>
        <v>0</v>
      </c>
      <c r="BS64" s="75">
        <f t="array" ref="BS64">SUM((YEAR(Gastos!$A$2:$A$2500)=BS$1)*(MONTH(Gastos!$A$2:$A$2500)=BS$3)*(Gastos!$B$2:$B$2500=$A64)*(Gastos!$D$2:$D$2500))</f>
        <v>0</v>
      </c>
      <c r="BT64" s="75">
        <f t="array" ref="BT64">SUM((YEAR(Gastos!$A$2:$A$2500)=BT$1)*(MONTH(Gastos!$A$2:$A$2500)=BT$3)*(Gastos!$B$2:$B$2500=$A64)*(Gastos!$D$2:$D$2500))</f>
        <v>0</v>
      </c>
      <c r="BU64" s="75">
        <f t="array" ref="BU64">SUM((YEAR(Gastos!$A$2:$A$2500)=BU$1)*(MONTH(Gastos!$A$2:$A$2500)=BU$3)*(Gastos!$B$2:$B$2500=$A64)*(Gastos!$D$2:$D$2500))</f>
        <v>0</v>
      </c>
      <c r="BV64" s="75">
        <f t="array" ref="BV64">SUM((YEAR(Gastos!$A$2:$A$2500)=BV$1)*(MONTH(Gastos!$A$2:$A$2500)=BV$3)*(Gastos!$B$2:$B$2500=$A64)*(Gastos!$D$2:$D$2500))</f>
        <v>0</v>
      </c>
      <c r="BW64" s="75">
        <f t="array" ref="BW64">SUM((YEAR(Gastos!$A$2:$A$2500)=BW$1)*(MONTH(Gastos!$A$2:$A$2500)=BW$3)*(Gastos!$B$2:$B$2500=$A64)*(Gastos!$D$2:$D$2500))</f>
        <v>0</v>
      </c>
      <c r="BX64" s="75">
        <f t="array" ref="BX64">SUM((YEAR(Gastos!$A$2:$A$2500)=BX$1)*(MONTH(Gastos!$A$2:$A$2500)=BX$3)*(Gastos!$B$2:$B$2500=$A64)*(Gastos!$D$2:$D$2500))</f>
        <v>0</v>
      </c>
      <c r="BY64" s="75">
        <f t="array" ref="BY64">SUM((YEAR(Gastos!$A$2:$A$2500)=BY$1)*(MONTH(Gastos!$A$2:$A$2500)=BY$3)*(Gastos!$B$2:$B$2500=$A64)*(Gastos!$D$2:$D$2500))</f>
        <v>0</v>
      </c>
      <c r="BZ64" s="75">
        <f t="array" ref="BZ64">SUM((YEAR(Gastos!$A$2:$A$2500)=BZ$1)*(MONTH(Gastos!$A$2:$A$2500)=BZ$3)*(Gastos!$B$2:$B$2500=$A64)*(Gastos!$D$2:$D$2500))</f>
        <v>0</v>
      </c>
      <c r="CA64" s="75">
        <f t="array" ref="CA64">SUM((YEAR(Gastos!$A$2:$A$2500)=CA$1)*(MONTH(Gastos!$A$2:$A$2500)=CA$3)*(Gastos!$B$2:$B$2500=$A64)*(Gastos!$D$2:$D$2500))</f>
        <v>0</v>
      </c>
      <c r="CB64" s="75">
        <f t="array" ref="CB64">SUM((YEAR(Gastos!$A$2:$A$2500)=CB$1)*(MONTH(Gastos!$A$2:$A$2500)=CB$3)*(Gastos!$B$2:$B$2500=$A64)*(Gastos!$D$2:$D$2500))</f>
        <v>0</v>
      </c>
      <c r="CC64" s="75">
        <f t="array" ref="CC64">SUM((YEAR(Gastos!$A$2:$A$2500)=CC$1)*(MONTH(Gastos!$A$2:$A$2500)=CC$3)*(Gastos!$B$2:$B$2500=$A64)*(Gastos!$D$2:$D$2500))</f>
        <v>0</v>
      </c>
      <c r="CD64" s="75">
        <f t="array" ref="CD64">SUM((YEAR(Gastos!$A$2:$A$2500)=CD$1)*(MONTH(Gastos!$A$2:$A$2500)=CD$3)*(Gastos!$B$2:$B$2500=$A64)*(Gastos!$D$2:$D$2500))</f>
        <v>0</v>
      </c>
      <c r="CE64" s="75">
        <f t="array" ref="CE64">SUM((YEAR(Gastos!$A$2:$A$2500)=CE$1)*(MONTH(Gastos!$A$2:$A$2500)=CE$3)*(Gastos!$B$2:$B$2500=$A64)*(Gastos!$D$2:$D$2500))</f>
        <v>0</v>
      </c>
      <c r="CF64" s="75">
        <f t="array" ref="CF64">SUM((YEAR(Gastos!$A$2:$A$2500)=CF$1)*(MONTH(Gastos!$A$2:$A$2500)=CF$3)*(Gastos!$B$2:$B$2500=$A64)*(Gastos!$D$2:$D$2500))</f>
        <v>0</v>
      </c>
      <c r="CG64" s="75">
        <f t="array" ref="CG64">SUM((YEAR(Gastos!$A$2:$A$2500)=CG$1)*(MONTH(Gastos!$A$2:$A$2500)=CG$3)*(Gastos!$B$2:$B$2500=$A64)*(Gastos!$D$2:$D$2500))</f>
        <v>0</v>
      </c>
      <c r="CH64" s="75">
        <f t="array" ref="CH64">SUM((YEAR(Gastos!$A$2:$A$2500)=CH$1)*(MONTH(Gastos!$A$2:$A$2500)=CH$3)*(Gastos!$B$2:$B$2500=$A64)*(Gastos!$D$2:$D$2500))</f>
        <v>0</v>
      </c>
      <c r="CI64" s="75">
        <f t="array" ref="CI64">SUM((YEAR(Gastos!$A$2:$A$2500)=CI$1)*(MONTH(Gastos!$A$2:$A$2500)=CI$3)*(Gastos!$B$2:$B$2500=$A64)*(Gastos!$D$2:$D$2500))</f>
        <v>0</v>
      </c>
      <c r="CJ64" s="75">
        <f t="array" ref="CJ64">SUM((YEAR(Gastos!$A$2:$A$2500)=CJ$1)*(MONTH(Gastos!$A$2:$A$2500)=CJ$3)*(Gastos!$B$2:$B$2500=$A64)*(Gastos!$D$2:$D$2500))</f>
        <v>0</v>
      </c>
      <c r="CK64" s="75">
        <f t="array" ref="CK64">SUM((YEAR(Gastos!$A$2:$A$2500)=CK$1)*(MONTH(Gastos!$A$2:$A$2500)=CK$3)*(Gastos!$B$2:$B$2500=$A64)*(Gastos!$D$2:$D$2500))</f>
        <v>0</v>
      </c>
      <c r="CL64" s="75">
        <f t="array" ref="CL64">SUM((YEAR(Gastos!$A$2:$A$2500)=CL$1)*(MONTH(Gastos!$A$2:$A$2500)=CL$3)*(Gastos!$B$2:$B$2500=$A64)*(Gastos!$D$2:$D$2500))</f>
        <v>0</v>
      </c>
      <c r="CM64" s="75">
        <f t="array" ref="CM64">SUM((YEAR(Gastos!$A$2:$A$2500)=CM$1)*(MONTH(Gastos!$A$2:$A$2500)=CM$3)*(Gastos!$B$2:$B$2500=$A64)*(Gastos!$D$2:$D$2500))</f>
        <v>0</v>
      </c>
      <c r="CN64" s="75">
        <f t="array" ref="CN64">SUM((YEAR(Gastos!$A$2:$A$2500)=CN$1)*(MONTH(Gastos!$A$2:$A$2500)=CN$3)*(Gastos!$B$2:$B$2500=$A64)*(Gastos!$D$2:$D$2500))</f>
        <v>0</v>
      </c>
      <c r="CO64" s="75">
        <f t="array" ref="CO64">SUM((YEAR(Gastos!$A$2:$A$2500)=CO$1)*(MONTH(Gastos!$A$2:$A$2500)=CO$3)*(Gastos!$B$2:$B$2500=$A64)*(Gastos!$D$2:$D$2500))</f>
        <v>0</v>
      </c>
      <c r="CP64" s="75">
        <f t="array" ref="CP64">SUM((YEAR(Gastos!$A$2:$A$2500)=CP$1)*(MONTH(Gastos!$A$2:$A$2500)=CP$3)*(Gastos!$B$2:$B$2500=$A64)*(Gastos!$D$2:$D$2500))</f>
        <v>0</v>
      </c>
      <c r="CQ64" s="75">
        <f t="array" ref="CQ64">SUM((YEAR(Gastos!$A$2:$A$2500)=CQ$1)*(MONTH(Gastos!$A$2:$A$2500)=CQ$3)*(Gastos!$B$2:$B$2500=$A64)*(Gastos!$D$2:$D$2500))</f>
        <v>0</v>
      </c>
      <c r="CR64" s="75">
        <f t="array" ref="CR64">SUM((YEAR(Gastos!$A$2:$A$2500)=CR$1)*(MONTH(Gastos!$A$2:$A$2500)=CR$3)*(Gastos!$B$2:$B$2500=$A64)*(Gastos!$D$2:$D$2500))</f>
        <v>0</v>
      </c>
      <c r="CS64" s="75">
        <f t="array" ref="CS64">SUM((YEAR(Gastos!$A$2:$A$2500)=CS$1)*(MONTH(Gastos!$A$2:$A$2500)=CS$3)*(Gastos!$B$2:$B$2500=$A64)*(Gastos!$D$2:$D$2500))</f>
        <v>0</v>
      </c>
      <c r="CT64" s="75">
        <f t="array" ref="CT64">SUM((YEAR(Gastos!$A$2:$A$2500)=CT$1)*(MONTH(Gastos!$A$2:$A$2500)=CT$3)*(Gastos!$B$2:$B$2500=$A64)*(Gastos!$D$2:$D$2500))</f>
        <v>0</v>
      </c>
      <c r="CU64" s="75">
        <f t="array" ref="CU64">SUM((YEAR(Gastos!$A$2:$A$2500)=CU$1)*(MONTH(Gastos!$A$2:$A$2500)=CU$3)*(Gastos!$B$2:$B$2500=$A64)*(Gastos!$D$2:$D$2500))</f>
        <v>0</v>
      </c>
      <c r="CV64" s="75">
        <f t="array" ref="CV64">SUM((YEAR(Gastos!$A$2:$A$2500)=CV$1)*(MONTH(Gastos!$A$2:$A$2500)=CV$3)*(Gastos!$B$2:$B$2500=$A64)*(Gastos!$D$2:$D$2500))</f>
        <v>0</v>
      </c>
      <c r="CW64" s="75">
        <f t="array" ref="CW64">SUM((YEAR(Gastos!$A$2:$A$2500)=CW$1)*(MONTH(Gastos!$A$2:$A$2500)=CW$3)*(Gastos!$B$2:$B$2500=$A64)*(Gastos!$D$2:$D$2500))</f>
        <v>0</v>
      </c>
      <c r="CX64" s="75">
        <f t="array" ref="CX64">SUM((YEAR(Gastos!$A$2:$A$2500)=CX$1)*(MONTH(Gastos!$A$2:$A$2500)=CX$3)*(Gastos!$B$2:$B$2500=$A64)*(Gastos!$D$2:$D$2500))</f>
        <v>0</v>
      </c>
      <c r="CY64" s="75">
        <f t="array" ref="CY64">SUM((YEAR(Gastos!$A$2:$A$2500)=CY$1)*(MONTH(Gastos!$A$2:$A$2500)=CY$3)*(Gastos!$B$2:$B$2500=$A64)*(Gastos!$D$2:$D$2500))</f>
        <v>0</v>
      </c>
      <c r="CZ64" s="75">
        <f t="array" ref="CZ64">SUM((YEAR(Gastos!$A$2:$A$2500)=CZ$1)*(MONTH(Gastos!$A$2:$A$2500)=CZ$3)*(Gastos!$B$2:$B$2500=$A64)*(Gastos!$D$2:$D$2500))</f>
        <v>0</v>
      </c>
      <c r="DA64" s="75">
        <f t="array" ref="DA64">SUM((YEAR(Gastos!$A$2:$A$2500)=DA$1)*(MONTH(Gastos!$A$2:$A$2500)=DA$3)*(Gastos!$B$2:$B$2500=$A64)*(Gastos!$D$2:$D$2500))</f>
        <v>0</v>
      </c>
      <c r="DB64" s="75">
        <f t="array" ref="DB64">SUM((YEAR(Gastos!$A$2:$A$2500)=DB$1)*(MONTH(Gastos!$A$2:$A$2500)=DB$3)*(Gastos!$B$2:$B$2500=$A64)*(Gastos!$D$2:$D$2500))</f>
        <v>0</v>
      </c>
      <c r="DC64" s="75">
        <f t="array" ref="DC64">SUM((YEAR(Gastos!$A$2:$A$2500)=DC$1)*(MONTH(Gastos!$A$2:$A$2500)=DC$3)*(Gastos!$B$2:$B$2500=$A64)*(Gastos!$D$2:$D$2500))</f>
        <v>0</v>
      </c>
      <c r="DD64" s="75">
        <f t="array" ref="DD64">SUM((YEAR(Gastos!$A$2:$A$2500)=DD$1)*(MONTH(Gastos!$A$2:$A$2500)=DD$3)*(Gastos!$B$2:$B$2500=$A64)*(Gastos!$D$2:$D$2500))</f>
        <v>0</v>
      </c>
      <c r="DE64" s="75">
        <f t="array" ref="DE64">SUM((YEAR(Gastos!$A$2:$A$2500)=DE$1)*(MONTH(Gastos!$A$2:$A$2500)=DE$3)*(Gastos!$B$2:$B$2500=$A64)*(Gastos!$D$2:$D$2500))</f>
        <v>0</v>
      </c>
      <c r="DF64" s="75">
        <f t="array" ref="DF64">SUM((YEAR(Gastos!$A$2:$A$2500)=DF$1)*(MONTH(Gastos!$A$2:$A$2500)=DF$3)*(Gastos!$B$2:$B$2500=$A64)*(Gastos!$D$2:$D$2500))</f>
        <v>0</v>
      </c>
      <c r="DG64" s="75">
        <f t="array" ref="DG64">SUM((YEAR(Gastos!$A$2:$A$2500)=DG$1)*(MONTH(Gastos!$A$2:$A$2500)=DG$3)*(Gastos!$B$2:$B$2500=$A64)*(Gastos!$D$2:$D$2500))</f>
        <v>0</v>
      </c>
      <c r="DH64" s="75">
        <f t="array" ref="DH64">SUM((YEAR(Gastos!$A$2:$A$2500)=DH$1)*(MONTH(Gastos!$A$2:$A$2500)=DH$3)*(Gastos!$B$2:$B$2500=$A64)*(Gastos!$D$2:$D$2500))</f>
        <v>0</v>
      </c>
      <c r="DI64" s="75">
        <f t="array" ref="DI64">SUM((YEAR(Gastos!$A$2:$A$2500)=DI$1)*(MONTH(Gastos!$A$2:$A$2500)=DI$3)*(Gastos!$B$2:$B$2500=$A64)*(Gastos!$D$2:$D$2500))</f>
        <v>0</v>
      </c>
      <c r="DJ64" s="75">
        <f t="array" ref="DJ64">SUM((YEAR(Gastos!$A$2:$A$2500)=DJ$1)*(MONTH(Gastos!$A$2:$A$2500)=DJ$3)*(Gastos!$B$2:$B$2500=$A64)*(Gastos!$D$2:$D$2500))</f>
        <v>0</v>
      </c>
      <c r="DK64" s="75">
        <f t="array" ref="DK64">SUM((YEAR(Gastos!$A$2:$A$2500)=DK$1)*(MONTH(Gastos!$A$2:$A$2500)=DK$3)*(Gastos!$B$2:$B$2500=$A64)*(Gastos!$D$2:$D$2500))</f>
        <v>0</v>
      </c>
      <c r="DL64" s="75">
        <f t="array" ref="DL64">SUM((YEAR(Gastos!$A$2:$A$2500)=DL$1)*(MONTH(Gastos!$A$2:$A$2500)=DL$3)*(Gastos!$B$2:$B$2500=$A64)*(Gastos!$D$2:$D$2500))</f>
        <v>0</v>
      </c>
      <c r="DM64" s="75">
        <f t="array" ref="DM64">SUM((YEAR(Gastos!$A$2:$A$2500)=DM$1)*(MONTH(Gastos!$A$2:$A$2500)=DM$3)*(Gastos!$B$2:$B$2500=$A64)*(Gastos!$D$2:$D$2500))</f>
        <v>0</v>
      </c>
      <c r="DN64" s="75">
        <f t="array" ref="DN64">SUM((YEAR(Gastos!$A$2:$A$2500)=DN$1)*(MONTH(Gastos!$A$2:$A$2500)=DN$3)*(Gastos!$B$2:$B$2500=$A64)*(Gastos!$D$2:$D$2500))</f>
        <v>0</v>
      </c>
      <c r="DO64" s="75">
        <f t="array" ref="DO64">SUM((YEAR(Gastos!$A$2:$A$2500)=DO$1)*(MONTH(Gastos!$A$2:$A$2500)=DO$3)*(Gastos!$B$2:$B$2500=$A64)*(Gastos!$D$2:$D$2500))</f>
        <v>0</v>
      </c>
      <c r="DP64" s="75">
        <f t="array" ref="DP64">SUM((YEAR(Gastos!$A$2:$A$2500)=DP$1)*(MONTH(Gastos!$A$2:$A$2500)=DP$3)*(Gastos!$B$2:$B$2500=$A64)*(Gastos!$D$2:$D$2500))</f>
        <v>0</v>
      </c>
      <c r="DQ64" s="75">
        <f t="array" ref="DQ64">SUM((YEAR(Gastos!$A$2:$A$2500)=DQ$1)*(MONTH(Gastos!$A$2:$A$2500)=DQ$3)*(Gastos!$B$2:$B$2500=$A64)*(Gastos!$D$2:$D$2500))</f>
        <v>0</v>
      </c>
      <c r="DR64" s="75">
        <f t="array" ref="DR64">SUM((YEAR(Gastos!$A$2:$A$2500)=DR$1)*(MONTH(Gastos!$A$2:$A$2500)=DR$3)*(Gastos!$B$2:$B$2500=$A64)*(Gastos!$D$2:$D$2500))</f>
        <v>0</v>
      </c>
      <c r="DS64" s="75">
        <f t="array" ref="DS64">SUM((YEAR(Gastos!$A$2:$A$2500)=DS$1)*(MONTH(Gastos!$A$2:$A$2500)=DS$3)*(Gastos!$B$2:$B$2500=$A64)*(Gastos!$D$2:$D$2500))</f>
        <v>0</v>
      </c>
      <c r="DT64" s="75">
        <f t="array" ref="DT64">SUM((YEAR(Gastos!$A$2:$A$2500)=DT$1)*(MONTH(Gastos!$A$2:$A$2500)=DT$3)*(Gastos!$B$2:$B$2500=$A64)*(Gastos!$D$2:$D$2500))</f>
        <v>0</v>
      </c>
      <c r="DU64" s="75">
        <f t="array" ref="DU64">SUM((YEAR(Gastos!$A$2:$A$2500)=DU$1)*(MONTH(Gastos!$A$2:$A$2500)=DU$3)*(Gastos!$B$2:$B$2500=$A64)*(Gastos!$D$2:$D$2500))</f>
        <v>0</v>
      </c>
      <c r="DV64" s="75">
        <f t="array" ref="DV64">SUM((YEAR(Gastos!$A$2:$A$2500)=DV$1)*(MONTH(Gastos!$A$2:$A$2500)=DV$3)*(Gastos!$B$2:$B$2500=$A64)*(Gastos!$D$2:$D$2500))</f>
        <v>0</v>
      </c>
      <c r="DW64" s="75">
        <f t="array" ref="DW64">SUM((YEAR(Gastos!$A$2:$A$2500)=DW$1)*(MONTH(Gastos!$A$2:$A$2500)=DW$3)*(Gastos!$B$2:$B$2500=$A64)*(Gastos!$D$2:$D$2500))</f>
        <v>0</v>
      </c>
      <c r="DX64" s="75">
        <f t="array" ref="DX64">SUM((YEAR(Gastos!$A$2:$A$2500)=DX$1)*(MONTH(Gastos!$A$2:$A$2500)=DX$3)*(Gastos!$B$2:$B$2500=$A64)*(Gastos!$D$2:$D$2500))</f>
        <v>0</v>
      </c>
      <c r="DY64" s="75">
        <f t="array" ref="DY64">SUM((YEAR(Gastos!$A$2:$A$2500)=DY$1)*(MONTH(Gastos!$A$2:$A$2500)=DY$3)*(Gastos!$B$2:$B$2500=$A64)*(Gastos!$D$2:$D$2500))</f>
        <v>0</v>
      </c>
      <c r="DZ64" s="75">
        <f t="array" ref="DZ64">SUM((YEAR(Gastos!$A$2:$A$2500)=DZ$1)*(MONTH(Gastos!$A$2:$A$2500)=DZ$3)*(Gastos!$B$2:$B$2500=$A64)*(Gastos!$D$2:$D$2500))</f>
        <v>0</v>
      </c>
      <c r="EA64" s="75">
        <f t="array" ref="EA64">SUM((YEAR(Gastos!$A$2:$A$2500)=EA$1)*(MONTH(Gastos!$A$2:$A$2500)=EA$3)*(Gastos!$B$2:$B$2500=$A64)*(Gastos!$D$2:$D$2500))</f>
        <v>0</v>
      </c>
      <c r="EB64" s="75">
        <f t="array" ref="EB64">SUM((YEAR(Gastos!$A$2:$A$2500)=EB$1)*(MONTH(Gastos!$A$2:$A$2500)=EB$3)*(Gastos!$B$2:$B$2500=$A64)*(Gastos!$D$2:$D$2500))</f>
        <v>0</v>
      </c>
      <c r="EC64" s="75">
        <f t="array" ref="EC64">SUM((YEAR(Gastos!$A$2:$A$2500)=EC$1)*(MONTH(Gastos!$A$2:$A$2500)=EC$3)*(Gastos!$B$2:$B$2500=$A64)*(Gastos!$D$2:$D$2500))</f>
        <v>0</v>
      </c>
      <c r="ED64" s="75">
        <f t="array" ref="ED64">SUM((YEAR(Gastos!$A$2:$A$2500)=ED$1)*(MONTH(Gastos!$A$2:$A$2500)=ED$3)*(Gastos!$B$2:$B$2500=$A64)*(Gastos!$D$2:$D$2500))</f>
        <v>0</v>
      </c>
      <c r="EE64" s="75">
        <f t="array" ref="EE64">SUM((YEAR(Gastos!$A$2:$A$2500)=EE$1)*(MONTH(Gastos!$A$2:$A$2500)=EE$3)*(Gastos!$B$2:$B$2500=$A64)*(Gastos!$D$2:$D$2500))</f>
        <v>0</v>
      </c>
      <c r="EF64" s="75">
        <f t="array" ref="EF64">SUM((YEAR(Gastos!$A$2:$A$2500)=EF$1)*(MONTH(Gastos!$A$2:$A$2500)=EF$3)*(Gastos!$B$2:$B$2500=$A64)*(Gastos!$D$2:$D$2500))</f>
        <v>0</v>
      </c>
      <c r="EG64" s="75">
        <f t="array" ref="EG64">SUM((YEAR(Gastos!$A$2:$A$2500)=EG$1)*(MONTH(Gastos!$A$2:$A$2500)=EG$3)*(Gastos!$B$2:$B$2500=$A64)*(Gastos!$D$2:$D$2500))</f>
        <v>0</v>
      </c>
      <c r="EH64" s="75">
        <f t="array" ref="EH64">SUM((YEAR(Gastos!$A$2:$A$2500)=EH$1)*(MONTH(Gastos!$A$2:$A$2500)=EH$3)*(Gastos!$B$2:$B$2500=$A64)*(Gastos!$D$2:$D$2500))</f>
        <v>0</v>
      </c>
      <c r="EI64" s="75">
        <f t="array" ref="EI64">SUM((YEAR(Gastos!$A$2:$A$2500)=EI$1)*(MONTH(Gastos!$A$2:$A$2500)=EI$3)*(Gastos!$B$2:$B$2500=$A64)*(Gastos!$D$2:$D$2500))</f>
        <v>0</v>
      </c>
      <c r="EJ64" s="75">
        <f t="array" ref="EJ64">SUM((YEAR(Gastos!$A$2:$A$2500)=EJ$1)*(MONTH(Gastos!$A$2:$A$2500)=EJ$3)*(Gastos!$B$2:$B$2500=$A64)*(Gastos!$D$2:$D$2500))</f>
        <v>0</v>
      </c>
      <c r="EK64" s="75">
        <f t="array" ref="EK64">SUM((YEAR(Gastos!$A$2:$A$2500)=EK$1)*(MONTH(Gastos!$A$2:$A$2500)=EK$3)*(Gastos!$B$2:$B$2500=$A64)*(Gastos!$D$2:$D$2500))</f>
        <v>0</v>
      </c>
      <c r="EL64" s="75">
        <f t="array" ref="EL64">SUM((YEAR(Gastos!$A$2:$A$2500)=EL$1)*(MONTH(Gastos!$A$2:$A$2500)=EL$3)*(Gastos!$B$2:$B$2500=$A64)*(Gastos!$D$2:$D$2500))</f>
        <v>0</v>
      </c>
      <c r="EM64" s="75">
        <f t="array" ref="EM64">SUM((YEAR(Gastos!$A$2:$A$2500)=EM$1)*(MONTH(Gastos!$A$2:$A$2500)=EM$3)*(Gastos!$B$2:$B$2500=$A64)*(Gastos!$D$2:$D$2500))</f>
        <v>0</v>
      </c>
      <c r="EN64" s="75">
        <f t="array" ref="EN64">SUM((YEAR(Gastos!$A$2:$A$2500)=EN$1)*(MONTH(Gastos!$A$2:$A$2500)=EN$3)*(Gastos!$B$2:$B$2500=$A64)*(Gastos!$D$2:$D$2500))</f>
        <v>0</v>
      </c>
      <c r="EO64" s="75">
        <f t="array" ref="EO64">SUM((YEAR(Gastos!$A$2:$A$2500)=EO$1)*(MONTH(Gastos!$A$2:$A$2500)=EO$3)*(Gastos!$B$2:$B$2500=$A64)*(Gastos!$D$2:$D$2500))</f>
        <v>0</v>
      </c>
      <c r="EP64" s="75">
        <f t="array" ref="EP64">SUM((YEAR(Gastos!$A$2:$A$2500)=EP$1)*(MONTH(Gastos!$A$2:$A$2500)=EP$3)*(Gastos!$B$2:$B$2500=$A64)*(Gastos!$D$2:$D$2500))</f>
        <v>0</v>
      </c>
      <c r="EQ64" s="75">
        <f t="array" ref="EQ64">SUM((YEAR(Gastos!$A$2:$A$2500)=EQ$1)*(MONTH(Gastos!$A$2:$A$2500)=EQ$3)*(Gastos!$B$2:$B$2500=$A64)*(Gastos!$D$2:$D$2500))</f>
        <v>0</v>
      </c>
      <c r="ER64" s="75">
        <f t="array" ref="ER64">SUM((YEAR(Gastos!$A$2:$A$2500)=ER$1)*(MONTH(Gastos!$A$2:$A$2500)=ER$3)*(Gastos!$B$2:$B$2500=$A64)*(Gastos!$D$2:$D$2500))</f>
        <v>0</v>
      </c>
      <c r="ES64" s="75">
        <f t="array" ref="ES64">SUM((YEAR(Gastos!$A$2:$A$2500)=ES$1)*(MONTH(Gastos!$A$2:$A$2500)=ES$3)*(Gastos!$B$2:$B$2500=$A64)*(Gastos!$D$2:$D$2500))</f>
        <v>0</v>
      </c>
      <c r="ET64" s="75">
        <f t="array" ref="ET64">SUM((YEAR(Gastos!$A$2:$A$2500)=ET$1)*(MONTH(Gastos!$A$2:$A$2500)=ET$3)*(Gastos!$B$2:$B$2500=$A64)*(Gastos!$D$2:$D$2500))</f>
        <v>0</v>
      </c>
      <c r="EU64" s="75">
        <f t="array" ref="EU64">SUM((YEAR(Gastos!$A$2:$A$2500)=EU$1)*(MONTH(Gastos!$A$2:$A$2500)=EU$3)*(Gastos!$B$2:$B$2500=$A64)*(Gastos!$D$2:$D$2500))</f>
        <v>0</v>
      </c>
      <c r="EV64" s="75">
        <f t="array" ref="EV64">SUM((YEAR(Gastos!$A$2:$A$2500)=EV$1)*(MONTH(Gastos!$A$2:$A$2500)=EV$3)*(Gastos!$B$2:$B$2500=$A64)*(Gastos!$D$2:$D$2500))</f>
        <v>0</v>
      </c>
      <c r="EW64" s="75">
        <f t="array" ref="EW64">SUM((YEAR(Gastos!$A$2:$A$2500)=EW$1)*(MONTH(Gastos!$A$2:$A$2500)=EW$3)*(Gastos!$B$2:$B$2500=$A64)*(Gastos!$D$2:$D$2500))</f>
        <v>0</v>
      </c>
      <c r="EX64" s="75">
        <f t="array" ref="EX64">SUM((YEAR(Gastos!$A$2:$A$2500)=EX$1)*(MONTH(Gastos!$A$2:$A$2500)=EX$3)*(Gastos!$B$2:$B$2500=$A64)*(Gastos!$D$2:$D$2500))</f>
        <v>0</v>
      </c>
      <c r="EY64" s="75">
        <f t="array" ref="EY64">SUM((YEAR(Gastos!$A$2:$A$2500)=EY$1)*(MONTH(Gastos!$A$2:$A$2500)=EY$3)*(Gastos!$B$2:$B$2500=$A64)*(Gastos!$D$2:$D$2500))</f>
        <v>0</v>
      </c>
      <c r="EZ64" s="75">
        <f t="array" ref="EZ64">SUM((YEAR(Gastos!$A$2:$A$2500)=EZ$1)*(MONTH(Gastos!$A$2:$A$2500)=EZ$3)*(Gastos!$B$2:$B$2500=$A64)*(Gastos!$D$2:$D$2500))</f>
        <v>0</v>
      </c>
      <c r="FA64" s="75">
        <f t="array" ref="FA64">SUM((YEAR(Gastos!$A$2:$A$2500)=FA$1)*(MONTH(Gastos!$A$2:$A$2500)=FA$3)*(Gastos!$B$2:$B$2500=$A64)*(Gastos!$D$2:$D$2500))</f>
        <v>0</v>
      </c>
      <c r="FB64" s="75">
        <f t="array" ref="FB64">SUM((YEAR(Gastos!$A$2:$A$2500)=FB$1)*(MONTH(Gastos!$A$2:$A$2500)=FB$3)*(Gastos!$B$2:$B$2500=$A64)*(Gastos!$D$2:$D$2500))</f>
        <v>0</v>
      </c>
      <c r="FC64" s="75">
        <f t="array" ref="FC64">SUM((YEAR(Gastos!$A$2:$A$2500)=FC$1)*(MONTH(Gastos!$A$2:$A$2500)=FC$3)*(Gastos!$B$2:$B$2500=$A64)*(Gastos!$D$2:$D$2500))</f>
        <v>0</v>
      </c>
      <c r="FD64" s="75">
        <f t="array" ref="FD64">SUM((YEAR(Gastos!$A$2:$A$2500)=FD$1)*(MONTH(Gastos!$A$2:$A$2500)=FD$3)*(Gastos!$B$2:$B$2500=$A64)*(Gastos!$D$2:$D$2500))</f>
        <v>0</v>
      </c>
      <c r="FE64" s="75">
        <f t="array" ref="FE64">SUM((YEAR(Gastos!$A$2:$A$2500)=FE$1)*(MONTH(Gastos!$A$2:$A$2500)=FE$3)*(Gastos!$B$2:$B$2500=$A64)*(Gastos!$D$2:$D$2500))</f>
        <v>0</v>
      </c>
      <c r="FF64" s="75">
        <f t="array" ref="FF64">SUM((YEAR(Gastos!$A$2:$A$2500)=FF$1)*(MONTH(Gastos!$A$2:$A$2500)=FF$3)*(Gastos!$B$2:$B$2500=$A64)*(Gastos!$D$2:$D$2500))</f>
        <v>0</v>
      </c>
      <c r="FG64" s="75">
        <f t="array" ref="FG64">SUM((YEAR(Gastos!$A$2:$A$2500)=FG$1)*(MONTH(Gastos!$A$2:$A$2500)=FG$3)*(Gastos!$B$2:$B$2500=$A64)*(Gastos!$D$2:$D$2500))</f>
        <v>0</v>
      </c>
      <c r="FH64" s="75">
        <f t="array" ref="FH64">SUM((YEAR(Gastos!$A$2:$A$2500)=FH$1)*(MONTH(Gastos!$A$2:$A$2500)=FH$3)*(Gastos!$B$2:$B$2500=$A64)*(Gastos!$D$2:$D$2500))</f>
        <v>0</v>
      </c>
      <c r="FI64" s="75">
        <f t="array" ref="FI64">SUM((YEAR(Gastos!$A$2:$A$2500)=FI$1)*(MONTH(Gastos!$A$2:$A$2500)=FI$3)*(Gastos!$B$2:$B$2500=$A64)*(Gastos!$D$2:$D$2500))</f>
        <v>0</v>
      </c>
      <c r="FJ64" s="75">
        <f t="array" ref="FJ64">SUM((YEAR(Gastos!$A$2:$A$2500)=FJ$1)*(MONTH(Gastos!$A$2:$A$2500)=FJ$3)*(Gastos!$B$2:$B$2500=$A64)*(Gastos!$D$2:$D$2500))</f>
        <v>0</v>
      </c>
      <c r="FK64" s="75">
        <f t="array" ref="FK64">SUM((YEAR(Gastos!$A$2:$A$2500)=FK$1)*(MONTH(Gastos!$A$2:$A$2500)=FK$3)*(Gastos!$B$2:$B$2500=$A64)*(Gastos!$D$2:$D$2500))</f>
        <v>0</v>
      </c>
      <c r="FL64" s="75">
        <f t="array" ref="FL64">SUM((YEAR(Gastos!$A$2:$A$2500)=FL$1)*(MONTH(Gastos!$A$2:$A$2500)=FL$3)*(Gastos!$B$2:$B$2500=$A64)*(Gastos!$D$2:$D$2500))</f>
        <v>0</v>
      </c>
      <c r="FM64" s="75">
        <f t="array" ref="FM64">SUM((YEAR(Gastos!$A$2:$A$2500)=FM$1)*(MONTH(Gastos!$A$2:$A$2500)=FM$3)*(Gastos!$B$2:$B$2500=$A64)*(Gastos!$D$2:$D$2500))</f>
        <v>0</v>
      </c>
      <c r="FN64" s="75">
        <f t="array" ref="FN64">SUM((YEAR(Gastos!$A$2:$A$2500)=FN$1)*(MONTH(Gastos!$A$2:$A$2500)=FN$3)*(Gastos!$B$2:$B$2500=$A64)*(Gastos!$D$2:$D$2500))</f>
        <v>0</v>
      </c>
      <c r="FO64" s="75">
        <f t="array" ref="FO64">SUM((YEAR(Gastos!$A$2:$A$2500)=FO$1)*(MONTH(Gastos!$A$2:$A$2500)=FO$3)*(Gastos!$B$2:$B$2500=$A64)*(Gastos!$D$2:$D$2500))</f>
        <v>0</v>
      </c>
      <c r="FP64" s="75">
        <f t="array" ref="FP64">SUM((YEAR(Gastos!$A$2:$A$2500)=FP$1)*(MONTH(Gastos!$A$2:$A$2500)=FP$3)*(Gastos!$B$2:$B$2500=$A64)*(Gastos!$D$2:$D$2500))</f>
        <v>0</v>
      </c>
      <c r="FQ64" s="75">
        <f t="array" ref="FQ64">SUM((YEAR(Gastos!$A$2:$A$2500)=FQ$1)*(MONTH(Gastos!$A$2:$A$2500)=FQ$3)*(Gastos!$B$2:$B$2500=$A64)*(Gastos!$D$2:$D$2500))</f>
        <v>0</v>
      </c>
      <c r="FR64" s="75">
        <f t="array" ref="FR64">SUM((YEAR(Gastos!$A$2:$A$2500)=FR$1)*(MONTH(Gastos!$A$2:$A$2500)=FR$3)*(Gastos!$B$2:$B$2500=$A64)*(Gastos!$D$2:$D$2500))</f>
        <v>0</v>
      </c>
      <c r="FS64" s="75">
        <f t="array" ref="FS64">SUM((YEAR(Gastos!$A$2:$A$2500)=FS$1)*(MONTH(Gastos!$A$2:$A$2500)=FS$3)*(Gastos!$B$2:$B$2500=$A64)*(Gastos!$D$2:$D$2500))</f>
        <v>0</v>
      </c>
      <c r="FT64" s="75">
        <f t="array" ref="FT64">SUM((YEAR(Gastos!$A$2:$A$2500)=FT$1)*(MONTH(Gastos!$A$2:$A$2500)=FT$3)*(Gastos!$B$2:$B$2500=$A64)*(Gastos!$D$2:$D$2500))</f>
        <v>0</v>
      </c>
      <c r="FU64" s="75">
        <f t="array" ref="FU64">SUM((YEAR(Gastos!$A$2:$A$2500)=FU$1)*(MONTH(Gastos!$A$2:$A$2500)=FU$3)*(Gastos!$B$2:$B$2500=$A64)*(Gastos!$D$2:$D$2500))</f>
        <v>0</v>
      </c>
      <c r="FV64" s="75">
        <f t="array" ref="FV64">SUM((YEAR(Gastos!$A$2:$A$2500)=FV$1)*(MONTH(Gastos!$A$2:$A$2500)=FV$3)*(Gastos!$B$2:$B$2500=$A64)*(Gastos!$D$2:$D$2500))</f>
        <v>0</v>
      </c>
      <c r="FW64" s="75">
        <f t="array" ref="FW64">SUM((YEAR(Gastos!$A$2:$A$2500)=FW$1)*(MONTH(Gastos!$A$2:$A$2500)=FW$3)*(Gastos!$B$2:$B$2500=$A64)*(Gastos!$D$2:$D$2500))</f>
        <v>0</v>
      </c>
      <c r="FX64" s="75">
        <f t="array" ref="FX64">SUM((YEAR(Gastos!$A$2:$A$2500)=FX$1)*(MONTH(Gastos!$A$2:$A$2500)=FX$3)*(Gastos!$B$2:$B$2500=$A64)*(Gastos!$D$2:$D$2500))</f>
        <v>0</v>
      </c>
      <c r="FY64" s="75">
        <f t="array" ref="FY64">SUM((YEAR(Gastos!$A$2:$A$2500)=FY$1)*(MONTH(Gastos!$A$2:$A$2500)=FY$3)*(Gastos!$B$2:$B$2500=$A64)*(Gastos!$D$2:$D$2500))</f>
        <v>0</v>
      </c>
      <c r="FZ64" s="76">
        <f t="shared" si="65"/>
        <v>0</v>
      </c>
      <c r="GA64" s="80"/>
      <c r="GB64" s="82"/>
    </row>
    <row r="65" spans="1:184" ht="15" thickBot="1" x14ac:dyDescent="0.4">
      <c r="A65" s="74" t="str">
        <f>Gastos!AA63</f>
        <v>X</v>
      </c>
      <c r="B65" s="75">
        <f t="array" ref="B65">SUM((YEAR(Gastos!$A$2:$A$2500)=B$1)*(MONTH(Gastos!$A$2:$A$2500)=B$3)*(Gastos!$B$2:$B$2500=$A65)*(Gastos!$D$2:$D$2500))</f>
        <v>0</v>
      </c>
      <c r="C65" s="75">
        <f t="array" ref="C65">SUM((YEAR(Gastos!$A$2:$A$2500)=C$1)*(MONTH(Gastos!$A$2:$A$2500)=C$3)*(Gastos!$B$2:$B$2500=$A65)*(Gastos!$D$2:$D$2500))</f>
        <v>0</v>
      </c>
      <c r="D65" s="75">
        <f t="array" ref="D65">SUM((YEAR(Gastos!$A$2:$A$2500)=D$1)*(MONTH(Gastos!$A$2:$A$2500)=D$3)*(Gastos!$B$2:$B$2500=$A65)*(Gastos!$D$2:$D$2500))</f>
        <v>0</v>
      </c>
      <c r="E65" s="75">
        <f t="array" ref="E65">SUM((YEAR(Gastos!$A$2:$A$2500)=E$1)*(MONTH(Gastos!$A$2:$A$2500)=E$3)*(Gastos!$B$2:$B$2500=$A65)*(Gastos!$D$2:$D$2500))</f>
        <v>0</v>
      </c>
      <c r="F65" s="75">
        <f t="array" ref="F65">SUM((YEAR(Gastos!$A$2:$A$2500)=F$1)*(MONTH(Gastos!$A$2:$A$2500)=F$3)*(Gastos!$B$2:$B$2500=$A65)*(Gastos!$D$2:$D$2500))</f>
        <v>0</v>
      </c>
      <c r="G65" s="75">
        <f t="array" ref="G65">SUM((YEAR(Gastos!$A$2:$A$2500)=G$1)*(MONTH(Gastos!$A$2:$A$2500)=G$3)*(Gastos!$B$2:$B$2500=$A65)*(Gastos!$D$2:$D$2500))</f>
        <v>0</v>
      </c>
      <c r="H65" s="75">
        <f t="array" ref="H65">SUM((YEAR(Gastos!$A$2:$A$2500)=H$1)*(MONTH(Gastos!$A$2:$A$2500)=H$3)*(Gastos!$B$2:$B$2500=$A65)*(Gastos!$D$2:$D$2500))</f>
        <v>0</v>
      </c>
      <c r="I65" s="75">
        <f t="array" ref="I65">SUM((YEAR(Gastos!$A$2:$A$2500)=I$1)*(MONTH(Gastos!$A$2:$A$2500)=I$3)*(Gastos!$B$2:$B$2500=$A65)*(Gastos!$D$2:$D$2500))</f>
        <v>0</v>
      </c>
      <c r="J65" s="75">
        <f t="array" ref="J65">SUM((YEAR(Gastos!$A$2:$A$2500)=J$1)*(MONTH(Gastos!$A$2:$A$2500)=J$3)*(Gastos!$B$2:$B$2500=$A65)*(Gastos!$D$2:$D$2500))</f>
        <v>0</v>
      </c>
      <c r="K65" s="75">
        <f t="array" ref="K65">SUM((YEAR(Gastos!$A$2:$A$2500)=K$1)*(MONTH(Gastos!$A$2:$A$2500)=K$3)*(Gastos!$B$2:$B$2500=$A65)*(Gastos!$D$2:$D$2500))</f>
        <v>0</v>
      </c>
      <c r="L65" s="75">
        <f t="array" ref="L65">SUM((YEAR(Gastos!$A$2:$A$2500)=L$1)*(MONTH(Gastos!$A$2:$A$2500)=L$3)*(Gastos!$B$2:$B$2500=$A65)*(Gastos!$D$2:$D$2500))</f>
        <v>0</v>
      </c>
      <c r="M65" s="75">
        <f t="array" ref="M65">SUM((YEAR(Gastos!$A$2:$A$2500)=M$1)*(MONTH(Gastos!$A$2:$A$2500)=M$3)*(Gastos!$B$2:$B$2500=$A65)*(Gastos!$D$2:$D$2500))</f>
        <v>0</v>
      </c>
      <c r="N65" s="75">
        <f t="array" ref="N65">SUM((YEAR(Gastos!$A$2:$A$2500)=N$1)*(MONTH(Gastos!$A$2:$A$2500)=N$3)*(Gastos!$B$2:$B$2500=$A65)*(Gastos!$D$2:$D$2500))</f>
        <v>0</v>
      </c>
      <c r="O65" s="75">
        <f t="array" ref="O65">SUM((YEAR(Gastos!$A$2:$A$2500)=O$1)*(MONTH(Gastos!$A$2:$A$2500)=O$3)*(Gastos!$B$2:$B$2500=$A65)*(Gastos!$D$2:$D$2500))</f>
        <v>0</v>
      </c>
      <c r="P65" s="75">
        <f t="array" ref="P65">SUM((YEAR(Gastos!$A$2:$A$2500)=P$1)*(MONTH(Gastos!$A$2:$A$2500)=P$3)*(Gastos!$B$2:$B$2500=$A65)*(Gastos!$D$2:$D$2500))</f>
        <v>0</v>
      </c>
      <c r="Q65" s="75">
        <f t="array" ref="Q65">SUM((YEAR(Gastos!$A$2:$A$2500)=Q$1)*(MONTH(Gastos!$A$2:$A$2500)=Q$3)*(Gastos!$B$2:$B$2500=$A65)*(Gastos!$D$2:$D$2500))</f>
        <v>0</v>
      </c>
      <c r="R65" s="75">
        <f t="array" ref="R65">SUM((YEAR(Gastos!$A$2:$A$2500)=R$1)*(MONTH(Gastos!$A$2:$A$2500)=R$3)*(Gastos!$B$2:$B$2500=$A65)*(Gastos!$D$2:$D$2500))</f>
        <v>0</v>
      </c>
      <c r="S65" s="75">
        <f t="array" ref="S65">SUM((YEAR(Gastos!$A$2:$A$2500)=S$1)*(MONTH(Gastos!$A$2:$A$2500)=S$3)*(Gastos!$B$2:$B$2500=$A65)*(Gastos!$D$2:$D$2500))</f>
        <v>0</v>
      </c>
      <c r="T65" s="75">
        <f t="array" ref="T65">SUM((YEAR(Gastos!$A$2:$A$2500)=T$1)*(MONTH(Gastos!$A$2:$A$2500)=T$3)*(Gastos!$B$2:$B$2500=$A65)*(Gastos!$D$2:$D$2500))</f>
        <v>0</v>
      </c>
      <c r="U65" s="75">
        <f t="array" ref="U65">SUM((YEAR(Gastos!$A$2:$A$2500)=U$1)*(MONTH(Gastos!$A$2:$A$2500)=U$3)*(Gastos!$B$2:$B$2500=$A65)*(Gastos!$D$2:$D$2500))</f>
        <v>0</v>
      </c>
      <c r="V65" s="75">
        <f t="array" ref="V65">SUM((YEAR(Gastos!$A$2:$A$2500)=V$1)*(MONTH(Gastos!$A$2:$A$2500)=V$3)*(Gastos!$B$2:$B$2500=$A65)*(Gastos!$D$2:$D$2500))</f>
        <v>0</v>
      </c>
      <c r="W65" s="75">
        <f t="array" ref="W65">SUM((YEAR(Gastos!$A$2:$A$2500)=W$1)*(MONTH(Gastos!$A$2:$A$2500)=W$3)*(Gastos!$B$2:$B$2500=$A65)*(Gastos!$D$2:$D$2500))</f>
        <v>0</v>
      </c>
      <c r="X65" s="75">
        <f t="array" ref="X65">SUM((YEAR(Gastos!$A$2:$A$2500)=X$1)*(MONTH(Gastos!$A$2:$A$2500)=X$3)*(Gastos!$B$2:$B$2500=$A65)*(Gastos!$D$2:$D$2500))</f>
        <v>0</v>
      </c>
      <c r="Y65" s="75">
        <f t="array" ref="Y65">SUM((YEAR(Gastos!$A$2:$A$2500)=Y$1)*(MONTH(Gastos!$A$2:$A$2500)=Y$3)*(Gastos!$B$2:$B$2500=$A65)*(Gastos!$D$2:$D$2500))</f>
        <v>0</v>
      </c>
      <c r="Z65" s="75">
        <f t="array" ref="Z65">SUM((YEAR(Gastos!$A$2:$A$2500)=Z$1)*(MONTH(Gastos!$A$2:$A$2500)=Z$3)*(Gastos!$B$2:$B$2500=$A65)*(Gastos!$D$2:$D$2500))</f>
        <v>0</v>
      </c>
      <c r="AA65" s="75">
        <f t="array" ref="AA65">SUM((YEAR(Gastos!$A$2:$A$2500)=AA$1)*(MONTH(Gastos!$A$2:$A$2500)=AA$3)*(Gastos!$B$2:$B$2500=$A65)*(Gastos!$D$2:$D$2500))</f>
        <v>0</v>
      </c>
      <c r="AB65" s="75">
        <f t="array" ref="AB65">SUM((YEAR(Gastos!$A$2:$A$2500)=AB$1)*(MONTH(Gastos!$A$2:$A$2500)=AB$3)*(Gastos!$B$2:$B$2500=$A65)*(Gastos!$D$2:$D$2500))</f>
        <v>0</v>
      </c>
      <c r="AC65" s="75">
        <f t="array" ref="AC65">SUM((YEAR(Gastos!$A$2:$A$2500)=AC$1)*(MONTH(Gastos!$A$2:$A$2500)=AC$3)*(Gastos!$B$2:$B$2500=$A65)*(Gastos!$D$2:$D$2500))</f>
        <v>0</v>
      </c>
      <c r="AD65" s="75">
        <f t="array" ref="AD65">SUM((YEAR(Gastos!$A$2:$A$2500)=AD$1)*(MONTH(Gastos!$A$2:$A$2500)=AD$3)*(Gastos!$B$2:$B$2500=$A65)*(Gastos!$D$2:$D$2500))</f>
        <v>0</v>
      </c>
      <c r="AE65" s="75">
        <f t="array" ref="AE65">SUM((YEAR(Gastos!$A$2:$A$2500)=AE$1)*(MONTH(Gastos!$A$2:$A$2500)=AE$3)*(Gastos!$B$2:$B$2500=$A65)*(Gastos!$D$2:$D$2500))</f>
        <v>0</v>
      </c>
      <c r="AF65" s="75">
        <f t="array" ref="AF65">SUM((YEAR(Gastos!$A$2:$A$2500)=AF$1)*(MONTH(Gastos!$A$2:$A$2500)=AF$3)*(Gastos!$B$2:$B$2500=$A65)*(Gastos!$D$2:$D$2500))</f>
        <v>0</v>
      </c>
      <c r="AG65" s="75">
        <f t="array" ref="AG65">SUM((YEAR(Gastos!$A$2:$A$2500)=AG$1)*(MONTH(Gastos!$A$2:$A$2500)=AG$3)*(Gastos!$B$2:$B$2500=$A65)*(Gastos!$D$2:$D$2500))</f>
        <v>0</v>
      </c>
      <c r="AH65" s="75">
        <f t="array" ref="AH65">SUM((YEAR(Gastos!$A$2:$A$2500)=AH$1)*(MONTH(Gastos!$A$2:$A$2500)=AH$3)*(Gastos!$B$2:$B$2500=$A65)*(Gastos!$D$2:$D$2500))</f>
        <v>0</v>
      </c>
      <c r="AI65" s="75">
        <f t="array" ref="AI65">SUM((YEAR(Gastos!$A$2:$A$2500)=AI$1)*(MONTH(Gastos!$A$2:$A$2500)=AI$3)*(Gastos!$B$2:$B$2500=$A65)*(Gastos!$D$2:$D$2500))</f>
        <v>0</v>
      </c>
      <c r="AJ65" s="75">
        <f t="array" ref="AJ65">SUM((YEAR(Gastos!$A$2:$A$2500)=AJ$1)*(MONTH(Gastos!$A$2:$A$2500)=AJ$3)*(Gastos!$B$2:$B$2500=$A65)*(Gastos!$D$2:$D$2500))</f>
        <v>0</v>
      </c>
      <c r="AK65" s="75">
        <f t="array" ref="AK65">SUM((YEAR(Gastos!$A$2:$A$2500)=AK$1)*(MONTH(Gastos!$A$2:$A$2500)=AK$3)*(Gastos!$B$2:$B$2500=$A65)*(Gastos!$D$2:$D$2500))</f>
        <v>0</v>
      </c>
      <c r="AL65" s="75">
        <f t="array" ref="AL65">SUM((YEAR(Gastos!$A$2:$A$2500)=AL$1)*(MONTH(Gastos!$A$2:$A$2500)=AL$3)*(Gastos!$B$2:$B$2500=$A65)*(Gastos!$D$2:$D$2500))</f>
        <v>0</v>
      </c>
      <c r="AM65" s="75">
        <f t="array" ref="AM65">SUM((YEAR(Gastos!$A$2:$A$2500)=AM$1)*(MONTH(Gastos!$A$2:$A$2500)=AM$3)*(Gastos!$B$2:$B$2500=$A65)*(Gastos!$D$2:$D$2500))</f>
        <v>0</v>
      </c>
      <c r="AN65" s="75">
        <f t="array" ref="AN65">SUM((YEAR(Gastos!$A$2:$A$2500)=AN$1)*(MONTH(Gastos!$A$2:$A$2500)=AN$3)*(Gastos!$B$2:$B$2500=$A65)*(Gastos!$D$2:$D$2500))</f>
        <v>0</v>
      </c>
      <c r="AO65" s="75">
        <f t="array" ref="AO65">SUM((YEAR(Gastos!$A$2:$A$2500)=AO$1)*(MONTH(Gastos!$A$2:$A$2500)=AO$3)*(Gastos!$B$2:$B$2500=$A65)*(Gastos!$D$2:$D$2500))</f>
        <v>0</v>
      </c>
      <c r="AP65" s="75">
        <f t="array" ref="AP65">SUM((YEAR(Gastos!$A$2:$A$2500)=AP$1)*(MONTH(Gastos!$A$2:$A$2500)=AP$3)*(Gastos!$B$2:$B$2500=$A65)*(Gastos!$D$2:$D$2500))</f>
        <v>0</v>
      </c>
      <c r="AQ65" s="75">
        <f t="array" ref="AQ65">SUM((YEAR(Gastos!$A$2:$A$2500)=AQ$1)*(MONTH(Gastos!$A$2:$A$2500)=AQ$3)*(Gastos!$B$2:$B$2500=$A65)*(Gastos!$D$2:$D$2500))</f>
        <v>0</v>
      </c>
      <c r="AR65" s="75">
        <f t="array" ref="AR65">SUM((YEAR(Gastos!$A$2:$A$2500)=AR$1)*(MONTH(Gastos!$A$2:$A$2500)=AR$3)*(Gastos!$B$2:$B$2500=$A65)*(Gastos!$D$2:$D$2500))</f>
        <v>0</v>
      </c>
      <c r="AS65" s="75">
        <f t="array" ref="AS65">SUM((YEAR(Gastos!$A$2:$A$2500)=AS$1)*(MONTH(Gastos!$A$2:$A$2500)=AS$3)*(Gastos!$B$2:$B$2500=$A65)*(Gastos!$D$2:$D$2500))</f>
        <v>0</v>
      </c>
      <c r="AT65" s="75">
        <f t="array" ref="AT65">SUM((YEAR(Gastos!$A$2:$A$2500)=AT$1)*(MONTH(Gastos!$A$2:$A$2500)=AT$3)*(Gastos!$B$2:$B$2500=$A65)*(Gastos!$D$2:$D$2500))</f>
        <v>0</v>
      </c>
      <c r="AU65" s="75">
        <f t="array" ref="AU65">SUM((YEAR(Gastos!$A$2:$A$2500)=AU$1)*(MONTH(Gastos!$A$2:$A$2500)=AU$3)*(Gastos!$B$2:$B$2500=$A65)*(Gastos!$D$2:$D$2500))</f>
        <v>0</v>
      </c>
      <c r="AV65" s="75">
        <f t="array" ref="AV65">SUM((YEAR(Gastos!$A$2:$A$2500)=AV$1)*(MONTH(Gastos!$A$2:$A$2500)=AV$3)*(Gastos!$B$2:$B$2500=$A65)*(Gastos!$D$2:$D$2500))</f>
        <v>0</v>
      </c>
      <c r="AW65" s="75">
        <f t="array" ref="AW65">SUM((YEAR(Gastos!$A$2:$A$2500)=AW$1)*(MONTH(Gastos!$A$2:$A$2500)=AW$3)*(Gastos!$B$2:$B$2500=$A65)*(Gastos!$D$2:$D$2500))</f>
        <v>0</v>
      </c>
      <c r="AX65" s="75">
        <f t="array" ref="AX65">SUM((YEAR(Gastos!$A$2:$A$2500)=AX$1)*(MONTH(Gastos!$A$2:$A$2500)=AX$3)*(Gastos!$B$2:$B$2500=$A65)*(Gastos!$D$2:$D$2500))</f>
        <v>0</v>
      </c>
      <c r="AY65" s="75">
        <f t="array" ref="AY65">SUM((YEAR(Gastos!$A$2:$A$2500)=AY$1)*(MONTH(Gastos!$A$2:$A$2500)=AY$3)*(Gastos!$B$2:$B$2500=$A65)*(Gastos!$D$2:$D$2500))</f>
        <v>0</v>
      </c>
      <c r="AZ65" s="75">
        <f t="array" ref="AZ65">SUM((YEAR(Gastos!$A$2:$A$2500)=AZ$1)*(MONTH(Gastos!$A$2:$A$2500)=AZ$3)*(Gastos!$B$2:$B$2500=$A65)*(Gastos!$D$2:$D$2500))</f>
        <v>0</v>
      </c>
      <c r="BA65" s="75">
        <f t="array" ref="BA65">SUM((YEAR(Gastos!$A$2:$A$2500)=BA$1)*(MONTH(Gastos!$A$2:$A$2500)=BA$3)*(Gastos!$B$2:$B$2500=$A65)*(Gastos!$D$2:$D$2500))</f>
        <v>0</v>
      </c>
      <c r="BB65" s="75">
        <f t="array" ref="BB65">SUM((YEAR(Gastos!$A$2:$A$2500)=BB$1)*(MONTH(Gastos!$A$2:$A$2500)=BB$3)*(Gastos!$B$2:$B$2500=$A65)*(Gastos!$D$2:$D$2500))</f>
        <v>0</v>
      </c>
      <c r="BC65" s="75">
        <f t="array" ref="BC65">SUM((YEAR(Gastos!$A$2:$A$2500)=BC$1)*(MONTH(Gastos!$A$2:$A$2500)=BC$3)*(Gastos!$B$2:$B$2500=$A65)*(Gastos!$D$2:$D$2500))</f>
        <v>0</v>
      </c>
      <c r="BD65" s="75">
        <f t="array" ref="BD65">SUM((YEAR(Gastos!$A$2:$A$2500)=BD$1)*(MONTH(Gastos!$A$2:$A$2500)=BD$3)*(Gastos!$B$2:$B$2500=$A65)*(Gastos!$D$2:$D$2500))</f>
        <v>0</v>
      </c>
      <c r="BE65" s="75">
        <f t="array" ref="BE65">SUM((YEAR(Gastos!$A$2:$A$2500)=BE$1)*(MONTH(Gastos!$A$2:$A$2500)=BE$3)*(Gastos!$B$2:$B$2500=$A65)*(Gastos!$D$2:$D$2500))</f>
        <v>0</v>
      </c>
      <c r="BF65" s="75">
        <f t="array" ref="BF65">SUM((YEAR(Gastos!$A$2:$A$2500)=BF$1)*(MONTH(Gastos!$A$2:$A$2500)=BF$3)*(Gastos!$B$2:$B$2500=$A65)*(Gastos!$D$2:$D$2500))</f>
        <v>0</v>
      </c>
      <c r="BG65" s="75">
        <f t="array" ref="BG65">SUM((YEAR(Gastos!$A$2:$A$2500)=BG$1)*(MONTH(Gastos!$A$2:$A$2500)=BG$3)*(Gastos!$B$2:$B$2500=$A65)*(Gastos!$D$2:$D$2500))</f>
        <v>0</v>
      </c>
      <c r="BH65" s="75">
        <f t="array" ref="BH65">SUM((YEAR(Gastos!$A$2:$A$2500)=BH$1)*(MONTH(Gastos!$A$2:$A$2500)=BH$3)*(Gastos!$B$2:$B$2500=$A65)*(Gastos!$D$2:$D$2500))</f>
        <v>0</v>
      </c>
      <c r="BI65" s="75">
        <f t="array" ref="BI65">SUM((YEAR(Gastos!$A$2:$A$2500)=BI$1)*(MONTH(Gastos!$A$2:$A$2500)=BI$3)*(Gastos!$B$2:$B$2500=$A65)*(Gastos!$D$2:$D$2500))</f>
        <v>0</v>
      </c>
      <c r="BJ65" s="75">
        <f t="array" ref="BJ65">SUM((YEAR(Gastos!$A$2:$A$2500)=BJ$1)*(MONTH(Gastos!$A$2:$A$2500)=BJ$3)*(Gastos!$B$2:$B$2500=$A65)*(Gastos!$D$2:$D$2500))</f>
        <v>0</v>
      </c>
      <c r="BK65" s="75">
        <f t="array" ref="BK65">SUM((YEAR(Gastos!$A$2:$A$2500)=BK$1)*(MONTH(Gastos!$A$2:$A$2500)=BK$3)*(Gastos!$B$2:$B$2500=$A65)*(Gastos!$D$2:$D$2500))</f>
        <v>0</v>
      </c>
      <c r="BL65" s="75">
        <f t="array" ref="BL65">SUM((YEAR(Gastos!$A$2:$A$2500)=BL$1)*(MONTH(Gastos!$A$2:$A$2500)=BL$3)*(Gastos!$B$2:$B$2500=$A65)*(Gastos!$D$2:$D$2500))</f>
        <v>0</v>
      </c>
      <c r="BM65" s="75">
        <f t="array" ref="BM65">SUM((YEAR(Gastos!$A$2:$A$2500)=BM$1)*(MONTH(Gastos!$A$2:$A$2500)=BM$3)*(Gastos!$B$2:$B$2500=$A65)*(Gastos!$D$2:$D$2500))</f>
        <v>0</v>
      </c>
      <c r="BN65" s="75">
        <f t="array" ref="BN65">SUM((YEAR(Gastos!$A$2:$A$2500)=BN$1)*(MONTH(Gastos!$A$2:$A$2500)=BN$3)*(Gastos!$B$2:$B$2500=$A65)*(Gastos!$D$2:$D$2500))</f>
        <v>0</v>
      </c>
      <c r="BO65" s="75">
        <f t="array" ref="BO65">SUM((YEAR(Gastos!$A$2:$A$2500)=BO$1)*(MONTH(Gastos!$A$2:$A$2500)=BO$3)*(Gastos!$B$2:$B$2500=$A65)*(Gastos!$D$2:$D$2500))</f>
        <v>0</v>
      </c>
      <c r="BP65" s="75">
        <f t="array" ref="BP65">SUM((YEAR(Gastos!$A$2:$A$2500)=BP$1)*(MONTH(Gastos!$A$2:$A$2500)=BP$3)*(Gastos!$B$2:$B$2500=$A65)*(Gastos!$D$2:$D$2500))</f>
        <v>0</v>
      </c>
      <c r="BQ65" s="75">
        <f t="array" ref="BQ65">SUM((YEAR(Gastos!$A$2:$A$2500)=BQ$1)*(MONTH(Gastos!$A$2:$A$2500)=BQ$3)*(Gastos!$B$2:$B$2500=$A65)*(Gastos!$D$2:$D$2500))</f>
        <v>0</v>
      </c>
      <c r="BR65" s="75">
        <f t="array" ref="BR65">SUM((YEAR(Gastos!$A$2:$A$2500)=BR$1)*(MONTH(Gastos!$A$2:$A$2500)=BR$3)*(Gastos!$B$2:$B$2500=$A65)*(Gastos!$D$2:$D$2500))</f>
        <v>0</v>
      </c>
      <c r="BS65" s="75">
        <f t="array" ref="BS65">SUM((YEAR(Gastos!$A$2:$A$2500)=BS$1)*(MONTH(Gastos!$A$2:$A$2500)=BS$3)*(Gastos!$B$2:$B$2500=$A65)*(Gastos!$D$2:$D$2500))</f>
        <v>0</v>
      </c>
      <c r="BT65" s="75">
        <f t="array" ref="BT65">SUM((YEAR(Gastos!$A$2:$A$2500)=BT$1)*(MONTH(Gastos!$A$2:$A$2500)=BT$3)*(Gastos!$B$2:$B$2500=$A65)*(Gastos!$D$2:$D$2500))</f>
        <v>0</v>
      </c>
      <c r="BU65" s="75">
        <f t="array" ref="BU65">SUM((YEAR(Gastos!$A$2:$A$2500)=BU$1)*(MONTH(Gastos!$A$2:$A$2500)=BU$3)*(Gastos!$B$2:$B$2500=$A65)*(Gastos!$D$2:$D$2500))</f>
        <v>0</v>
      </c>
      <c r="BV65" s="75">
        <f t="array" ref="BV65">SUM((YEAR(Gastos!$A$2:$A$2500)=BV$1)*(MONTH(Gastos!$A$2:$A$2500)=BV$3)*(Gastos!$B$2:$B$2500=$A65)*(Gastos!$D$2:$D$2500))</f>
        <v>0</v>
      </c>
      <c r="BW65" s="75">
        <f t="array" ref="BW65">SUM((YEAR(Gastos!$A$2:$A$2500)=BW$1)*(MONTH(Gastos!$A$2:$A$2500)=BW$3)*(Gastos!$B$2:$B$2500=$A65)*(Gastos!$D$2:$D$2500))</f>
        <v>0</v>
      </c>
      <c r="BX65" s="75">
        <f t="array" ref="BX65">SUM((YEAR(Gastos!$A$2:$A$2500)=BX$1)*(MONTH(Gastos!$A$2:$A$2500)=BX$3)*(Gastos!$B$2:$B$2500=$A65)*(Gastos!$D$2:$D$2500))</f>
        <v>0</v>
      </c>
      <c r="BY65" s="75">
        <f t="array" ref="BY65">SUM((YEAR(Gastos!$A$2:$A$2500)=BY$1)*(MONTH(Gastos!$A$2:$A$2500)=BY$3)*(Gastos!$B$2:$B$2500=$A65)*(Gastos!$D$2:$D$2500))</f>
        <v>0</v>
      </c>
      <c r="BZ65" s="75">
        <f t="array" ref="BZ65">SUM((YEAR(Gastos!$A$2:$A$2500)=BZ$1)*(MONTH(Gastos!$A$2:$A$2500)=BZ$3)*(Gastos!$B$2:$B$2500=$A65)*(Gastos!$D$2:$D$2500))</f>
        <v>0</v>
      </c>
      <c r="CA65" s="75">
        <f t="array" ref="CA65">SUM((YEAR(Gastos!$A$2:$A$2500)=CA$1)*(MONTH(Gastos!$A$2:$A$2500)=CA$3)*(Gastos!$B$2:$B$2500=$A65)*(Gastos!$D$2:$D$2500))</f>
        <v>0</v>
      </c>
      <c r="CB65" s="75">
        <f t="array" ref="CB65">SUM((YEAR(Gastos!$A$2:$A$2500)=CB$1)*(MONTH(Gastos!$A$2:$A$2500)=CB$3)*(Gastos!$B$2:$B$2500=$A65)*(Gastos!$D$2:$D$2500))</f>
        <v>0</v>
      </c>
      <c r="CC65" s="75">
        <f t="array" ref="CC65">SUM((YEAR(Gastos!$A$2:$A$2500)=CC$1)*(MONTH(Gastos!$A$2:$A$2500)=CC$3)*(Gastos!$B$2:$B$2500=$A65)*(Gastos!$D$2:$D$2500))</f>
        <v>0</v>
      </c>
      <c r="CD65" s="75">
        <f t="array" ref="CD65">SUM((YEAR(Gastos!$A$2:$A$2500)=CD$1)*(MONTH(Gastos!$A$2:$A$2500)=CD$3)*(Gastos!$B$2:$B$2500=$A65)*(Gastos!$D$2:$D$2500))</f>
        <v>0</v>
      </c>
      <c r="CE65" s="75">
        <f t="array" ref="CE65">SUM((YEAR(Gastos!$A$2:$A$2500)=CE$1)*(MONTH(Gastos!$A$2:$A$2500)=CE$3)*(Gastos!$B$2:$B$2500=$A65)*(Gastos!$D$2:$D$2500))</f>
        <v>0</v>
      </c>
      <c r="CF65" s="75">
        <f t="array" ref="CF65">SUM((YEAR(Gastos!$A$2:$A$2500)=CF$1)*(MONTH(Gastos!$A$2:$A$2500)=CF$3)*(Gastos!$B$2:$B$2500=$A65)*(Gastos!$D$2:$D$2500))</f>
        <v>0</v>
      </c>
      <c r="CG65" s="75">
        <f t="array" ref="CG65">SUM((YEAR(Gastos!$A$2:$A$2500)=CG$1)*(MONTH(Gastos!$A$2:$A$2500)=CG$3)*(Gastos!$B$2:$B$2500=$A65)*(Gastos!$D$2:$D$2500))</f>
        <v>0</v>
      </c>
      <c r="CH65" s="75">
        <f t="array" ref="CH65">SUM((YEAR(Gastos!$A$2:$A$2500)=CH$1)*(MONTH(Gastos!$A$2:$A$2500)=CH$3)*(Gastos!$B$2:$B$2500=$A65)*(Gastos!$D$2:$D$2500))</f>
        <v>0</v>
      </c>
      <c r="CI65" s="75">
        <f t="array" ref="CI65">SUM((YEAR(Gastos!$A$2:$A$2500)=CI$1)*(MONTH(Gastos!$A$2:$A$2500)=CI$3)*(Gastos!$B$2:$B$2500=$A65)*(Gastos!$D$2:$D$2500))</f>
        <v>0</v>
      </c>
      <c r="CJ65" s="75">
        <f t="array" ref="CJ65">SUM((YEAR(Gastos!$A$2:$A$2500)=CJ$1)*(MONTH(Gastos!$A$2:$A$2500)=CJ$3)*(Gastos!$B$2:$B$2500=$A65)*(Gastos!$D$2:$D$2500))</f>
        <v>0</v>
      </c>
      <c r="CK65" s="75">
        <f t="array" ref="CK65">SUM((YEAR(Gastos!$A$2:$A$2500)=CK$1)*(MONTH(Gastos!$A$2:$A$2500)=CK$3)*(Gastos!$B$2:$B$2500=$A65)*(Gastos!$D$2:$D$2500))</f>
        <v>0</v>
      </c>
      <c r="CL65" s="75">
        <f t="array" ref="CL65">SUM((YEAR(Gastos!$A$2:$A$2500)=CL$1)*(MONTH(Gastos!$A$2:$A$2500)=CL$3)*(Gastos!$B$2:$B$2500=$A65)*(Gastos!$D$2:$D$2500))</f>
        <v>0</v>
      </c>
      <c r="CM65" s="75">
        <f t="array" ref="CM65">SUM((YEAR(Gastos!$A$2:$A$2500)=CM$1)*(MONTH(Gastos!$A$2:$A$2500)=CM$3)*(Gastos!$B$2:$B$2500=$A65)*(Gastos!$D$2:$D$2500))</f>
        <v>0</v>
      </c>
      <c r="CN65" s="75">
        <f t="array" ref="CN65">SUM((YEAR(Gastos!$A$2:$A$2500)=CN$1)*(MONTH(Gastos!$A$2:$A$2500)=CN$3)*(Gastos!$B$2:$B$2500=$A65)*(Gastos!$D$2:$D$2500))</f>
        <v>0</v>
      </c>
      <c r="CO65" s="75">
        <f t="array" ref="CO65">SUM((YEAR(Gastos!$A$2:$A$2500)=CO$1)*(MONTH(Gastos!$A$2:$A$2500)=CO$3)*(Gastos!$B$2:$B$2500=$A65)*(Gastos!$D$2:$D$2500))</f>
        <v>0</v>
      </c>
      <c r="CP65" s="75">
        <f t="array" ref="CP65">SUM((YEAR(Gastos!$A$2:$A$2500)=CP$1)*(MONTH(Gastos!$A$2:$A$2500)=CP$3)*(Gastos!$B$2:$B$2500=$A65)*(Gastos!$D$2:$D$2500))</f>
        <v>0</v>
      </c>
      <c r="CQ65" s="75">
        <f t="array" ref="CQ65">SUM((YEAR(Gastos!$A$2:$A$2500)=CQ$1)*(MONTH(Gastos!$A$2:$A$2500)=CQ$3)*(Gastos!$B$2:$B$2500=$A65)*(Gastos!$D$2:$D$2500))</f>
        <v>0</v>
      </c>
      <c r="CR65" s="75">
        <f t="array" ref="CR65">SUM((YEAR(Gastos!$A$2:$A$2500)=CR$1)*(MONTH(Gastos!$A$2:$A$2500)=CR$3)*(Gastos!$B$2:$B$2500=$A65)*(Gastos!$D$2:$D$2500))</f>
        <v>0</v>
      </c>
      <c r="CS65" s="75">
        <f t="array" ref="CS65">SUM((YEAR(Gastos!$A$2:$A$2500)=CS$1)*(MONTH(Gastos!$A$2:$A$2500)=CS$3)*(Gastos!$B$2:$B$2500=$A65)*(Gastos!$D$2:$D$2500))</f>
        <v>0</v>
      </c>
      <c r="CT65" s="75">
        <f t="array" ref="CT65">SUM((YEAR(Gastos!$A$2:$A$2500)=CT$1)*(MONTH(Gastos!$A$2:$A$2500)=CT$3)*(Gastos!$B$2:$B$2500=$A65)*(Gastos!$D$2:$D$2500))</f>
        <v>0</v>
      </c>
      <c r="CU65" s="75">
        <f t="array" ref="CU65">SUM((YEAR(Gastos!$A$2:$A$2500)=CU$1)*(MONTH(Gastos!$A$2:$A$2500)=CU$3)*(Gastos!$B$2:$B$2500=$A65)*(Gastos!$D$2:$D$2500))</f>
        <v>0</v>
      </c>
      <c r="CV65" s="75">
        <f t="array" ref="CV65">SUM((YEAR(Gastos!$A$2:$A$2500)=CV$1)*(MONTH(Gastos!$A$2:$A$2500)=CV$3)*(Gastos!$B$2:$B$2500=$A65)*(Gastos!$D$2:$D$2500))</f>
        <v>0</v>
      </c>
      <c r="CW65" s="75">
        <f t="array" ref="CW65">SUM((YEAR(Gastos!$A$2:$A$2500)=CW$1)*(MONTH(Gastos!$A$2:$A$2500)=CW$3)*(Gastos!$B$2:$B$2500=$A65)*(Gastos!$D$2:$D$2500))</f>
        <v>0</v>
      </c>
      <c r="CX65" s="75">
        <f t="array" ref="CX65">SUM((YEAR(Gastos!$A$2:$A$2500)=CX$1)*(MONTH(Gastos!$A$2:$A$2500)=CX$3)*(Gastos!$B$2:$B$2500=$A65)*(Gastos!$D$2:$D$2500))</f>
        <v>0</v>
      </c>
      <c r="CY65" s="75">
        <f t="array" ref="CY65">SUM((YEAR(Gastos!$A$2:$A$2500)=CY$1)*(MONTH(Gastos!$A$2:$A$2500)=CY$3)*(Gastos!$B$2:$B$2500=$A65)*(Gastos!$D$2:$D$2500))</f>
        <v>0</v>
      </c>
      <c r="CZ65" s="75">
        <f t="array" ref="CZ65">SUM((YEAR(Gastos!$A$2:$A$2500)=CZ$1)*(MONTH(Gastos!$A$2:$A$2500)=CZ$3)*(Gastos!$B$2:$B$2500=$A65)*(Gastos!$D$2:$D$2500))</f>
        <v>0</v>
      </c>
      <c r="DA65" s="75">
        <f t="array" ref="DA65">SUM((YEAR(Gastos!$A$2:$A$2500)=DA$1)*(MONTH(Gastos!$A$2:$A$2500)=DA$3)*(Gastos!$B$2:$B$2500=$A65)*(Gastos!$D$2:$D$2500))</f>
        <v>0</v>
      </c>
      <c r="DB65" s="75">
        <f t="array" ref="DB65">SUM((YEAR(Gastos!$A$2:$A$2500)=DB$1)*(MONTH(Gastos!$A$2:$A$2500)=DB$3)*(Gastos!$B$2:$B$2500=$A65)*(Gastos!$D$2:$D$2500))</f>
        <v>0</v>
      </c>
      <c r="DC65" s="75">
        <f t="array" ref="DC65">SUM((YEAR(Gastos!$A$2:$A$2500)=DC$1)*(MONTH(Gastos!$A$2:$A$2500)=DC$3)*(Gastos!$B$2:$B$2500=$A65)*(Gastos!$D$2:$D$2500))</f>
        <v>0</v>
      </c>
      <c r="DD65" s="75">
        <f t="array" ref="DD65">SUM((YEAR(Gastos!$A$2:$A$2500)=DD$1)*(MONTH(Gastos!$A$2:$A$2500)=DD$3)*(Gastos!$B$2:$B$2500=$A65)*(Gastos!$D$2:$D$2500))</f>
        <v>0</v>
      </c>
      <c r="DE65" s="75">
        <f t="array" ref="DE65">SUM((YEAR(Gastos!$A$2:$A$2500)=DE$1)*(MONTH(Gastos!$A$2:$A$2500)=DE$3)*(Gastos!$B$2:$B$2500=$A65)*(Gastos!$D$2:$D$2500))</f>
        <v>0</v>
      </c>
      <c r="DF65" s="75">
        <f t="array" ref="DF65">SUM((YEAR(Gastos!$A$2:$A$2500)=DF$1)*(MONTH(Gastos!$A$2:$A$2500)=DF$3)*(Gastos!$B$2:$B$2500=$A65)*(Gastos!$D$2:$D$2500))</f>
        <v>0</v>
      </c>
      <c r="DG65" s="75">
        <f t="array" ref="DG65">SUM((YEAR(Gastos!$A$2:$A$2500)=DG$1)*(MONTH(Gastos!$A$2:$A$2500)=DG$3)*(Gastos!$B$2:$B$2500=$A65)*(Gastos!$D$2:$D$2500))</f>
        <v>0</v>
      </c>
      <c r="DH65" s="75">
        <f t="array" ref="DH65">SUM((YEAR(Gastos!$A$2:$A$2500)=DH$1)*(MONTH(Gastos!$A$2:$A$2500)=DH$3)*(Gastos!$B$2:$B$2500=$A65)*(Gastos!$D$2:$D$2500))</f>
        <v>0</v>
      </c>
      <c r="DI65" s="75">
        <f t="array" ref="DI65">SUM((YEAR(Gastos!$A$2:$A$2500)=DI$1)*(MONTH(Gastos!$A$2:$A$2500)=DI$3)*(Gastos!$B$2:$B$2500=$A65)*(Gastos!$D$2:$D$2500))</f>
        <v>0</v>
      </c>
      <c r="DJ65" s="75">
        <f t="array" ref="DJ65">SUM((YEAR(Gastos!$A$2:$A$2500)=DJ$1)*(MONTH(Gastos!$A$2:$A$2500)=DJ$3)*(Gastos!$B$2:$B$2500=$A65)*(Gastos!$D$2:$D$2500))</f>
        <v>0</v>
      </c>
      <c r="DK65" s="75">
        <f t="array" ref="DK65">SUM((YEAR(Gastos!$A$2:$A$2500)=DK$1)*(MONTH(Gastos!$A$2:$A$2500)=DK$3)*(Gastos!$B$2:$B$2500=$A65)*(Gastos!$D$2:$D$2500))</f>
        <v>0</v>
      </c>
      <c r="DL65" s="75">
        <f t="array" ref="DL65">SUM((YEAR(Gastos!$A$2:$A$2500)=DL$1)*(MONTH(Gastos!$A$2:$A$2500)=DL$3)*(Gastos!$B$2:$B$2500=$A65)*(Gastos!$D$2:$D$2500))</f>
        <v>0</v>
      </c>
      <c r="DM65" s="75">
        <f t="array" ref="DM65">SUM((YEAR(Gastos!$A$2:$A$2500)=DM$1)*(MONTH(Gastos!$A$2:$A$2500)=DM$3)*(Gastos!$B$2:$B$2500=$A65)*(Gastos!$D$2:$D$2500))</f>
        <v>0</v>
      </c>
      <c r="DN65" s="75">
        <f t="array" ref="DN65">SUM((YEAR(Gastos!$A$2:$A$2500)=DN$1)*(MONTH(Gastos!$A$2:$A$2500)=DN$3)*(Gastos!$B$2:$B$2500=$A65)*(Gastos!$D$2:$D$2500))</f>
        <v>0</v>
      </c>
      <c r="DO65" s="75">
        <f t="array" ref="DO65">SUM((YEAR(Gastos!$A$2:$A$2500)=DO$1)*(MONTH(Gastos!$A$2:$A$2500)=DO$3)*(Gastos!$B$2:$B$2500=$A65)*(Gastos!$D$2:$D$2500))</f>
        <v>0</v>
      </c>
      <c r="DP65" s="75">
        <f t="array" ref="DP65">SUM((YEAR(Gastos!$A$2:$A$2500)=DP$1)*(MONTH(Gastos!$A$2:$A$2500)=DP$3)*(Gastos!$B$2:$B$2500=$A65)*(Gastos!$D$2:$D$2500))</f>
        <v>0</v>
      </c>
      <c r="DQ65" s="75">
        <f t="array" ref="DQ65">SUM((YEAR(Gastos!$A$2:$A$2500)=DQ$1)*(MONTH(Gastos!$A$2:$A$2500)=DQ$3)*(Gastos!$B$2:$B$2500=$A65)*(Gastos!$D$2:$D$2500))</f>
        <v>0</v>
      </c>
      <c r="DR65" s="75">
        <f t="array" ref="DR65">SUM((YEAR(Gastos!$A$2:$A$2500)=DR$1)*(MONTH(Gastos!$A$2:$A$2500)=DR$3)*(Gastos!$B$2:$B$2500=$A65)*(Gastos!$D$2:$D$2500))</f>
        <v>0</v>
      </c>
      <c r="DS65" s="75">
        <f t="array" ref="DS65">SUM((YEAR(Gastos!$A$2:$A$2500)=DS$1)*(MONTH(Gastos!$A$2:$A$2500)=DS$3)*(Gastos!$B$2:$B$2500=$A65)*(Gastos!$D$2:$D$2500))</f>
        <v>0</v>
      </c>
      <c r="DT65" s="75">
        <f t="array" ref="DT65">SUM((YEAR(Gastos!$A$2:$A$2500)=DT$1)*(MONTH(Gastos!$A$2:$A$2500)=DT$3)*(Gastos!$B$2:$B$2500=$A65)*(Gastos!$D$2:$D$2500))</f>
        <v>0</v>
      </c>
      <c r="DU65" s="75">
        <f t="array" ref="DU65">SUM((YEAR(Gastos!$A$2:$A$2500)=DU$1)*(MONTH(Gastos!$A$2:$A$2500)=DU$3)*(Gastos!$B$2:$B$2500=$A65)*(Gastos!$D$2:$D$2500))</f>
        <v>0</v>
      </c>
      <c r="DV65" s="75">
        <f t="array" ref="DV65">SUM((YEAR(Gastos!$A$2:$A$2500)=DV$1)*(MONTH(Gastos!$A$2:$A$2500)=DV$3)*(Gastos!$B$2:$B$2500=$A65)*(Gastos!$D$2:$D$2500))</f>
        <v>0</v>
      </c>
      <c r="DW65" s="75">
        <f t="array" ref="DW65">SUM((YEAR(Gastos!$A$2:$A$2500)=DW$1)*(MONTH(Gastos!$A$2:$A$2500)=DW$3)*(Gastos!$B$2:$B$2500=$A65)*(Gastos!$D$2:$D$2500))</f>
        <v>0</v>
      </c>
      <c r="DX65" s="75">
        <f t="array" ref="DX65">SUM((YEAR(Gastos!$A$2:$A$2500)=DX$1)*(MONTH(Gastos!$A$2:$A$2500)=DX$3)*(Gastos!$B$2:$B$2500=$A65)*(Gastos!$D$2:$D$2500))</f>
        <v>0</v>
      </c>
      <c r="DY65" s="75">
        <f t="array" ref="DY65">SUM((YEAR(Gastos!$A$2:$A$2500)=DY$1)*(MONTH(Gastos!$A$2:$A$2500)=DY$3)*(Gastos!$B$2:$B$2500=$A65)*(Gastos!$D$2:$D$2500))</f>
        <v>0</v>
      </c>
      <c r="DZ65" s="75">
        <f t="array" ref="DZ65">SUM((YEAR(Gastos!$A$2:$A$2500)=DZ$1)*(MONTH(Gastos!$A$2:$A$2500)=DZ$3)*(Gastos!$B$2:$B$2500=$A65)*(Gastos!$D$2:$D$2500))</f>
        <v>0</v>
      </c>
      <c r="EA65" s="75">
        <f t="array" ref="EA65">SUM((YEAR(Gastos!$A$2:$A$2500)=EA$1)*(MONTH(Gastos!$A$2:$A$2500)=EA$3)*(Gastos!$B$2:$B$2500=$A65)*(Gastos!$D$2:$D$2500))</f>
        <v>0</v>
      </c>
      <c r="EB65" s="75">
        <f t="array" ref="EB65">SUM((YEAR(Gastos!$A$2:$A$2500)=EB$1)*(MONTH(Gastos!$A$2:$A$2500)=EB$3)*(Gastos!$B$2:$B$2500=$A65)*(Gastos!$D$2:$D$2500))</f>
        <v>0</v>
      </c>
      <c r="EC65" s="75">
        <f t="array" ref="EC65">SUM((YEAR(Gastos!$A$2:$A$2500)=EC$1)*(MONTH(Gastos!$A$2:$A$2500)=EC$3)*(Gastos!$B$2:$B$2500=$A65)*(Gastos!$D$2:$D$2500))</f>
        <v>0</v>
      </c>
      <c r="ED65" s="75">
        <f t="array" ref="ED65">SUM((YEAR(Gastos!$A$2:$A$2500)=ED$1)*(MONTH(Gastos!$A$2:$A$2500)=ED$3)*(Gastos!$B$2:$B$2500=$A65)*(Gastos!$D$2:$D$2500))</f>
        <v>0</v>
      </c>
      <c r="EE65" s="75">
        <f t="array" ref="EE65">SUM((YEAR(Gastos!$A$2:$A$2500)=EE$1)*(MONTH(Gastos!$A$2:$A$2500)=EE$3)*(Gastos!$B$2:$B$2500=$A65)*(Gastos!$D$2:$D$2500))</f>
        <v>0</v>
      </c>
      <c r="EF65" s="75">
        <f t="array" ref="EF65">SUM((YEAR(Gastos!$A$2:$A$2500)=EF$1)*(MONTH(Gastos!$A$2:$A$2500)=EF$3)*(Gastos!$B$2:$B$2500=$A65)*(Gastos!$D$2:$D$2500))</f>
        <v>0</v>
      </c>
      <c r="EG65" s="75">
        <f t="array" ref="EG65">SUM((YEAR(Gastos!$A$2:$A$2500)=EG$1)*(MONTH(Gastos!$A$2:$A$2500)=EG$3)*(Gastos!$B$2:$B$2500=$A65)*(Gastos!$D$2:$D$2500))</f>
        <v>0</v>
      </c>
      <c r="EH65" s="75">
        <f t="array" ref="EH65">SUM((YEAR(Gastos!$A$2:$A$2500)=EH$1)*(MONTH(Gastos!$A$2:$A$2500)=EH$3)*(Gastos!$B$2:$B$2500=$A65)*(Gastos!$D$2:$D$2500))</f>
        <v>0</v>
      </c>
      <c r="EI65" s="75">
        <f t="array" ref="EI65">SUM((YEAR(Gastos!$A$2:$A$2500)=EI$1)*(MONTH(Gastos!$A$2:$A$2500)=EI$3)*(Gastos!$B$2:$B$2500=$A65)*(Gastos!$D$2:$D$2500))</f>
        <v>0</v>
      </c>
      <c r="EJ65" s="75">
        <f t="array" ref="EJ65">SUM((YEAR(Gastos!$A$2:$A$2500)=EJ$1)*(MONTH(Gastos!$A$2:$A$2500)=EJ$3)*(Gastos!$B$2:$B$2500=$A65)*(Gastos!$D$2:$D$2500))</f>
        <v>0</v>
      </c>
      <c r="EK65" s="75">
        <f t="array" ref="EK65">SUM((YEAR(Gastos!$A$2:$A$2500)=EK$1)*(MONTH(Gastos!$A$2:$A$2500)=EK$3)*(Gastos!$B$2:$B$2500=$A65)*(Gastos!$D$2:$D$2500))</f>
        <v>0</v>
      </c>
      <c r="EL65" s="75">
        <f t="array" ref="EL65">SUM((YEAR(Gastos!$A$2:$A$2500)=EL$1)*(MONTH(Gastos!$A$2:$A$2500)=EL$3)*(Gastos!$B$2:$B$2500=$A65)*(Gastos!$D$2:$D$2500))</f>
        <v>0</v>
      </c>
      <c r="EM65" s="75">
        <f t="array" ref="EM65">SUM((YEAR(Gastos!$A$2:$A$2500)=EM$1)*(MONTH(Gastos!$A$2:$A$2500)=EM$3)*(Gastos!$B$2:$B$2500=$A65)*(Gastos!$D$2:$D$2500))</f>
        <v>0</v>
      </c>
      <c r="EN65" s="75">
        <f t="array" ref="EN65">SUM((YEAR(Gastos!$A$2:$A$2500)=EN$1)*(MONTH(Gastos!$A$2:$A$2500)=EN$3)*(Gastos!$B$2:$B$2500=$A65)*(Gastos!$D$2:$D$2500))</f>
        <v>0</v>
      </c>
      <c r="EO65" s="75">
        <f t="array" ref="EO65">SUM((YEAR(Gastos!$A$2:$A$2500)=EO$1)*(MONTH(Gastos!$A$2:$A$2500)=EO$3)*(Gastos!$B$2:$B$2500=$A65)*(Gastos!$D$2:$D$2500))</f>
        <v>0</v>
      </c>
      <c r="EP65" s="75">
        <f t="array" ref="EP65">SUM((YEAR(Gastos!$A$2:$A$2500)=EP$1)*(MONTH(Gastos!$A$2:$A$2500)=EP$3)*(Gastos!$B$2:$B$2500=$A65)*(Gastos!$D$2:$D$2500))</f>
        <v>0</v>
      </c>
      <c r="EQ65" s="75">
        <f t="array" ref="EQ65">SUM((YEAR(Gastos!$A$2:$A$2500)=EQ$1)*(MONTH(Gastos!$A$2:$A$2500)=EQ$3)*(Gastos!$B$2:$B$2500=$A65)*(Gastos!$D$2:$D$2500))</f>
        <v>0</v>
      </c>
      <c r="ER65" s="75">
        <f t="array" ref="ER65">SUM((YEAR(Gastos!$A$2:$A$2500)=ER$1)*(MONTH(Gastos!$A$2:$A$2500)=ER$3)*(Gastos!$B$2:$B$2500=$A65)*(Gastos!$D$2:$D$2500))</f>
        <v>0</v>
      </c>
      <c r="ES65" s="75">
        <f t="array" ref="ES65">SUM((YEAR(Gastos!$A$2:$A$2500)=ES$1)*(MONTH(Gastos!$A$2:$A$2500)=ES$3)*(Gastos!$B$2:$B$2500=$A65)*(Gastos!$D$2:$D$2500))</f>
        <v>0</v>
      </c>
      <c r="ET65" s="75">
        <f t="array" ref="ET65">SUM((YEAR(Gastos!$A$2:$A$2500)=ET$1)*(MONTH(Gastos!$A$2:$A$2500)=ET$3)*(Gastos!$B$2:$B$2500=$A65)*(Gastos!$D$2:$D$2500))</f>
        <v>0</v>
      </c>
      <c r="EU65" s="75">
        <f t="array" ref="EU65">SUM((YEAR(Gastos!$A$2:$A$2500)=EU$1)*(MONTH(Gastos!$A$2:$A$2500)=EU$3)*(Gastos!$B$2:$B$2500=$A65)*(Gastos!$D$2:$D$2500))</f>
        <v>0</v>
      </c>
      <c r="EV65" s="75">
        <f t="array" ref="EV65">SUM((YEAR(Gastos!$A$2:$A$2500)=EV$1)*(MONTH(Gastos!$A$2:$A$2500)=EV$3)*(Gastos!$B$2:$B$2500=$A65)*(Gastos!$D$2:$D$2500))</f>
        <v>0</v>
      </c>
      <c r="EW65" s="75">
        <f t="array" ref="EW65">SUM((YEAR(Gastos!$A$2:$A$2500)=EW$1)*(MONTH(Gastos!$A$2:$A$2500)=EW$3)*(Gastos!$B$2:$B$2500=$A65)*(Gastos!$D$2:$D$2500))</f>
        <v>0</v>
      </c>
      <c r="EX65" s="75">
        <f t="array" ref="EX65">SUM((YEAR(Gastos!$A$2:$A$2500)=EX$1)*(MONTH(Gastos!$A$2:$A$2500)=EX$3)*(Gastos!$B$2:$B$2500=$A65)*(Gastos!$D$2:$D$2500))</f>
        <v>0</v>
      </c>
      <c r="EY65" s="75">
        <f t="array" ref="EY65">SUM((YEAR(Gastos!$A$2:$A$2500)=EY$1)*(MONTH(Gastos!$A$2:$A$2500)=EY$3)*(Gastos!$B$2:$B$2500=$A65)*(Gastos!$D$2:$D$2500))</f>
        <v>0</v>
      </c>
      <c r="EZ65" s="75">
        <f t="array" ref="EZ65">SUM((YEAR(Gastos!$A$2:$A$2500)=EZ$1)*(MONTH(Gastos!$A$2:$A$2500)=EZ$3)*(Gastos!$B$2:$B$2500=$A65)*(Gastos!$D$2:$D$2500))</f>
        <v>0</v>
      </c>
      <c r="FA65" s="75">
        <f t="array" ref="FA65">SUM((YEAR(Gastos!$A$2:$A$2500)=FA$1)*(MONTH(Gastos!$A$2:$A$2500)=FA$3)*(Gastos!$B$2:$B$2500=$A65)*(Gastos!$D$2:$D$2500))</f>
        <v>0</v>
      </c>
      <c r="FB65" s="75">
        <f t="array" ref="FB65">SUM((YEAR(Gastos!$A$2:$A$2500)=FB$1)*(MONTH(Gastos!$A$2:$A$2500)=FB$3)*(Gastos!$B$2:$B$2500=$A65)*(Gastos!$D$2:$D$2500))</f>
        <v>0</v>
      </c>
      <c r="FC65" s="75">
        <f t="array" ref="FC65">SUM((YEAR(Gastos!$A$2:$A$2500)=FC$1)*(MONTH(Gastos!$A$2:$A$2500)=FC$3)*(Gastos!$B$2:$B$2500=$A65)*(Gastos!$D$2:$D$2500))</f>
        <v>0</v>
      </c>
      <c r="FD65" s="75">
        <f t="array" ref="FD65">SUM((YEAR(Gastos!$A$2:$A$2500)=FD$1)*(MONTH(Gastos!$A$2:$A$2500)=FD$3)*(Gastos!$B$2:$B$2500=$A65)*(Gastos!$D$2:$D$2500))</f>
        <v>0</v>
      </c>
      <c r="FE65" s="75">
        <f t="array" ref="FE65">SUM((YEAR(Gastos!$A$2:$A$2500)=FE$1)*(MONTH(Gastos!$A$2:$A$2500)=FE$3)*(Gastos!$B$2:$B$2500=$A65)*(Gastos!$D$2:$D$2500))</f>
        <v>0</v>
      </c>
      <c r="FF65" s="75">
        <f t="array" ref="FF65">SUM((YEAR(Gastos!$A$2:$A$2500)=FF$1)*(MONTH(Gastos!$A$2:$A$2500)=FF$3)*(Gastos!$B$2:$B$2500=$A65)*(Gastos!$D$2:$D$2500))</f>
        <v>0</v>
      </c>
      <c r="FG65" s="75">
        <f t="array" ref="FG65">SUM((YEAR(Gastos!$A$2:$A$2500)=FG$1)*(MONTH(Gastos!$A$2:$A$2500)=FG$3)*(Gastos!$B$2:$B$2500=$A65)*(Gastos!$D$2:$D$2500))</f>
        <v>0</v>
      </c>
      <c r="FH65" s="75">
        <f t="array" ref="FH65">SUM((YEAR(Gastos!$A$2:$A$2500)=FH$1)*(MONTH(Gastos!$A$2:$A$2500)=FH$3)*(Gastos!$B$2:$B$2500=$A65)*(Gastos!$D$2:$D$2500))</f>
        <v>0</v>
      </c>
      <c r="FI65" s="75">
        <f t="array" ref="FI65">SUM((YEAR(Gastos!$A$2:$A$2500)=FI$1)*(MONTH(Gastos!$A$2:$A$2500)=FI$3)*(Gastos!$B$2:$B$2500=$A65)*(Gastos!$D$2:$D$2500))</f>
        <v>0</v>
      </c>
      <c r="FJ65" s="75">
        <f t="array" ref="FJ65">SUM((YEAR(Gastos!$A$2:$A$2500)=FJ$1)*(MONTH(Gastos!$A$2:$A$2500)=FJ$3)*(Gastos!$B$2:$B$2500=$A65)*(Gastos!$D$2:$D$2500))</f>
        <v>0</v>
      </c>
      <c r="FK65" s="75">
        <f t="array" ref="FK65">SUM((YEAR(Gastos!$A$2:$A$2500)=FK$1)*(MONTH(Gastos!$A$2:$A$2500)=FK$3)*(Gastos!$B$2:$B$2500=$A65)*(Gastos!$D$2:$D$2500))</f>
        <v>0</v>
      </c>
      <c r="FL65" s="75">
        <f t="array" ref="FL65">SUM((YEAR(Gastos!$A$2:$A$2500)=FL$1)*(MONTH(Gastos!$A$2:$A$2500)=FL$3)*(Gastos!$B$2:$B$2500=$A65)*(Gastos!$D$2:$D$2500))</f>
        <v>0</v>
      </c>
      <c r="FM65" s="75">
        <f t="array" ref="FM65">SUM((YEAR(Gastos!$A$2:$A$2500)=FM$1)*(MONTH(Gastos!$A$2:$A$2500)=FM$3)*(Gastos!$B$2:$B$2500=$A65)*(Gastos!$D$2:$D$2500))</f>
        <v>0</v>
      </c>
      <c r="FN65" s="75">
        <f t="array" ref="FN65">SUM((YEAR(Gastos!$A$2:$A$2500)=FN$1)*(MONTH(Gastos!$A$2:$A$2500)=FN$3)*(Gastos!$B$2:$B$2500=$A65)*(Gastos!$D$2:$D$2500))</f>
        <v>0</v>
      </c>
      <c r="FO65" s="75">
        <f t="array" ref="FO65">SUM((YEAR(Gastos!$A$2:$A$2500)=FO$1)*(MONTH(Gastos!$A$2:$A$2500)=FO$3)*(Gastos!$B$2:$B$2500=$A65)*(Gastos!$D$2:$D$2500))</f>
        <v>0</v>
      </c>
      <c r="FP65" s="75">
        <f t="array" ref="FP65">SUM((YEAR(Gastos!$A$2:$A$2500)=FP$1)*(MONTH(Gastos!$A$2:$A$2500)=FP$3)*(Gastos!$B$2:$B$2500=$A65)*(Gastos!$D$2:$D$2500))</f>
        <v>0</v>
      </c>
      <c r="FQ65" s="75">
        <f t="array" ref="FQ65">SUM((YEAR(Gastos!$A$2:$A$2500)=FQ$1)*(MONTH(Gastos!$A$2:$A$2500)=FQ$3)*(Gastos!$B$2:$B$2500=$A65)*(Gastos!$D$2:$D$2500))</f>
        <v>0</v>
      </c>
      <c r="FR65" s="75">
        <f t="array" ref="FR65">SUM((YEAR(Gastos!$A$2:$A$2500)=FR$1)*(MONTH(Gastos!$A$2:$A$2500)=FR$3)*(Gastos!$B$2:$B$2500=$A65)*(Gastos!$D$2:$D$2500))</f>
        <v>0</v>
      </c>
      <c r="FS65" s="75">
        <f t="array" ref="FS65">SUM((YEAR(Gastos!$A$2:$A$2500)=FS$1)*(MONTH(Gastos!$A$2:$A$2500)=FS$3)*(Gastos!$B$2:$B$2500=$A65)*(Gastos!$D$2:$D$2500))</f>
        <v>0</v>
      </c>
      <c r="FT65" s="75">
        <f t="array" ref="FT65">SUM((YEAR(Gastos!$A$2:$A$2500)=FT$1)*(MONTH(Gastos!$A$2:$A$2500)=FT$3)*(Gastos!$B$2:$B$2500=$A65)*(Gastos!$D$2:$D$2500))</f>
        <v>0</v>
      </c>
      <c r="FU65" s="75">
        <f t="array" ref="FU65">SUM((YEAR(Gastos!$A$2:$A$2500)=FU$1)*(MONTH(Gastos!$A$2:$A$2500)=FU$3)*(Gastos!$B$2:$B$2500=$A65)*(Gastos!$D$2:$D$2500))</f>
        <v>0</v>
      </c>
      <c r="FV65" s="75">
        <f t="array" ref="FV65">SUM((YEAR(Gastos!$A$2:$A$2500)=FV$1)*(MONTH(Gastos!$A$2:$A$2500)=FV$3)*(Gastos!$B$2:$B$2500=$A65)*(Gastos!$D$2:$D$2500))</f>
        <v>0</v>
      </c>
      <c r="FW65" s="75">
        <f t="array" ref="FW65">SUM((YEAR(Gastos!$A$2:$A$2500)=FW$1)*(MONTH(Gastos!$A$2:$A$2500)=FW$3)*(Gastos!$B$2:$B$2500=$A65)*(Gastos!$D$2:$D$2500))</f>
        <v>0</v>
      </c>
      <c r="FX65" s="75">
        <f t="array" ref="FX65">SUM((YEAR(Gastos!$A$2:$A$2500)=FX$1)*(MONTH(Gastos!$A$2:$A$2500)=FX$3)*(Gastos!$B$2:$B$2500=$A65)*(Gastos!$D$2:$D$2500))</f>
        <v>0</v>
      </c>
      <c r="FY65" s="75">
        <f t="array" ref="FY65">SUM((YEAR(Gastos!$A$2:$A$2500)=FY$1)*(MONTH(Gastos!$A$2:$A$2500)=FY$3)*(Gastos!$B$2:$B$2500=$A65)*(Gastos!$D$2:$D$2500))</f>
        <v>0</v>
      </c>
      <c r="FZ65" s="76">
        <f t="shared" si="65"/>
        <v>0</v>
      </c>
      <c r="GA65" s="80"/>
      <c r="GB65" s="82"/>
    </row>
    <row r="66" spans="1:184" ht="15" thickBot="1" x14ac:dyDescent="0.4">
      <c r="A66" s="74" t="str">
        <f>Gastos!AA64</f>
        <v>X</v>
      </c>
      <c r="B66" s="75">
        <f t="array" ref="B66">SUM((YEAR(Gastos!$A$2:$A$2500)=B$1)*(MONTH(Gastos!$A$2:$A$2500)=B$3)*(Gastos!$B$2:$B$2500=$A66)*(Gastos!$D$2:$D$2500))</f>
        <v>0</v>
      </c>
      <c r="C66" s="75">
        <f t="array" ref="C66">SUM((YEAR(Gastos!$A$2:$A$2500)=C$1)*(MONTH(Gastos!$A$2:$A$2500)=C$3)*(Gastos!$B$2:$B$2500=$A66)*(Gastos!$D$2:$D$2500))</f>
        <v>0</v>
      </c>
      <c r="D66" s="75">
        <f t="array" ref="D66">SUM((YEAR(Gastos!$A$2:$A$2500)=D$1)*(MONTH(Gastos!$A$2:$A$2500)=D$3)*(Gastos!$B$2:$B$2500=$A66)*(Gastos!$D$2:$D$2500))</f>
        <v>0</v>
      </c>
      <c r="E66" s="75">
        <f t="array" ref="E66">SUM((YEAR(Gastos!$A$2:$A$2500)=E$1)*(MONTH(Gastos!$A$2:$A$2500)=E$3)*(Gastos!$B$2:$B$2500=$A66)*(Gastos!$D$2:$D$2500))</f>
        <v>0</v>
      </c>
      <c r="F66" s="75">
        <f t="array" ref="F66">SUM((YEAR(Gastos!$A$2:$A$2500)=F$1)*(MONTH(Gastos!$A$2:$A$2500)=F$3)*(Gastos!$B$2:$B$2500=$A66)*(Gastos!$D$2:$D$2500))</f>
        <v>0</v>
      </c>
      <c r="G66" s="75">
        <f t="array" ref="G66">SUM((YEAR(Gastos!$A$2:$A$2500)=G$1)*(MONTH(Gastos!$A$2:$A$2500)=G$3)*(Gastos!$B$2:$B$2500=$A66)*(Gastos!$D$2:$D$2500))</f>
        <v>0</v>
      </c>
      <c r="H66" s="75">
        <f t="array" ref="H66">SUM((YEAR(Gastos!$A$2:$A$2500)=H$1)*(MONTH(Gastos!$A$2:$A$2500)=H$3)*(Gastos!$B$2:$B$2500=$A66)*(Gastos!$D$2:$D$2500))</f>
        <v>0</v>
      </c>
      <c r="I66" s="75">
        <f t="array" ref="I66">SUM((YEAR(Gastos!$A$2:$A$2500)=I$1)*(MONTH(Gastos!$A$2:$A$2500)=I$3)*(Gastos!$B$2:$B$2500=$A66)*(Gastos!$D$2:$D$2500))</f>
        <v>0</v>
      </c>
      <c r="J66" s="75">
        <f t="array" ref="J66">SUM((YEAR(Gastos!$A$2:$A$2500)=J$1)*(MONTH(Gastos!$A$2:$A$2500)=J$3)*(Gastos!$B$2:$B$2500=$A66)*(Gastos!$D$2:$D$2500))</f>
        <v>0</v>
      </c>
      <c r="K66" s="75">
        <f t="array" ref="K66">SUM((YEAR(Gastos!$A$2:$A$2500)=K$1)*(MONTH(Gastos!$A$2:$A$2500)=K$3)*(Gastos!$B$2:$B$2500=$A66)*(Gastos!$D$2:$D$2500))</f>
        <v>0</v>
      </c>
      <c r="L66" s="75">
        <f t="array" ref="L66">SUM((YEAR(Gastos!$A$2:$A$2500)=L$1)*(MONTH(Gastos!$A$2:$A$2500)=L$3)*(Gastos!$B$2:$B$2500=$A66)*(Gastos!$D$2:$D$2500))</f>
        <v>0</v>
      </c>
      <c r="M66" s="75">
        <f t="array" ref="M66">SUM((YEAR(Gastos!$A$2:$A$2500)=M$1)*(MONTH(Gastos!$A$2:$A$2500)=M$3)*(Gastos!$B$2:$B$2500=$A66)*(Gastos!$D$2:$D$2500))</f>
        <v>0</v>
      </c>
      <c r="N66" s="75">
        <f t="array" ref="N66">SUM((YEAR(Gastos!$A$2:$A$2500)=N$1)*(MONTH(Gastos!$A$2:$A$2500)=N$3)*(Gastos!$B$2:$B$2500=$A66)*(Gastos!$D$2:$D$2500))</f>
        <v>0</v>
      </c>
      <c r="O66" s="75">
        <f t="array" ref="O66">SUM((YEAR(Gastos!$A$2:$A$2500)=O$1)*(MONTH(Gastos!$A$2:$A$2500)=O$3)*(Gastos!$B$2:$B$2500=$A66)*(Gastos!$D$2:$D$2500))</f>
        <v>0</v>
      </c>
      <c r="P66" s="75">
        <f t="array" ref="P66">SUM((YEAR(Gastos!$A$2:$A$2500)=P$1)*(MONTH(Gastos!$A$2:$A$2500)=P$3)*(Gastos!$B$2:$B$2500=$A66)*(Gastos!$D$2:$D$2500))</f>
        <v>0</v>
      </c>
      <c r="Q66" s="75">
        <f t="array" ref="Q66">SUM((YEAR(Gastos!$A$2:$A$2500)=Q$1)*(MONTH(Gastos!$A$2:$A$2500)=Q$3)*(Gastos!$B$2:$B$2500=$A66)*(Gastos!$D$2:$D$2500))</f>
        <v>0</v>
      </c>
      <c r="R66" s="75">
        <f t="array" ref="R66">SUM((YEAR(Gastos!$A$2:$A$2500)=R$1)*(MONTH(Gastos!$A$2:$A$2500)=R$3)*(Gastos!$B$2:$B$2500=$A66)*(Gastos!$D$2:$D$2500))</f>
        <v>0</v>
      </c>
      <c r="S66" s="75">
        <f t="array" ref="S66">SUM((YEAR(Gastos!$A$2:$A$2500)=S$1)*(MONTH(Gastos!$A$2:$A$2500)=S$3)*(Gastos!$B$2:$B$2500=$A66)*(Gastos!$D$2:$D$2500))</f>
        <v>0</v>
      </c>
      <c r="T66" s="75">
        <f t="array" ref="T66">SUM((YEAR(Gastos!$A$2:$A$2500)=T$1)*(MONTH(Gastos!$A$2:$A$2500)=T$3)*(Gastos!$B$2:$B$2500=$A66)*(Gastos!$D$2:$D$2500))</f>
        <v>0</v>
      </c>
      <c r="U66" s="75">
        <f t="array" ref="U66">SUM((YEAR(Gastos!$A$2:$A$2500)=U$1)*(MONTH(Gastos!$A$2:$A$2500)=U$3)*(Gastos!$B$2:$B$2500=$A66)*(Gastos!$D$2:$D$2500))</f>
        <v>0</v>
      </c>
      <c r="V66" s="75">
        <f t="array" ref="V66">SUM((YEAR(Gastos!$A$2:$A$2500)=V$1)*(MONTH(Gastos!$A$2:$A$2500)=V$3)*(Gastos!$B$2:$B$2500=$A66)*(Gastos!$D$2:$D$2500))</f>
        <v>0</v>
      </c>
      <c r="W66" s="75">
        <f t="array" ref="W66">SUM((YEAR(Gastos!$A$2:$A$2500)=W$1)*(MONTH(Gastos!$A$2:$A$2500)=W$3)*(Gastos!$B$2:$B$2500=$A66)*(Gastos!$D$2:$D$2500))</f>
        <v>0</v>
      </c>
      <c r="X66" s="75">
        <f t="array" ref="X66">SUM((YEAR(Gastos!$A$2:$A$2500)=X$1)*(MONTH(Gastos!$A$2:$A$2500)=X$3)*(Gastos!$B$2:$B$2500=$A66)*(Gastos!$D$2:$D$2500))</f>
        <v>0</v>
      </c>
      <c r="Y66" s="75">
        <f t="array" ref="Y66">SUM((YEAR(Gastos!$A$2:$A$2500)=Y$1)*(MONTH(Gastos!$A$2:$A$2500)=Y$3)*(Gastos!$B$2:$B$2500=$A66)*(Gastos!$D$2:$D$2500))</f>
        <v>0</v>
      </c>
      <c r="Z66" s="75">
        <f t="array" ref="Z66">SUM((YEAR(Gastos!$A$2:$A$2500)=Z$1)*(MONTH(Gastos!$A$2:$A$2500)=Z$3)*(Gastos!$B$2:$B$2500=$A66)*(Gastos!$D$2:$D$2500))</f>
        <v>0</v>
      </c>
      <c r="AA66" s="75">
        <f t="array" ref="AA66">SUM((YEAR(Gastos!$A$2:$A$2500)=AA$1)*(MONTH(Gastos!$A$2:$A$2500)=AA$3)*(Gastos!$B$2:$B$2500=$A66)*(Gastos!$D$2:$D$2500))</f>
        <v>0</v>
      </c>
      <c r="AB66" s="75">
        <f t="array" ref="AB66">SUM((YEAR(Gastos!$A$2:$A$2500)=AB$1)*(MONTH(Gastos!$A$2:$A$2500)=AB$3)*(Gastos!$B$2:$B$2500=$A66)*(Gastos!$D$2:$D$2500))</f>
        <v>0</v>
      </c>
      <c r="AC66" s="75">
        <f t="array" ref="AC66">SUM((YEAR(Gastos!$A$2:$A$2500)=AC$1)*(MONTH(Gastos!$A$2:$A$2500)=AC$3)*(Gastos!$B$2:$B$2500=$A66)*(Gastos!$D$2:$D$2500))</f>
        <v>0</v>
      </c>
      <c r="AD66" s="75">
        <f t="array" ref="AD66">SUM((YEAR(Gastos!$A$2:$A$2500)=AD$1)*(MONTH(Gastos!$A$2:$A$2500)=AD$3)*(Gastos!$B$2:$B$2500=$A66)*(Gastos!$D$2:$D$2500))</f>
        <v>0</v>
      </c>
      <c r="AE66" s="75">
        <f t="array" ref="AE66">SUM((YEAR(Gastos!$A$2:$A$2500)=AE$1)*(MONTH(Gastos!$A$2:$A$2500)=AE$3)*(Gastos!$B$2:$B$2500=$A66)*(Gastos!$D$2:$D$2500))</f>
        <v>0</v>
      </c>
      <c r="AF66" s="75">
        <f t="array" ref="AF66">SUM((YEAR(Gastos!$A$2:$A$2500)=AF$1)*(MONTH(Gastos!$A$2:$A$2500)=AF$3)*(Gastos!$B$2:$B$2500=$A66)*(Gastos!$D$2:$D$2500))</f>
        <v>0</v>
      </c>
      <c r="AG66" s="75">
        <f t="array" ref="AG66">SUM((YEAR(Gastos!$A$2:$A$2500)=AG$1)*(MONTH(Gastos!$A$2:$A$2500)=AG$3)*(Gastos!$B$2:$B$2500=$A66)*(Gastos!$D$2:$D$2500))</f>
        <v>0</v>
      </c>
      <c r="AH66" s="75">
        <f t="array" ref="AH66">SUM((YEAR(Gastos!$A$2:$A$2500)=AH$1)*(MONTH(Gastos!$A$2:$A$2500)=AH$3)*(Gastos!$B$2:$B$2500=$A66)*(Gastos!$D$2:$D$2500))</f>
        <v>0</v>
      </c>
      <c r="AI66" s="75">
        <f t="array" ref="AI66">SUM((YEAR(Gastos!$A$2:$A$2500)=AI$1)*(MONTH(Gastos!$A$2:$A$2500)=AI$3)*(Gastos!$B$2:$B$2500=$A66)*(Gastos!$D$2:$D$2500))</f>
        <v>0</v>
      </c>
      <c r="AJ66" s="75">
        <f t="array" ref="AJ66">SUM((YEAR(Gastos!$A$2:$A$2500)=AJ$1)*(MONTH(Gastos!$A$2:$A$2500)=AJ$3)*(Gastos!$B$2:$B$2500=$A66)*(Gastos!$D$2:$D$2500))</f>
        <v>0</v>
      </c>
      <c r="AK66" s="75">
        <f t="array" ref="AK66">SUM((YEAR(Gastos!$A$2:$A$2500)=AK$1)*(MONTH(Gastos!$A$2:$A$2500)=AK$3)*(Gastos!$B$2:$B$2500=$A66)*(Gastos!$D$2:$D$2500))</f>
        <v>0</v>
      </c>
      <c r="AL66" s="75">
        <f t="array" ref="AL66">SUM((YEAR(Gastos!$A$2:$A$2500)=AL$1)*(MONTH(Gastos!$A$2:$A$2500)=AL$3)*(Gastos!$B$2:$B$2500=$A66)*(Gastos!$D$2:$D$2500))</f>
        <v>0</v>
      </c>
      <c r="AM66" s="75">
        <f t="array" ref="AM66">SUM((YEAR(Gastos!$A$2:$A$2500)=AM$1)*(MONTH(Gastos!$A$2:$A$2500)=AM$3)*(Gastos!$B$2:$B$2500=$A66)*(Gastos!$D$2:$D$2500))</f>
        <v>0</v>
      </c>
      <c r="AN66" s="75">
        <f t="array" ref="AN66">SUM((YEAR(Gastos!$A$2:$A$2500)=AN$1)*(MONTH(Gastos!$A$2:$A$2500)=AN$3)*(Gastos!$B$2:$B$2500=$A66)*(Gastos!$D$2:$D$2500))</f>
        <v>0</v>
      </c>
      <c r="AO66" s="75">
        <f t="array" ref="AO66">SUM((YEAR(Gastos!$A$2:$A$2500)=AO$1)*(MONTH(Gastos!$A$2:$A$2500)=AO$3)*(Gastos!$B$2:$B$2500=$A66)*(Gastos!$D$2:$D$2500))</f>
        <v>0</v>
      </c>
      <c r="AP66" s="75">
        <f t="array" ref="AP66">SUM((YEAR(Gastos!$A$2:$A$2500)=AP$1)*(MONTH(Gastos!$A$2:$A$2500)=AP$3)*(Gastos!$B$2:$B$2500=$A66)*(Gastos!$D$2:$D$2500))</f>
        <v>0</v>
      </c>
      <c r="AQ66" s="75">
        <f t="array" ref="AQ66">SUM((YEAR(Gastos!$A$2:$A$2500)=AQ$1)*(MONTH(Gastos!$A$2:$A$2500)=AQ$3)*(Gastos!$B$2:$B$2500=$A66)*(Gastos!$D$2:$D$2500))</f>
        <v>0</v>
      </c>
      <c r="AR66" s="75">
        <f t="array" ref="AR66">SUM((YEAR(Gastos!$A$2:$A$2500)=AR$1)*(MONTH(Gastos!$A$2:$A$2500)=AR$3)*(Gastos!$B$2:$B$2500=$A66)*(Gastos!$D$2:$D$2500))</f>
        <v>0</v>
      </c>
      <c r="AS66" s="75">
        <f t="array" ref="AS66">SUM((YEAR(Gastos!$A$2:$A$2500)=AS$1)*(MONTH(Gastos!$A$2:$A$2500)=AS$3)*(Gastos!$B$2:$B$2500=$A66)*(Gastos!$D$2:$D$2500))</f>
        <v>0</v>
      </c>
      <c r="AT66" s="75">
        <f t="array" ref="AT66">SUM((YEAR(Gastos!$A$2:$A$2500)=AT$1)*(MONTH(Gastos!$A$2:$A$2500)=AT$3)*(Gastos!$B$2:$B$2500=$A66)*(Gastos!$D$2:$D$2500))</f>
        <v>0</v>
      </c>
      <c r="AU66" s="75">
        <f t="array" ref="AU66">SUM((YEAR(Gastos!$A$2:$A$2500)=AU$1)*(MONTH(Gastos!$A$2:$A$2500)=AU$3)*(Gastos!$B$2:$B$2500=$A66)*(Gastos!$D$2:$D$2500))</f>
        <v>0</v>
      </c>
      <c r="AV66" s="75">
        <f t="array" ref="AV66">SUM((YEAR(Gastos!$A$2:$A$2500)=AV$1)*(MONTH(Gastos!$A$2:$A$2500)=AV$3)*(Gastos!$B$2:$B$2500=$A66)*(Gastos!$D$2:$D$2500))</f>
        <v>0</v>
      </c>
      <c r="AW66" s="75">
        <f t="array" ref="AW66">SUM((YEAR(Gastos!$A$2:$A$2500)=AW$1)*(MONTH(Gastos!$A$2:$A$2500)=AW$3)*(Gastos!$B$2:$B$2500=$A66)*(Gastos!$D$2:$D$2500))</f>
        <v>0</v>
      </c>
      <c r="AX66" s="75">
        <f t="array" ref="AX66">SUM((YEAR(Gastos!$A$2:$A$2500)=AX$1)*(MONTH(Gastos!$A$2:$A$2500)=AX$3)*(Gastos!$B$2:$B$2500=$A66)*(Gastos!$D$2:$D$2500))</f>
        <v>0</v>
      </c>
      <c r="AY66" s="75">
        <f t="array" ref="AY66">SUM((YEAR(Gastos!$A$2:$A$2500)=AY$1)*(MONTH(Gastos!$A$2:$A$2500)=AY$3)*(Gastos!$B$2:$B$2500=$A66)*(Gastos!$D$2:$D$2500))</f>
        <v>0</v>
      </c>
      <c r="AZ66" s="75">
        <f t="array" ref="AZ66">SUM((YEAR(Gastos!$A$2:$A$2500)=AZ$1)*(MONTH(Gastos!$A$2:$A$2500)=AZ$3)*(Gastos!$B$2:$B$2500=$A66)*(Gastos!$D$2:$D$2500))</f>
        <v>0</v>
      </c>
      <c r="BA66" s="75">
        <f t="array" ref="BA66">SUM((YEAR(Gastos!$A$2:$A$2500)=BA$1)*(MONTH(Gastos!$A$2:$A$2500)=BA$3)*(Gastos!$B$2:$B$2500=$A66)*(Gastos!$D$2:$D$2500))</f>
        <v>0</v>
      </c>
      <c r="BB66" s="75">
        <f t="array" ref="BB66">SUM((YEAR(Gastos!$A$2:$A$2500)=BB$1)*(MONTH(Gastos!$A$2:$A$2500)=BB$3)*(Gastos!$B$2:$B$2500=$A66)*(Gastos!$D$2:$D$2500))</f>
        <v>0</v>
      </c>
      <c r="BC66" s="75">
        <f t="array" ref="BC66">SUM((YEAR(Gastos!$A$2:$A$2500)=BC$1)*(MONTH(Gastos!$A$2:$A$2500)=BC$3)*(Gastos!$B$2:$B$2500=$A66)*(Gastos!$D$2:$D$2500))</f>
        <v>0</v>
      </c>
      <c r="BD66" s="75">
        <f t="array" ref="BD66">SUM((YEAR(Gastos!$A$2:$A$2500)=BD$1)*(MONTH(Gastos!$A$2:$A$2500)=BD$3)*(Gastos!$B$2:$B$2500=$A66)*(Gastos!$D$2:$D$2500))</f>
        <v>0</v>
      </c>
      <c r="BE66" s="75">
        <f t="array" ref="BE66">SUM((YEAR(Gastos!$A$2:$A$2500)=BE$1)*(MONTH(Gastos!$A$2:$A$2500)=BE$3)*(Gastos!$B$2:$B$2500=$A66)*(Gastos!$D$2:$D$2500))</f>
        <v>0</v>
      </c>
      <c r="BF66" s="75">
        <f t="array" ref="BF66">SUM((YEAR(Gastos!$A$2:$A$2500)=BF$1)*(MONTH(Gastos!$A$2:$A$2500)=BF$3)*(Gastos!$B$2:$B$2500=$A66)*(Gastos!$D$2:$D$2500))</f>
        <v>0</v>
      </c>
      <c r="BG66" s="75">
        <f t="array" ref="BG66">SUM((YEAR(Gastos!$A$2:$A$2500)=BG$1)*(MONTH(Gastos!$A$2:$A$2500)=BG$3)*(Gastos!$B$2:$B$2500=$A66)*(Gastos!$D$2:$D$2500))</f>
        <v>0</v>
      </c>
      <c r="BH66" s="75">
        <f t="array" ref="BH66">SUM((YEAR(Gastos!$A$2:$A$2500)=BH$1)*(MONTH(Gastos!$A$2:$A$2500)=BH$3)*(Gastos!$B$2:$B$2500=$A66)*(Gastos!$D$2:$D$2500))</f>
        <v>0</v>
      </c>
      <c r="BI66" s="75">
        <f t="array" ref="BI66">SUM((YEAR(Gastos!$A$2:$A$2500)=BI$1)*(MONTH(Gastos!$A$2:$A$2500)=BI$3)*(Gastos!$B$2:$B$2500=$A66)*(Gastos!$D$2:$D$2500))</f>
        <v>0</v>
      </c>
      <c r="BJ66" s="75">
        <f t="array" ref="BJ66">SUM((YEAR(Gastos!$A$2:$A$2500)=BJ$1)*(MONTH(Gastos!$A$2:$A$2500)=BJ$3)*(Gastos!$B$2:$B$2500=$A66)*(Gastos!$D$2:$D$2500))</f>
        <v>0</v>
      </c>
      <c r="BK66" s="75">
        <f t="array" ref="BK66">SUM((YEAR(Gastos!$A$2:$A$2500)=BK$1)*(MONTH(Gastos!$A$2:$A$2500)=BK$3)*(Gastos!$B$2:$B$2500=$A66)*(Gastos!$D$2:$D$2500))</f>
        <v>0</v>
      </c>
      <c r="BL66" s="75">
        <f t="array" ref="BL66">SUM((YEAR(Gastos!$A$2:$A$2500)=BL$1)*(MONTH(Gastos!$A$2:$A$2500)=BL$3)*(Gastos!$B$2:$B$2500=$A66)*(Gastos!$D$2:$D$2500))</f>
        <v>0</v>
      </c>
      <c r="BM66" s="75">
        <f t="array" ref="BM66">SUM((YEAR(Gastos!$A$2:$A$2500)=BM$1)*(MONTH(Gastos!$A$2:$A$2500)=BM$3)*(Gastos!$B$2:$B$2500=$A66)*(Gastos!$D$2:$D$2500))</f>
        <v>0</v>
      </c>
      <c r="BN66" s="75">
        <f t="array" ref="BN66">SUM((YEAR(Gastos!$A$2:$A$2500)=BN$1)*(MONTH(Gastos!$A$2:$A$2500)=BN$3)*(Gastos!$B$2:$B$2500=$A66)*(Gastos!$D$2:$D$2500))</f>
        <v>0</v>
      </c>
      <c r="BO66" s="75">
        <f t="array" ref="BO66">SUM((YEAR(Gastos!$A$2:$A$2500)=BO$1)*(MONTH(Gastos!$A$2:$A$2500)=BO$3)*(Gastos!$B$2:$B$2500=$A66)*(Gastos!$D$2:$D$2500))</f>
        <v>0</v>
      </c>
      <c r="BP66" s="75">
        <f t="array" ref="BP66">SUM((YEAR(Gastos!$A$2:$A$2500)=BP$1)*(MONTH(Gastos!$A$2:$A$2500)=BP$3)*(Gastos!$B$2:$B$2500=$A66)*(Gastos!$D$2:$D$2500))</f>
        <v>0</v>
      </c>
      <c r="BQ66" s="75">
        <f t="array" ref="BQ66">SUM((YEAR(Gastos!$A$2:$A$2500)=BQ$1)*(MONTH(Gastos!$A$2:$A$2500)=BQ$3)*(Gastos!$B$2:$B$2500=$A66)*(Gastos!$D$2:$D$2500))</f>
        <v>0</v>
      </c>
      <c r="BR66" s="75">
        <f t="array" ref="BR66">SUM((YEAR(Gastos!$A$2:$A$2500)=BR$1)*(MONTH(Gastos!$A$2:$A$2500)=BR$3)*(Gastos!$B$2:$B$2500=$A66)*(Gastos!$D$2:$D$2500))</f>
        <v>0</v>
      </c>
      <c r="BS66" s="75">
        <f t="array" ref="BS66">SUM((YEAR(Gastos!$A$2:$A$2500)=BS$1)*(MONTH(Gastos!$A$2:$A$2500)=BS$3)*(Gastos!$B$2:$B$2500=$A66)*(Gastos!$D$2:$D$2500))</f>
        <v>0</v>
      </c>
      <c r="BT66" s="75">
        <f t="array" ref="BT66">SUM((YEAR(Gastos!$A$2:$A$2500)=BT$1)*(MONTH(Gastos!$A$2:$A$2500)=BT$3)*(Gastos!$B$2:$B$2500=$A66)*(Gastos!$D$2:$D$2500))</f>
        <v>0</v>
      </c>
      <c r="BU66" s="75">
        <f t="array" ref="BU66">SUM((YEAR(Gastos!$A$2:$A$2500)=BU$1)*(MONTH(Gastos!$A$2:$A$2500)=BU$3)*(Gastos!$B$2:$B$2500=$A66)*(Gastos!$D$2:$D$2500))</f>
        <v>0</v>
      </c>
      <c r="BV66" s="75">
        <f t="array" ref="BV66">SUM((YEAR(Gastos!$A$2:$A$2500)=BV$1)*(MONTH(Gastos!$A$2:$A$2500)=BV$3)*(Gastos!$B$2:$B$2500=$A66)*(Gastos!$D$2:$D$2500))</f>
        <v>0</v>
      </c>
      <c r="BW66" s="75">
        <f t="array" ref="BW66">SUM((YEAR(Gastos!$A$2:$A$2500)=BW$1)*(MONTH(Gastos!$A$2:$A$2500)=BW$3)*(Gastos!$B$2:$B$2500=$A66)*(Gastos!$D$2:$D$2500))</f>
        <v>0</v>
      </c>
      <c r="BX66" s="75">
        <f t="array" ref="BX66">SUM((YEAR(Gastos!$A$2:$A$2500)=BX$1)*(MONTH(Gastos!$A$2:$A$2500)=BX$3)*(Gastos!$B$2:$B$2500=$A66)*(Gastos!$D$2:$D$2500))</f>
        <v>0</v>
      </c>
      <c r="BY66" s="75">
        <f t="array" ref="BY66">SUM((YEAR(Gastos!$A$2:$A$2500)=BY$1)*(MONTH(Gastos!$A$2:$A$2500)=BY$3)*(Gastos!$B$2:$B$2500=$A66)*(Gastos!$D$2:$D$2500))</f>
        <v>0</v>
      </c>
      <c r="BZ66" s="75">
        <f t="array" ref="BZ66">SUM((YEAR(Gastos!$A$2:$A$2500)=BZ$1)*(MONTH(Gastos!$A$2:$A$2500)=BZ$3)*(Gastos!$B$2:$B$2500=$A66)*(Gastos!$D$2:$D$2500))</f>
        <v>0</v>
      </c>
      <c r="CA66" s="75">
        <f t="array" ref="CA66">SUM((YEAR(Gastos!$A$2:$A$2500)=CA$1)*(MONTH(Gastos!$A$2:$A$2500)=CA$3)*(Gastos!$B$2:$B$2500=$A66)*(Gastos!$D$2:$D$2500))</f>
        <v>0</v>
      </c>
      <c r="CB66" s="75">
        <f t="array" ref="CB66">SUM((YEAR(Gastos!$A$2:$A$2500)=CB$1)*(MONTH(Gastos!$A$2:$A$2500)=CB$3)*(Gastos!$B$2:$B$2500=$A66)*(Gastos!$D$2:$D$2500))</f>
        <v>0</v>
      </c>
      <c r="CC66" s="75">
        <f t="array" ref="CC66">SUM((YEAR(Gastos!$A$2:$A$2500)=CC$1)*(MONTH(Gastos!$A$2:$A$2500)=CC$3)*(Gastos!$B$2:$B$2500=$A66)*(Gastos!$D$2:$D$2500))</f>
        <v>0</v>
      </c>
      <c r="CD66" s="75">
        <f t="array" ref="CD66">SUM((YEAR(Gastos!$A$2:$A$2500)=CD$1)*(MONTH(Gastos!$A$2:$A$2500)=CD$3)*(Gastos!$B$2:$B$2500=$A66)*(Gastos!$D$2:$D$2500))</f>
        <v>0</v>
      </c>
      <c r="CE66" s="75">
        <f t="array" ref="CE66">SUM((YEAR(Gastos!$A$2:$A$2500)=CE$1)*(MONTH(Gastos!$A$2:$A$2500)=CE$3)*(Gastos!$B$2:$B$2500=$A66)*(Gastos!$D$2:$D$2500))</f>
        <v>0</v>
      </c>
      <c r="CF66" s="75">
        <f t="array" ref="CF66">SUM((YEAR(Gastos!$A$2:$A$2500)=CF$1)*(MONTH(Gastos!$A$2:$A$2500)=CF$3)*(Gastos!$B$2:$B$2500=$A66)*(Gastos!$D$2:$D$2500))</f>
        <v>0</v>
      </c>
      <c r="CG66" s="75">
        <f t="array" ref="CG66">SUM((YEAR(Gastos!$A$2:$A$2500)=CG$1)*(MONTH(Gastos!$A$2:$A$2500)=CG$3)*(Gastos!$B$2:$B$2500=$A66)*(Gastos!$D$2:$D$2500))</f>
        <v>0</v>
      </c>
      <c r="CH66" s="75">
        <f t="array" ref="CH66">SUM((YEAR(Gastos!$A$2:$A$2500)=CH$1)*(MONTH(Gastos!$A$2:$A$2500)=CH$3)*(Gastos!$B$2:$B$2500=$A66)*(Gastos!$D$2:$D$2500))</f>
        <v>0</v>
      </c>
      <c r="CI66" s="75">
        <f t="array" ref="CI66">SUM((YEAR(Gastos!$A$2:$A$2500)=CI$1)*(MONTH(Gastos!$A$2:$A$2500)=CI$3)*(Gastos!$B$2:$B$2500=$A66)*(Gastos!$D$2:$D$2500))</f>
        <v>0</v>
      </c>
      <c r="CJ66" s="75">
        <f t="array" ref="CJ66">SUM((YEAR(Gastos!$A$2:$A$2500)=CJ$1)*(MONTH(Gastos!$A$2:$A$2500)=CJ$3)*(Gastos!$B$2:$B$2500=$A66)*(Gastos!$D$2:$D$2500))</f>
        <v>0</v>
      </c>
      <c r="CK66" s="75">
        <f t="array" ref="CK66">SUM((YEAR(Gastos!$A$2:$A$2500)=CK$1)*(MONTH(Gastos!$A$2:$A$2500)=CK$3)*(Gastos!$B$2:$B$2500=$A66)*(Gastos!$D$2:$D$2500))</f>
        <v>0</v>
      </c>
      <c r="CL66" s="75">
        <f t="array" ref="CL66">SUM((YEAR(Gastos!$A$2:$A$2500)=CL$1)*(MONTH(Gastos!$A$2:$A$2500)=CL$3)*(Gastos!$B$2:$B$2500=$A66)*(Gastos!$D$2:$D$2500))</f>
        <v>0</v>
      </c>
      <c r="CM66" s="75">
        <f t="array" ref="CM66">SUM((YEAR(Gastos!$A$2:$A$2500)=CM$1)*(MONTH(Gastos!$A$2:$A$2500)=CM$3)*(Gastos!$B$2:$B$2500=$A66)*(Gastos!$D$2:$D$2500))</f>
        <v>0</v>
      </c>
      <c r="CN66" s="75">
        <f t="array" ref="CN66">SUM((YEAR(Gastos!$A$2:$A$2500)=CN$1)*(MONTH(Gastos!$A$2:$A$2500)=CN$3)*(Gastos!$B$2:$B$2500=$A66)*(Gastos!$D$2:$D$2500))</f>
        <v>0</v>
      </c>
      <c r="CO66" s="75">
        <f t="array" ref="CO66">SUM((YEAR(Gastos!$A$2:$A$2500)=CO$1)*(MONTH(Gastos!$A$2:$A$2500)=CO$3)*(Gastos!$B$2:$B$2500=$A66)*(Gastos!$D$2:$D$2500))</f>
        <v>0</v>
      </c>
      <c r="CP66" s="75">
        <f t="array" ref="CP66">SUM((YEAR(Gastos!$A$2:$A$2500)=CP$1)*(MONTH(Gastos!$A$2:$A$2500)=CP$3)*(Gastos!$B$2:$B$2500=$A66)*(Gastos!$D$2:$D$2500))</f>
        <v>0</v>
      </c>
      <c r="CQ66" s="75">
        <f t="array" ref="CQ66">SUM((YEAR(Gastos!$A$2:$A$2500)=CQ$1)*(MONTH(Gastos!$A$2:$A$2500)=CQ$3)*(Gastos!$B$2:$B$2500=$A66)*(Gastos!$D$2:$D$2500))</f>
        <v>0</v>
      </c>
      <c r="CR66" s="75">
        <f t="array" ref="CR66">SUM((YEAR(Gastos!$A$2:$A$2500)=CR$1)*(MONTH(Gastos!$A$2:$A$2500)=CR$3)*(Gastos!$B$2:$B$2500=$A66)*(Gastos!$D$2:$D$2500))</f>
        <v>0</v>
      </c>
      <c r="CS66" s="75">
        <f t="array" ref="CS66">SUM((YEAR(Gastos!$A$2:$A$2500)=CS$1)*(MONTH(Gastos!$A$2:$A$2500)=CS$3)*(Gastos!$B$2:$B$2500=$A66)*(Gastos!$D$2:$D$2500))</f>
        <v>0</v>
      </c>
      <c r="CT66" s="75">
        <f t="array" ref="CT66">SUM((YEAR(Gastos!$A$2:$A$2500)=CT$1)*(MONTH(Gastos!$A$2:$A$2500)=CT$3)*(Gastos!$B$2:$B$2500=$A66)*(Gastos!$D$2:$D$2500))</f>
        <v>0</v>
      </c>
      <c r="CU66" s="75">
        <f t="array" ref="CU66">SUM((YEAR(Gastos!$A$2:$A$2500)=CU$1)*(MONTH(Gastos!$A$2:$A$2500)=CU$3)*(Gastos!$B$2:$B$2500=$A66)*(Gastos!$D$2:$D$2500))</f>
        <v>0</v>
      </c>
      <c r="CV66" s="75">
        <f t="array" ref="CV66">SUM((YEAR(Gastos!$A$2:$A$2500)=CV$1)*(MONTH(Gastos!$A$2:$A$2500)=CV$3)*(Gastos!$B$2:$B$2500=$A66)*(Gastos!$D$2:$D$2500))</f>
        <v>0</v>
      </c>
      <c r="CW66" s="75">
        <f t="array" ref="CW66">SUM((YEAR(Gastos!$A$2:$A$2500)=CW$1)*(MONTH(Gastos!$A$2:$A$2500)=CW$3)*(Gastos!$B$2:$B$2500=$A66)*(Gastos!$D$2:$D$2500))</f>
        <v>0</v>
      </c>
      <c r="CX66" s="75">
        <f t="array" ref="CX66">SUM((YEAR(Gastos!$A$2:$A$2500)=CX$1)*(MONTH(Gastos!$A$2:$A$2500)=CX$3)*(Gastos!$B$2:$B$2500=$A66)*(Gastos!$D$2:$D$2500))</f>
        <v>0</v>
      </c>
      <c r="CY66" s="75">
        <f t="array" ref="CY66">SUM((YEAR(Gastos!$A$2:$A$2500)=CY$1)*(MONTH(Gastos!$A$2:$A$2500)=CY$3)*(Gastos!$B$2:$B$2500=$A66)*(Gastos!$D$2:$D$2500))</f>
        <v>0</v>
      </c>
      <c r="CZ66" s="75">
        <f t="array" ref="CZ66">SUM((YEAR(Gastos!$A$2:$A$2500)=CZ$1)*(MONTH(Gastos!$A$2:$A$2500)=CZ$3)*(Gastos!$B$2:$B$2500=$A66)*(Gastos!$D$2:$D$2500))</f>
        <v>0</v>
      </c>
      <c r="DA66" s="75">
        <f t="array" ref="DA66">SUM((YEAR(Gastos!$A$2:$A$2500)=DA$1)*(MONTH(Gastos!$A$2:$A$2500)=DA$3)*(Gastos!$B$2:$B$2500=$A66)*(Gastos!$D$2:$D$2500))</f>
        <v>0</v>
      </c>
      <c r="DB66" s="75">
        <f t="array" ref="DB66">SUM((YEAR(Gastos!$A$2:$A$2500)=DB$1)*(MONTH(Gastos!$A$2:$A$2500)=DB$3)*(Gastos!$B$2:$B$2500=$A66)*(Gastos!$D$2:$D$2500))</f>
        <v>0</v>
      </c>
      <c r="DC66" s="75">
        <f t="array" ref="DC66">SUM((YEAR(Gastos!$A$2:$A$2500)=DC$1)*(MONTH(Gastos!$A$2:$A$2500)=DC$3)*(Gastos!$B$2:$B$2500=$A66)*(Gastos!$D$2:$D$2500))</f>
        <v>0</v>
      </c>
      <c r="DD66" s="75">
        <f t="array" ref="DD66">SUM((YEAR(Gastos!$A$2:$A$2500)=DD$1)*(MONTH(Gastos!$A$2:$A$2500)=DD$3)*(Gastos!$B$2:$B$2500=$A66)*(Gastos!$D$2:$D$2500))</f>
        <v>0</v>
      </c>
      <c r="DE66" s="75">
        <f t="array" ref="DE66">SUM((YEAR(Gastos!$A$2:$A$2500)=DE$1)*(MONTH(Gastos!$A$2:$A$2500)=DE$3)*(Gastos!$B$2:$B$2500=$A66)*(Gastos!$D$2:$D$2500))</f>
        <v>0</v>
      </c>
      <c r="DF66" s="75">
        <f t="array" ref="DF66">SUM((YEAR(Gastos!$A$2:$A$2500)=DF$1)*(MONTH(Gastos!$A$2:$A$2500)=DF$3)*(Gastos!$B$2:$B$2500=$A66)*(Gastos!$D$2:$D$2500))</f>
        <v>0</v>
      </c>
      <c r="DG66" s="75">
        <f t="array" ref="DG66">SUM((YEAR(Gastos!$A$2:$A$2500)=DG$1)*(MONTH(Gastos!$A$2:$A$2500)=DG$3)*(Gastos!$B$2:$B$2500=$A66)*(Gastos!$D$2:$D$2500))</f>
        <v>0</v>
      </c>
      <c r="DH66" s="75">
        <f t="array" ref="DH66">SUM((YEAR(Gastos!$A$2:$A$2500)=DH$1)*(MONTH(Gastos!$A$2:$A$2500)=DH$3)*(Gastos!$B$2:$B$2500=$A66)*(Gastos!$D$2:$D$2500))</f>
        <v>0</v>
      </c>
      <c r="DI66" s="75">
        <f t="array" ref="DI66">SUM((YEAR(Gastos!$A$2:$A$2500)=DI$1)*(MONTH(Gastos!$A$2:$A$2500)=DI$3)*(Gastos!$B$2:$B$2500=$A66)*(Gastos!$D$2:$D$2500))</f>
        <v>0</v>
      </c>
      <c r="DJ66" s="75">
        <f t="array" ref="DJ66">SUM((YEAR(Gastos!$A$2:$A$2500)=DJ$1)*(MONTH(Gastos!$A$2:$A$2500)=DJ$3)*(Gastos!$B$2:$B$2500=$A66)*(Gastos!$D$2:$D$2500))</f>
        <v>0</v>
      </c>
      <c r="DK66" s="75">
        <f t="array" ref="DK66">SUM((YEAR(Gastos!$A$2:$A$2500)=DK$1)*(MONTH(Gastos!$A$2:$A$2500)=DK$3)*(Gastos!$B$2:$B$2500=$A66)*(Gastos!$D$2:$D$2500))</f>
        <v>0</v>
      </c>
      <c r="DL66" s="75">
        <f t="array" ref="DL66">SUM((YEAR(Gastos!$A$2:$A$2500)=DL$1)*(MONTH(Gastos!$A$2:$A$2500)=DL$3)*(Gastos!$B$2:$B$2500=$A66)*(Gastos!$D$2:$D$2500))</f>
        <v>0</v>
      </c>
      <c r="DM66" s="75">
        <f t="array" ref="DM66">SUM((YEAR(Gastos!$A$2:$A$2500)=DM$1)*(MONTH(Gastos!$A$2:$A$2500)=DM$3)*(Gastos!$B$2:$B$2500=$A66)*(Gastos!$D$2:$D$2500))</f>
        <v>0</v>
      </c>
      <c r="DN66" s="75">
        <f t="array" ref="DN66">SUM((YEAR(Gastos!$A$2:$A$2500)=DN$1)*(MONTH(Gastos!$A$2:$A$2500)=DN$3)*(Gastos!$B$2:$B$2500=$A66)*(Gastos!$D$2:$D$2500))</f>
        <v>0</v>
      </c>
      <c r="DO66" s="75">
        <f t="array" ref="DO66">SUM((YEAR(Gastos!$A$2:$A$2500)=DO$1)*(MONTH(Gastos!$A$2:$A$2500)=DO$3)*(Gastos!$B$2:$B$2500=$A66)*(Gastos!$D$2:$D$2500))</f>
        <v>0</v>
      </c>
      <c r="DP66" s="75">
        <f t="array" ref="DP66">SUM((YEAR(Gastos!$A$2:$A$2500)=DP$1)*(MONTH(Gastos!$A$2:$A$2500)=DP$3)*(Gastos!$B$2:$B$2500=$A66)*(Gastos!$D$2:$D$2500))</f>
        <v>0</v>
      </c>
      <c r="DQ66" s="75">
        <f t="array" ref="DQ66">SUM((YEAR(Gastos!$A$2:$A$2500)=DQ$1)*(MONTH(Gastos!$A$2:$A$2500)=DQ$3)*(Gastos!$B$2:$B$2500=$A66)*(Gastos!$D$2:$D$2500))</f>
        <v>0</v>
      </c>
      <c r="DR66" s="75">
        <f t="array" ref="DR66">SUM((YEAR(Gastos!$A$2:$A$2500)=DR$1)*(MONTH(Gastos!$A$2:$A$2500)=DR$3)*(Gastos!$B$2:$B$2500=$A66)*(Gastos!$D$2:$D$2500))</f>
        <v>0</v>
      </c>
      <c r="DS66" s="75">
        <f t="array" ref="DS66">SUM((YEAR(Gastos!$A$2:$A$2500)=DS$1)*(MONTH(Gastos!$A$2:$A$2500)=DS$3)*(Gastos!$B$2:$B$2500=$A66)*(Gastos!$D$2:$D$2500))</f>
        <v>0</v>
      </c>
      <c r="DT66" s="75">
        <f t="array" ref="DT66">SUM((YEAR(Gastos!$A$2:$A$2500)=DT$1)*(MONTH(Gastos!$A$2:$A$2500)=DT$3)*(Gastos!$B$2:$B$2500=$A66)*(Gastos!$D$2:$D$2500))</f>
        <v>0</v>
      </c>
      <c r="DU66" s="75">
        <f t="array" ref="DU66">SUM((YEAR(Gastos!$A$2:$A$2500)=DU$1)*(MONTH(Gastos!$A$2:$A$2500)=DU$3)*(Gastos!$B$2:$B$2500=$A66)*(Gastos!$D$2:$D$2500))</f>
        <v>0</v>
      </c>
      <c r="DV66" s="75">
        <f t="array" ref="DV66">SUM((YEAR(Gastos!$A$2:$A$2500)=DV$1)*(MONTH(Gastos!$A$2:$A$2500)=DV$3)*(Gastos!$B$2:$B$2500=$A66)*(Gastos!$D$2:$D$2500))</f>
        <v>0</v>
      </c>
      <c r="DW66" s="75">
        <f t="array" ref="DW66">SUM((YEAR(Gastos!$A$2:$A$2500)=DW$1)*(MONTH(Gastos!$A$2:$A$2500)=DW$3)*(Gastos!$B$2:$B$2500=$A66)*(Gastos!$D$2:$D$2500))</f>
        <v>0</v>
      </c>
      <c r="DX66" s="75">
        <f t="array" ref="DX66">SUM((YEAR(Gastos!$A$2:$A$2500)=DX$1)*(MONTH(Gastos!$A$2:$A$2500)=DX$3)*(Gastos!$B$2:$B$2500=$A66)*(Gastos!$D$2:$D$2500))</f>
        <v>0</v>
      </c>
      <c r="DY66" s="75">
        <f t="array" ref="DY66">SUM((YEAR(Gastos!$A$2:$A$2500)=DY$1)*(MONTH(Gastos!$A$2:$A$2500)=DY$3)*(Gastos!$B$2:$B$2500=$A66)*(Gastos!$D$2:$D$2500))</f>
        <v>0</v>
      </c>
      <c r="DZ66" s="75">
        <f t="array" ref="DZ66">SUM((YEAR(Gastos!$A$2:$A$2500)=DZ$1)*(MONTH(Gastos!$A$2:$A$2500)=DZ$3)*(Gastos!$B$2:$B$2500=$A66)*(Gastos!$D$2:$D$2500))</f>
        <v>0</v>
      </c>
      <c r="EA66" s="75">
        <f t="array" ref="EA66">SUM((YEAR(Gastos!$A$2:$A$2500)=EA$1)*(MONTH(Gastos!$A$2:$A$2500)=EA$3)*(Gastos!$B$2:$B$2500=$A66)*(Gastos!$D$2:$D$2500))</f>
        <v>0</v>
      </c>
      <c r="EB66" s="75">
        <f t="array" ref="EB66">SUM((YEAR(Gastos!$A$2:$A$2500)=EB$1)*(MONTH(Gastos!$A$2:$A$2500)=EB$3)*(Gastos!$B$2:$B$2500=$A66)*(Gastos!$D$2:$D$2500))</f>
        <v>0</v>
      </c>
      <c r="EC66" s="75">
        <f t="array" ref="EC66">SUM((YEAR(Gastos!$A$2:$A$2500)=EC$1)*(MONTH(Gastos!$A$2:$A$2500)=EC$3)*(Gastos!$B$2:$B$2500=$A66)*(Gastos!$D$2:$D$2500))</f>
        <v>0</v>
      </c>
      <c r="ED66" s="75">
        <f t="array" ref="ED66">SUM((YEAR(Gastos!$A$2:$A$2500)=ED$1)*(MONTH(Gastos!$A$2:$A$2500)=ED$3)*(Gastos!$B$2:$B$2500=$A66)*(Gastos!$D$2:$D$2500))</f>
        <v>0</v>
      </c>
      <c r="EE66" s="75">
        <f t="array" ref="EE66">SUM((YEAR(Gastos!$A$2:$A$2500)=EE$1)*(MONTH(Gastos!$A$2:$A$2500)=EE$3)*(Gastos!$B$2:$B$2500=$A66)*(Gastos!$D$2:$D$2500))</f>
        <v>0</v>
      </c>
      <c r="EF66" s="75">
        <f t="array" ref="EF66">SUM((YEAR(Gastos!$A$2:$A$2500)=EF$1)*(MONTH(Gastos!$A$2:$A$2500)=EF$3)*(Gastos!$B$2:$B$2500=$A66)*(Gastos!$D$2:$D$2500))</f>
        <v>0</v>
      </c>
      <c r="EG66" s="75">
        <f t="array" ref="EG66">SUM((YEAR(Gastos!$A$2:$A$2500)=EG$1)*(MONTH(Gastos!$A$2:$A$2500)=EG$3)*(Gastos!$B$2:$B$2500=$A66)*(Gastos!$D$2:$D$2500))</f>
        <v>0</v>
      </c>
      <c r="EH66" s="75">
        <f t="array" ref="EH66">SUM((YEAR(Gastos!$A$2:$A$2500)=EH$1)*(MONTH(Gastos!$A$2:$A$2500)=EH$3)*(Gastos!$B$2:$B$2500=$A66)*(Gastos!$D$2:$D$2500))</f>
        <v>0</v>
      </c>
      <c r="EI66" s="75">
        <f t="array" ref="EI66">SUM((YEAR(Gastos!$A$2:$A$2500)=EI$1)*(MONTH(Gastos!$A$2:$A$2500)=EI$3)*(Gastos!$B$2:$B$2500=$A66)*(Gastos!$D$2:$D$2500))</f>
        <v>0</v>
      </c>
      <c r="EJ66" s="75">
        <f t="array" ref="EJ66">SUM((YEAR(Gastos!$A$2:$A$2500)=EJ$1)*(MONTH(Gastos!$A$2:$A$2500)=EJ$3)*(Gastos!$B$2:$B$2500=$A66)*(Gastos!$D$2:$D$2500))</f>
        <v>0</v>
      </c>
      <c r="EK66" s="75">
        <f t="array" ref="EK66">SUM((YEAR(Gastos!$A$2:$A$2500)=EK$1)*(MONTH(Gastos!$A$2:$A$2500)=EK$3)*(Gastos!$B$2:$B$2500=$A66)*(Gastos!$D$2:$D$2500))</f>
        <v>0</v>
      </c>
      <c r="EL66" s="75">
        <f t="array" ref="EL66">SUM((YEAR(Gastos!$A$2:$A$2500)=EL$1)*(MONTH(Gastos!$A$2:$A$2500)=EL$3)*(Gastos!$B$2:$B$2500=$A66)*(Gastos!$D$2:$D$2500))</f>
        <v>0</v>
      </c>
      <c r="EM66" s="75">
        <f t="array" ref="EM66">SUM((YEAR(Gastos!$A$2:$A$2500)=EM$1)*(MONTH(Gastos!$A$2:$A$2500)=EM$3)*(Gastos!$B$2:$B$2500=$A66)*(Gastos!$D$2:$D$2500))</f>
        <v>0</v>
      </c>
      <c r="EN66" s="75">
        <f t="array" ref="EN66">SUM((YEAR(Gastos!$A$2:$A$2500)=EN$1)*(MONTH(Gastos!$A$2:$A$2500)=EN$3)*(Gastos!$B$2:$B$2500=$A66)*(Gastos!$D$2:$D$2500))</f>
        <v>0</v>
      </c>
      <c r="EO66" s="75">
        <f t="array" ref="EO66">SUM((YEAR(Gastos!$A$2:$A$2500)=EO$1)*(MONTH(Gastos!$A$2:$A$2500)=EO$3)*(Gastos!$B$2:$B$2500=$A66)*(Gastos!$D$2:$D$2500))</f>
        <v>0</v>
      </c>
      <c r="EP66" s="75">
        <f t="array" ref="EP66">SUM((YEAR(Gastos!$A$2:$A$2500)=EP$1)*(MONTH(Gastos!$A$2:$A$2500)=EP$3)*(Gastos!$B$2:$B$2500=$A66)*(Gastos!$D$2:$D$2500))</f>
        <v>0</v>
      </c>
      <c r="EQ66" s="75">
        <f t="array" ref="EQ66">SUM((YEAR(Gastos!$A$2:$A$2500)=EQ$1)*(MONTH(Gastos!$A$2:$A$2500)=EQ$3)*(Gastos!$B$2:$B$2500=$A66)*(Gastos!$D$2:$D$2500))</f>
        <v>0</v>
      </c>
      <c r="ER66" s="75">
        <f t="array" ref="ER66">SUM((YEAR(Gastos!$A$2:$A$2500)=ER$1)*(MONTH(Gastos!$A$2:$A$2500)=ER$3)*(Gastos!$B$2:$B$2500=$A66)*(Gastos!$D$2:$D$2500))</f>
        <v>0</v>
      </c>
      <c r="ES66" s="75">
        <f t="array" ref="ES66">SUM((YEAR(Gastos!$A$2:$A$2500)=ES$1)*(MONTH(Gastos!$A$2:$A$2500)=ES$3)*(Gastos!$B$2:$B$2500=$A66)*(Gastos!$D$2:$D$2500))</f>
        <v>0</v>
      </c>
      <c r="ET66" s="75">
        <f t="array" ref="ET66">SUM((YEAR(Gastos!$A$2:$A$2500)=ET$1)*(MONTH(Gastos!$A$2:$A$2500)=ET$3)*(Gastos!$B$2:$B$2500=$A66)*(Gastos!$D$2:$D$2500))</f>
        <v>0</v>
      </c>
      <c r="EU66" s="75">
        <f t="array" ref="EU66">SUM((YEAR(Gastos!$A$2:$A$2500)=EU$1)*(MONTH(Gastos!$A$2:$A$2500)=EU$3)*(Gastos!$B$2:$B$2500=$A66)*(Gastos!$D$2:$D$2500))</f>
        <v>0</v>
      </c>
      <c r="EV66" s="75">
        <f t="array" ref="EV66">SUM((YEAR(Gastos!$A$2:$A$2500)=EV$1)*(MONTH(Gastos!$A$2:$A$2500)=EV$3)*(Gastos!$B$2:$B$2500=$A66)*(Gastos!$D$2:$D$2500))</f>
        <v>0</v>
      </c>
      <c r="EW66" s="75">
        <f t="array" ref="EW66">SUM((YEAR(Gastos!$A$2:$A$2500)=EW$1)*(MONTH(Gastos!$A$2:$A$2500)=EW$3)*(Gastos!$B$2:$B$2500=$A66)*(Gastos!$D$2:$D$2500))</f>
        <v>0</v>
      </c>
      <c r="EX66" s="75">
        <f t="array" ref="EX66">SUM((YEAR(Gastos!$A$2:$A$2500)=EX$1)*(MONTH(Gastos!$A$2:$A$2500)=EX$3)*(Gastos!$B$2:$B$2500=$A66)*(Gastos!$D$2:$D$2500))</f>
        <v>0</v>
      </c>
      <c r="EY66" s="75">
        <f t="array" ref="EY66">SUM((YEAR(Gastos!$A$2:$A$2500)=EY$1)*(MONTH(Gastos!$A$2:$A$2500)=EY$3)*(Gastos!$B$2:$B$2500=$A66)*(Gastos!$D$2:$D$2500))</f>
        <v>0</v>
      </c>
      <c r="EZ66" s="75">
        <f t="array" ref="EZ66">SUM((YEAR(Gastos!$A$2:$A$2500)=EZ$1)*(MONTH(Gastos!$A$2:$A$2500)=EZ$3)*(Gastos!$B$2:$B$2500=$A66)*(Gastos!$D$2:$D$2500))</f>
        <v>0</v>
      </c>
      <c r="FA66" s="75">
        <f t="array" ref="FA66">SUM((YEAR(Gastos!$A$2:$A$2500)=FA$1)*(MONTH(Gastos!$A$2:$A$2500)=FA$3)*(Gastos!$B$2:$B$2500=$A66)*(Gastos!$D$2:$D$2500))</f>
        <v>0</v>
      </c>
      <c r="FB66" s="75">
        <f t="array" ref="FB66">SUM((YEAR(Gastos!$A$2:$A$2500)=FB$1)*(MONTH(Gastos!$A$2:$A$2500)=FB$3)*(Gastos!$B$2:$B$2500=$A66)*(Gastos!$D$2:$D$2500))</f>
        <v>0</v>
      </c>
      <c r="FC66" s="75">
        <f t="array" ref="FC66">SUM((YEAR(Gastos!$A$2:$A$2500)=FC$1)*(MONTH(Gastos!$A$2:$A$2500)=FC$3)*(Gastos!$B$2:$B$2500=$A66)*(Gastos!$D$2:$D$2500))</f>
        <v>0</v>
      </c>
      <c r="FD66" s="75">
        <f t="array" ref="FD66">SUM((YEAR(Gastos!$A$2:$A$2500)=FD$1)*(MONTH(Gastos!$A$2:$A$2500)=FD$3)*(Gastos!$B$2:$B$2500=$A66)*(Gastos!$D$2:$D$2500))</f>
        <v>0</v>
      </c>
      <c r="FE66" s="75">
        <f t="array" ref="FE66">SUM((YEAR(Gastos!$A$2:$A$2500)=FE$1)*(MONTH(Gastos!$A$2:$A$2500)=FE$3)*(Gastos!$B$2:$B$2500=$A66)*(Gastos!$D$2:$D$2500))</f>
        <v>0</v>
      </c>
      <c r="FF66" s="75">
        <f t="array" ref="FF66">SUM((YEAR(Gastos!$A$2:$A$2500)=FF$1)*(MONTH(Gastos!$A$2:$A$2500)=FF$3)*(Gastos!$B$2:$B$2500=$A66)*(Gastos!$D$2:$D$2500))</f>
        <v>0</v>
      </c>
      <c r="FG66" s="75">
        <f t="array" ref="FG66">SUM((YEAR(Gastos!$A$2:$A$2500)=FG$1)*(MONTH(Gastos!$A$2:$A$2500)=FG$3)*(Gastos!$B$2:$B$2500=$A66)*(Gastos!$D$2:$D$2500))</f>
        <v>0</v>
      </c>
      <c r="FH66" s="75">
        <f t="array" ref="FH66">SUM((YEAR(Gastos!$A$2:$A$2500)=FH$1)*(MONTH(Gastos!$A$2:$A$2500)=FH$3)*(Gastos!$B$2:$B$2500=$A66)*(Gastos!$D$2:$D$2500))</f>
        <v>0</v>
      </c>
      <c r="FI66" s="75">
        <f t="array" ref="FI66">SUM((YEAR(Gastos!$A$2:$A$2500)=FI$1)*(MONTH(Gastos!$A$2:$A$2500)=FI$3)*(Gastos!$B$2:$B$2500=$A66)*(Gastos!$D$2:$D$2500))</f>
        <v>0</v>
      </c>
      <c r="FJ66" s="75">
        <f t="array" ref="FJ66">SUM((YEAR(Gastos!$A$2:$A$2500)=FJ$1)*(MONTH(Gastos!$A$2:$A$2500)=FJ$3)*(Gastos!$B$2:$B$2500=$A66)*(Gastos!$D$2:$D$2500))</f>
        <v>0</v>
      </c>
      <c r="FK66" s="75">
        <f t="array" ref="FK66">SUM((YEAR(Gastos!$A$2:$A$2500)=FK$1)*(MONTH(Gastos!$A$2:$A$2500)=FK$3)*(Gastos!$B$2:$B$2500=$A66)*(Gastos!$D$2:$D$2500))</f>
        <v>0</v>
      </c>
      <c r="FL66" s="75">
        <f t="array" ref="FL66">SUM((YEAR(Gastos!$A$2:$A$2500)=FL$1)*(MONTH(Gastos!$A$2:$A$2500)=FL$3)*(Gastos!$B$2:$B$2500=$A66)*(Gastos!$D$2:$D$2500))</f>
        <v>0</v>
      </c>
      <c r="FM66" s="75">
        <f t="array" ref="FM66">SUM((YEAR(Gastos!$A$2:$A$2500)=FM$1)*(MONTH(Gastos!$A$2:$A$2500)=FM$3)*(Gastos!$B$2:$B$2500=$A66)*(Gastos!$D$2:$D$2500))</f>
        <v>0</v>
      </c>
      <c r="FN66" s="75">
        <f t="array" ref="FN66">SUM((YEAR(Gastos!$A$2:$A$2500)=FN$1)*(MONTH(Gastos!$A$2:$A$2500)=FN$3)*(Gastos!$B$2:$B$2500=$A66)*(Gastos!$D$2:$D$2500))</f>
        <v>0</v>
      </c>
      <c r="FO66" s="75">
        <f t="array" ref="FO66">SUM((YEAR(Gastos!$A$2:$A$2500)=FO$1)*(MONTH(Gastos!$A$2:$A$2500)=FO$3)*(Gastos!$B$2:$B$2500=$A66)*(Gastos!$D$2:$D$2500))</f>
        <v>0</v>
      </c>
      <c r="FP66" s="75">
        <f t="array" ref="FP66">SUM((YEAR(Gastos!$A$2:$A$2500)=FP$1)*(MONTH(Gastos!$A$2:$A$2500)=FP$3)*(Gastos!$B$2:$B$2500=$A66)*(Gastos!$D$2:$D$2500))</f>
        <v>0</v>
      </c>
      <c r="FQ66" s="75">
        <f t="array" ref="FQ66">SUM((YEAR(Gastos!$A$2:$A$2500)=FQ$1)*(MONTH(Gastos!$A$2:$A$2500)=FQ$3)*(Gastos!$B$2:$B$2500=$A66)*(Gastos!$D$2:$D$2500))</f>
        <v>0</v>
      </c>
      <c r="FR66" s="75">
        <f t="array" ref="FR66">SUM((YEAR(Gastos!$A$2:$A$2500)=FR$1)*(MONTH(Gastos!$A$2:$A$2500)=FR$3)*(Gastos!$B$2:$B$2500=$A66)*(Gastos!$D$2:$D$2500))</f>
        <v>0</v>
      </c>
      <c r="FS66" s="75">
        <f t="array" ref="FS66">SUM((YEAR(Gastos!$A$2:$A$2500)=FS$1)*(MONTH(Gastos!$A$2:$A$2500)=FS$3)*(Gastos!$B$2:$B$2500=$A66)*(Gastos!$D$2:$D$2500))</f>
        <v>0</v>
      </c>
      <c r="FT66" s="75">
        <f t="array" ref="FT66">SUM((YEAR(Gastos!$A$2:$A$2500)=FT$1)*(MONTH(Gastos!$A$2:$A$2500)=FT$3)*(Gastos!$B$2:$B$2500=$A66)*(Gastos!$D$2:$D$2500))</f>
        <v>0</v>
      </c>
      <c r="FU66" s="75">
        <f t="array" ref="FU66">SUM((YEAR(Gastos!$A$2:$A$2500)=FU$1)*(MONTH(Gastos!$A$2:$A$2500)=FU$3)*(Gastos!$B$2:$B$2500=$A66)*(Gastos!$D$2:$D$2500))</f>
        <v>0</v>
      </c>
      <c r="FV66" s="75">
        <f t="array" ref="FV66">SUM((YEAR(Gastos!$A$2:$A$2500)=FV$1)*(MONTH(Gastos!$A$2:$A$2500)=FV$3)*(Gastos!$B$2:$B$2500=$A66)*(Gastos!$D$2:$D$2500))</f>
        <v>0</v>
      </c>
      <c r="FW66" s="75">
        <f t="array" ref="FW66">SUM((YEAR(Gastos!$A$2:$A$2500)=FW$1)*(MONTH(Gastos!$A$2:$A$2500)=FW$3)*(Gastos!$B$2:$B$2500=$A66)*(Gastos!$D$2:$D$2500))</f>
        <v>0</v>
      </c>
      <c r="FX66" s="75">
        <f t="array" ref="FX66">SUM((YEAR(Gastos!$A$2:$A$2500)=FX$1)*(MONTH(Gastos!$A$2:$A$2500)=FX$3)*(Gastos!$B$2:$B$2500=$A66)*(Gastos!$D$2:$D$2500))</f>
        <v>0</v>
      </c>
      <c r="FY66" s="75">
        <f t="array" ref="FY66">SUM((YEAR(Gastos!$A$2:$A$2500)=FY$1)*(MONTH(Gastos!$A$2:$A$2500)=FY$3)*(Gastos!$B$2:$B$2500=$A66)*(Gastos!$D$2:$D$2500))</f>
        <v>0</v>
      </c>
      <c r="FZ66" s="76">
        <f t="shared" si="65"/>
        <v>0</v>
      </c>
      <c r="GA66" s="80"/>
      <c r="GB66" s="82"/>
    </row>
    <row r="67" spans="1:184" ht="15" thickBot="1" x14ac:dyDescent="0.4">
      <c r="A67" s="74" t="str">
        <f>Gastos!AA65</f>
        <v>X</v>
      </c>
      <c r="B67" s="75">
        <f t="array" ref="B67">SUM((YEAR(Gastos!$A$2:$A$2500)=B$1)*(MONTH(Gastos!$A$2:$A$2500)=B$3)*(Gastos!$B$2:$B$2500=$A67)*(Gastos!$D$2:$D$2500))</f>
        <v>0</v>
      </c>
      <c r="C67" s="75">
        <f t="array" ref="C67">SUM((YEAR(Gastos!$A$2:$A$2500)=C$1)*(MONTH(Gastos!$A$2:$A$2500)=C$3)*(Gastos!$B$2:$B$2500=$A67)*(Gastos!$D$2:$D$2500))</f>
        <v>0</v>
      </c>
      <c r="D67" s="75">
        <f t="array" ref="D67">SUM((YEAR(Gastos!$A$2:$A$2500)=D$1)*(MONTH(Gastos!$A$2:$A$2500)=D$3)*(Gastos!$B$2:$B$2500=$A67)*(Gastos!$D$2:$D$2500))</f>
        <v>0</v>
      </c>
      <c r="E67" s="75">
        <f t="array" ref="E67">SUM((YEAR(Gastos!$A$2:$A$2500)=E$1)*(MONTH(Gastos!$A$2:$A$2500)=E$3)*(Gastos!$B$2:$B$2500=$A67)*(Gastos!$D$2:$D$2500))</f>
        <v>0</v>
      </c>
      <c r="F67" s="75">
        <f t="array" ref="F67">SUM((YEAR(Gastos!$A$2:$A$2500)=F$1)*(MONTH(Gastos!$A$2:$A$2500)=F$3)*(Gastos!$B$2:$B$2500=$A67)*(Gastos!$D$2:$D$2500))</f>
        <v>0</v>
      </c>
      <c r="G67" s="75">
        <f t="array" ref="G67">SUM((YEAR(Gastos!$A$2:$A$2500)=G$1)*(MONTH(Gastos!$A$2:$A$2500)=G$3)*(Gastos!$B$2:$B$2500=$A67)*(Gastos!$D$2:$D$2500))</f>
        <v>0</v>
      </c>
      <c r="H67" s="75">
        <f t="array" ref="H67">SUM((YEAR(Gastos!$A$2:$A$2500)=H$1)*(MONTH(Gastos!$A$2:$A$2500)=H$3)*(Gastos!$B$2:$B$2500=$A67)*(Gastos!$D$2:$D$2500))</f>
        <v>0</v>
      </c>
      <c r="I67" s="75">
        <f t="array" ref="I67">SUM((YEAR(Gastos!$A$2:$A$2500)=I$1)*(MONTH(Gastos!$A$2:$A$2500)=I$3)*(Gastos!$B$2:$B$2500=$A67)*(Gastos!$D$2:$D$2500))</f>
        <v>0</v>
      </c>
      <c r="J67" s="75">
        <f t="array" ref="J67">SUM((YEAR(Gastos!$A$2:$A$2500)=J$1)*(MONTH(Gastos!$A$2:$A$2500)=J$3)*(Gastos!$B$2:$B$2500=$A67)*(Gastos!$D$2:$D$2500))</f>
        <v>0</v>
      </c>
      <c r="K67" s="75">
        <f t="array" ref="K67">SUM((YEAR(Gastos!$A$2:$A$2500)=K$1)*(MONTH(Gastos!$A$2:$A$2500)=K$3)*(Gastos!$B$2:$B$2500=$A67)*(Gastos!$D$2:$D$2500))</f>
        <v>0</v>
      </c>
      <c r="L67" s="75">
        <f t="array" ref="L67">SUM((YEAR(Gastos!$A$2:$A$2500)=L$1)*(MONTH(Gastos!$A$2:$A$2500)=L$3)*(Gastos!$B$2:$B$2500=$A67)*(Gastos!$D$2:$D$2500))</f>
        <v>0</v>
      </c>
      <c r="M67" s="75">
        <f t="array" ref="M67">SUM((YEAR(Gastos!$A$2:$A$2500)=M$1)*(MONTH(Gastos!$A$2:$A$2500)=M$3)*(Gastos!$B$2:$B$2500=$A67)*(Gastos!$D$2:$D$2500))</f>
        <v>0</v>
      </c>
      <c r="N67" s="75">
        <f t="array" ref="N67">SUM((YEAR(Gastos!$A$2:$A$2500)=N$1)*(MONTH(Gastos!$A$2:$A$2500)=N$3)*(Gastos!$B$2:$B$2500=$A67)*(Gastos!$D$2:$D$2500))</f>
        <v>0</v>
      </c>
      <c r="O67" s="75">
        <f t="array" ref="O67">SUM((YEAR(Gastos!$A$2:$A$2500)=O$1)*(MONTH(Gastos!$A$2:$A$2500)=O$3)*(Gastos!$B$2:$B$2500=$A67)*(Gastos!$D$2:$D$2500))</f>
        <v>0</v>
      </c>
      <c r="P67" s="75">
        <f t="array" ref="P67">SUM((YEAR(Gastos!$A$2:$A$2500)=P$1)*(MONTH(Gastos!$A$2:$A$2500)=P$3)*(Gastos!$B$2:$B$2500=$A67)*(Gastos!$D$2:$D$2500))</f>
        <v>0</v>
      </c>
      <c r="Q67" s="75">
        <f t="array" ref="Q67">SUM((YEAR(Gastos!$A$2:$A$2500)=Q$1)*(MONTH(Gastos!$A$2:$A$2500)=Q$3)*(Gastos!$B$2:$B$2500=$A67)*(Gastos!$D$2:$D$2500))</f>
        <v>0</v>
      </c>
      <c r="R67" s="75">
        <f t="array" ref="R67">SUM((YEAR(Gastos!$A$2:$A$2500)=R$1)*(MONTH(Gastos!$A$2:$A$2500)=R$3)*(Gastos!$B$2:$B$2500=$A67)*(Gastos!$D$2:$D$2500))</f>
        <v>0</v>
      </c>
      <c r="S67" s="75">
        <f t="array" ref="S67">SUM((YEAR(Gastos!$A$2:$A$2500)=S$1)*(MONTH(Gastos!$A$2:$A$2500)=S$3)*(Gastos!$B$2:$B$2500=$A67)*(Gastos!$D$2:$D$2500))</f>
        <v>0</v>
      </c>
      <c r="T67" s="75">
        <f t="array" ref="T67">SUM((YEAR(Gastos!$A$2:$A$2500)=T$1)*(MONTH(Gastos!$A$2:$A$2500)=T$3)*(Gastos!$B$2:$B$2500=$A67)*(Gastos!$D$2:$D$2500))</f>
        <v>0</v>
      </c>
      <c r="U67" s="75">
        <f t="array" ref="U67">SUM((YEAR(Gastos!$A$2:$A$2500)=U$1)*(MONTH(Gastos!$A$2:$A$2500)=U$3)*(Gastos!$B$2:$B$2500=$A67)*(Gastos!$D$2:$D$2500))</f>
        <v>0</v>
      </c>
      <c r="V67" s="75">
        <f t="array" ref="V67">SUM((YEAR(Gastos!$A$2:$A$2500)=V$1)*(MONTH(Gastos!$A$2:$A$2500)=V$3)*(Gastos!$B$2:$B$2500=$A67)*(Gastos!$D$2:$D$2500))</f>
        <v>0</v>
      </c>
      <c r="W67" s="75">
        <f t="array" ref="W67">SUM((YEAR(Gastos!$A$2:$A$2500)=W$1)*(MONTH(Gastos!$A$2:$A$2500)=W$3)*(Gastos!$B$2:$B$2500=$A67)*(Gastos!$D$2:$D$2500))</f>
        <v>0</v>
      </c>
      <c r="X67" s="75">
        <f t="array" ref="X67">SUM((YEAR(Gastos!$A$2:$A$2500)=X$1)*(MONTH(Gastos!$A$2:$A$2500)=X$3)*(Gastos!$B$2:$B$2500=$A67)*(Gastos!$D$2:$D$2500))</f>
        <v>0</v>
      </c>
      <c r="Y67" s="75">
        <f t="array" ref="Y67">SUM((YEAR(Gastos!$A$2:$A$2500)=Y$1)*(MONTH(Gastos!$A$2:$A$2500)=Y$3)*(Gastos!$B$2:$B$2500=$A67)*(Gastos!$D$2:$D$2500))</f>
        <v>0</v>
      </c>
      <c r="Z67" s="75">
        <f t="array" ref="Z67">SUM((YEAR(Gastos!$A$2:$A$2500)=Z$1)*(MONTH(Gastos!$A$2:$A$2500)=Z$3)*(Gastos!$B$2:$B$2500=$A67)*(Gastos!$D$2:$D$2500))</f>
        <v>0</v>
      </c>
      <c r="AA67" s="75">
        <f t="array" ref="AA67">SUM((YEAR(Gastos!$A$2:$A$2500)=AA$1)*(MONTH(Gastos!$A$2:$A$2500)=AA$3)*(Gastos!$B$2:$B$2500=$A67)*(Gastos!$D$2:$D$2500))</f>
        <v>0</v>
      </c>
      <c r="AB67" s="75">
        <f t="array" ref="AB67">SUM((YEAR(Gastos!$A$2:$A$2500)=AB$1)*(MONTH(Gastos!$A$2:$A$2500)=AB$3)*(Gastos!$B$2:$B$2500=$A67)*(Gastos!$D$2:$D$2500))</f>
        <v>0</v>
      </c>
      <c r="AC67" s="75">
        <f t="array" ref="AC67">SUM((YEAR(Gastos!$A$2:$A$2500)=AC$1)*(MONTH(Gastos!$A$2:$A$2500)=AC$3)*(Gastos!$B$2:$B$2500=$A67)*(Gastos!$D$2:$D$2500))</f>
        <v>0</v>
      </c>
      <c r="AD67" s="75">
        <f t="array" ref="AD67">SUM((YEAR(Gastos!$A$2:$A$2500)=AD$1)*(MONTH(Gastos!$A$2:$A$2500)=AD$3)*(Gastos!$B$2:$B$2500=$A67)*(Gastos!$D$2:$D$2500))</f>
        <v>0</v>
      </c>
      <c r="AE67" s="75">
        <f t="array" ref="AE67">SUM((YEAR(Gastos!$A$2:$A$2500)=AE$1)*(MONTH(Gastos!$A$2:$A$2500)=AE$3)*(Gastos!$B$2:$B$2500=$A67)*(Gastos!$D$2:$D$2500))</f>
        <v>0</v>
      </c>
      <c r="AF67" s="75">
        <f t="array" ref="AF67">SUM((YEAR(Gastos!$A$2:$A$2500)=AF$1)*(MONTH(Gastos!$A$2:$A$2500)=AF$3)*(Gastos!$B$2:$B$2500=$A67)*(Gastos!$D$2:$D$2500))</f>
        <v>0</v>
      </c>
      <c r="AG67" s="75">
        <f t="array" ref="AG67">SUM((YEAR(Gastos!$A$2:$A$2500)=AG$1)*(MONTH(Gastos!$A$2:$A$2500)=AG$3)*(Gastos!$B$2:$B$2500=$A67)*(Gastos!$D$2:$D$2500))</f>
        <v>0</v>
      </c>
      <c r="AH67" s="75">
        <f t="array" ref="AH67">SUM((YEAR(Gastos!$A$2:$A$2500)=AH$1)*(MONTH(Gastos!$A$2:$A$2500)=AH$3)*(Gastos!$B$2:$B$2500=$A67)*(Gastos!$D$2:$D$2500))</f>
        <v>0</v>
      </c>
      <c r="AI67" s="75">
        <f t="array" ref="AI67">SUM((YEAR(Gastos!$A$2:$A$2500)=AI$1)*(MONTH(Gastos!$A$2:$A$2500)=AI$3)*(Gastos!$B$2:$B$2500=$A67)*(Gastos!$D$2:$D$2500))</f>
        <v>0</v>
      </c>
      <c r="AJ67" s="75">
        <f t="array" ref="AJ67">SUM((YEAR(Gastos!$A$2:$A$2500)=AJ$1)*(MONTH(Gastos!$A$2:$A$2500)=AJ$3)*(Gastos!$B$2:$B$2500=$A67)*(Gastos!$D$2:$D$2500))</f>
        <v>0</v>
      </c>
      <c r="AK67" s="75">
        <f t="array" ref="AK67">SUM((YEAR(Gastos!$A$2:$A$2500)=AK$1)*(MONTH(Gastos!$A$2:$A$2500)=AK$3)*(Gastos!$B$2:$B$2500=$A67)*(Gastos!$D$2:$D$2500))</f>
        <v>0</v>
      </c>
      <c r="AL67" s="75">
        <f t="array" ref="AL67">SUM((YEAR(Gastos!$A$2:$A$2500)=AL$1)*(MONTH(Gastos!$A$2:$A$2500)=AL$3)*(Gastos!$B$2:$B$2500=$A67)*(Gastos!$D$2:$D$2500))</f>
        <v>0</v>
      </c>
      <c r="AM67" s="75">
        <f t="array" ref="AM67">SUM((YEAR(Gastos!$A$2:$A$2500)=AM$1)*(MONTH(Gastos!$A$2:$A$2500)=AM$3)*(Gastos!$B$2:$B$2500=$A67)*(Gastos!$D$2:$D$2500))</f>
        <v>0</v>
      </c>
      <c r="AN67" s="75">
        <f t="array" ref="AN67">SUM((YEAR(Gastos!$A$2:$A$2500)=AN$1)*(MONTH(Gastos!$A$2:$A$2500)=AN$3)*(Gastos!$B$2:$B$2500=$A67)*(Gastos!$D$2:$D$2500))</f>
        <v>0</v>
      </c>
      <c r="AO67" s="75">
        <f t="array" ref="AO67">SUM((YEAR(Gastos!$A$2:$A$2500)=AO$1)*(MONTH(Gastos!$A$2:$A$2500)=AO$3)*(Gastos!$B$2:$B$2500=$A67)*(Gastos!$D$2:$D$2500))</f>
        <v>0</v>
      </c>
      <c r="AP67" s="75">
        <f t="array" ref="AP67">SUM((YEAR(Gastos!$A$2:$A$2500)=AP$1)*(MONTH(Gastos!$A$2:$A$2500)=AP$3)*(Gastos!$B$2:$B$2500=$A67)*(Gastos!$D$2:$D$2500))</f>
        <v>0</v>
      </c>
      <c r="AQ67" s="75">
        <f t="array" ref="AQ67">SUM((YEAR(Gastos!$A$2:$A$2500)=AQ$1)*(MONTH(Gastos!$A$2:$A$2500)=AQ$3)*(Gastos!$B$2:$B$2500=$A67)*(Gastos!$D$2:$D$2500))</f>
        <v>0</v>
      </c>
      <c r="AR67" s="75">
        <f t="array" ref="AR67">SUM((YEAR(Gastos!$A$2:$A$2500)=AR$1)*(MONTH(Gastos!$A$2:$A$2500)=AR$3)*(Gastos!$B$2:$B$2500=$A67)*(Gastos!$D$2:$D$2500))</f>
        <v>0</v>
      </c>
      <c r="AS67" s="75">
        <f t="array" ref="AS67">SUM((YEAR(Gastos!$A$2:$A$2500)=AS$1)*(MONTH(Gastos!$A$2:$A$2500)=AS$3)*(Gastos!$B$2:$B$2500=$A67)*(Gastos!$D$2:$D$2500))</f>
        <v>0</v>
      </c>
      <c r="AT67" s="75">
        <f t="array" ref="AT67">SUM((YEAR(Gastos!$A$2:$A$2500)=AT$1)*(MONTH(Gastos!$A$2:$A$2500)=AT$3)*(Gastos!$B$2:$B$2500=$A67)*(Gastos!$D$2:$D$2500))</f>
        <v>0</v>
      </c>
      <c r="AU67" s="75">
        <f t="array" ref="AU67">SUM((YEAR(Gastos!$A$2:$A$2500)=AU$1)*(MONTH(Gastos!$A$2:$A$2500)=AU$3)*(Gastos!$B$2:$B$2500=$A67)*(Gastos!$D$2:$D$2500))</f>
        <v>0</v>
      </c>
      <c r="AV67" s="75">
        <f t="array" ref="AV67">SUM((YEAR(Gastos!$A$2:$A$2500)=AV$1)*(MONTH(Gastos!$A$2:$A$2500)=AV$3)*(Gastos!$B$2:$B$2500=$A67)*(Gastos!$D$2:$D$2500))</f>
        <v>0</v>
      </c>
      <c r="AW67" s="75">
        <f t="array" ref="AW67">SUM((YEAR(Gastos!$A$2:$A$2500)=AW$1)*(MONTH(Gastos!$A$2:$A$2500)=AW$3)*(Gastos!$B$2:$B$2500=$A67)*(Gastos!$D$2:$D$2500))</f>
        <v>0</v>
      </c>
      <c r="AX67" s="75">
        <f t="array" ref="AX67">SUM((YEAR(Gastos!$A$2:$A$2500)=AX$1)*(MONTH(Gastos!$A$2:$A$2500)=AX$3)*(Gastos!$B$2:$B$2500=$A67)*(Gastos!$D$2:$D$2500))</f>
        <v>0</v>
      </c>
      <c r="AY67" s="75">
        <f t="array" ref="AY67">SUM((YEAR(Gastos!$A$2:$A$2500)=AY$1)*(MONTH(Gastos!$A$2:$A$2500)=AY$3)*(Gastos!$B$2:$B$2500=$A67)*(Gastos!$D$2:$D$2500))</f>
        <v>0</v>
      </c>
      <c r="AZ67" s="75">
        <f t="array" ref="AZ67">SUM((YEAR(Gastos!$A$2:$A$2500)=AZ$1)*(MONTH(Gastos!$A$2:$A$2500)=AZ$3)*(Gastos!$B$2:$B$2500=$A67)*(Gastos!$D$2:$D$2500))</f>
        <v>0</v>
      </c>
      <c r="BA67" s="75">
        <f t="array" ref="BA67">SUM((YEAR(Gastos!$A$2:$A$2500)=BA$1)*(MONTH(Gastos!$A$2:$A$2500)=BA$3)*(Gastos!$B$2:$B$2500=$A67)*(Gastos!$D$2:$D$2500))</f>
        <v>0</v>
      </c>
      <c r="BB67" s="75">
        <f t="array" ref="BB67">SUM((YEAR(Gastos!$A$2:$A$2500)=BB$1)*(MONTH(Gastos!$A$2:$A$2500)=BB$3)*(Gastos!$B$2:$B$2500=$A67)*(Gastos!$D$2:$D$2500))</f>
        <v>0</v>
      </c>
      <c r="BC67" s="75">
        <f t="array" ref="BC67">SUM((YEAR(Gastos!$A$2:$A$2500)=BC$1)*(MONTH(Gastos!$A$2:$A$2500)=BC$3)*(Gastos!$B$2:$B$2500=$A67)*(Gastos!$D$2:$D$2500))</f>
        <v>0</v>
      </c>
      <c r="BD67" s="75">
        <f t="array" ref="BD67">SUM((YEAR(Gastos!$A$2:$A$2500)=BD$1)*(MONTH(Gastos!$A$2:$A$2500)=BD$3)*(Gastos!$B$2:$B$2500=$A67)*(Gastos!$D$2:$D$2500))</f>
        <v>0</v>
      </c>
      <c r="BE67" s="75">
        <f t="array" ref="BE67">SUM((YEAR(Gastos!$A$2:$A$2500)=BE$1)*(MONTH(Gastos!$A$2:$A$2500)=BE$3)*(Gastos!$B$2:$B$2500=$A67)*(Gastos!$D$2:$D$2500))</f>
        <v>0</v>
      </c>
      <c r="BF67" s="75">
        <f t="array" ref="BF67">SUM((YEAR(Gastos!$A$2:$A$2500)=BF$1)*(MONTH(Gastos!$A$2:$A$2500)=BF$3)*(Gastos!$B$2:$B$2500=$A67)*(Gastos!$D$2:$D$2500))</f>
        <v>0</v>
      </c>
      <c r="BG67" s="75">
        <f t="array" ref="BG67">SUM((YEAR(Gastos!$A$2:$A$2500)=BG$1)*(MONTH(Gastos!$A$2:$A$2500)=BG$3)*(Gastos!$B$2:$B$2500=$A67)*(Gastos!$D$2:$D$2500))</f>
        <v>0</v>
      </c>
      <c r="BH67" s="75">
        <f t="array" ref="BH67">SUM((YEAR(Gastos!$A$2:$A$2500)=BH$1)*(MONTH(Gastos!$A$2:$A$2500)=BH$3)*(Gastos!$B$2:$B$2500=$A67)*(Gastos!$D$2:$D$2500))</f>
        <v>0</v>
      </c>
      <c r="BI67" s="75">
        <f t="array" ref="BI67">SUM((YEAR(Gastos!$A$2:$A$2500)=BI$1)*(MONTH(Gastos!$A$2:$A$2500)=BI$3)*(Gastos!$B$2:$B$2500=$A67)*(Gastos!$D$2:$D$2500))</f>
        <v>0</v>
      </c>
      <c r="BJ67" s="75">
        <f t="array" ref="BJ67">SUM((YEAR(Gastos!$A$2:$A$2500)=BJ$1)*(MONTH(Gastos!$A$2:$A$2500)=BJ$3)*(Gastos!$B$2:$B$2500=$A67)*(Gastos!$D$2:$D$2500))</f>
        <v>0</v>
      </c>
      <c r="BK67" s="75">
        <f t="array" ref="BK67">SUM((YEAR(Gastos!$A$2:$A$2500)=BK$1)*(MONTH(Gastos!$A$2:$A$2500)=BK$3)*(Gastos!$B$2:$B$2500=$A67)*(Gastos!$D$2:$D$2500))</f>
        <v>0</v>
      </c>
      <c r="BL67" s="75">
        <f t="array" ref="BL67">SUM((YEAR(Gastos!$A$2:$A$2500)=BL$1)*(MONTH(Gastos!$A$2:$A$2500)=BL$3)*(Gastos!$B$2:$B$2500=$A67)*(Gastos!$D$2:$D$2500))</f>
        <v>0</v>
      </c>
      <c r="BM67" s="75">
        <f t="array" ref="BM67">SUM((YEAR(Gastos!$A$2:$A$2500)=BM$1)*(MONTH(Gastos!$A$2:$A$2500)=BM$3)*(Gastos!$B$2:$B$2500=$A67)*(Gastos!$D$2:$D$2500))</f>
        <v>0</v>
      </c>
      <c r="BN67" s="75">
        <f t="array" ref="BN67">SUM((YEAR(Gastos!$A$2:$A$2500)=BN$1)*(MONTH(Gastos!$A$2:$A$2500)=BN$3)*(Gastos!$B$2:$B$2500=$A67)*(Gastos!$D$2:$D$2500))</f>
        <v>0</v>
      </c>
      <c r="BO67" s="75">
        <f t="array" ref="BO67">SUM((YEAR(Gastos!$A$2:$A$2500)=BO$1)*(MONTH(Gastos!$A$2:$A$2500)=BO$3)*(Gastos!$B$2:$B$2500=$A67)*(Gastos!$D$2:$D$2500))</f>
        <v>0</v>
      </c>
      <c r="BP67" s="75">
        <f t="array" ref="BP67">SUM((YEAR(Gastos!$A$2:$A$2500)=BP$1)*(MONTH(Gastos!$A$2:$A$2500)=BP$3)*(Gastos!$B$2:$B$2500=$A67)*(Gastos!$D$2:$D$2500))</f>
        <v>0</v>
      </c>
      <c r="BQ67" s="75">
        <f t="array" ref="BQ67">SUM((YEAR(Gastos!$A$2:$A$2500)=BQ$1)*(MONTH(Gastos!$A$2:$A$2500)=BQ$3)*(Gastos!$B$2:$B$2500=$A67)*(Gastos!$D$2:$D$2500))</f>
        <v>0</v>
      </c>
      <c r="BR67" s="75">
        <f t="array" ref="BR67">SUM((YEAR(Gastos!$A$2:$A$2500)=BR$1)*(MONTH(Gastos!$A$2:$A$2500)=BR$3)*(Gastos!$B$2:$B$2500=$A67)*(Gastos!$D$2:$D$2500))</f>
        <v>0</v>
      </c>
      <c r="BS67" s="75">
        <f t="array" ref="BS67">SUM((YEAR(Gastos!$A$2:$A$2500)=BS$1)*(MONTH(Gastos!$A$2:$A$2500)=BS$3)*(Gastos!$B$2:$B$2500=$A67)*(Gastos!$D$2:$D$2500))</f>
        <v>0</v>
      </c>
      <c r="BT67" s="75">
        <f t="array" ref="BT67">SUM((YEAR(Gastos!$A$2:$A$2500)=BT$1)*(MONTH(Gastos!$A$2:$A$2500)=BT$3)*(Gastos!$B$2:$B$2500=$A67)*(Gastos!$D$2:$D$2500))</f>
        <v>0</v>
      </c>
      <c r="BU67" s="75">
        <f t="array" ref="BU67">SUM((YEAR(Gastos!$A$2:$A$2500)=BU$1)*(MONTH(Gastos!$A$2:$A$2500)=BU$3)*(Gastos!$B$2:$B$2500=$A67)*(Gastos!$D$2:$D$2500))</f>
        <v>0</v>
      </c>
      <c r="BV67" s="75">
        <f t="array" ref="BV67">SUM((YEAR(Gastos!$A$2:$A$2500)=BV$1)*(MONTH(Gastos!$A$2:$A$2500)=BV$3)*(Gastos!$B$2:$B$2500=$A67)*(Gastos!$D$2:$D$2500))</f>
        <v>0</v>
      </c>
      <c r="BW67" s="75">
        <f t="array" ref="BW67">SUM((YEAR(Gastos!$A$2:$A$2500)=BW$1)*(MONTH(Gastos!$A$2:$A$2500)=BW$3)*(Gastos!$B$2:$B$2500=$A67)*(Gastos!$D$2:$D$2500))</f>
        <v>0</v>
      </c>
      <c r="BX67" s="75">
        <f t="array" ref="BX67">SUM((YEAR(Gastos!$A$2:$A$2500)=BX$1)*(MONTH(Gastos!$A$2:$A$2500)=BX$3)*(Gastos!$B$2:$B$2500=$A67)*(Gastos!$D$2:$D$2500))</f>
        <v>0</v>
      </c>
      <c r="BY67" s="75">
        <f t="array" ref="BY67">SUM((YEAR(Gastos!$A$2:$A$2500)=BY$1)*(MONTH(Gastos!$A$2:$A$2500)=BY$3)*(Gastos!$B$2:$B$2500=$A67)*(Gastos!$D$2:$D$2500))</f>
        <v>0</v>
      </c>
      <c r="BZ67" s="75">
        <f t="array" ref="BZ67">SUM((YEAR(Gastos!$A$2:$A$2500)=BZ$1)*(MONTH(Gastos!$A$2:$A$2500)=BZ$3)*(Gastos!$B$2:$B$2500=$A67)*(Gastos!$D$2:$D$2500))</f>
        <v>0</v>
      </c>
      <c r="CA67" s="75">
        <f t="array" ref="CA67">SUM((YEAR(Gastos!$A$2:$A$2500)=CA$1)*(MONTH(Gastos!$A$2:$A$2500)=CA$3)*(Gastos!$B$2:$B$2500=$A67)*(Gastos!$D$2:$D$2500))</f>
        <v>0</v>
      </c>
      <c r="CB67" s="75">
        <f t="array" ref="CB67">SUM((YEAR(Gastos!$A$2:$A$2500)=CB$1)*(MONTH(Gastos!$A$2:$A$2500)=CB$3)*(Gastos!$B$2:$B$2500=$A67)*(Gastos!$D$2:$D$2500))</f>
        <v>0</v>
      </c>
      <c r="CC67" s="75">
        <f t="array" ref="CC67">SUM((YEAR(Gastos!$A$2:$A$2500)=CC$1)*(MONTH(Gastos!$A$2:$A$2500)=CC$3)*(Gastos!$B$2:$B$2500=$A67)*(Gastos!$D$2:$D$2500))</f>
        <v>0</v>
      </c>
      <c r="CD67" s="75">
        <f t="array" ref="CD67">SUM((YEAR(Gastos!$A$2:$A$2500)=CD$1)*(MONTH(Gastos!$A$2:$A$2500)=CD$3)*(Gastos!$B$2:$B$2500=$A67)*(Gastos!$D$2:$D$2500))</f>
        <v>0</v>
      </c>
      <c r="CE67" s="75">
        <f t="array" ref="CE67">SUM((YEAR(Gastos!$A$2:$A$2500)=CE$1)*(MONTH(Gastos!$A$2:$A$2500)=CE$3)*(Gastos!$B$2:$B$2500=$A67)*(Gastos!$D$2:$D$2500))</f>
        <v>0</v>
      </c>
      <c r="CF67" s="75">
        <f t="array" ref="CF67">SUM((YEAR(Gastos!$A$2:$A$2500)=CF$1)*(MONTH(Gastos!$A$2:$A$2500)=CF$3)*(Gastos!$B$2:$B$2500=$A67)*(Gastos!$D$2:$D$2500))</f>
        <v>0</v>
      </c>
      <c r="CG67" s="75">
        <f t="array" ref="CG67">SUM((YEAR(Gastos!$A$2:$A$2500)=CG$1)*(MONTH(Gastos!$A$2:$A$2500)=CG$3)*(Gastos!$B$2:$B$2500=$A67)*(Gastos!$D$2:$D$2500))</f>
        <v>0</v>
      </c>
      <c r="CH67" s="75">
        <f t="array" ref="CH67">SUM((YEAR(Gastos!$A$2:$A$2500)=CH$1)*(MONTH(Gastos!$A$2:$A$2500)=CH$3)*(Gastos!$B$2:$B$2500=$A67)*(Gastos!$D$2:$D$2500))</f>
        <v>0</v>
      </c>
      <c r="CI67" s="75">
        <f t="array" ref="CI67">SUM((YEAR(Gastos!$A$2:$A$2500)=CI$1)*(MONTH(Gastos!$A$2:$A$2500)=CI$3)*(Gastos!$B$2:$B$2500=$A67)*(Gastos!$D$2:$D$2500))</f>
        <v>0</v>
      </c>
      <c r="CJ67" s="75">
        <f t="array" ref="CJ67">SUM((YEAR(Gastos!$A$2:$A$2500)=CJ$1)*(MONTH(Gastos!$A$2:$A$2500)=CJ$3)*(Gastos!$B$2:$B$2500=$A67)*(Gastos!$D$2:$D$2500))</f>
        <v>0</v>
      </c>
      <c r="CK67" s="75">
        <f t="array" ref="CK67">SUM((YEAR(Gastos!$A$2:$A$2500)=CK$1)*(MONTH(Gastos!$A$2:$A$2500)=CK$3)*(Gastos!$B$2:$B$2500=$A67)*(Gastos!$D$2:$D$2500))</f>
        <v>0</v>
      </c>
      <c r="CL67" s="75">
        <f t="array" ref="CL67">SUM((YEAR(Gastos!$A$2:$A$2500)=CL$1)*(MONTH(Gastos!$A$2:$A$2500)=CL$3)*(Gastos!$B$2:$B$2500=$A67)*(Gastos!$D$2:$D$2500))</f>
        <v>0</v>
      </c>
      <c r="CM67" s="75">
        <f t="array" ref="CM67">SUM((YEAR(Gastos!$A$2:$A$2500)=CM$1)*(MONTH(Gastos!$A$2:$A$2500)=CM$3)*(Gastos!$B$2:$B$2500=$A67)*(Gastos!$D$2:$D$2500))</f>
        <v>0</v>
      </c>
      <c r="CN67" s="75">
        <f t="array" ref="CN67">SUM((YEAR(Gastos!$A$2:$A$2500)=CN$1)*(MONTH(Gastos!$A$2:$A$2500)=CN$3)*(Gastos!$B$2:$B$2500=$A67)*(Gastos!$D$2:$D$2500))</f>
        <v>0</v>
      </c>
      <c r="CO67" s="75">
        <f t="array" ref="CO67">SUM((YEAR(Gastos!$A$2:$A$2500)=CO$1)*(MONTH(Gastos!$A$2:$A$2500)=CO$3)*(Gastos!$B$2:$B$2500=$A67)*(Gastos!$D$2:$D$2500))</f>
        <v>0</v>
      </c>
      <c r="CP67" s="75">
        <f t="array" ref="CP67">SUM((YEAR(Gastos!$A$2:$A$2500)=CP$1)*(MONTH(Gastos!$A$2:$A$2500)=CP$3)*(Gastos!$B$2:$B$2500=$A67)*(Gastos!$D$2:$D$2500))</f>
        <v>0</v>
      </c>
      <c r="CQ67" s="75">
        <f t="array" ref="CQ67">SUM((YEAR(Gastos!$A$2:$A$2500)=CQ$1)*(MONTH(Gastos!$A$2:$A$2500)=CQ$3)*(Gastos!$B$2:$B$2500=$A67)*(Gastos!$D$2:$D$2500))</f>
        <v>0</v>
      </c>
      <c r="CR67" s="75">
        <f t="array" ref="CR67">SUM((YEAR(Gastos!$A$2:$A$2500)=CR$1)*(MONTH(Gastos!$A$2:$A$2500)=CR$3)*(Gastos!$B$2:$B$2500=$A67)*(Gastos!$D$2:$D$2500))</f>
        <v>0</v>
      </c>
      <c r="CS67" s="75">
        <f t="array" ref="CS67">SUM((YEAR(Gastos!$A$2:$A$2500)=CS$1)*(MONTH(Gastos!$A$2:$A$2500)=CS$3)*(Gastos!$B$2:$B$2500=$A67)*(Gastos!$D$2:$D$2500))</f>
        <v>0</v>
      </c>
      <c r="CT67" s="75">
        <f t="array" ref="CT67">SUM((YEAR(Gastos!$A$2:$A$2500)=CT$1)*(MONTH(Gastos!$A$2:$A$2500)=CT$3)*(Gastos!$B$2:$B$2500=$A67)*(Gastos!$D$2:$D$2500))</f>
        <v>0</v>
      </c>
      <c r="CU67" s="75">
        <f t="array" ref="CU67">SUM((YEAR(Gastos!$A$2:$A$2500)=CU$1)*(MONTH(Gastos!$A$2:$A$2500)=CU$3)*(Gastos!$B$2:$B$2500=$A67)*(Gastos!$D$2:$D$2500))</f>
        <v>0</v>
      </c>
      <c r="CV67" s="75">
        <f t="array" ref="CV67">SUM((YEAR(Gastos!$A$2:$A$2500)=CV$1)*(MONTH(Gastos!$A$2:$A$2500)=CV$3)*(Gastos!$B$2:$B$2500=$A67)*(Gastos!$D$2:$D$2500))</f>
        <v>0</v>
      </c>
      <c r="CW67" s="75">
        <f t="array" ref="CW67">SUM((YEAR(Gastos!$A$2:$A$2500)=CW$1)*(MONTH(Gastos!$A$2:$A$2500)=CW$3)*(Gastos!$B$2:$B$2500=$A67)*(Gastos!$D$2:$D$2500))</f>
        <v>0</v>
      </c>
      <c r="CX67" s="75">
        <f t="array" ref="CX67">SUM((YEAR(Gastos!$A$2:$A$2500)=CX$1)*(MONTH(Gastos!$A$2:$A$2500)=CX$3)*(Gastos!$B$2:$B$2500=$A67)*(Gastos!$D$2:$D$2500))</f>
        <v>0</v>
      </c>
      <c r="CY67" s="75">
        <f t="array" ref="CY67">SUM((YEAR(Gastos!$A$2:$A$2500)=CY$1)*(MONTH(Gastos!$A$2:$A$2500)=CY$3)*(Gastos!$B$2:$B$2500=$A67)*(Gastos!$D$2:$D$2500))</f>
        <v>0</v>
      </c>
      <c r="CZ67" s="75">
        <f t="array" ref="CZ67">SUM((YEAR(Gastos!$A$2:$A$2500)=CZ$1)*(MONTH(Gastos!$A$2:$A$2500)=CZ$3)*(Gastos!$B$2:$B$2500=$A67)*(Gastos!$D$2:$D$2500))</f>
        <v>0</v>
      </c>
      <c r="DA67" s="75">
        <f t="array" ref="DA67">SUM((YEAR(Gastos!$A$2:$A$2500)=DA$1)*(MONTH(Gastos!$A$2:$A$2500)=DA$3)*(Gastos!$B$2:$B$2500=$A67)*(Gastos!$D$2:$D$2500))</f>
        <v>0</v>
      </c>
      <c r="DB67" s="75">
        <f t="array" ref="DB67">SUM((YEAR(Gastos!$A$2:$A$2500)=DB$1)*(MONTH(Gastos!$A$2:$A$2500)=DB$3)*(Gastos!$B$2:$B$2500=$A67)*(Gastos!$D$2:$D$2500))</f>
        <v>0</v>
      </c>
      <c r="DC67" s="75">
        <f t="array" ref="DC67">SUM((YEAR(Gastos!$A$2:$A$2500)=DC$1)*(MONTH(Gastos!$A$2:$A$2500)=DC$3)*(Gastos!$B$2:$B$2500=$A67)*(Gastos!$D$2:$D$2500))</f>
        <v>0</v>
      </c>
      <c r="DD67" s="75">
        <f t="array" ref="DD67">SUM((YEAR(Gastos!$A$2:$A$2500)=DD$1)*(MONTH(Gastos!$A$2:$A$2500)=DD$3)*(Gastos!$B$2:$B$2500=$A67)*(Gastos!$D$2:$D$2500))</f>
        <v>0</v>
      </c>
      <c r="DE67" s="75">
        <f t="array" ref="DE67">SUM((YEAR(Gastos!$A$2:$A$2500)=DE$1)*(MONTH(Gastos!$A$2:$A$2500)=DE$3)*(Gastos!$B$2:$B$2500=$A67)*(Gastos!$D$2:$D$2500))</f>
        <v>0</v>
      </c>
      <c r="DF67" s="75">
        <f t="array" ref="DF67">SUM((YEAR(Gastos!$A$2:$A$2500)=DF$1)*(MONTH(Gastos!$A$2:$A$2500)=DF$3)*(Gastos!$B$2:$B$2500=$A67)*(Gastos!$D$2:$D$2500))</f>
        <v>0</v>
      </c>
      <c r="DG67" s="75">
        <f t="array" ref="DG67">SUM((YEAR(Gastos!$A$2:$A$2500)=DG$1)*(MONTH(Gastos!$A$2:$A$2500)=DG$3)*(Gastos!$B$2:$B$2500=$A67)*(Gastos!$D$2:$D$2500))</f>
        <v>0</v>
      </c>
      <c r="DH67" s="75">
        <f t="array" ref="DH67">SUM((YEAR(Gastos!$A$2:$A$2500)=DH$1)*(MONTH(Gastos!$A$2:$A$2500)=DH$3)*(Gastos!$B$2:$B$2500=$A67)*(Gastos!$D$2:$D$2500))</f>
        <v>0</v>
      </c>
      <c r="DI67" s="75">
        <f t="array" ref="DI67">SUM((YEAR(Gastos!$A$2:$A$2500)=DI$1)*(MONTH(Gastos!$A$2:$A$2500)=DI$3)*(Gastos!$B$2:$B$2500=$A67)*(Gastos!$D$2:$D$2500))</f>
        <v>0</v>
      </c>
      <c r="DJ67" s="75">
        <f t="array" ref="DJ67">SUM((YEAR(Gastos!$A$2:$A$2500)=DJ$1)*(MONTH(Gastos!$A$2:$A$2500)=DJ$3)*(Gastos!$B$2:$B$2500=$A67)*(Gastos!$D$2:$D$2500))</f>
        <v>0</v>
      </c>
      <c r="DK67" s="75">
        <f t="array" ref="DK67">SUM((YEAR(Gastos!$A$2:$A$2500)=DK$1)*(MONTH(Gastos!$A$2:$A$2500)=DK$3)*(Gastos!$B$2:$B$2500=$A67)*(Gastos!$D$2:$D$2500))</f>
        <v>0</v>
      </c>
      <c r="DL67" s="75">
        <f t="array" ref="DL67">SUM((YEAR(Gastos!$A$2:$A$2500)=DL$1)*(MONTH(Gastos!$A$2:$A$2500)=DL$3)*(Gastos!$B$2:$B$2500=$A67)*(Gastos!$D$2:$D$2500))</f>
        <v>0</v>
      </c>
      <c r="DM67" s="75">
        <f t="array" ref="DM67">SUM((YEAR(Gastos!$A$2:$A$2500)=DM$1)*(MONTH(Gastos!$A$2:$A$2500)=DM$3)*(Gastos!$B$2:$B$2500=$A67)*(Gastos!$D$2:$D$2500))</f>
        <v>0</v>
      </c>
      <c r="DN67" s="75">
        <f t="array" ref="DN67">SUM((YEAR(Gastos!$A$2:$A$2500)=DN$1)*(MONTH(Gastos!$A$2:$A$2500)=DN$3)*(Gastos!$B$2:$B$2500=$A67)*(Gastos!$D$2:$D$2500))</f>
        <v>0</v>
      </c>
      <c r="DO67" s="75">
        <f t="array" ref="DO67">SUM((YEAR(Gastos!$A$2:$A$2500)=DO$1)*(MONTH(Gastos!$A$2:$A$2500)=DO$3)*(Gastos!$B$2:$B$2500=$A67)*(Gastos!$D$2:$D$2500))</f>
        <v>0</v>
      </c>
      <c r="DP67" s="75">
        <f t="array" ref="DP67">SUM((YEAR(Gastos!$A$2:$A$2500)=DP$1)*(MONTH(Gastos!$A$2:$A$2500)=DP$3)*(Gastos!$B$2:$B$2500=$A67)*(Gastos!$D$2:$D$2500))</f>
        <v>0</v>
      </c>
      <c r="DQ67" s="75">
        <f t="array" ref="DQ67">SUM((YEAR(Gastos!$A$2:$A$2500)=DQ$1)*(MONTH(Gastos!$A$2:$A$2500)=DQ$3)*(Gastos!$B$2:$B$2500=$A67)*(Gastos!$D$2:$D$2500))</f>
        <v>0</v>
      </c>
      <c r="DR67" s="75">
        <f t="array" ref="DR67">SUM((YEAR(Gastos!$A$2:$A$2500)=DR$1)*(MONTH(Gastos!$A$2:$A$2500)=DR$3)*(Gastos!$B$2:$B$2500=$A67)*(Gastos!$D$2:$D$2500))</f>
        <v>0</v>
      </c>
      <c r="DS67" s="75">
        <f t="array" ref="DS67">SUM((YEAR(Gastos!$A$2:$A$2500)=DS$1)*(MONTH(Gastos!$A$2:$A$2500)=DS$3)*(Gastos!$B$2:$B$2500=$A67)*(Gastos!$D$2:$D$2500))</f>
        <v>0</v>
      </c>
      <c r="DT67" s="75">
        <f t="array" ref="DT67">SUM((YEAR(Gastos!$A$2:$A$2500)=DT$1)*(MONTH(Gastos!$A$2:$A$2500)=DT$3)*(Gastos!$B$2:$B$2500=$A67)*(Gastos!$D$2:$D$2500))</f>
        <v>0</v>
      </c>
      <c r="DU67" s="75">
        <f t="array" ref="DU67">SUM((YEAR(Gastos!$A$2:$A$2500)=DU$1)*(MONTH(Gastos!$A$2:$A$2500)=DU$3)*(Gastos!$B$2:$B$2500=$A67)*(Gastos!$D$2:$D$2500))</f>
        <v>0</v>
      </c>
      <c r="DV67" s="75">
        <f t="array" ref="DV67">SUM((YEAR(Gastos!$A$2:$A$2500)=DV$1)*(MONTH(Gastos!$A$2:$A$2500)=DV$3)*(Gastos!$B$2:$B$2500=$A67)*(Gastos!$D$2:$D$2500))</f>
        <v>0</v>
      </c>
      <c r="DW67" s="75">
        <f t="array" ref="DW67">SUM((YEAR(Gastos!$A$2:$A$2500)=DW$1)*(MONTH(Gastos!$A$2:$A$2500)=DW$3)*(Gastos!$B$2:$B$2500=$A67)*(Gastos!$D$2:$D$2500))</f>
        <v>0</v>
      </c>
      <c r="DX67" s="75">
        <f t="array" ref="DX67">SUM((YEAR(Gastos!$A$2:$A$2500)=DX$1)*(MONTH(Gastos!$A$2:$A$2500)=DX$3)*(Gastos!$B$2:$B$2500=$A67)*(Gastos!$D$2:$D$2500))</f>
        <v>0</v>
      </c>
      <c r="DY67" s="75">
        <f t="array" ref="DY67">SUM((YEAR(Gastos!$A$2:$A$2500)=DY$1)*(MONTH(Gastos!$A$2:$A$2500)=DY$3)*(Gastos!$B$2:$B$2500=$A67)*(Gastos!$D$2:$D$2500))</f>
        <v>0</v>
      </c>
      <c r="DZ67" s="75">
        <f t="array" ref="DZ67">SUM((YEAR(Gastos!$A$2:$A$2500)=DZ$1)*(MONTH(Gastos!$A$2:$A$2500)=DZ$3)*(Gastos!$B$2:$B$2500=$A67)*(Gastos!$D$2:$D$2500))</f>
        <v>0</v>
      </c>
      <c r="EA67" s="75">
        <f t="array" ref="EA67">SUM((YEAR(Gastos!$A$2:$A$2500)=EA$1)*(MONTH(Gastos!$A$2:$A$2500)=EA$3)*(Gastos!$B$2:$B$2500=$A67)*(Gastos!$D$2:$D$2500))</f>
        <v>0</v>
      </c>
      <c r="EB67" s="75">
        <f t="array" ref="EB67">SUM((YEAR(Gastos!$A$2:$A$2500)=EB$1)*(MONTH(Gastos!$A$2:$A$2500)=EB$3)*(Gastos!$B$2:$B$2500=$A67)*(Gastos!$D$2:$D$2500))</f>
        <v>0</v>
      </c>
      <c r="EC67" s="75">
        <f t="array" ref="EC67">SUM((YEAR(Gastos!$A$2:$A$2500)=EC$1)*(MONTH(Gastos!$A$2:$A$2500)=EC$3)*(Gastos!$B$2:$B$2500=$A67)*(Gastos!$D$2:$D$2500))</f>
        <v>0</v>
      </c>
      <c r="ED67" s="75">
        <f t="array" ref="ED67">SUM((YEAR(Gastos!$A$2:$A$2500)=ED$1)*(MONTH(Gastos!$A$2:$A$2500)=ED$3)*(Gastos!$B$2:$B$2500=$A67)*(Gastos!$D$2:$D$2500))</f>
        <v>0</v>
      </c>
      <c r="EE67" s="75">
        <f t="array" ref="EE67">SUM((YEAR(Gastos!$A$2:$A$2500)=EE$1)*(MONTH(Gastos!$A$2:$A$2500)=EE$3)*(Gastos!$B$2:$B$2500=$A67)*(Gastos!$D$2:$D$2500))</f>
        <v>0</v>
      </c>
      <c r="EF67" s="75">
        <f t="array" ref="EF67">SUM((YEAR(Gastos!$A$2:$A$2500)=EF$1)*(MONTH(Gastos!$A$2:$A$2500)=EF$3)*(Gastos!$B$2:$B$2500=$A67)*(Gastos!$D$2:$D$2500))</f>
        <v>0</v>
      </c>
      <c r="EG67" s="75">
        <f t="array" ref="EG67">SUM((YEAR(Gastos!$A$2:$A$2500)=EG$1)*(MONTH(Gastos!$A$2:$A$2500)=EG$3)*(Gastos!$B$2:$B$2500=$A67)*(Gastos!$D$2:$D$2500))</f>
        <v>0</v>
      </c>
      <c r="EH67" s="75">
        <f t="array" ref="EH67">SUM((YEAR(Gastos!$A$2:$A$2500)=EH$1)*(MONTH(Gastos!$A$2:$A$2500)=EH$3)*(Gastos!$B$2:$B$2500=$A67)*(Gastos!$D$2:$D$2500))</f>
        <v>0</v>
      </c>
      <c r="EI67" s="75">
        <f t="array" ref="EI67">SUM((YEAR(Gastos!$A$2:$A$2500)=EI$1)*(MONTH(Gastos!$A$2:$A$2500)=EI$3)*(Gastos!$B$2:$B$2500=$A67)*(Gastos!$D$2:$D$2500))</f>
        <v>0</v>
      </c>
      <c r="EJ67" s="75">
        <f t="array" ref="EJ67">SUM((YEAR(Gastos!$A$2:$A$2500)=EJ$1)*(MONTH(Gastos!$A$2:$A$2500)=EJ$3)*(Gastos!$B$2:$B$2500=$A67)*(Gastos!$D$2:$D$2500))</f>
        <v>0</v>
      </c>
      <c r="EK67" s="75">
        <f t="array" ref="EK67">SUM((YEAR(Gastos!$A$2:$A$2500)=EK$1)*(MONTH(Gastos!$A$2:$A$2500)=EK$3)*(Gastos!$B$2:$B$2500=$A67)*(Gastos!$D$2:$D$2500))</f>
        <v>0</v>
      </c>
      <c r="EL67" s="75">
        <f t="array" ref="EL67">SUM((YEAR(Gastos!$A$2:$A$2500)=EL$1)*(MONTH(Gastos!$A$2:$A$2500)=EL$3)*(Gastos!$B$2:$B$2500=$A67)*(Gastos!$D$2:$D$2500))</f>
        <v>0</v>
      </c>
      <c r="EM67" s="75">
        <f t="array" ref="EM67">SUM((YEAR(Gastos!$A$2:$A$2500)=EM$1)*(MONTH(Gastos!$A$2:$A$2500)=EM$3)*(Gastos!$B$2:$B$2500=$A67)*(Gastos!$D$2:$D$2500))</f>
        <v>0</v>
      </c>
      <c r="EN67" s="75">
        <f t="array" ref="EN67">SUM((YEAR(Gastos!$A$2:$A$2500)=EN$1)*(MONTH(Gastos!$A$2:$A$2500)=EN$3)*(Gastos!$B$2:$B$2500=$A67)*(Gastos!$D$2:$D$2500))</f>
        <v>0</v>
      </c>
      <c r="EO67" s="75">
        <f t="array" ref="EO67">SUM((YEAR(Gastos!$A$2:$A$2500)=EO$1)*(MONTH(Gastos!$A$2:$A$2500)=EO$3)*(Gastos!$B$2:$B$2500=$A67)*(Gastos!$D$2:$D$2500))</f>
        <v>0</v>
      </c>
      <c r="EP67" s="75">
        <f t="array" ref="EP67">SUM((YEAR(Gastos!$A$2:$A$2500)=EP$1)*(MONTH(Gastos!$A$2:$A$2500)=EP$3)*(Gastos!$B$2:$B$2500=$A67)*(Gastos!$D$2:$D$2500))</f>
        <v>0</v>
      </c>
      <c r="EQ67" s="75">
        <f t="array" ref="EQ67">SUM((YEAR(Gastos!$A$2:$A$2500)=EQ$1)*(MONTH(Gastos!$A$2:$A$2500)=EQ$3)*(Gastos!$B$2:$B$2500=$A67)*(Gastos!$D$2:$D$2500))</f>
        <v>0</v>
      </c>
      <c r="ER67" s="75">
        <f t="array" ref="ER67">SUM((YEAR(Gastos!$A$2:$A$2500)=ER$1)*(MONTH(Gastos!$A$2:$A$2500)=ER$3)*(Gastos!$B$2:$B$2500=$A67)*(Gastos!$D$2:$D$2500))</f>
        <v>0</v>
      </c>
      <c r="ES67" s="75">
        <f t="array" ref="ES67">SUM((YEAR(Gastos!$A$2:$A$2500)=ES$1)*(MONTH(Gastos!$A$2:$A$2500)=ES$3)*(Gastos!$B$2:$B$2500=$A67)*(Gastos!$D$2:$D$2500))</f>
        <v>0</v>
      </c>
      <c r="ET67" s="75">
        <f t="array" ref="ET67">SUM((YEAR(Gastos!$A$2:$A$2500)=ET$1)*(MONTH(Gastos!$A$2:$A$2500)=ET$3)*(Gastos!$B$2:$B$2500=$A67)*(Gastos!$D$2:$D$2500))</f>
        <v>0</v>
      </c>
      <c r="EU67" s="75">
        <f t="array" ref="EU67">SUM((YEAR(Gastos!$A$2:$A$2500)=EU$1)*(MONTH(Gastos!$A$2:$A$2500)=EU$3)*(Gastos!$B$2:$B$2500=$A67)*(Gastos!$D$2:$D$2500))</f>
        <v>0</v>
      </c>
      <c r="EV67" s="75">
        <f t="array" ref="EV67">SUM((YEAR(Gastos!$A$2:$A$2500)=EV$1)*(MONTH(Gastos!$A$2:$A$2500)=EV$3)*(Gastos!$B$2:$B$2500=$A67)*(Gastos!$D$2:$D$2500))</f>
        <v>0</v>
      </c>
      <c r="EW67" s="75">
        <f t="array" ref="EW67">SUM((YEAR(Gastos!$A$2:$A$2500)=EW$1)*(MONTH(Gastos!$A$2:$A$2500)=EW$3)*(Gastos!$B$2:$B$2500=$A67)*(Gastos!$D$2:$D$2500))</f>
        <v>0</v>
      </c>
      <c r="EX67" s="75">
        <f t="array" ref="EX67">SUM((YEAR(Gastos!$A$2:$A$2500)=EX$1)*(MONTH(Gastos!$A$2:$A$2500)=EX$3)*(Gastos!$B$2:$B$2500=$A67)*(Gastos!$D$2:$D$2500))</f>
        <v>0</v>
      </c>
      <c r="EY67" s="75">
        <f t="array" ref="EY67">SUM((YEAR(Gastos!$A$2:$A$2500)=EY$1)*(MONTH(Gastos!$A$2:$A$2500)=EY$3)*(Gastos!$B$2:$B$2500=$A67)*(Gastos!$D$2:$D$2500))</f>
        <v>0</v>
      </c>
      <c r="EZ67" s="75">
        <f t="array" ref="EZ67">SUM((YEAR(Gastos!$A$2:$A$2500)=EZ$1)*(MONTH(Gastos!$A$2:$A$2500)=EZ$3)*(Gastos!$B$2:$B$2500=$A67)*(Gastos!$D$2:$D$2500))</f>
        <v>0</v>
      </c>
      <c r="FA67" s="75">
        <f t="array" ref="FA67">SUM((YEAR(Gastos!$A$2:$A$2500)=FA$1)*(MONTH(Gastos!$A$2:$A$2500)=FA$3)*(Gastos!$B$2:$B$2500=$A67)*(Gastos!$D$2:$D$2500))</f>
        <v>0</v>
      </c>
      <c r="FB67" s="75">
        <f t="array" ref="FB67">SUM((YEAR(Gastos!$A$2:$A$2500)=FB$1)*(MONTH(Gastos!$A$2:$A$2500)=FB$3)*(Gastos!$B$2:$B$2500=$A67)*(Gastos!$D$2:$D$2500))</f>
        <v>0</v>
      </c>
      <c r="FC67" s="75">
        <f t="array" ref="FC67">SUM((YEAR(Gastos!$A$2:$A$2500)=FC$1)*(MONTH(Gastos!$A$2:$A$2500)=FC$3)*(Gastos!$B$2:$B$2500=$A67)*(Gastos!$D$2:$D$2500))</f>
        <v>0</v>
      </c>
      <c r="FD67" s="75">
        <f t="array" ref="FD67">SUM((YEAR(Gastos!$A$2:$A$2500)=FD$1)*(MONTH(Gastos!$A$2:$A$2500)=FD$3)*(Gastos!$B$2:$B$2500=$A67)*(Gastos!$D$2:$D$2500))</f>
        <v>0</v>
      </c>
      <c r="FE67" s="75">
        <f t="array" ref="FE67">SUM((YEAR(Gastos!$A$2:$A$2500)=FE$1)*(MONTH(Gastos!$A$2:$A$2500)=FE$3)*(Gastos!$B$2:$B$2500=$A67)*(Gastos!$D$2:$D$2500))</f>
        <v>0</v>
      </c>
      <c r="FF67" s="75">
        <f t="array" ref="FF67">SUM((YEAR(Gastos!$A$2:$A$2500)=FF$1)*(MONTH(Gastos!$A$2:$A$2500)=FF$3)*(Gastos!$B$2:$B$2500=$A67)*(Gastos!$D$2:$D$2500))</f>
        <v>0</v>
      </c>
      <c r="FG67" s="75">
        <f t="array" ref="FG67">SUM((YEAR(Gastos!$A$2:$A$2500)=FG$1)*(MONTH(Gastos!$A$2:$A$2500)=FG$3)*(Gastos!$B$2:$B$2500=$A67)*(Gastos!$D$2:$D$2500))</f>
        <v>0</v>
      </c>
      <c r="FH67" s="75">
        <f t="array" ref="FH67">SUM((YEAR(Gastos!$A$2:$A$2500)=FH$1)*(MONTH(Gastos!$A$2:$A$2500)=FH$3)*(Gastos!$B$2:$B$2500=$A67)*(Gastos!$D$2:$D$2500))</f>
        <v>0</v>
      </c>
      <c r="FI67" s="75">
        <f t="array" ref="FI67">SUM((YEAR(Gastos!$A$2:$A$2500)=FI$1)*(MONTH(Gastos!$A$2:$A$2500)=FI$3)*(Gastos!$B$2:$B$2500=$A67)*(Gastos!$D$2:$D$2500))</f>
        <v>0</v>
      </c>
      <c r="FJ67" s="75">
        <f t="array" ref="FJ67">SUM((YEAR(Gastos!$A$2:$A$2500)=FJ$1)*(MONTH(Gastos!$A$2:$A$2500)=FJ$3)*(Gastos!$B$2:$B$2500=$A67)*(Gastos!$D$2:$D$2500))</f>
        <v>0</v>
      </c>
      <c r="FK67" s="75">
        <f t="array" ref="FK67">SUM((YEAR(Gastos!$A$2:$A$2500)=FK$1)*(MONTH(Gastos!$A$2:$A$2500)=FK$3)*(Gastos!$B$2:$B$2500=$A67)*(Gastos!$D$2:$D$2500))</f>
        <v>0</v>
      </c>
      <c r="FL67" s="75">
        <f t="array" ref="FL67">SUM((YEAR(Gastos!$A$2:$A$2500)=FL$1)*(MONTH(Gastos!$A$2:$A$2500)=FL$3)*(Gastos!$B$2:$B$2500=$A67)*(Gastos!$D$2:$D$2500))</f>
        <v>0</v>
      </c>
      <c r="FM67" s="75">
        <f t="array" ref="FM67">SUM((YEAR(Gastos!$A$2:$A$2500)=FM$1)*(MONTH(Gastos!$A$2:$A$2500)=FM$3)*(Gastos!$B$2:$B$2500=$A67)*(Gastos!$D$2:$D$2500))</f>
        <v>0</v>
      </c>
      <c r="FN67" s="75">
        <f t="array" ref="FN67">SUM((YEAR(Gastos!$A$2:$A$2500)=FN$1)*(MONTH(Gastos!$A$2:$A$2500)=FN$3)*(Gastos!$B$2:$B$2500=$A67)*(Gastos!$D$2:$D$2500))</f>
        <v>0</v>
      </c>
      <c r="FO67" s="75">
        <f t="array" ref="FO67">SUM((YEAR(Gastos!$A$2:$A$2500)=FO$1)*(MONTH(Gastos!$A$2:$A$2500)=FO$3)*(Gastos!$B$2:$B$2500=$A67)*(Gastos!$D$2:$D$2500))</f>
        <v>0</v>
      </c>
      <c r="FP67" s="75">
        <f t="array" ref="FP67">SUM((YEAR(Gastos!$A$2:$A$2500)=FP$1)*(MONTH(Gastos!$A$2:$A$2500)=FP$3)*(Gastos!$B$2:$B$2500=$A67)*(Gastos!$D$2:$D$2500))</f>
        <v>0</v>
      </c>
      <c r="FQ67" s="75">
        <f t="array" ref="FQ67">SUM((YEAR(Gastos!$A$2:$A$2500)=FQ$1)*(MONTH(Gastos!$A$2:$A$2500)=FQ$3)*(Gastos!$B$2:$B$2500=$A67)*(Gastos!$D$2:$D$2500))</f>
        <v>0</v>
      </c>
      <c r="FR67" s="75">
        <f t="array" ref="FR67">SUM((YEAR(Gastos!$A$2:$A$2500)=FR$1)*(MONTH(Gastos!$A$2:$A$2500)=FR$3)*(Gastos!$B$2:$B$2500=$A67)*(Gastos!$D$2:$D$2500))</f>
        <v>0</v>
      </c>
      <c r="FS67" s="75">
        <f t="array" ref="FS67">SUM((YEAR(Gastos!$A$2:$A$2500)=FS$1)*(MONTH(Gastos!$A$2:$A$2500)=FS$3)*(Gastos!$B$2:$B$2500=$A67)*(Gastos!$D$2:$D$2500))</f>
        <v>0</v>
      </c>
      <c r="FT67" s="75">
        <f t="array" ref="FT67">SUM((YEAR(Gastos!$A$2:$A$2500)=FT$1)*(MONTH(Gastos!$A$2:$A$2500)=FT$3)*(Gastos!$B$2:$B$2500=$A67)*(Gastos!$D$2:$D$2500))</f>
        <v>0</v>
      </c>
      <c r="FU67" s="75">
        <f t="array" ref="FU67">SUM((YEAR(Gastos!$A$2:$A$2500)=FU$1)*(MONTH(Gastos!$A$2:$A$2500)=FU$3)*(Gastos!$B$2:$B$2500=$A67)*(Gastos!$D$2:$D$2500))</f>
        <v>0</v>
      </c>
      <c r="FV67" s="75">
        <f t="array" ref="FV67">SUM((YEAR(Gastos!$A$2:$A$2500)=FV$1)*(MONTH(Gastos!$A$2:$A$2500)=FV$3)*(Gastos!$B$2:$B$2500=$A67)*(Gastos!$D$2:$D$2500))</f>
        <v>0</v>
      </c>
      <c r="FW67" s="75">
        <f t="array" ref="FW67">SUM((YEAR(Gastos!$A$2:$A$2500)=FW$1)*(MONTH(Gastos!$A$2:$A$2500)=FW$3)*(Gastos!$B$2:$B$2500=$A67)*(Gastos!$D$2:$D$2500))</f>
        <v>0</v>
      </c>
      <c r="FX67" s="75">
        <f t="array" ref="FX67">SUM((YEAR(Gastos!$A$2:$A$2500)=FX$1)*(MONTH(Gastos!$A$2:$A$2500)=FX$3)*(Gastos!$B$2:$B$2500=$A67)*(Gastos!$D$2:$D$2500))</f>
        <v>0</v>
      </c>
      <c r="FY67" s="75">
        <f t="array" ref="FY67">SUM((YEAR(Gastos!$A$2:$A$2500)=FY$1)*(MONTH(Gastos!$A$2:$A$2500)=FY$3)*(Gastos!$B$2:$B$2500=$A67)*(Gastos!$D$2:$D$2500))</f>
        <v>0</v>
      </c>
      <c r="FZ67" s="76">
        <f t="shared" si="65"/>
        <v>0</v>
      </c>
      <c r="GA67" s="80"/>
      <c r="GB67" s="82"/>
    </row>
    <row r="68" spans="1:184" ht="15" thickBot="1" x14ac:dyDescent="0.4">
      <c r="A68" s="74" t="str">
        <f>Gastos!AA66</f>
        <v>X</v>
      </c>
      <c r="B68" s="75">
        <f t="array" ref="B68">SUM((YEAR(Gastos!$A$2:$A$2500)=B$1)*(MONTH(Gastos!$A$2:$A$2500)=B$3)*(Gastos!$B$2:$B$2500=$A68)*(Gastos!$D$2:$D$2500))</f>
        <v>0</v>
      </c>
      <c r="C68" s="75">
        <f t="array" ref="C68">SUM((YEAR(Gastos!$A$2:$A$2500)=C$1)*(MONTH(Gastos!$A$2:$A$2500)=C$3)*(Gastos!$B$2:$B$2500=$A68)*(Gastos!$D$2:$D$2500))</f>
        <v>0</v>
      </c>
      <c r="D68" s="75">
        <f t="array" ref="D68">SUM((YEAR(Gastos!$A$2:$A$2500)=D$1)*(MONTH(Gastos!$A$2:$A$2500)=D$3)*(Gastos!$B$2:$B$2500=$A68)*(Gastos!$D$2:$D$2500))</f>
        <v>0</v>
      </c>
      <c r="E68" s="75">
        <f t="array" ref="E68">SUM((YEAR(Gastos!$A$2:$A$2500)=E$1)*(MONTH(Gastos!$A$2:$A$2500)=E$3)*(Gastos!$B$2:$B$2500=$A68)*(Gastos!$D$2:$D$2500))</f>
        <v>0</v>
      </c>
      <c r="F68" s="75">
        <f t="array" ref="F68">SUM((YEAR(Gastos!$A$2:$A$2500)=F$1)*(MONTH(Gastos!$A$2:$A$2500)=F$3)*(Gastos!$B$2:$B$2500=$A68)*(Gastos!$D$2:$D$2500))</f>
        <v>0</v>
      </c>
      <c r="G68" s="75">
        <f t="array" ref="G68">SUM((YEAR(Gastos!$A$2:$A$2500)=G$1)*(MONTH(Gastos!$A$2:$A$2500)=G$3)*(Gastos!$B$2:$B$2500=$A68)*(Gastos!$D$2:$D$2500))</f>
        <v>0</v>
      </c>
      <c r="H68" s="75">
        <f t="array" ref="H68">SUM((YEAR(Gastos!$A$2:$A$2500)=H$1)*(MONTH(Gastos!$A$2:$A$2500)=H$3)*(Gastos!$B$2:$B$2500=$A68)*(Gastos!$D$2:$D$2500))</f>
        <v>0</v>
      </c>
      <c r="I68" s="75">
        <f t="array" ref="I68">SUM((YEAR(Gastos!$A$2:$A$2500)=I$1)*(MONTH(Gastos!$A$2:$A$2500)=I$3)*(Gastos!$B$2:$B$2500=$A68)*(Gastos!$D$2:$D$2500))</f>
        <v>0</v>
      </c>
      <c r="J68" s="75">
        <f t="array" ref="J68">SUM((YEAR(Gastos!$A$2:$A$2500)=J$1)*(MONTH(Gastos!$A$2:$A$2500)=J$3)*(Gastos!$B$2:$B$2500=$A68)*(Gastos!$D$2:$D$2500))</f>
        <v>0</v>
      </c>
      <c r="K68" s="75">
        <f t="array" ref="K68">SUM((YEAR(Gastos!$A$2:$A$2500)=K$1)*(MONTH(Gastos!$A$2:$A$2500)=K$3)*(Gastos!$B$2:$B$2500=$A68)*(Gastos!$D$2:$D$2500))</f>
        <v>0</v>
      </c>
      <c r="L68" s="75">
        <f t="array" ref="L68">SUM((YEAR(Gastos!$A$2:$A$2500)=L$1)*(MONTH(Gastos!$A$2:$A$2500)=L$3)*(Gastos!$B$2:$B$2500=$A68)*(Gastos!$D$2:$D$2500))</f>
        <v>0</v>
      </c>
      <c r="M68" s="75">
        <f t="array" ref="M68">SUM((YEAR(Gastos!$A$2:$A$2500)=M$1)*(MONTH(Gastos!$A$2:$A$2500)=M$3)*(Gastos!$B$2:$B$2500=$A68)*(Gastos!$D$2:$D$2500))</f>
        <v>0</v>
      </c>
      <c r="N68" s="75">
        <f t="array" ref="N68">SUM((YEAR(Gastos!$A$2:$A$2500)=N$1)*(MONTH(Gastos!$A$2:$A$2500)=N$3)*(Gastos!$B$2:$B$2500=$A68)*(Gastos!$D$2:$D$2500))</f>
        <v>0</v>
      </c>
      <c r="O68" s="75">
        <f t="array" ref="O68">SUM((YEAR(Gastos!$A$2:$A$2500)=O$1)*(MONTH(Gastos!$A$2:$A$2500)=O$3)*(Gastos!$B$2:$B$2500=$A68)*(Gastos!$D$2:$D$2500))</f>
        <v>0</v>
      </c>
      <c r="P68" s="75">
        <f t="array" ref="P68">SUM((YEAR(Gastos!$A$2:$A$2500)=P$1)*(MONTH(Gastos!$A$2:$A$2500)=P$3)*(Gastos!$B$2:$B$2500=$A68)*(Gastos!$D$2:$D$2500))</f>
        <v>0</v>
      </c>
      <c r="Q68" s="75">
        <f t="array" ref="Q68">SUM((YEAR(Gastos!$A$2:$A$2500)=Q$1)*(MONTH(Gastos!$A$2:$A$2500)=Q$3)*(Gastos!$B$2:$B$2500=$A68)*(Gastos!$D$2:$D$2500))</f>
        <v>0</v>
      </c>
      <c r="R68" s="75">
        <f t="array" ref="R68">SUM((YEAR(Gastos!$A$2:$A$2500)=R$1)*(MONTH(Gastos!$A$2:$A$2500)=R$3)*(Gastos!$B$2:$B$2500=$A68)*(Gastos!$D$2:$D$2500))</f>
        <v>0</v>
      </c>
      <c r="S68" s="75">
        <f t="array" ref="S68">SUM((YEAR(Gastos!$A$2:$A$2500)=S$1)*(MONTH(Gastos!$A$2:$A$2500)=S$3)*(Gastos!$B$2:$B$2500=$A68)*(Gastos!$D$2:$D$2500))</f>
        <v>0</v>
      </c>
      <c r="T68" s="75">
        <f t="array" ref="T68">SUM((YEAR(Gastos!$A$2:$A$2500)=T$1)*(MONTH(Gastos!$A$2:$A$2500)=T$3)*(Gastos!$B$2:$B$2500=$A68)*(Gastos!$D$2:$D$2500))</f>
        <v>0</v>
      </c>
      <c r="U68" s="75">
        <f t="array" ref="U68">SUM((YEAR(Gastos!$A$2:$A$2500)=U$1)*(MONTH(Gastos!$A$2:$A$2500)=U$3)*(Gastos!$B$2:$B$2500=$A68)*(Gastos!$D$2:$D$2500))</f>
        <v>0</v>
      </c>
      <c r="V68" s="75">
        <f t="array" ref="V68">SUM((YEAR(Gastos!$A$2:$A$2500)=V$1)*(MONTH(Gastos!$A$2:$A$2500)=V$3)*(Gastos!$B$2:$B$2500=$A68)*(Gastos!$D$2:$D$2500))</f>
        <v>0</v>
      </c>
      <c r="W68" s="75">
        <f t="array" ref="W68">SUM((YEAR(Gastos!$A$2:$A$2500)=W$1)*(MONTH(Gastos!$A$2:$A$2500)=W$3)*(Gastos!$B$2:$B$2500=$A68)*(Gastos!$D$2:$D$2500))</f>
        <v>0</v>
      </c>
      <c r="X68" s="75">
        <f t="array" ref="X68">SUM((YEAR(Gastos!$A$2:$A$2500)=X$1)*(MONTH(Gastos!$A$2:$A$2500)=X$3)*(Gastos!$B$2:$B$2500=$A68)*(Gastos!$D$2:$D$2500))</f>
        <v>0</v>
      </c>
      <c r="Y68" s="75">
        <f t="array" ref="Y68">SUM((YEAR(Gastos!$A$2:$A$2500)=Y$1)*(MONTH(Gastos!$A$2:$A$2500)=Y$3)*(Gastos!$B$2:$B$2500=$A68)*(Gastos!$D$2:$D$2500))</f>
        <v>0</v>
      </c>
      <c r="Z68" s="75">
        <f t="array" ref="Z68">SUM((YEAR(Gastos!$A$2:$A$2500)=Z$1)*(MONTH(Gastos!$A$2:$A$2500)=Z$3)*(Gastos!$B$2:$B$2500=$A68)*(Gastos!$D$2:$D$2500))</f>
        <v>0</v>
      </c>
      <c r="AA68" s="75">
        <f t="array" ref="AA68">SUM((YEAR(Gastos!$A$2:$A$2500)=AA$1)*(MONTH(Gastos!$A$2:$A$2500)=AA$3)*(Gastos!$B$2:$B$2500=$A68)*(Gastos!$D$2:$D$2500))</f>
        <v>0</v>
      </c>
      <c r="AB68" s="75">
        <f t="array" ref="AB68">SUM((YEAR(Gastos!$A$2:$A$2500)=AB$1)*(MONTH(Gastos!$A$2:$A$2500)=AB$3)*(Gastos!$B$2:$B$2500=$A68)*(Gastos!$D$2:$D$2500))</f>
        <v>0</v>
      </c>
      <c r="AC68" s="75">
        <f t="array" ref="AC68">SUM((YEAR(Gastos!$A$2:$A$2500)=AC$1)*(MONTH(Gastos!$A$2:$A$2500)=AC$3)*(Gastos!$B$2:$B$2500=$A68)*(Gastos!$D$2:$D$2500))</f>
        <v>0</v>
      </c>
      <c r="AD68" s="75">
        <f t="array" ref="AD68">SUM((YEAR(Gastos!$A$2:$A$2500)=AD$1)*(MONTH(Gastos!$A$2:$A$2500)=AD$3)*(Gastos!$B$2:$B$2500=$A68)*(Gastos!$D$2:$D$2500))</f>
        <v>0</v>
      </c>
      <c r="AE68" s="75">
        <f t="array" ref="AE68">SUM((YEAR(Gastos!$A$2:$A$2500)=AE$1)*(MONTH(Gastos!$A$2:$A$2500)=AE$3)*(Gastos!$B$2:$B$2500=$A68)*(Gastos!$D$2:$D$2500))</f>
        <v>0</v>
      </c>
      <c r="AF68" s="75">
        <f t="array" ref="AF68">SUM((YEAR(Gastos!$A$2:$A$2500)=AF$1)*(MONTH(Gastos!$A$2:$A$2500)=AF$3)*(Gastos!$B$2:$B$2500=$A68)*(Gastos!$D$2:$D$2500))</f>
        <v>0</v>
      </c>
      <c r="AG68" s="75">
        <f t="array" ref="AG68">SUM((YEAR(Gastos!$A$2:$A$2500)=AG$1)*(MONTH(Gastos!$A$2:$A$2500)=AG$3)*(Gastos!$B$2:$B$2500=$A68)*(Gastos!$D$2:$D$2500))</f>
        <v>0</v>
      </c>
      <c r="AH68" s="75">
        <f t="array" ref="AH68">SUM((YEAR(Gastos!$A$2:$A$2500)=AH$1)*(MONTH(Gastos!$A$2:$A$2500)=AH$3)*(Gastos!$B$2:$B$2500=$A68)*(Gastos!$D$2:$D$2500))</f>
        <v>0</v>
      </c>
      <c r="AI68" s="75">
        <f t="array" ref="AI68">SUM((YEAR(Gastos!$A$2:$A$2500)=AI$1)*(MONTH(Gastos!$A$2:$A$2500)=AI$3)*(Gastos!$B$2:$B$2500=$A68)*(Gastos!$D$2:$D$2500))</f>
        <v>0</v>
      </c>
      <c r="AJ68" s="75">
        <f t="array" ref="AJ68">SUM((YEAR(Gastos!$A$2:$A$2500)=AJ$1)*(MONTH(Gastos!$A$2:$A$2500)=AJ$3)*(Gastos!$B$2:$B$2500=$A68)*(Gastos!$D$2:$D$2500))</f>
        <v>0</v>
      </c>
      <c r="AK68" s="75">
        <f t="array" ref="AK68">SUM((YEAR(Gastos!$A$2:$A$2500)=AK$1)*(MONTH(Gastos!$A$2:$A$2500)=AK$3)*(Gastos!$B$2:$B$2500=$A68)*(Gastos!$D$2:$D$2500))</f>
        <v>0</v>
      </c>
      <c r="AL68" s="75">
        <f t="array" ref="AL68">SUM((YEAR(Gastos!$A$2:$A$2500)=AL$1)*(MONTH(Gastos!$A$2:$A$2500)=AL$3)*(Gastos!$B$2:$B$2500=$A68)*(Gastos!$D$2:$D$2500))</f>
        <v>0</v>
      </c>
      <c r="AM68" s="75">
        <f t="array" ref="AM68">SUM((YEAR(Gastos!$A$2:$A$2500)=AM$1)*(MONTH(Gastos!$A$2:$A$2500)=AM$3)*(Gastos!$B$2:$B$2500=$A68)*(Gastos!$D$2:$D$2500))</f>
        <v>0</v>
      </c>
      <c r="AN68" s="75">
        <f t="array" ref="AN68">SUM((YEAR(Gastos!$A$2:$A$2500)=AN$1)*(MONTH(Gastos!$A$2:$A$2500)=AN$3)*(Gastos!$B$2:$B$2500=$A68)*(Gastos!$D$2:$D$2500))</f>
        <v>0</v>
      </c>
      <c r="AO68" s="75">
        <f t="array" ref="AO68">SUM((YEAR(Gastos!$A$2:$A$2500)=AO$1)*(MONTH(Gastos!$A$2:$A$2500)=AO$3)*(Gastos!$B$2:$B$2500=$A68)*(Gastos!$D$2:$D$2500))</f>
        <v>0</v>
      </c>
      <c r="AP68" s="75">
        <f t="array" ref="AP68">SUM((YEAR(Gastos!$A$2:$A$2500)=AP$1)*(MONTH(Gastos!$A$2:$A$2500)=AP$3)*(Gastos!$B$2:$B$2500=$A68)*(Gastos!$D$2:$D$2500))</f>
        <v>0</v>
      </c>
      <c r="AQ68" s="75">
        <f t="array" ref="AQ68">SUM((YEAR(Gastos!$A$2:$A$2500)=AQ$1)*(MONTH(Gastos!$A$2:$A$2500)=AQ$3)*(Gastos!$B$2:$B$2500=$A68)*(Gastos!$D$2:$D$2500))</f>
        <v>0</v>
      </c>
      <c r="AR68" s="75">
        <f t="array" ref="AR68">SUM((YEAR(Gastos!$A$2:$A$2500)=AR$1)*(MONTH(Gastos!$A$2:$A$2500)=AR$3)*(Gastos!$B$2:$B$2500=$A68)*(Gastos!$D$2:$D$2500))</f>
        <v>0</v>
      </c>
      <c r="AS68" s="75">
        <f t="array" ref="AS68">SUM((YEAR(Gastos!$A$2:$A$2500)=AS$1)*(MONTH(Gastos!$A$2:$A$2500)=AS$3)*(Gastos!$B$2:$B$2500=$A68)*(Gastos!$D$2:$D$2500))</f>
        <v>0</v>
      </c>
      <c r="AT68" s="75">
        <f t="array" ref="AT68">SUM((YEAR(Gastos!$A$2:$A$2500)=AT$1)*(MONTH(Gastos!$A$2:$A$2500)=AT$3)*(Gastos!$B$2:$B$2500=$A68)*(Gastos!$D$2:$D$2500))</f>
        <v>0</v>
      </c>
      <c r="AU68" s="75">
        <f t="array" ref="AU68">SUM((YEAR(Gastos!$A$2:$A$2500)=AU$1)*(MONTH(Gastos!$A$2:$A$2500)=AU$3)*(Gastos!$B$2:$B$2500=$A68)*(Gastos!$D$2:$D$2500))</f>
        <v>0</v>
      </c>
      <c r="AV68" s="75">
        <f t="array" ref="AV68">SUM((YEAR(Gastos!$A$2:$A$2500)=AV$1)*(MONTH(Gastos!$A$2:$A$2500)=AV$3)*(Gastos!$B$2:$B$2500=$A68)*(Gastos!$D$2:$D$2500))</f>
        <v>0</v>
      </c>
      <c r="AW68" s="75">
        <f t="array" ref="AW68">SUM((YEAR(Gastos!$A$2:$A$2500)=AW$1)*(MONTH(Gastos!$A$2:$A$2500)=AW$3)*(Gastos!$B$2:$B$2500=$A68)*(Gastos!$D$2:$D$2500))</f>
        <v>0</v>
      </c>
      <c r="AX68" s="75">
        <f t="array" ref="AX68">SUM((YEAR(Gastos!$A$2:$A$2500)=AX$1)*(MONTH(Gastos!$A$2:$A$2500)=AX$3)*(Gastos!$B$2:$B$2500=$A68)*(Gastos!$D$2:$D$2500))</f>
        <v>0</v>
      </c>
      <c r="AY68" s="75">
        <f t="array" ref="AY68">SUM((YEAR(Gastos!$A$2:$A$2500)=AY$1)*(MONTH(Gastos!$A$2:$A$2500)=AY$3)*(Gastos!$B$2:$B$2500=$A68)*(Gastos!$D$2:$D$2500))</f>
        <v>0</v>
      </c>
      <c r="AZ68" s="75">
        <f t="array" ref="AZ68">SUM((YEAR(Gastos!$A$2:$A$2500)=AZ$1)*(MONTH(Gastos!$A$2:$A$2500)=AZ$3)*(Gastos!$B$2:$B$2500=$A68)*(Gastos!$D$2:$D$2500))</f>
        <v>0</v>
      </c>
      <c r="BA68" s="75">
        <f t="array" ref="BA68">SUM((YEAR(Gastos!$A$2:$A$2500)=BA$1)*(MONTH(Gastos!$A$2:$A$2500)=BA$3)*(Gastos!$B$2:$B$2500=$A68)*(Gastos!$D$2:$D$2500))</f>
        <v>0</v>
      </c>
      <c r="BB68" s="75">
        <f t="array" ref="BB68">SUM((YEAR(Gastos!$A$2:$A$2500)=BB$1)*(MONTH(Gastos!$A$2:$A$2500)=BB$3)*(Gastos!$B$2:$B$2500=$A68)*(Gastos!$D$2:$D$2500))</f>
        <v>0</v>
      </c>
      <c r="BC68" s="75">
        <f t="array" ref="BC68">SUM((YEAR(Gastos!$A$2:$A$2500)=BC$1)*(MONTH(Gastos!$A$2:$A$2500)=BC$3)*(Gastos!$B$2:$B$2500=$A68)*(Gastos!$D$2:$D$2500))</f>
        <v>0</v>
      </c>
      <c r="BD68" s="75">
        <f t="array" ref="BD68">SUM((YEAR(Gastos!$A$2:$A$2500)=BD$1)*(MONTH(Gastos!$A$2:$A$2500)=BD$3)*(Gastos!$B$2:$B$2500=$A68)*(Gastos!$D$2:$D$2500))</f>
        <v>0</v>
      </c>
      <c r="BE68" s="75">
        <f t="array" ref="BE68">SUM((YEAR(Gastos!$A$2:$A$2500)=BE$1)*(MONTH(Gastos!$A$2:$A$2500)=BE$3)*(Gastos!$B$2:$B$2500=$A68)*(Gastos!$D$2:$D$2500))</f>
        <v>0</v>
      </c>
      <c r="BF68" s="75">
        <f t="array" ref="BF68">SUM((YEAR(Gastos!$A$2:$A$2500)=BF$1)*(MONTH(Gastos!$A$2:$A$2500)=BF$3)*(Gastos!$B$2:$B$2500=$A68)*(Gastos!$D$2:$D$2500))</f>
        <v>0</v>
      </c>
      <c r="BG68" s="75">
        <f t="array" ref="BG68">SUM((YEAR(Gastos!$A$2:$A$2500)=BG$1)*(MONTH(Gastos!$A$2:$A$2500)=BG$3)*(Gastos!$B$2:$B$2500=$A68)*(Gastos!$D$2:$D$2500))</f>
        <v>0</v>
      </c>
      <c r="BH68" s="75">
        <f t="array" ref="BH68">SUM((YEAR(Gastos!$A$2:$A$2500)=BH$1)*(MONTH(Gastos!$A$2:$A$2500)=BH$3)*(Gastos!$B$2:$B$2500=$A68)*(Gastos!$D$2:$D$2500))</f>
        <v>0</v>
      </c>
      <c r="BI68" s="75">
        <f t="array" ref="BI68">SUM((YEAR(Gastos!$A$2:$A$2500)=BI$1)*(MONTH(Gastos!$A$2:$A$2500)=BI$3)*(Gastos!$B$2:$B$2500=$A68)*(Gastos!$D$2:$D$2500))</f>
        <v>0</v>
      </c>
      <c r="BJ68" s="75">
        <f t="array" ref="BJ68">SUM((YEAR(Gastos!$A$2:$A$2500)=BJ$1)*(MONTH(Gastos!$A$2:$A$2500)=BJ$3)*(Gastos!$B$2:$B$2500=$A68)*(Gastos!$D$2:$D$2500))</f>
        <v>0</v>
      </c>
      <c r="BK68" s="75">
        <f t="array" ref="BK68">SUM((YEAR(Gastos!$A$2:$A$2500)=BK$1)*(MONTH(Gastos!$A$2:$A$2500)=BK$3)*(Gastos!$B$2:$B$2500=$A68)*(Gastos!$D$2:$D$2500))</f>
        <v>0</v>
      </c>
      <c r="BL68" s="75">
        <f t="array" ref="BL68">SUM((YEAR(Gastos!$A$2:$A$2500)=BL$1)*(MONTH(Gastos!$A$2:$A$2500)=BL$3)*(Gastos!$B$2:$B$2500=$A68)*(Gastos!$D$2:$D$2500))</f>
        <v>0</v>
      </c>
      <c r="BM68" s="75">
        <f t="array" ref="BM68">SUM((YEAR(Gastos!$A$2:$A$2500)=BM$1)*(MONTH(Gastos!$A$2:$A$2500)=BM$3)*(Gastos!$B$2:$B$2500=$A68)*(Gastos!$D$2:$D$2500))</f>
        <v>0</v>
      </c>
      <c r="BN68" s="75">
        <f t="array" ref="BN68">SUM((YEAR(Gastos!$A$2:$A$2500)=BN$1)*(MONTH(Gastos!$A$2:$A$2500)=BN$3)*(Gastos!$B$2:$B$2500=$A68)*(Gastos!$D$2:$D$2500))</f>
        <v>0</v>
      </c>
      <c r="BO68" s="75">
        <f t="array" ref="BO68">SUM((YEAR(Gastos!$A$2:$A$2500)=BO$1)*(MONTH(Gastos!$A$2:$A$2500)=BO$3)*(Gastos!$B$2:$B$2500=$A68)*(Gastos!$D$2:$D$2500))</f>
        <v>0</v>
      </c>
      <c r="BP68" s="75">
        <f t="array" ref="BP68">SUM((YEAR(Gastos!$A$2:$A$2500)=BP$1)*(MONTH(Gastos!$A$2:$A$2500)=BP$3)*(Gastos!$B$2:$B$2500=$A68)*(Gastos!$D$2:$D$2500))</f>
        <v>0</v>
      </c>
      <c r="BQ68" s="75">
        <f t="array" ref="BQ68">SUM((YEAR(Gastos!$A$2:$A$2500)=BQ$1)*(MONTH(Gastos!$A$2:$A$2500)=BQ$3)*(Gastos!$B$2:$B$2500=$A68)*(Gastos!$D$2:$D$2500))</f>
        <v>0</v>
      </c>
      <c r="BR68" s="75">
        <f t="array" ref="BR68">SUM((YEAR(Gastos!$A$2:$A$2500)=BR$1)*(MONTH(Gastos!$A$2:$A$2500)=BR$3)*(Gastos!$B$2:$B$2500=$A68)*(Gastos!$D$2:$D$2500))</f>
        <v>0</v>
      </c>
      <c r="BS68" s="75">
        <f t="array" ref="BS68">SUM((YEAR(Gastos!$A$2:$A$2500)=BS$1)*(MONTH(Gastos!$A$2:$A$2500)=BS$3)*(Gastos!$B$2:$B$2500=$A68)*(Gastos!$D$2:$D$2500))</f>
        <v>0</v>
      </c>
      <c r="BT68" s="75">
        <f t="array" ref="BT68">SUM((YEAR(Gastos!$A$2:$A$2500)=BT$1)*(MONTH(Gastos!$A$2:$A$2500)=BT$3)*(Gastos!$B$2:$B$2500=$A68)*(Gastos!$D$2:$D$2500))</f>
        <v>0</v>
      </c>
      <c r="BU68" s="75">
        <f t="array" ref="BU68">SUM((YEAR(Gastos!$A$2:$A$2500)=BU$1)*(MONTH(Gastos!$A$2:$A$2500)=BU$3)*(Gastos!$B$2:$B$2500=$A68)*(Gastos!$D$2:$D$2500))</f>
        <v>0</v>
      </c>
      <c r="BV68" s="75">
        <f t="array" ref="BV68">SUM((YEAR(Gastos!$A$2:$A$2500)=BV$1)*(MONTH(Gastos!$A$2:$A$2500)=BV$3)*(Gastos!$B$2:$B$2500=$A68)*(Gastos!$D$2:$D$2500))</f>
        <v>0</v>
      </c>
      <c r="BW68" s="75">
        <f t="array" ref="BW68">SUM((YEAR(Gastos!$A$2:$A$2500)=BW$1)*(MONTH(Gastos!$A$2:$A$2500)=BW$3)*(Gastos!$B$2:$B$2500=$A68)*(Gastos!$D$2:$D$2500))</f>
        <v>0</v>
      </c>
      <c r="BX68" s="75">
        <f t="array" ref="BX68">SUM((YEAR(Gastos!$A$2:$A$2500)=BX$1)*(MONTH(Gastos!$A$2:$A$2500)=BX$3)*(Gastos!$B$2:$B$2500=$A68)*(Gastos!$D$2:$D$2500))</f>
        <v>0</v>
      </c>
      <c r="BY68" s="75">
        <f t="array" ref="BY68">SUM((YEAR(Gastos!$A$2:$A$2500)=BY$1)*(MONTH(Gastos!$A$2:$A$2500)=BY$3)*(Gastos!$B$2:$B$2500=$A68)*(Gastos!$D$2:$D$2500))</f>
        <v>0</v>
      </c>
      <c r="BZ68" s="75">
        <f t="array" ref="BZ68">SUM((YEAR(Gastos!$A$2:$A$2500)=BZ$1)*(MONTH(Gastos!$A$2:$A$2500)=BZ$3)*(Gastos!$B$2:$B$2500=$A68)*(Gastos!$D$2:$D$2500))</f>
        <v>0</v>
      </c>
      <c r="CA68" s="75">
        <f t="array" ref="CA68">SUM((YEAR(Gastos!$A$2:$A$2500)=CA$1)*(MONTH(Gastos!$A$2:$A$2500)=CA$3)*(Gastos!$B$2:$B$2500=$A68)*(Gastos!$D$2:$D$2500))</f>
        <v>0</v>
      </c>
      <c r="CB68" s="75">
        <f t="array" ref="CB68">SUM((YEAR(Gastos!$A$2:$A$2500)=CB$1)*(MONTH(Gastos!$A$2:$A$2500)=CB$3)*(Gastos!$B$2:$B$2500=$A68)*(Gastos!$D$2:$D$2500))</f>
        <v>0</v>
      </c>
      <c r="CC68" s="75">
        <f t="array" ref="CC68">SUM((YEAR(Gastos!$A$2:$A$2500)=CC$1)*(MONTH(Gastos!$A$2:$A$2500)=CC$3)*(Gastos!$B$2:$B$2500=$A68)*(Gastos!$D$2:$D$2500))</f>
        <v>0</v>
      </c>
      <c r="CD68" s="75">
        <f t="array" ref="CD68">SUM((YEAR(Gastos!$A$2:$A$2500)=CD$1)*(MONTH(Gastos!$A$2:$A$2500)=CD$3)*(Gastos!$B$2:$B$2500=$A68)*(Gastos!$D$2:$D$2500))</f>
        <v>0</v>
      </c>
      <c r="CE68" s="75">
        <f t="array" ref="CE68">SUM((YEAR(Gastos!$A$2:$A$2500)=CE$1)*(MONTH(Gastos!$A$2:$A$2500)=CE$3)*(Gastos!$B$2:$B$2500=$A68)*(Gastos!$D$2:$D$2500))</f>
        <v>0</v>
      </c>
      <c r="CF68" s="75">
        <f t="array" ref="CF68">SUM((YEAR(Gastos!$A$2:$A$2500)=CF$1)*(MONTH(Gastos!$A$2:$A$2500)=CF$3)*(Gastos!$B$2:$B$2500=$A68)*(Gastos!$D$2:$D$2500))</f>
        <v>0</v>
      </c>
      <c r="CG68" s="75">
        <f t="array" ref="CG68">SUM((YEAR(Gastos!$A$2:$A$2500)=CG$1)*(MONTH(Gastos!$A$2:$A$2500)=CG$3)*(Gastos!$B$2:$B$2500=$A68)*(Gastos!$D$2:$D$2500))</f>
        <v>0</v>
      </c>
      <c r="CH68" s="75">
        <f t="array" ref="CH68">SUM((YEAR(Gastos!$A$2:$A$2500)=CH$1)*(MONTH(Gastos!$A$2:$A$2500)=CH$3)*(Gastos!$B$2:$B$2500=$A68)*(Gastos!$D$2:$D$2500))</f>
        <v>0</v>
      </c>
      <c r="CI68" s="75">
        <f t="array" ref="CI68">SUM((YEAR(Gastos!$A$2:$A$2500)=CI$1)*(MONTH(Gastos!$A$2:$A$2500)=CI$3)*(Gastos!$B$2:$B$2500=$A68)*(Gastos!$D$2:$D$2500))</f>
        <v>0</v>
      </c>
      <c r="CJ68" s="75">
        <f t="array" ref="CJ68">SUM((YEAR(Gastos!$A$2:$A$2500)=CJ$1)*(MONTH(Gastos!$A$2:$A$2500)=CJ$3)*(Gastos!$B$2:$B$2500=$A68)*(Gastos!$D$2:$D$2500))</f>
        <v>0</v>
      </c>
      <c r="CK68" s="75">
        <f t="array" ref="CK68">SUM((YEAR(Gastos!$A$2:$A$2500)=CK$1)*(MONTH(Gastos!$A$2:$A$2500)=CK$3)*(Gastos!$B$2:$B$2500=$A68)*(Gastos!$D$2:$D$2500))</f>
        <v>0</v>
      </c>
      <c r="CL68" s="75">
        <f t="array" ref="CL68">SUM((YEAR(Gastos!$A$2:$A$2500)=CL$1)*(MONTH(Gastos!$A$2:$A$2500)=CL$3)*(Gastos!$B$2:$B$2500=$A68)*(Gastos!$D$2:$D$2500))</f>
        <v>0</v>
      </c>
      <c r="CM68" s="75">
        <f t="array" ref="CM68">SUM((YEAR(Gastos!$A$2:$A$2500)=CM$1)*(MONTH(Gastos!$A$2:$A$2500)=CM$3)*(Gastos!$B$2:$B$2500=$A68)*(Gastos!$D$2:$D$2500))</f>
        <v>0</v>
      </c>
      <c r="CN68" s="75">
        <f t="array" ref="CN68">SUM((YEAR(Gastos!$A$2:$A$2500)=CN$1)*(MONTH(Gastos!$A$2:$A$2500)=CN$3)*(Gastos!$B$2:$B$2500=$A68)*(Gastos!$D$2:$D$2500))</f>
        <v>0</v>
      </c>
      <c r="CO68" s="75">
        <f t="array" ref="CO68">SUM((YEAR(Gastos!$A$2:$A$2500)=CO$1)*(MONTH(Gastos!$A$2:$A$2500)=CO$3)*(Gastos!$B$2:$B$2500=$A68)*(Gastos!$D$2:$D$2500))</f>
        <v>0</v>
      </c>
      <c r="CP68" s="75">
        <f t="array" ref="CP68">SUM((YEAR(Gastos!$A$2:$A$2500)=CP$1)*(MONTH(Gastos!$A$2:$A$2500)=CP$3)*(Gastos!$B$2:$B$2500=$A68)*(Gastos!$D$2:$D$2500))</f>
        <v>0</v>
      </c>
      <c r="CQ68" s="75">
        <f t="array" ref="CQ68">SUM((YEAR(Gastos!$A$2:$A$2500)=CQ$1)*(MONTH(Gastos!$A$2:$A$2500)=CQ$3)*(Gastos!$B$2:$B$2500=$A68)*(Gastos!$D$2:$D$2500))</f>
        <v>0</v>
      </c>
      <c r="CR68" s="75">
        <f t="array" ref="CR68">SUM((YEAR(Gastos!$A$2:$A$2500)=CR$1)*(MONTH(Gastos!$A$2:$A$2500)=CR$3)*(Gastos!$B$2:$B$2500=$A68)*(Gastos!$D$2:$D$2500))</f>
        <v>0</v>
      </c>
      <c r="CS68" s="75">
        <f t="array" ref="CS68">SUM((YEAR(Gastos!$A$2:$A$2500)=CS$1)*(MONTH(Gastos!$A$2:$A$2500)=CS$3)*(Gastos!$B$2:$B$2500=$A68)*(Gastos!$D$2:$D$2500))</f>
        <v>0</v>
      </c>
      <c r="CT68" s="75">
        <f t="array" ref="CT68">SUM((YEAR(Gastos!$A$2:$A$2500)=CT$1)*(MONTH(Gastos!$A$2:$A$2500)=CT$3)*(Gastos!$B$2:$B$2500=$A68)*(Gastos!$D$2:$D$2500))</f>
        <v>0</v>
      </c>
      <c r="CU68" s="75">
        <f t="array" ref="CU68">SUM((YEAR(Gastos!$A$2:$A$2500)=CU$1)*(MONTH(Gastos!$A$2:$A$2500)=CU$3)*(Gastos!$B$2:$B$2500=$A68)*(Gastos!$D$2:$D$2500))</f>
        <v>0</v>
      </c>
      <c r="CV68" s="75">
        <f t="array" ref="CV68">SUM((YEAR(Gastos!$A$2:$A$2500)=CV$1)*(MONTH(Gastos!$A$2:$A$2500)=CV$3)*(Gastos!$B$2:$B$2500=$A68)*(Gastos!$D$2:$D$2500))</f>
        <v>0</v>
      </c>
      <c r="CW68" s="75">
        <f t="array" ref="CW68">SUM((YEAR(Gastos!$A$2:$A$2500)=CW$1)*(MONTH(Gastos!$A$2:$A$2500)=CW$3)*(Gastos!$B$2:$B$2500=$A68)*(Gastos!$D$2:$D$2500))</f>
        <v>0</v>
      </c>
      <c r="CX68" s="75">
        <f t="array" ref="CX68">SUM((YEAR(Gastos!$A$2:$A$2500)=CX$1)*(MONTH(Gastos!$A$2:$A$2500)=CX$3)*(Gastos!$B$2:$B$2500=$A68)*(Gastos!$D$2:$D$2500))</f>
        <v>0</v>
      </c>
      <c r="CY68" s="75">
        <f t="array" ref="CY68">SUM((YEAR(Gastos!$A$2:$A$2500)=CY$1)*(MONTH(Gastos!$A$2:$A$2500)=CY$3)*(Gastos!$B$2:$B$2500=$A68)*(Gastos!$D$2:$D$2500))</f>
        <v>0</v>
      </c>
      <c r="CZ68" s="75">
        <f t="array" ref="CZ68">SUM((YEAR(Gastos!$A$2:$A$2500)=CZ$1)*(MONTH(Gastos!$A$2:$A$2500)=CZ$3)*(Gastos!$B$2:$B$2500=$A68)*(Gastos!$D$2:$D$2500))</f>
        <v>0</v>
      </c>
      <c r="DA68" s="75">
        <f t="array" ref="DA68">SUM((YEAR(Gastos!$A$2:$A$2500)=DA$1)*(MONTH(Gastos!$A$2:$A$2500)=DA$3)*(Gastos!$B$2:$B$2500=$A68)*(Gastos!$D$2:$D$2500))</f>
        <v>0</v>
      </c>
      <c r="DB68" s="75">
        <f t="array" ref="DB68">SUM((YEAR(Gastos!$A$2:$A$2500)=DB$1)*(MONTH(Gastos!$A$2:$A$2500)=DB$3)*(Gastos!$B$2:$B$2500=$A68)*(Gastos!$D$2:$D$2500))</f>
        <v>0</v>
      </c>
      <c r="DC68" s="75">
        <f t="array" ref="DC68">SUM((YEAR(Gastos!$A$2:$A$2500)=DC$1)*(MONTH(Gastos!$A$2:$A$2500)=DC$3)*(Gastos!$B$2:$B$2500=$A68)*(Gastos!$D$2:$D$2500))</f>
        <v>0</v>
      </c>
      <c r="DD68" s="75">
        <f t="array" ref="DD68">SUM((YEAR(Gastos!$A$2:$A$2500)=DD$1)*(MONTH(Gastos!$A$2:$A$2500)=DD$3)*(Gastos!$B$2:$B$2500=$A68)*(Gastos!$D$2:$D$2500))</f>
        <v>0</v>
      </c>
      <c r="DE68" s="75">
        <f t="array" ref="DE68">SUM((YEAR(Gastos!$A$2:$A$2500)=DE$1)*(MONTH(Gastos!$A$2:$A$2500)=DE$3)*(Gastos!$B$2:$B$2500=$A68)*(Gastos!$D$2:$D$2500))</f>
        <v>0</v>
      </c>
      <c r="DF68" s="75">
        <f t="array" ref="DF68">SUM((YEAR(Gastos!$A$2:$A$2500)=DF$1)*(MONTH(Gastos!$A$2:$A$2500)=DF$3)*(Gastos!$B$2:$B$2500=$A68)*(Gastos!$D$2:$D$2500))</f>
        <v>0</v>
      </c>
      <c r="DG68" s="75">
        <f t="array" ref="DG68">SUM((YEAR(Gastos!$A$2:$A$2500)=DG$1)*(MONTH(Gastos!$A$2:$A$2500)=DG$3)*(Gastos!$B$2:$B$2500=$A68)*(Gastos!$D$2:$D$2500))</f>
        <v>0</v>
      </c>
      <c r="DH68" s="75">
        <f t="array" ref="DH68">SUM((YEAR(Gastos!$A$2:$A$2500)=DH$1)*(MONTH(Gastos!$A$2:$A$2500)=DH$3)*(Gastos!$B$2:$B$2500=$A68)*(Gastos!$D$2:$D$2500))</f>
        <v>0</v>
      </c>
      <c r="DI68" s="75">
        <f t="array" ref="DI68">SUM((YEAR(Gastos!$A$2:$A$2500)=DI$1)*(MONTH(Gastos!$A$2:$A$2500)=DI$3)*(Gastos!$B$2:$B$2500=$A68)*(Gastos!$D$2:$D$2500))</f>
        <v>0</v>
      </c>
      <c r="DJ68" s="75">
        <f t="array" ref="DJ68">SUM((YEAR(Gastos!$A$2:$A$2500)=DJ$1)*(MONTH(Gastos!$A$2:$A$2500)=DJ$3)*(Gastos!$B$2:$B$2500=$A68)*(Gastos!$D$2:$D$2500))</f>
        <v>0</v>
      </c>
      <c r="DK68" s="75">
        <f t="array" ref="DK68">SUM((YEAR(Gastos!$A$2:$A$2500)=DK$1)*(MONTH(Gastos!$A$2:$A$2500)=DK$3)*(Gastos!$B$2:$B$2500=$A68)*(Gastos!$D$2:$D$2500))</f>
        <v>0</v>
      </c>
      <c r="DL68" s="75">
        <f t="array" ref="DL68">SUM((YEAR(Gastos!$A$2:$A$2500)=DL$1)*(MONTH(Gastos!$A$2:$A$2500)=DL$3)*(Gastos!$B$2:$B$2500=$A68)*(Gastos!$D$2:$D$2500))</f>
        <v>0</v>
      </c>
      <c r="DM68" s="75">
        <f t="array" ref="DM68">SUM((YEAR(Gastos!$A$2:$A$2500)=DM$1)*(MONTH(Gastos!$A$2:$A$2500)=DM$3)*(Gastos!$B$2:$B$2500=$A68)*(Gastos!$D$2:$D$2500))</f>
        <v>0</v>
      </c>
      <c r="DN68" s="75">
        <f t="array" ref="DN68">SUM((YEAR(Gastos!$A$2:$A$2500)=DN$1)*(MONTH(Gastos!$A$2:$A$2500)=DN$3)*(Gastos!$B$2:$B$2500=$A68)*(Gastos!$D$2:$D$2500))</f>
        <v>0</v>
      </c>
      <c r="DO68" s="75">
        <f t="array" ref="DO68">SUM((YEAR(Gastos!$A$2:$A$2500)=DO$1)*(MONTH(Gastos!$A$2:$A$2500)=DO$3)*(Gastos!$B$2:$B$2500=$A68)*(Gastos!$D$2:$D$2500))</f>
        <v>0</v>
      </c>
      <c r="DP68" s="75">
        <f t="array" ref="DP68">SUM((YEAR(Gastos!$A$2:$A$2500)=DP$1)*(MONTH(Gastos!$A$2:$A$2500)=DP$3)*(Gastos!$B$2:$B$2500=$A68)*(Gastos!$D$2:$D$2500))</f>
        <v>0</v>
      </c>
      <c r="DQ68" s="75">
        <f t="array" ref="DQ68">SUM((YEAR(Gastos!$A$2:$A$2500)=DQ$1)*(MONTH(Gastos!$A$2:$A$2500)=DQ$3)*(Gastos!$B$2:$B$2500=$A68)*(Gastos!$D$2:$D$2500))</f>
        <v>0</v>
      </c>
      <c r="DR68" s="75">
        <f t="array" ref="DR68">SUM((YEAR(Gastos!$A$2:$A$2500)=DR$1)*(MONTH(Gastos!$A$2:$A$2500)=DR$3)*(Gastos!$B$2:$B$2500=$A68)*(Gastos!$D$2:$D$2500))</f>
        <v>0</v>
      </c>
      <c r="DS68" s="75">
        <f t="array" ref="DS68">SUM((YEAR(Gastos!$A$2:$A$2500)=DS$1)*(MONTH(Gastos!$A$2:$A$2500)=DS$3)*(Gastos!$B$2:$B$2500=$A68)*(Gastos!$D$2:$D$2500))</f>
        <v>0</v>
      </c>
      <c r="DT68" s="75">
        <f t="array" ref="DT68">SUM((YEAR(Gastos!$A$2:$A$2500)=DT$1)*(MONTH(Gastos!$A$2:$A$2500)=DT$3)*(Gastos!$B$2:$B$2500=$A68)*(Gastos!$D$2:$D$2500))</f>
        <v>0</v>
      </c>
      <c r="DU68" s="75">
        <f t="array" ref="DU68">SUM((YEAR(Gastos!$A$2:$A$2500)=DU$1)*(MONTH(Gastos!$A$2:$A$2500)=DU$3)*(Gastos!$B$2:$B$2500=$A68)*(Gastos!$D$2:$D$2500))</f>
        <v>0</v>
      </c>
      <c r="DV68" s="75">
        <f t="array" ref="DV68">SUM((YEAR(Gastos!$A$2:$A$2500)=DV$1)*(MONTH(Gastos!$A$2:$A$2500)=DV$3)*(Gastos!$B$2:$B$2500=$A68)*(Gastos!$D$2:$D$2500))</f>
        <v>0</v>
      </c>
      <c r="DW68" s="75">
        <f t="array" ref="DW68">SUM((YEAR(Gastos!$A$2:$A$2500)=DW$1)*(MONTH(Gastos!$A$2:$A$2500)=DW$3)*(Gastos!$B$2:$B$2500=$A68)*(Gastos!$D$2:$D$2500))</f>
        <v>0</v>
      </c>
      <c r="DX68" s="75">
        <f t="array" ref="DX68">SUM((YEAR(Gastos!$A$2:$A$2500)=DX$1)*(MONTH(Gastos!$A$2:$A$2500)=DX$3)*(Gastos!$B$2:$B$2500=$A68)*(Gastos!$D$2:$D$2500))</f>
        <v>0</v>
      </c>
      <c r="DY68" s="75">
        <f t="array" ref="DY68">SUM((YEAR(Gastos!$A$2:$A$2500)=DY$1)*(MONTH(Gastos!$A$2:$A$2500)=DY$3)*(Gastos!$B$2:$B$2500=$A68)*(Gastos!$D$2:$D$2500))</f>
        <v>0</v>
      </c>
      <c r="DZ68" s="75">
        <f t="array" ref="DZ68">SUM((YEAR(Gastos!$A$2:$A$2500)=DZ$1)*(MONTH(Gastos!$A$2:$A$2500)=DZ$3)*(Gastos!$B$2:$B$2500=$A68)*(Gastos!$D$2:$D$2500))</f>
        <v>0</v>
      </c>
      <c r="EA68" s="75">
        <f t="array" ref="EA68">SUM((YEAR(Gastos!$A$2:$A$2500)=EA$1)*(MONTH(Gastos!$A$2:$A$2500)=EA$3)*(Gastos!$B$2:$B$2500=$A68)*(Gastos!$D$2:$D$2500))</f>
        <v>0</v>
      </c>
      <c r="EB68" s="75">
        <f t="array" ref="EB68">SUM((YEAR(Gastos!$A$2:$A$2500)=EB$1)*(MONTH(Gastos!$A$2:$A$2500)=EB$3)*(Gastos!$B$2:$B$2500=$A68)*(Gastos!$D$2:$D$2500))</f>
        <v>0</v>
      </c>
      <c r="EC68" s="75">
        <f t="array" ref="EC68">SUM((YEAR(Gastos!$A$2:$A$2500)=EC$1)*(MONTH(Gastos!$A$2:$A$2500)=EC$3)*(Gastos!$B$2:$B$2500=$A68)*(Gastos!$D$2:$D$2500))</f>
        <v>0</v>
      </c>
      <c r="ED68" s="75">
        <f t="array" ref="ED68">SUM((YEAR(Gastos!$A$2:$A$2500)=ED$1)*(MONTH(Gastos!$A$2:$A$2500)=ED$3)*(Gastos!$B$2:$B$2500=$A68)*(Gastos!$D$2:$D$2500))</f>
        <v>0</v>
      </c>
      <c r="EE68" s="75">
        <f t="array" ref="EE68">SUM((YEAR(Gastos!$A$2:$A$2500)=EE$1)*(MONTH(Gastos!$A$2:$A$2500)=EE$3)*(Gastos!$B$2:$B$2500=$A68)*(Gastos!$D$2:$D$2500))</f>
        <v>0</v>
      </c>
      <c r="EF68" s="75">
        <f t="array" ref="EF68">SUM((YEAR(Gastos!$A$2:$A$2500)=EF$1)*(MONTH(Gastos!$A$2:$A$2500)=EF$3)*(Gastos!$B$2:$B$2500=$A68)*(Gastos!$D$2:$D$2500))</f>
        <v>0</v>
      </c>
      <c r="EG68" s="75">
        <f t="array" ref="EG68">SUM((YEAR(Gastos!$A$2:$A$2500)=EG$1)*(MONTH(Gastos!$A$2:$A$2500)=EG$3)*(Gastos!$B$2:$B$2500=$A68)*(Gastos!$D$2:$D$2500))</f>
        <v>0</v>
      </c>
      <c r="EH68" s="75">
        <f t="array" ref="EH68">SUM((YEAR(Gastos!$A$2:$A$2500)=EH$1)*(MONTH(Gastos!$A$2:$A$2500)=EH$3)*(Gastos!$B$2:$B$2500=$A68)*(Gastos!$D$2:$D$2500))</f>
        <v>0</v>
      </c>
      <c r="EI68" s="75">
        <f t="array" ref="EI68">SUM((YEAR(Gastos!$A$2:$A$2500)=EI$1)*(MONTH(Gastos!$A$2:$A$2500)=EI$3)*(Gastos!$B$2:$B$2500=$A68)*(Gastos!$D$2:$D$2500))</f>
        <v>0</v>
      </c>
      <c r="EJ68" s="75">
        <f t="array" ref="EJ68">SUM((YEAR(Gastos!$A$2:$A$2500)=EJ$1)*(MONTH(Gastos!$A$2:$A$2500)=EJ$3)*(Gastos!$B$2:$B$2500=$A68)*(Gastos!$D$2:$D$2500))</f>
        <v>0</v>
      </c>
      <c r="EK68" s="75">
        <f t="array" ref="EK68">SUM((YEAR(Gastos!$A$2:$A$2500)=EK$1)*(MONTH(Gastos!$A$2:$A$2500)=EK$3)*(Gastos!$B$2:$B$2500=$A68)*(Gastos!$D$2:$D$2500))</f>
        <v>0</v>
      </c>
      <c r="EL68" s="75">
        <f t="array" ref="EL68">SUM((YEAR(Gastos!$A$2:$A$2500)=EL$1)*(MONTH(Gastos!$A$2:$A$2500)=EL$3)*(Gastos!$B$2:$B$2500=$A68)*(Gastos!$D$2:$D$2500))</f>
        <v>0</v>
      </c>
      <c r="EM68" s="75">
        <f t="array" ref="EM68">SUM((YEAR(Gastos!$A$2:$A$2500)=EM$1)*(MONTH(Gastos!$A$2:$A$2500)=EM$3)*(Gastos!$B$2:$B$2500=$A68)*(Gastos!$D$2:$D$2500))</f>
        <v>0</v>
      </c>
      <c r="EN68" s="75">
        <f t="array" ref="EN68">SUM((YEAR(Gastos!$A$2:$A$2500)=EN$1)*(MONTH(Gastos!$A$2:$A$2500)=EN$3)*(Gastos!$B$2:$B$2500=$A68)*(Gastos!$D$2:$D$2500))</f>
        <v>0</v>
      </c>
      <c r="EO68" s="75">
        <f t="array" ref="EO68">SUM((YEAR(Gastos!$A$2:$A$2500)=EO$1)*(MONTH(Gastos!$A$2:$A$2500)=EO$3)*(Gastos!$B$2:$B$2500=$A68)*(Gastos!$D$2:$D$2500))</f>
        <v>0</v>
      </c>
      <c r="EP68" s="75">
        <f t="array" ref="EP68">SUM((YEAR(Gastos!$A$2:$A$2500)=EP$1)*(MONTH(Gastos!$A$2:$A$2500)=EP$3)*(Gastos!$B$2:$B$2500=$A68)*(Gastos!$D$2:$D$2500))</f>
        <v>0</v>
      </c>
      <c r="EQ68" s="75">
        <f t="array" ref="EQ68">SUM((YEAR(Gastos!$A$2:$A$2500)=EQ$1)*(MONTH(Gastos!$A$2:$A$2500)=EQ$3)*(Gastos!$B$2:$B$2500=$A68)*(Gastos!$D$2:$D$2500))</f>
        <v>0</v>
      </c>
      <c r="ER68" s="75">
        <f t="array" ref="ER68">SUM((YEAR(Gastos!$A$2:$A$2500)=ER$1)*(MONTH(Gastos!$A$2:$A$2500)=ER$3)*(Gastos!$B$2:$B$2500=$A68)*(Gastos!$D$2:$D$2500))</f>
        <v>0</v>
      </c>
      <c r="ES68" s="75">
        <f t="array" ref="ES68">SUM((YEAR(Gastos!$A$2:$A$2500)=ES$1)*(MONTH(Gastos!$A$2:$A$2500)=ES$3)*(Gastos!$B$2:$B$2500=$A68)*(Gastos!$D$2:$D$2500))</f>
        <v>0</v>
      </c>
      <c r="ET68" s="75">
        <f t="array" ref="ET68">SUM((YEAR(Gastos!$A$2:$A$2500)=ET$1)*(MONTH(Gastos!$A$2:$A$2500)=ET$3)*(Gastos!$B$2:$B$2500=$A68)*(Gastos!$D$2:$D$2500))</f>
        <v>0</v>
      </c>
      <c r="EU68" s="75">
        <f t="array" ref="EU68">SUM((YEAR(Gastos!$A$2:$A$2500)=EU$1)*(MONTH(Gastos!$A$2:$A$2500)=EU$3)*(Gastos!$B$2:$B$2500=$A68)*(Gastos!$D$2:$D$2500))</f>
        <v>0</v>
      </c>
      <c r="EV68" s="75">
        <f t="array" ref="EV68">SUM((YEAR(Gastos!$A$2:$A$2500)=EV$1)*(MONTH(Gastos!$A$2:$A$2500)=EV$3)*(Gastos!$B$2:$B$2500=$A68)*(Gastos!$D$2:$D$2500))</f>
        <v>0</v>
      </c>
      <c r="EW68" s="75">
        <f t="array" ref="EW68">SUM((YEAR(Gastos!$A$2:$A$2500)=EW$1)*(MONTH(Gastos!$A$2:$A$2500)=EW$3)*(Gastos!$B$2:$B$2500=$A68)*(Gastos!$D$2:$D$2500))</f>
        <v>0</v>
      </c>
      <c r="EX68" s="75">
        <f t="array" ref="EX68">SUM((YEAR(Gastos!$A$2:$A$2500)=EX$1)*(MONTH(Gastos!$A$2:$A$2500)=EX$3)*(Gastos!$B$2:$B$2500=$A68)*(Gastos!$D$2:$D$2500))</f>
        <v>0</v>
      </c>
      <c r="EY68" s="75">
        <f t="array" ref="EY68">SUM((YEAR(Gastos!$A$2:$A$2500)=EY$1)*(MONTH(Gastos!$A$2:$A$2500)=EY$3)*(Gastos!$B$2:$B$2500=$A68)*(Gastos!$D$2:$D$2500))</f>
        <v>0</v>
      </c>
      <c r="EZ68" s="75">
        <f t="array" ref="EZ68">SUM((YEAR(Gastos!$A$2:$A$2500)=EZ$1)*(MONTH(Gastos!$A$2:$A$2500)=EZ$3)*(Gastos!$B$2:$B$2500=$A68)*(Gastos!$D$2:$D$2500))</f>
        <v>0</v>
      </c>
      <c r="FA68" s="75">
        <f t="array" ref="FA68">SUM((YEAR(Gastos!$A$2:$A$2500)=FA$1)*(MONTH(Gastos!$A$2:$A$2500)=FA$3)*(Gastos!$B$2:$B$2500=$A68)*(Gastos!$D$2:$D$2500))</f>
        <v>0</v>
      </c>
      <c r="FB68" s="75">
        <f t="array" ref="FB68">SUM((YEAR(Gastos!$A$2:$A$2500)=FB$1)*(MONTH(Gastos!$A$2:$A$2500)=FB$3)*(Gastos!$B$2:$B$2500=$A68)*(Gastos!$D$2:$D$2500))</f>
        <v>0</v>
      </c>
      <c r="FC68" s="75">
        <f t="array" ref="FC68">SUM((YEAR(Gastos!$A$2:$A$2500)=FC$1)*(MONTH(Gastos!$A$2:$A$2500)=FC$3)*(Gastos!$B$2:$B$2500=$A68)*(Gastos!$D$2:$D$2500))</f>
        <v>0</v>
      </c>
      <c r="FD68" s="75">
        <f t="array" ref="FD68">SUM((YEAR(Gastos!$A$2:$A$2500)=FD$1)*(MONTH(Gastos!$A$2:$A$2500)=FD$3)*(Gastos!$B$2:$B$2500=$A68)*(Gastos!$D$2:$D$2500))</f>
        <v>0</v>
      </c>
      <c r="FE68" s="75">
        <f t="array" ref="FE68">SUM((YEAR(Gastos!$A$2:$A$2500)=FE$1)*(MONTH(Gastos!$A$2:$A$2500)=FE$3)*(Gastos!$B$2:$B$2500=$A68)*(Gastos!$D$2:$D$2500))</f>
        <v>0</v>
      </c>
      <c r="FF68" s="75">
        <f t="array" ref="FF68">SUM((YEAR(Gastos!$A$2:$A$2500)=FF$1)*(MONTH(Gastos!$A$2:$A$2500)=FF$3)*(Gastos!$B$2:$B$2500=$A68)*(Gastos!$D$2:$D$2500))</f>
        <v>0</v>
      </c>
      <c r="FG68" s="75">
        <f t="array" ref="FG68">SUM((YEAR(Gastos!$A$2:$A$2500)=FG$1)*(MONTH(Gastos!$A$2:$A$2500)=FG$3)*(Gastos!$B$2:$B$2500=$A68)*(Gastos!$D$2:$D$2500))</f>
        <v>0</v>
      </c>
      <c r="FH68" s="75">
        <f t="array" ref="FH68">SUM((YEAR(Gastos!$A$2:$A$2500)=FH$1)*(MONTH(Gastos!$A$2:$A$2500)=FH$3)*(Gastos!$B$2:$B$2500=$A68)*(Gastos!$D$2:$D$2500))</f>
        <v>0</v>
      </c>
      <c r="FI68" s="75">
        <f t="array" ref="FI68">SUM((YEAR(Gastos!$A$2:$A$2500)=FI$1)*(MONTH(Gastos!$A$2:$A$2500)=FI$3)*(Gastos!$B$2:$B$2500=$A68)*(Gastos!$D$2:$D$2500))</f>
        <v>0</v>
      </c>
      <c r="FJ68" s="75">
        <f t="array" ref="FJ68">SUM((YEAR(Gastos!$A$2:$A$2500)=FJ$1)*(MONTH(Gastos!$A$2:$A$2500)=FJ$3)*(Gastos!$B$2:$B$2500=$A68)*(Gastos!$D$2:$D$2500))</f>
        <v>0</v>
      </c>
      <c r="FK68" s="75">
        <f t="array" ref="FK68">SUM((YEAR(Gastos!$A$2:$A$2500)=FK$1)*(MONTH(Gastos!$A$2:$A$2500)=FK$3)*(Gastos!$B$2:$B$2500=$A68)*(Gastos!$D$2:$D$2500))</f>
        <v>0</v>
      </c>
      <c r="FL68" s="75">
        <f t="array" ref="FL68">SUM((YEAR(Gastos!$A$2:$A$2500)=FL$1)*(MONTH(Gastos!$A$2:$A$2500)=FL$3)*(Gastos!$B$2:$B$2500=$A68)*(Gastos!$D$2:$D$2500))</f>
        <v>0</v>
      </c>
      <c r="FM68" s="75">
        <f t="array" ref="FM68">SUM((YEAR(Gastos!$A$2:$A$2500)=FM$1)*(MONTH(Gastos!$A$2:$A$2500)=FM$3)*(Gastos!$B$2:$B$2500=$A68)*(Gastos!$D$2:$D$2500))</f>
        <v>0</v>
      </c>
      <c r="FN68" s="75">
        <f t="array" ref="FN68">SUM((YEAR(Gastos!$A$2:$A$2500)=FN$1)*(MONTH(Gastos!$A$2:$A$2500)=FN$3)*(Gastos!$B$2:$B$2500=$A68)*(Gastos!$D$2:$D$2500))</f>
        <v>0</v>
      </c>
      <c r="FO68" s="75">
        <f t="array" ref="FO68">SUM((YEAR(Gastos!$A$2:$A$2500)=FO$1)*(MONTH(Gastos!$A$2:$A$2500)=FO$3)*(Gastos!$B$2:$B$2500=$A68)*(Gastos!$D$2:$D$2500))</f>
        <v>0</v>
      </c>
      <c r="FP68" s="75">
        <f t="array" ref="FP68">SUM((YEAR(Gastos!$A$2:$A$2500)=FP$1)*(MONTH(Gastos!$A$2:$A$2500)=FP$3)*(Gastos!$B$2:$B$2500=$A68)*(Gastos!$D$2:$D$2500))</f>
        <v>0</v>
      </c>
      <c r="FQ68" s="75">
        <f t="array" ref="FQ68">SUM((YEAR(Gastos!$A$2:$A$2500)=FQ$1)*(MONTH(Gastos!$A$2:$A$2500)=FQ$3)*(Gastos!$B$2:$B$2500=$A68)*(Gastos!$D$2:$D$2500))</f>
        <v>0</v>
      </c>
      <c r="FR68" s="75">
        <f t="array" ref="FR68">SUM((YEAR(Gastos!$A$2:$A$2500)=FR$1)*(MONTH(Gastos!$A$2:$A$2500)=FR$3)*(Gastos!$B$2:$B$2500=$A68)*(Gastos!$D$2:$D$2500))</f>
        <v>0</v>
      </c>
      <c r="FS68" s="75">
        <f t="array" ref="FS68">SUM((YEAR(Gastos!$A$2:$A$2500)=FS$1)*(MONTH(Gastos!$A$2:$A$2500)=FS$3)*(Gastos!$B$2:$B$2500=$A68)*(Gastos!$D$2:$D$2500))</f>
        <v>0</v>
      </c>
      <c r="FT68" s="75">
        <f t="array" ref="FT68">SUM((YEAR(Gastos!$A$2:$A$2500)=FT$1)*(MONTH(Gastos!$A$2:$A$2500)=FT$3)*(Gastos!$B$2:$B$2500=$A68)*(Gastos!$D$2:$D$2500))</f>
        <v>0</v>
      </c>
      <c r="FU68" s="75">
        <f t="array" ref="FU68">SUM((YEAR(Gastos!$A$2:$A$2500)=FU$1)*(MONTH(Gastos!$A$2:$A$2500)=FU$3)*(Gastos!$B$2:$B$2500=$A68)*(Gastos!$D$2:$D$2500))</f>
        <v>0</v>
      </c>
      <c r="FV68" s="75">
        <f t="array" ref="FV68">SUM((YEAR(Gastos!$A$2:$A$2500)=FV$1)*(MONTH(Gastos!$A$2:$A$2500)=FV$3)*(Gastos!$B$2:$B$2500=$A68)*(Gastos!$D$2:$D$2500))</f>
        <v>0</v>
      </c>
      <c r="FW68" s="75">
        <f t="array" ref="FW68">SUM((YEAR(Gastos!$A$2:$A$2500)=FW$1)*(MONTH(Gastos!$A$2:$A$2500)=FW$3)*(Gastos!$B$2:$B$2500=$A68)*(Gastos!$D$2:$D$2500))</f>
        <v>0</v>
      </c>
      <c r="FX68" s="75">
        <f t="array" ref="FX68">SUM((YEAR(Gastos!$A$2:$A$2500)=FX$1)*(MONTH(Gastos!$A$2:$A$2500)=FX$3)*(Gastos!$B$2:$B$2500=$A68)*(Gastos!$D$2:$D$2500))</f>
        <v>0</v>
      </c>
      <c r="FY68" s="75">
        <f t="array" ref="FY68">SUM((YEAR(Gastos!$A$2:$A$2500)=FY$1)*(MONTH(Gastos!$A$2:$A$2500)=FY$3)*(Gastos!$B$2:$B$2500=$A68)*(Gastos!$D$2:$D$2500))</f>
        <v>0</v>
      </c>
      <c r="FZ68" s="76">
        <f t="shared" si="65"/>
        <v>0</v>
      </c>
      <c r="GA68" s="80"/>
      <c r="GB68" s="82"/>
    </row>
    <row r="69" spans="1:184" ht="15" thickBot="1" x14ac:dyDescent="0.4">
      <c r="A69" s="74" t="str">
        <f>Gastos!AA67</f>
        <v>X</v>
      </c>
      <c r="B69" s="75">
        <f t="array" ref="B69">SUM((YEAR(Gastos!$A$2:$A$2500)=B$1)*(MONTH(Gastos!$A$2:$A$2500)=B$3)*(Gastos!$B$2:$B$2500=$A69)*(Gastos!$D$2:$D$2500))</f>
        <v>0</v>
      </c>
      <c r="C69" s="75">
        <f t="array" ref="C69">SUM((YEAR(Gastos!$A$2:$A$2500)=C$1)*(MONTH(Gastos!$A$2:$A$2500)=C$3)*(Gastos!$B$2:$B$2500=$A69)*(Gastos!$D$2:$D$2500))</f>
        <v>0</v>
      </c>
      <c r="D69" s="75">
        <f t="array" ref="D69">SUM((YEAR(Gastos!$A$2:$A$2500)=D$1)*(MONTH(Gastos!$A$2:$A$2500)=D$3)*(Gastos!$B$2:$B$2500=$A69)*(Gastos!$D$2:$D$2500))</f>
        <v>0</v>
      </c>
      <c r="E69" s="75">
        <f t="array" ref="E69">SUM((YEAR(Gastos!$A$2:$A$2500)=E$1)*(MONTH(Gastos!$A$2:$A$2500)=E$3)*(Gastos!$B$2:$B$2500=$A69)*(Gastos!$D$2:$D$2500))</f>
        <v>0</v>
      </c>
      <c r="F69" s="75">
        <f t="array" ref="F69">SUM((YEAR(Gastos!$A$2:$A$2500)=F$1)*(MONTH(Gastos!$A$2:$A$2500)=F$3)*(Gastos!$B$2:$B$2500=$A69)*(Gastos!$D$2:$D$2500))</f>
        <v>0</v>
      </c>
      <c r="G69" s="75">
        <f t="array" ref="G69">SUM((YEAR(Gastos!$A$2:$A$2500)=G$1)*(MONTH(Gastos!$A$2:$A$2500)=G$3)*(Gastos!$B$2:$B$2500=$A69)*(Gastos!$D$2:$D$2500))</f>
        <v>0</v>
      </c>
      <c r="H69" s="75">
        <f t="array" ref="H69">SUM((YEAR(Gastos!$A$2:$A$2500)=H$1)*(MONTH(Gastos!$A$2:$A$2500)=H$3)*(Gastos!$B$2:$B$2500=$A69)*(Gastos!$D$2:$D$2500))</f>
        <v>0</v>
      </c>
      <c r="I69" s="75">
        <f t="array" ref="I69">SUM((YEAR(Gastos!$A$2:$A$2500)=I$1)*(MONTH(Gastos!$A$2:$A$2500)=I$3)*(Gastos!$B$2:$B$2500=$A69)*(Gastos!$D$2:$D$2500))</f>
        <v>0</v>
      </c>
      <c r="J69" s="75">
        <f t="array" ref="J69">SUM((YEAR(Gastos!$A$2:$A$2500)=J$1)*(MONTH(Gastos!$A$2:$A$2500)=J$3)*(Gastos!$B$2:$B$2500=$A69)*(Gastos!$D$2:$D$2500))</f>
        <v>0</v>
      </c>
      <c r="K69" s="75">
        <f t="array" ref="K69">SUM((YEAR(Gastos!$A$2:$A$2500)=K$1)*(MONTH(Gastos!$A$2:$A$2500)=K$3)*(Gastos!$B$2:$B$2500=$A69)*(Gastos!$D$2:$D$2500))</f>
        <v>0</v>
      </c>
      <c r="L69" s="75">
        <f t="array" ref="L69">SUM((YEAR(Gastos!$A$2:$A$2500)=L$1)*(MONTH(Gastos!$A$2:$A$2500)=L$3)*(Gastos!$B$2:$B$2500=$A69)*(Gastos!$D$2:$D$2500))</f>
        <v>0</v>
      </c>
      <c r="M69" s="75">
        <f t="array" ref="M69">SUM((YEAR(Gastos!$A$2:$A$2500)=M$1)*(MONTH(Gastos!$A$2:$A$2500)=M$3)*(Gastos!$B$2:$B$2500=$A69)*(Gastos!$D$2:$D$2500))</f>
        <v>0</v>
      </c>
      <c r="N69" s="75">
        <f t="array" ref="N69">SUM((YEAR(Gastos!$A$2:$A$2500)=N$1)*(MONTH(Gastos!$A$2:$A$2500)=N$3)*(Gastos!$B$2:$B$2500=$A69)*(Gastos!$D$2:$D$2500))</f>
        <v>0</v>
      </c>
      <c r="O69" s="75">
        <f t="array" ref="O69">SUM((YEAR(Gastos!$A$2:$A$2500)=O$1)*(MONTH(Gastos!$A$2:$A$2500)=O$3)*(Gastos!$B$2:$B$2500=$A69)*(Gastos!$D$2:$D$2500))</f>
        <v>0</v>
      </c>
      <c r="P69" s="75">
        <f t="array" ref="P69">SUM((YEAR(Gastos!$A$2:$A$2500)=P$1)*(MONTH(Gastos!$A$2:$A$2500)=P$3)*(Gastos!$B$2:$B$2500=$A69)*(Gastos!$D$2:$D$2500))</f>
        <v>0</v>
      </c>
      <c r="Q69" s="75">
        <f t="array" ref="Q69">SUM((YEAR(Gastos!$A$2:$A$2500)=Q$1)*(MONTH(Gastos!$A$2:$A$2500)=Q$3)*(Gastos!$B$2:$B$2500=$A69)*(Gastos!$D$2:$D$2500))</f>
        <v>0</v>
      </c>
      <c r="R69" s="75">
        <f t="array" ref="R69">SUM((YEAR(Gastos!$A$2:$A$2500)=R$1)*(MONTH(Gastos!$A$2:$A$2500)=R$3)*(Gastos!$B$2:$B$2500=$A69)*(Gastos!$D$2:$D$2500))</f>
        <v>0</v>
      </c>
      <c r="S69" s="75">
        <f t="array" ref="S69">SUM((YEAR(Gastos!$A$2:$A$2500)=S$1)*(MONTH(Gastos!$A$2:$A$2500)=S$3)*(Gastos!$B$2:$B$2500=$A69)*(Gastos!$D$2:$D$2500))</f>
        <v>0</v>
      </c>
      <c r="T69" s="75">
        <f t="array" ref="T69">SUM((YEAR(Gastos!$A$2:$A$2500)=T$1)*(MONTH(Gastos!$A$2:$A$2500)=T$3)*(Gastos!$B$2:$B$2500=$A69)*(Gastos!$D$2:$D$2500))</f>
        <v>0</v>
      </c>
      <c r="U69" s="75">
        <f t="array" ref="U69">SUM((YEAR(Gastos!$A$2:$A$2500)=U$1)*(MONTH(Gastos!$A$2:$A$2500)=U$3)*(Gastos!$B$2:$B$2500=$A69)*(Gastos!$D$2:$D$2500))</f>
        <v>0</v>
      </c>
      <c r="V69" s="75">
        <f t="array" ref="V69">SUM((YEAR(Gastos!$A$2:$A$2500)=V$1)*(MONTH(Gastos!$A$2:$A$2500)=V$3)*(Gastos!$B$2:$B$2500=$A69)*(Gastos!$D$2:$D$2500))</f>
        <v>0</v>
      </c>
      <c r="W69" s="75">
        <f t="array" ref="W69">SUM((YEAR(Gastos!$A$2:$A$2500)=W$1)*(MONTH(Gastos!$A$2:$A$2500)=W$3)*(Gastos!$B$2:$B$2500=$A69)*(Gastos!$D$2:$D$2500))</f>
        <v>0</v>
      </c>
      <c r="X69" s="75">
        <f t="array" ref="X69">SUM((YEAR(Gastos!$A$2:$A$2500)=X$1)*(MONTH(Gastos!$A$2:$A$2500)=X$3)*(Gastos!$B$2:$B$2500=$A69)*(Gastos!$D$2:$D$2500))</f>
        <v>0</v>
      </c>
      <c r="Y69" s="75">
        <f t="array" ref="Y69">SUM((YEAR(Gastos!$A$2:$A$2500)=Y$1)*(MONTH(Gastos!$A$2:$A$2500)=Y$3)*(Gastos!$B$2:$B$2500=$A69)*(Gastos!$D$2:$D$2500))</f>
        <v>0</v>
      </c>
      <c r="Z69" s="75">
        <f t="array" ref="Z69">SUM((YEAR(Gastos!$A$2:$A$2500)=Z$1)*(MONTH(Gastos!$A$2:$A$2500)=Z$3)*(Gastos!$B$2:$B$2500=$A69)*(Gastos!$D$2:$D$2500))</f>
        <v>0</v>
      </c>
      <c r="AA69" s="75">
        <f t="array" ref="AA69">SUM((YEAR(Gastos!$A$2:$A$2500)=AA$1)*(MONTH(Gastos!$A$2:$A$2500)=AA$3)*(Gastos!$B$2:$B$2500=$A69)*(Gastos!$D$2:$D$2500))</f>
        <v>0</v>
      </c>
      <c r="AB69" s="75">
        <f t="array" ref="AB69">SUM((YEAR(Gastos!$A$2:$A$2500)=AB$1)*(MONTH(Gastos!$A$2:$A$2500)=AB$3)*(Gastos!$B$2:$B$2500=$A69)*(Gastos!$D$2:$D$2500))</f>
        <v>0</v>
      </c>
      <c r="AC69" s="75">
        <f t="array" ref="AC69">SUM((YEAR(Gastos!$A$2:$A$2500)=AC$1)*(MONTH(Gastos!$A$2:$A$2500)=AC$3)*(Gastos!$B$2:$B$2500=$A69)*(Gastos!$D$2:$D$2500))</f>
        <v>0</v>
      </c>
      <c r="AD69" s="75">
        <f t="array" ref="AD69">SUM((YEAR(Gastos!$A$2:$A$2500)=AD$1)*(MONTH(Gastos!$A$2:$A$2500)=AD$3)*(Gastos!$B$2:$B$2500=$A69)*(Gastos!$D$2:$D$2500))</f>
        <v>0</v>
      </c>
      <c r="AE69" s="75">
        <f t="array" ref="AE69">SUM((YEAR(Gastos!$A$2:$A$2500)=AE$1)*(MONTH(Gastos!$A$2:$A$2500)=AE$3)*(Gastos!$B$2:$B$2500=$A69)*(Gastos!$D$2:$D$2500))</f>
        <v>0</v>
      </c>
      <c r="AF69" s="75">
        <f t="array" ref="AF69">SUM((YEAR(Gastos!$A$2:$A$2500)=AF$1)*(MONTH(Gastos!$A$2:$A$2500)=AF$3)*(Gastos!$B$2:$B$2500=$A69)*(Gastos!$D$2:$D$2500))</f>
        <v>0</v>
      </c>
      <c r="AG69" s="75">
        <f t="array" ref="AG69">SUM((YEAR(Gastos!$A$2:$A$2500)=AG$1)*(MONTH(Gastos!$A$2:$A$2500)=AG$3)*(Gastos!$B$2:$B$2500=$A69)*(Gastos!$D$2:$D$2500))</f>
        <v>0</v>
      </c>
      <c r="AH69" s="75">
        <f t="array" ref="AH69">SUM((YEAR(Gastos!$A$2:$A$2500)=AH$1)*(MONTH(Gastos!$A$2:$A$2500)=AH$3)*(Gastos!$B$2:$B$2500=$A69)*(Gastos!$D$2:$D$2500))</f>
        <v>0</v>
      </c>
      <c r="AI69" s="75">
        <f t="array" ref="AI69">SUM((YEAR(Gastos!$A$2:$A$2500)=AI$1)*(MONTH(Gastos!$A$2:$A$2500)=AI$3)*(Gastos!$B$2:$B$2500=$A69)*(Gastos!$D$2:$D$2500))</f>
        <v>0</v>
      </c>
      <c r="AJ69" s="75">
        <f t="array" ref="AJ69">SUM((YEAR(Gastos!$A$2:$A$2500)=AJ$1)*(MONTH(Gastos!$A$2:$A$2500)=AJ$3)*(Gastos!$B$2:$B$2500=$A69)*(Gastos!$D$2:$D$2500))</f>
        <v>0</v>
      </c>
      <c r="AK69" s="75">
        <f t="array" ref="AK69">SUM((YEAR(Gastos!$A$2:$A$2500)=AK$1)*(MONTH(Gastos!$A$2:$A$2500)=AK$3)*(Gastos!$B$2:$B$2500=$A69)*(Gastos!$D$2:$D$2500))</f>
        <v>0</v>
      </c>
      <c r="AL69" s="75">
        <f t="array" ref="AL69">SUM((YEAR(Gastos!$A$2:$A$2500)=AL$1)*(MONTH(Gastos!$A$2:$A$2500)=AL$3)*(Gastos!$B$2:$B$2500=$A69)*(Gastos!$D$2:$D$2500))</f>
        <v>0</v>
      </c>
      <c r="AM69" s="75">
        <f t="array" ref="AM69">SUM((YEAR(Gastos!$A$2:$A$2500)=AM$1)*(MONTH(Gastos!$A$2:$A$2500)=AM$3)*(Gastos!$B$2:$B$2500=$A69)*(Gastos!$D$2:$D$2500))</f>
        <v>0</v>
      </c>
      <c r="AN69" s="75">
        <f t="array" ref="AN69">SUM((YEAR(Gastos!$A$2:$A$2500)=AN$1)*(MONTH(Gastos!$A$2:$A$2500)=AN$3)*(Gastos!$B$2:$B$2500=$A69)*(Gastos!$D$2:$D$2500))</f>
        <v>0</v>
      </c>
      <c r="AO69" s="75">
        <f t="array" ref="AO69">SUM((YEAR(Gastos!$A$2:$A$2500)=AO$1)*(MONTH(Gastos!$A$2:$A$2500)=AO$3)*(Gastos!$B$2:$B$2500=$A69)*(Gastos!$D$2:$D$2500))</f>
        <v>0</v>
      </c>
      <c r="AP69" s="75">
        <f t="array" ref="AP69">SUM((YEAR(Gastos!$A$2:$A$2500)=AP$1)*(MONTH(Gastos!$A$2:$A$2500)=AP$3)*(Gastos!$B$2:$B$2500=$A69)*(Gastos!$D$2:$D$2500))</f>
        <v>0</v>
      </c>
      <c r="AQ69" s="75">
        <f t="array" ref="AQ69">SUM((YEAR(Gastos!$A$2:$A$2500)=AQ$1)*(MONTH(Gastos!$A$2:$A$2500)=AQ$3)*(Gastos!$B$2:$B$2500=$A69)*(Gastos!$D$2:$D$2500))</f>
        <v>0</v>
      </c>
      <c r="AR69" s="75">
        <f t="array" ref="AR69">SUM((YEAR(Gastos!$A$2:$A$2500)=AR$1)*(MONTH(Gastos!$A$2:$A$2500)=AR$3)*(Gastos!$B$2:$B$2500=$A69)*(Gastos!$D$2:$D$2500))</f>
        <v>0</v>
      </c>
      <c r="AS69" s="75">
        <f t="array" ref="AS69">SUM((YEAR(Gastos!$A$2:$A$2500)=AS$1)*(MONTH(Gastos!$A$2:$A$2500)=AS$3)*(Gastos!$B$2:$B$2500=$A69)*(Gastos!$D$2:$D$2500))</f>
        <v>0</v>
      </c>
      <c r="AT69" s="75">
        <f t="array" ref="AT69">SUM((YEAR(Gastos!$A$2:$A$2500)=AT$1)*(MONTH(Gastos!$A$2:$A$2500)=AT$3)*(Gastos!$B$2:$B$2500=$A69)*(Gastos!$D$2:$D$2500))</f>
        <v>0</v>
      </c>
      <c r="AU69" s="75">
        <f t="array" ref="AU69">SUM((YEAR(Gastos!$A$2:$A$2500)=AU$1)*(MONTH(Gastos!$A$2:$A$2500)=AU$3)*(Gastos!$B$2:$B$2500=$A69)*(Gastos!$D$2:$D$2500))</f>
        <v>0</v>
      </c>
      <c r="AV69" s="75">
        <f t="array" ref="AV69">SUM((YEAR(Gastos!$A$2:$A$2500)=AV$1)*(MONTH(Gastos!$A$2:$A$2500)=AV$3)*(Gastos!$B$2:$B$2500=$A69)*(Gastos!$D$2:$D$2500))</f>
        <v>0</v>
      </c>
      <c r="AW69" s="75">
        <f t="array" ref="AW69">SUM((YEAR(Gastos!$A$2:$A$2500)=AW$1)*(MONTH(Gastos!$A$2:$A$2500)=AW$3)*(Gastos!$B$2:$B$2500=$A69)*(Gastos!$D$2:$D$2500))</f>
        <v>0</v>
      </c>
      <c r="AX69" s="75">
        <f t="array" ref="AX69">SUM((YEAR(Gastos!$A$2:$A$2500)=AX$1)*(MONTH(Gastos!$A$2:$A$2500)=AX$3)*(Gastos!$B$2:$B$2500=$A69)*(Gastos!$D$2:$D$2500))</f>
        <v>0</v>
      </c>
      <c r="AY69" s="75">
        <f t="array" ref="AY69">SUM((YEAR(Gastos!$A$2:$A$2500)=AY$1)*(MONTH(Gastos!$A$2:$A$2500)=AY$3)*(Gastos!$B$2:$B$2500=$A69)*(Gastos!$D$2:$D$2500))</f>
        <v>0</v>
      </c>
      <c r="AZ69" s="75">
        <f t="array" ref="AZ69">SUM((YEAR(Gastos!$A$2:$A$2500)=AZ$1)*(MONTH(Gastos!$A$2:$A$2500)=AZ$3)*(Gastos!$B$2:$B$2500=$A69)*(Gastos!$D$2:$D$2500))</f>
        <v>0</v>
      </c>
      <c r="BA69" s="75">
        <f t="array" ref="BA69">SUM((YEAR(Gastos!$A$2:$A$2500)=BA$1)*(MONTH(Gastos!$A$2:$A$2500)=BA$3)*(Gastos!$B$2:$B$2500=$A69)*(Gastos!$D$2:$D$2500))</f>
        <v>0</v>
      </c>
      <c r="BB69" s="75">
        <f t="array" ref="BB69">SUM((YEAR(Gastos!$A$2:$A$2500)=BB$1)*(MONTH(Gastos!$A$2:$A$2500)=BB$3)*(Gastos!$B$2:$B$2500=$A69)*(Gastos!$D$2:$D$2500))</f>
        <v>0</v>
      </c>
      <c r="BC69" s="75">
        <f t="array" ref="BC69">SUM((YEAR(Gastos!$A$2:$A$2500)=BC$1)*(MONTH(Gastos!$A$2:$A$2500)=BC$3)*(Gastos!$B$2:$B$2500=$A69)*(Gastos!$D$2:$D$2500))</f>
        <v>0</v>
      </c>
      <c r="BD69" s="75">
        <f t="array" ref="BD69">SUM((YEAR(Gastos!$A$2:$A$2500)=BD$1)*(MONTH(Gastos!$A$2:$A$2500)=BD$3)*(Gastos!$B$2:$B$2500=$A69)*(Gastos!$D$2:$D$2500))</f>
        <v>0</v>
      </c>
      <c r="BE69" s="75">
        <f t="array" ref="BE69">SUM((YEAR(Gastos!$A$2:$A$2500)=BE$1)*(MONTH(Gastos!$A$2:$A$2500)=BE$3)*(Gastos!$B$2:$B$2500=$A69)*(Gastos!$D$2:$D$2500))</f>
        <v>0</v>
      </c>
      <c r="BF69" s="75">
        <f t="array" ref="BF69">SUM((YEAR(Gastos!$A$2:$A$2500)=BF$1)*(MONTH(Gastos!$A$2:$A$2500)=BF$3)*(Gastos!$B$2:$B$2500=$A69)*(Gastos!$D$2:$D$2500))</f>
        <v>0</v>
      </c>
      <c r="BG69" s="75">
        <f t="array" ref="BG69">SUM((YEAR(Gastos!$A$2:$A$2500)=BG$1)*(MONTH(Gastos!$A$2:$A$2500)=BG$3)*(Gastos!$B$2:$B$2500=$A69)*(Gastos!$D$2:$D$2500))</f>
        <v>0</v>
      </c>
      <c r="BH69" s="75">
        <f t="array" ref="BH69">SUM((YEAR(Gastos!$A$2:$A$2500)=BH$1)*(MONTH(Gastos!$A$2:$A$2500)=BH$3)*(Gastos!$B$2:$B$2500=$A69)*(Gastos!$D$2:$D$2500))</f>
        <v>0</v>
      </c>
      <c r="BI69" s="75">
        <f t="array" ref="BI69">SUM((YEAR(Gastos!$A$2:$A$2500)=BI$1)*(MONTH(Gastos!$A$2:$A$2500)=BI$3)*(Gastos!$B$2:$B$2500=$A69)*(Gastos!$D$2:$D$2500))</f>
        <v>0</v>
      </c>
      <c r="BJ69" s="75">
        <f t="array" ref="BJ69">SUM((YEAR(Gastos!$A$2:$A$2500)=BJ$1)*(MONTH(Gastos!$A$2:$A$2500)=BJ$3)*(Gastos!$B$2:$B$2500=$A69)*(Gastos!$D$2:$D$2500))</f>
        <v>0</v>
      </c>
      <c r="BK69" s="75">
        <f t="array" ref="BK69">SUM((YEAR(Gastos!$A$2:$A$2500)=BK$1)*(MONTH(Gastos!$A$2:$A$2500)=BK$3)*(Gastos!$B$2:$B$2500=$A69)*(Gastos!$D$2:$D$2500))</f>
        <v>0</v>
      </c>
      <c r="BL69" s="75">
        <f t="array" ref="BL69">SUM((YEAR(Gastos!$A$2:$A$2500)=BL$1)*(MONTH(Gastos!$A$2:$A$2500)=BL$3)*(Gastos!$B$2:$B$2500=$A69)*(Gastos!$D$2:$D$2500))</f>
        <v>0</v>
      </c>
      <c r="BM69" s="75">
        <f t="array" ref="BM69">SUM((YEAR(Gastos!$A$2:$A$2500)=BM$1)*(MONTH(Gastos!$A$2:$A$2500)=BM$3)*(Gastos!$B$2:$B$2500=$A69)*(Gastos!$D$2:$D$2500))</f>
        <v>0</v>
      </c>
      <c r="BN69" s="75">
        <f t="array" ref="BN69">SUM((YEAR(Gastos!$A$2:$A$2500)=BN$1)*(MONTH(Gastos!$A$2:$A$2500)=BN$3)*(Gastos!$B$2:$B$2500=$A69)*(Gastos!$D$2:$D$2500))</f>
        <v>0</v>
      </c>
      <c r="BO69" s="75">
        <f t="array" ref="BO69">SUM((YEAR(Gastos!$A$2:$A$2500)=BO$1)*(MONTH(Gastos!$A$2:$A$2500)=BO$3)*(Gastos!$B$2:$B$2500=$A69)*(Gastos!$D$2:$D$2500))</f>
        <v>0</v>
      </c>
      <c r="BP69" s="75">
        <f t="array" ref="BP69">SUM((YEAR(Gastos!$A$2:$A$2500)=BP$1)*(MONTH(Gastos!$A$2:$A$2500)=BP$3)*(Gastos!$B$2:$B$2500=$A69)*(Gastos!$D$2:$D$2500))</f>
        <v>0</v>
      </c>
      <c r="BQ69" s="75">
        <f t="array" ref="BQ69">SUM((YEAR(Gastos!$A$2:$A$2500)=BQ$1)*(MONTH(Gastos!$A$2:$A$2500)=BQ$3)*(Gastos!$B$2:$B$2500=$A69)*(Gastos!$D$2:$D$2500))</f>
        <v>0</v>
      </c>
      <c r="BR69" s="75">
        <f t="array" ref="BR69">SUM((YEAR(Gastos!$A$2:$A$2500)=BR$1)*(MONTH(Gastos!$A$2:$A$2500)=BR$3)*(Gastos!$B$2:$B$2500=$A69)*(Gastos!$D$2:$D$2500))</f>
        <v>0</v>
      </c>
      <c r="BS69" s="75">
        <f t="array" ref="BS69">SUM((YEAR(Gastos!$A$2:$A$2500)=BS$1)*(MONTH(Gastos!$A$2:$A$2500)=BS$3)*(Gastos!$B$2:$B$2500=$A69)*(Gastos!$D$2:$D$2500))</f>
        <v>0</v>
      </c>
      <c r="BT69" s="75">
        <f t="array" ref="BT69">SUM((YEAR(Gastos!$A$2:$A$2500)=BT$1)*(MONTH(Gastos!$A$2:$A$2500)=BT$3)*(Gastos!$B$2:$B$2500=$A69)*(Gastos!$D$2:$D$2500))</f>
        <v>0</v>
      </c>
      <c r="BU69" s="75">
        <f t="array" ref="BU69">SUM((YEAR(Gastos!$A$2:$A$2500)=BU$1)*(MONTH(Gastos!$A$2:$A$2500)=BU$3)*(Gastos!$B$2:$B$2500=$A69)*(Gastos!$D$2:$D$2500))</f>
        <v>0</v>
      </c>
      <c r="BV69" s="75">
        <f t="array" ref="BV69">SUM((YEAR(Gastos!$A$2:$A$2500)=BV$1)*(MONTH(Gastos!$A$2:$A$2500)=BV$3)*(Gastos!$B$2:$B$2500=$A69)*(Gastos!$D$2:$D$2500))</f>
        <v>0</v>
      </c>
      <c r="BW69" s="75">
        <f t="array" ref="BW69">SUM((YEAR(Gastos!$A$2:$A$2500)=BW$1)*(MONTH(Gastos!$A$2:$A$2500)=BW$3)*(Gastos!$B$2:$B$2500=$A69)*(Gastos!$D$2:$D$2500))</f>
        <v>0</v>
      </c>
      <c r="BX69" s="75">
        <f t="array" ref="BX69">SUM((YEAR(Gastos!$A$2:$A$2500)=BX$1)*(MONTH(Gastos!$A$2:$A$2500)=BX$3)*(Gastos!$B$2:$B$2500=$A69)*(Gastos!$D$2:$D$2500))</f>
        <v>0</v>
      </c>
      <c r="BY69" s="75">
        <f t="array" ref="BY69">SUM((YEAR(Gastos!$A$2:$A$2500)=BY$1)*(MONTH(Gastos!$A$2:$A$2500)=BY$3)*(Gastos!$B$2:$B$2500=$A69)*(Gastos!$D$2:$D$2500))</f>
        <v>0</v>
      </c>
      <c r="BZ69" s="75">
        <f t="array" ref="BZ69">SUM((YEAR(Gastos!$A$2:$A$2500)=BZ$1)*(MONTH(Gastos!$A$2:$A$2500)=BZ$3)*(Gastos!$B$2:$B$2500=$A69)*(Gastos!$D$2:$D$2500))</f>
        <v>0</v>
      </c>
      <c r="CA69" s="75">
        <f t="array" ref="CA69">SUM((YEAR(Gastos!$A$2:$A$2500)=CA$1)*(MONTH(Gastos!$A$2:$A$2500)=CA$3)*(Gastos!$B$2:$B$2500=$A69)*(Gastos!$D$2:$D$2500))</f>
        <v>0</v>
      </c>
      <c r="CB69" s="75">
        <f t="array" ref="CB69">SUM((YEAR(Gastos!$A$2:$A$2500)=CB$1)*(MONTH(Gastos!$A$2:$A$2500)=CB$3)*(Gastos!$B$2:$B$2500=$A69)*(Gastos!$D$2:$D$2500))</f>
        <v>0</v>
      </c>
      <c r="CC69" s="75">
        <f t="array" ref="CC69">SUM((YEAR(Gastos!$A$2:$A$2500)=CC$1)*(MONTH(Gastos!$A$2:$A$2500)=CC$3)*(Gastos!$B$2:$B$2500=$A69)*(Gastos!$D$2:$D$2500))</f>
        <v>0</v>
      </c>
      <c r="CD69" s="75">
        <f t="array" ref="CD69">SUM((YEAR(Gastos!$A$2:$A$2500)=CD$1)*(MONTH(Gastos!$A$2:$A$2500)=CD$3)*(Gastos!$B$2:$B$2500=$A69)*(Gastos!$D$2:$D$2500))</f>
        <v>0</v>
      </c>
      <c r="CE69" s="75">
        <f t="array" ref="CE69">SUM((YEAR(Gastos!$A$2:$A$2500)=CE$1)*(MONTH(Gastos!$A$2:$A$2500)=CE$3)*(Gastos!$B$2:$B$2500=$A69)*(Gastos!$D$2:$D$2500))</f>
        <v>0</v>
      </c>
      <c r="CF69" s="75">
        <f t="array" ref="CF69">SUM((YEAR(Gastos!$A$2:$A$2500)=CF$1)*(MONTH(Gastos!$A$2:$A$2500)=CF$3)*(Gastos!$B$2:$B$2500=$A69)*(Gastos!$D$2:$D$2500))</f>
        <v>0</v>
      </c>
      <c r="CG69" s="75">
        <f t="array" ref="CG69">SUM((YEAR(Gastos!$A$2:$A$2500)=CG$1)*(MONTH(Gastos!$A$2:$A$2500)=CG$3)*(Gastos!$B$2:$B$2500=$A69)*(Gastos!$D$2:$D$2500))</f>
        <v>0</v>
      </c>
      <c r="CH69" s="75">
        <f t="array" ref="CH69">SUM((YEAR(Gastos!$A$2:$A$2500)=CH$1)*(MONTH(Gastos!$A$2:$A$2500)=CH$3)*(Gastos!$B$2:$B$2500=$A69)*(Gastos!$D$2:$D$2500))</f>
        <v>0</v>
      </c>
      <c r="CI69" s="75">
        <f t="array" ref="CI69">SUM((YEAR(Gastos!$A$2:$A$2500)=CI$1)*(MONTH(Gastos!$A$2:$A$2500)=CI$3)*(Gastos!$B$2:$B$2500=$A69)*(Gastos!$D$2:$D$2500))</f>
        <v>0</v>
      </c>
      <c r="CJ69" s="75">
        <f t="array" ref="CJ69">SUM((YEAR(Gastos!$A$2:$A$2500)=CJ$1)*(MONTH(Gastos!$A$2:$A$2500)=CJ$3)*(Gastos!$B$2:$B$2500=$A69)*(Gastos!$D$2:$D$2500))</f>
        <v>0</v>
      </c>
      <c r="CK69" s="75">
        <f t="array" ref="CK69">SUM((YEAR(Gastos!$A$2:$A$2500)=CK$1)*(MONTH(Gastos!$A$2:$A$2500)=CK$3)*(Gastos!$B$2:$B$2500=$A69)*(Gastos!$D$2:$D$2500))</f>
        <v>0</v>
      </c>
      <c r="CL69" s="75">
        <f t="array" ref="CL69">SUM((YEAR(Gastos!$A$2:$A$2500)=CL$1)*(MONTH(Gastos!$A$2:$A$2500)=CL$3)*(Gastos!$B$2:$B$2500=$A69)*(Gastos!$D$2:$D$2500))</f>
        <v>0</v>
      </c>
      <c r="CM69" s="75">
        <f t="array" ref="CM69">SUM((YEAR(Gastos!$A$2:$A$2500)=CM$1)*(MONTH(Gastos!$A$2:$A$2500)=CM$3)*(Gastos!$B$2:$B$2500=$A69)*(Gastos!$D$2:$D$2500))</f>
        <v>0</v>
      </c>
      <c r="CN69" s="75">
        <f t="array" ref="CN69">SUM((YEAR(Gastos!$A$2:$A$2500)=CN$1)*(MONTH(Gastos!$A$2:$A$2500)=CN$3)*(Gastos!$B$2:$B$2500=$A69)*(Gastos!$D$2:$D$2500))</f>
        <v>0</v>
      </c>
      <c r="CO69" s="75">
        <f t="array" ref="CO69">SUM((YEAR(Gastos!$A$2:$A$2500)=CO$1)*(MONTH(Gastos!$A$2:$A$2500)=CO$3)*(Gastos!$B$2:$B$2500=$A69)*(Gastos!$D$2:$D$2500))</f>
        <v>0</v>
      </c>
      <c r="CP69" s="75">
        <f t="array" ref="CP69">SUM((YEAR(Gastos!$A$2:$A$2500)=CP$1)*(MONTH(Gastos!$A$2:$A$2500)=CP$3)*(Gastos!$B$2:$B$2500=$A69)*(Gastos!$D$2:$D$2500))</f>
        <v>0</v>
      </c>
      <c r="CQ69" s="75">
        <f t="array" ref="CQ69">SUM((YEAR(Gastos!$A$2:$A$2500)=CQ$1)*(MONTH(Gastos!$A$2:$A$2500)=CQ$3)*(Gastos!$B$2:$B$2500=$A69)*(Gastos!$D$2:$D$2500))</f>
        <v>0</v>
      </c>
      <c r="CR69" s="75">
        <f t="array" ref="CR69">SUM((YEAR(Gastos!$A$2:$A$2500)=CR$1)*(MONTH(Gastos!$A$2:$A$2500)=CR$3)*(Gastos!$B$2:$B$2500=$A69)*(Gastos!$D$2:$D$2500))</f>
        <v>0</v>
      </c>
      <c r="CS69" s="75">
        <f t="array" ref="CS69">SUM((YEAR(Gastos!$A$2:$A$2500)=CS$1)*(MONTH(Gastos!$A$2:$A$2500)=CS$3)*(Gastos!$B$2:$B$2500=$A69)*(Gastos!$D$2:$D$2500))</f>
        <v>0</v>
      </c>
      <c r="CT69" s="75">
        <f t="array" ref="CT69">SUM((YEAR(Gastos!$A$2:$A$2500)=CT$1)*(MONTH(Gastos!$A$2:$A$2500)=CT$3)*(Gastos!$B$2:$B$2500=$A69)*(Gastos!$D$2:$D$2500))</f>
        <v>0</v>
      </c>
      <c r="CU69" s="75">
        <f t="array" ref="CU69">SUM((YEAR(Gastos!$A$2:$A$2500)=CU$1)*(MONTH(Gastos!$A$2:$A$2500)=CU$3)*(Gastos!$B$2:$B$2500=$A69)*(Gastos!$D$2:$D$2500))</f>
        <v>0</v>
      </c>
      <c r="CV69" s="75">
        <f t="array" ref="CV69">SUM((YEAR(Gastos!$A$2:$A$2500)=CV$1)*(MONTH(Gastos!$A$2:$A$2500)=CV$3)*(Gastos!$B$2:$B$2500=$A69)*(Gastos!$D$2:$D$2500))</f>
        <v>0</v>
      </c>
      <c r="CW69" s="75">
        <f t="array" ref="CW69">SUM((YEAR(Gastos!$A$2:$A$2500)=CW$1)*(MONTH(Gastos!$A$2:$A$2500)=CW$3)*(Gastos!$B$2:$B$2500=$A69)*(Gastos!$D$2:$D$2500))</f>
        <v>0</v>
      </c>
      <c r="CX69" s="75">
        <f t="array" ref="CX69">SUM((YEAR(Gastos!$A$2:$A$2500)=CX$1)*(MONTH(Gastos!$A$2:$A$2500)=CX$3)*(Gastos!$B$2:$B$2500=$A69)*(Gastos!$D$2:$D$2500))</f>
        <v>0</v>
      </c>
      <c r="CY69" s="75">
        <f t="array" ref="CY69">SUM((YEAR(Gastos!$A$2:$A$2500)=CY$1)*(MONTH(Gastos!$A$2:$A$2500)=CY$3)*(Gastos!$B$2:$B$2500=$A69)*(Gastos!$D$2:$D$2500))</f>
        <v>0</v>
      </c>
      <c r="CZ69" s="75">
        <f t="array" ref="CZ69">SUM((YEAR(Gastos!$A$2:$A$2500)=CZ$1)*(MONTH(Gastos!$A$2:$A$2500)=CZ$3)*(Gastos!$B$2:$B$2500=$A69)*(Gastos!$D$2:$D$2500))</f>
        <v>0</v>
      </c>
      <c r="DA69" s="75">
        <f t="array" ref="DA69">SUM((YEAR(Gastos!$A$2:$A$2500)=DA$1)*(MONTH(Gastos!$A$2:$A$2500)=DA$3)*(Gastos!$B$2:$B$2500=$A69)*(Gastos!$D$2:$D$2500))</f>
        <v>0</v>
      </c>
      <c r="DB69" s="75">
        <f t="array" ref="DB69">SUM((YEAR(Gastos!$A$2:$A$2500)=DB$1)*(MONTH(Gastos!$A$2:$A$2500)=DB$3)*(Gastos!$B$2:$B$2500=$A69)*(Gastos!$D$2:$D$2500))</f>
        <v>0</v>
      </c>
      <c r="DC69" s="75">
        <f t="array" ref="DC69">SUM((YEAR(Gastos!$A$2:$A$2500)=DC$1)*(MONTH(Gastos!$A$2:$A$2500)=DC$3)*(Gastos!$B$2:$B$2500=$A69)*(Gastos!$D$2:$D$2500))</f>
        <v>0</v>
      </c>
      <c r="DD69" s="75">
        <f t="array" ref="DD69">SUM((YEAR(Gastos!$A$2:$A$2500)=DD$1)*(MONTH(Gastos!$A$2:$A$2500)=DD$3)*(Gastos!$B$2:$B$2500=$A69)*(Gastos!$D$2:$D$2500))</f>
        <v>0</v>
      </c>
      <c r="DE69" s="75">
        <f t="array" ref="DE69">SUM((YEAR(Gastos!$A$2:$A$2500)=DE$1)*(MONTH(Gastos!$A$2:$A$2500)=DE$3)*(Gastos!$B$2:$B$2500=$A69)*(Gastos!$D$2:$D$2500))</f>
        <v>0</v>
      </c>
      <c r="DF69" s="75">
        <f t="array" ref="DF69">SUM((YEAR(Gastos!$A$2:$A$2500)=DF$1)*(MONTH(Gastos!$A$2:$A$2500)=DF$3)*(Gastos!$B$2:$B$2500=$A69)*(Gastos!$D$2:$D$2500))</f>
        <v>0</v>
      </c>
      <c r="DG69" s="75">
        <f t="array" ref="DG69">SUM((YEAR(Gastos!$A$2:$A$2500)=DG$1)*(MONTH(Gastos!$A$2:$A$2500)=DG$3)*(Gastos!$B$2:$B$2500=$A69)*(Gastos!$D$2:$D$2500))</f>
        <v>0</v>
      </c>
      <c r="DH69" s="75">
        <f t="array" ref="DH69">SUM((YEAR(Gastos!$A$2:$A$2500)=DH$1)*(MONTH(Gastos!$A$2:$A$2500)=DH$3)*(Gastos!$B$2:$B$2500=$A69)*(Gastos!$D$2:$D$2500))</f>
        <v>0</v>
      </c>
      <c r="DI69" s="75">
        <f t="array" ref="DI69">SUM((YEAR(Gastos!$A$2:$A$2500)=DI$1)*(MONTH(Gastos!$A$2:$A$2500)=DI$3)*(Gastos!$B$2:$B$2500=$A69)*(Gastos!$D$2:$D$2500))</f>
        <v>0</v>
      </c>
      <c r="DJ69" s="75">
        <f t="array" ref="DJ69">SUM((YEAR(Gastos!$A$2:$A$2500)=DJ$1)*(MONTH(Gastos!$A$2:$A$2500)=DJ$3)*(Gastos!$B$2:$B$2500=$A69)*(Gastos!$D$2:$D$2500))</f>
        <v>0</v>
      </c>
      <c r="DK69" s="75">
        <f t="array" ref="DK69">SUM((YEAR(Gastos!$A$2:$A$2500)=DK$1)*(MONTH(Gastos!$A$2:$A$2500)=DK$3)*(Gastos!$B$2:$B$2500=$A69)*(Gastos!$D$2:$D$2500))</f>
        <v>0</v>
      </c>
      <c r="DL69" s="75">
        <f t="array" ref="DL69">SUM((YEAR(Gastos!$A$2:$A$2500)=DL$1)*(MONTH(Gastos!$A$2:$A$2500)=DL$3)*(Gastos!$B$2:$B$2500=$A69)*(Gastos!$D$2:$D$2500))</f>
        <v>0</v>
      </c>
      <c r="DM69" s="75">
        <f t="array" ref="DM69">SUM((YEAR(Gastos!$A$2:$A$2500)=DM$1)*(MONTH(Gastos!$A$2:$A$2500)=DM$3)*(Gastos!$B$2:$B$2500=$A69)*(Gastos!$D$2:$D$2500))</f>
        <v>0</v>
      </c>
      <c r="DN69" s="75">
        <f t="array" ref="DN69">SUM((YEAR(Gastos!$A$2:$A$2500)=DN$1)*(MONTH(Gastos!$A$2:$A$2500)=DN$3)*(Gastos!$B$2:$B$2500=$A69)*(Gastos!$D$2:$D$2500))</f>
        <v>0</v>
      </c>
      <c r="DO69" s="75">
        <f t="array" ref="DO69">SUM((YEAR(Gastos!$A$2:$A$2500)=DO$1)*(MONTH(Gastos!$A$2:$A$2500)=DO$3)*(Gastos!$B$2:$B$2500=$A69)*(Gastos!$D$2:$D$2500))</f>
        <v>0</v>
      </c>
      <c r="DP69" s="75">
        <f t="array" ref="DP69">SUM((YEAR(Gastos!$A$2:$A$2500)=DP$1)*(MONTH(Gastos!$A$2:$A$2500)=DP$3)*(Gastos!$B$2:$B$2500=$A69)*(Gastos!$D$2:$D$2500))</f>
        <v>0</v>
      </c>
      <c r="DQ69" s="75">
        <f t="array" ref="DQ69">SUM((YEAR(Gastos!$A$2:$A$2500)=DQ$1)*(MONTH(Gastos!$A$2:$A$2500)=DQ$3)*(Gastos!$B$2:$B$2500=$A69)*(Gastos!$D$2:$D$2500))</f>
        <v>0</v>
      </c>
      <c r="DR69" s="75">
        <f t="array" ref="DR69">SUM((YEAR(Gastos!$A$2:$A$2500)=DR$1)*(MONTH(Gastos!$A$2:$A$2500)=DR$3)*(Gastos!$B$2:$B$2500=$A69)*(Gastos!$D$2:$D$2500))</f>
        <v>0</v>
      </c>
      <c r="DS69" s="75">
        <f t="array" ref="DS69">SUM((YEAR(Gastos!$A$2:$A$2500)=DS$1)*(MONTH(Gastos!$A$2:$A$2500)=DS$3)*(Gastos!$B$2:$B$2500=$A69)*(Gastos!$D$2:$D$2500))</f>
        <v>0</v>
      </c>
      <c r="DT69" s="75">
        <f t="array" ref="DT69">SUM((YEAR(Gastos!$A$2:$A$2500)=DT$1)*(MONTH(Gastos!$A$2:$A$2500)=DT$3)*(Gastos!$B$2:$B$2500=$A69)*(Gastos!$D$2:$D$2500))</f>
        <v>0</v>
      </c>
      <c r="DU69" s="75">
        <f t="array" ref="DU69">SUM((YEAR(Gastos!$A$2:$A$2500)=DU$1)*(MONTH(Gastos!$A$2:$A$2500)=DU$3)*(Gastos!$B$2:$B$2500=$A69)*(Gastos!$D$2:$D$2500))</f>
        <v>0</v>
      </c>
      <c r="DV69" s="75">
        <f t="array" ref="DV69">SUM((YEAR(Gastos!$A$2:$A$2500)=DV$1)*(MONTH(Gastos!$A$2:$A$2500)=DV$3)*(Gastos!$B$2:$B$2500=$A69)*(Gastos!$D$2:$D$2500))</f>
        <v>0</v>
      </c>
      <c r="DW69" s="75">
        <f t="array" ref="DW69">SUM((YEAR(Gastos!$A$2:$A$2500)=DW$1)*(MONTH(Gastos!$A$2:$A$2500)=DW$3)*(Gastos!$B$2:$B$2500=$A69)*(Gastos!$D$2:$D$2500))</f>
        <v>0</v>
      </c>
      <c r="DX69" s="75">
        <f t="array" ref="DX69">SUM((YEAR(Gastos!$A$2:$A$2500)=DX$1)*(MONTH(Gastos!$A$2:$A$2500)=DX$3)*(Gastos!$B$2:$B$2500=$A69)*(Gastos!$D$2:$D$2500))</f>
        <v>0</v>
      </c>
      <c r="DY69" s="75">
        <f t="array" ref="DY69">SUM((YEAR(Gastos!$A$2:$A$2500)=DY$1)*(MONTH(Gastos!$A$2:$A$2500)=DY$3)*(Gastos!$B$2:$B$2500=$A69)*(Gastos!$D$2:$D$2500))</f>
        <v>0</v>
      </c>
      <c r="DZ69" s="75">
        <f t="array" ref="DZ69">SUM((YEAR(Gastos!$A$2:$A$2500)=DZ$1)*(MONTH(Gastos!$A$2:$A$2500)=DZ$3)*(Gastos!$B$2:$B$2500=$A69)*(Gastos!$D$2:$D$2500))</f>
        <v>0</v>
      </c>
      <c r="EA69" s="75">
        <f t="array" ref="EA69">SUM((YEAR(Gastos!$A$2:$A$2500)=EA$1)*(MONTH(Gastos!$A$2:$A$2500)=EA$3)*(Gastos!$B$2:$B$2500=$A69)*(Gastos!$D$2:$D$2500))</f>
        <v>0</v>
      </c>
      <c r="EB69" s="75">
        <f t="array" ref="EB69">SUM((YEAR(Gastos!$A$2:$A$2500)=EB$1)*(MONTH(Gastos!$A$2:$A$2500)=EB$3)*(Gastos!$B$2:$B$2500=$A69)*(Gastos!$D$2:$D$2500))</f>
        <v>0</v>
      </c>
      <c r="EC69" s="75">
        <f t="array" ref="EC69">SUM((YEAR(Gastos!$A$2:$A$2500)=EC$1)*(MONTH(Gastos!$A$2:$A$2500)=EC$3)*(Gastos!$B$2:$B$2500=$A69)*(Gastos!$D$2:$D$2500))</f>
        <v>0</v>
      </c>
      <c r="ED69" s="75">
        <f t="array" ref="ED69">SUM((YEAR(Gastos!$A$2:$A$2500)=ED$1)*(MONTH(Gastos!$A$2:$A$2500)=ED$3)*(Gastos!$B$2:$B$2500=$A69)*(Gastos!$D$2:$D$2500))</f>
        <v>0</v>
      </c>
      <c r="EE69" s="75">
        <f t="array" ref="EE69">SUM((YEAR(Gastos!$A$2:$A$2500)=EE$1)*(MONTH(Gastos!$A$2:$A$2500)=EE$3)*(Gastos!$B$2:$B$2500=$A69)*(Gastos!$D$2:$D$2500))</f>
        <v>0</v>
      </c>
      <c r="EF69" s="75">
        <f t="array" ref="EF69">SUM((YEAR(Gastos!$A$2:$A$2500)=EF$1)*(MONTH(Gastos!$A$2:$A$2500)=EF$3)*(Gastos!$B$2:$B$2500=$A69)*(Gastos!$D$2:$D$2500))</f>
        <v>0</v>
      </c>
      <c r="EG69" s="75">
        <f t="array" ref="EG69">SUM((YEAR(Gastos!$A$2:$A$2500)=EG$1)*(MONTH(Gastos!$A$2:$A$2500)=EG$3)*(Gastos!$B$2:$B$2500=$A69)*(Gastos!$D$2:$D$2500))</f>
        <v>0</v>
      </c>
      <c r="EH69" s="75">
        <f t="array" ref="EH69">SUM((YEAR(Gastos!$A$2:$A$2500)=EH$1)*(MONTH(Gastos!$A$2:$A$2500)=EH$3)*(Gastos!$B$2:$B$2500=$A69)*(Gastos!$D$2:$D$2500))</f>
        <v>0</v>
      </c>
      <c r="EI69" s="75">
        <f t="array" ref="EI69">SUM((YEAR(Gastos!$A$2:$A$2500)=EI$1)*(MONTH(Gastos!$A$2:$A$2500)=EI$3)*(Gastos!$B$2:$B$2500=$A69)*(Gastos!$D$2:$D$2500))</f>
        <v>0</v>
      </c>
      <c r="EJ69" s="75">
        <f t="array" ref="EJ69">SUM((YEAR(Gastos!$A$2:$A$2500)=EJ$1)*(MONTH(Gastos!$A$2:$A$2500)=EJ$3)*(Gastos!$B$2:$B$2500=$A69)*(Gastos!$D$2:$D$2500))</f>
        <v>0</v>
      </c>
      <c r="EK69" s="75">
        <f t="array" ref="EK69">SUM((YEAR(Gastos!$A$2:$A$2500)=EK$1)*(MONTH(Gastos!$A$2:$A$2500)=EK$3)*(Gastos!$B$2:$B$2500=$A69)*(Gastos!$D$2:$D$2500))</f>
        <v>0</v>
      </c>
      <c r="EL69" s="75">
        <f t="array" ref="EL69">SUM((YEAR(Gastos!$A$2:$A$2500)=EL$1)*(MONTH(Gastos!$A$2:$A$2500)=EL$3)*(Gastos!$B$2:$B$2500=$A69)*(Gastos!$D$2:$D$2500))</f>
        <v>0</v>
      </c>
      <c r="EM69" s="75">
        <f t="array" ref="EM69">SUM((YEAR(Gastos!$A$2:$A$2500)=EM$1)*(MONTH(Gastos!$A$2:$A$2500)=EM$3)*(Gastos!$B$2:$B$2500=$A69)*(Gastos!$D$2:$D$2500))</f>
        <v>0</v>
      </c>
      <c r="EN69" s="75">
        <f t="array" ref="EN69">SUM((YEAR(Gastos!$A$2:$A$2500)=EN$1)*(MONTH(Gastos!$A$2:$A$2500)=EN$3)*(Gastos!$B$2:$B$2500=$A69)*(Gastos!$D$2:$D$2500))</f>
        <v>0</v>
      </c>
      <c r="EO69" s="75">
        <f t="array" ref="EO69">SUM((YEAR(Gastos!$A$2:$A$2500)=EO$1)*(MONTH(Gastos!$A$2:$A$2500)=EO$3)*(Gastos!$B$2:$B$2500=$A69)*(Gastos!$D$2:$D$2500))</f>
        <v>0</v>
      </c>
      <c r="EP69" s="75">
        <f t="array" ref="EP69">SUM((YEAR(Gastos!$A$2:$A$2500)=EP$1)*(MONTH(Gastos!$A$2:$A$2500)=EP$3)*(Gastos!$B$2:$B$2500=$A69)*(Gastos!$D$2:$D$2500))</f>
        <v>0</v>
      </c>
      <c r="EQ69" s="75">
        <f t="array" ref="EQ69">SUM((YEAR(Gastos!$A$2:$A$2500)=EQ$1)*(MONTH(Gastos!$A$2:$A$2500)=EQ$3)*(Gastos!$B$2:$B$2500=$A69)*(Gastos!$D$2:$D$2500))</f>
        <v>0</v>
      </c>
      <c r="ER69" s="75">
        <f t="array" ref="ER69">SUM((YEAR(Gastos!$A$2:$A$2500)=ER$1)*(MONTH(Gastos!$A$2:$A$2500)=ER$3)*(Gastos!$B$2:$B$2500=$A69)*(Gastos!$D$2:$D$2500))</f>
        <v>0</v>
      </c>
      <c r="ES69" s="75">
        <f t="array" ref="ES69">SUM((YEAR(Gastos!$A$2:$A$2500)=ES$1)*(MONTH(Gastos!$A$2:$A$2500)=ES$3)*(Gastos!$B$2:$B$2500=$A69)*(Gastos!$D$2:$D$2500))</f>
        <v>0</v>
      </c>
      <c r="ET69" s="75">
        <f t="array" ref="ET69">SUM((YEAR(Gastos!$A$2:$A$2500)=ET$1)*(MONTH(Gastos!$A$2:$A$2500)=ET$3)*(Gastos!$B$2:$B$2500=$A69)*(Gastos!$D$2:$D$2500))</f>
        <v>0</v>
      </c>
      <c r="EU69" s="75">
        <f t="array" ref="EU69">SUM((YEAR(Gastos!$A$2:$A$2500)=EU$1)*(MONTH(Gastos!$A$2:$A$2500)=EU$3)*(Gastos!$B$2:$B$2500=$A69)*(Gastos!$D$2:$D$2500))</f>
        <v>0</v>
      </c>
      <c r="EV69" s="75">
        <f t="array" ref="EV69">SUM((YEAR(Gastos!$A$2:$A$2500)=EV$1)*(MONTH(Gastos!$A$2:$A$2500)=EV$3)*(Gastos!$B$2:$B$2500=$A69)*(Gastos!$D$2:$D$2500))</f>
        <v>0</v>
      </c>
      <c r="EW69" s="75">
        <f t="array" ref="EW69">SUM((YEAR(Gastos!$A$2:$A$2500)=EW$1)*(MONTH(Gastos!$A$2:$A$2500)=EW$3)*(Gastos!$B$2:$B$2500=$A69)*(Gastos!$D$2:$D$2500))</f>
        <v>0</v>
      </c>
      <c r="EX69" s="75">
        <f t="array" ref="EX69">SUM((YEAR(Gastos!$A$2:$A$2500)=EX$1)*(MONTH(Gastos!$A$2:$A$2500)=EX$3)*(Gastos!$B$2:$B$2500=$A69)*(Gastos!$D$2:$D$2500))</f>
        <v>0</v>
      </c>
      <c r="EY69" s="75">
        <f t="array" ref="EY69">SUM((YEAR(Gastos!$A$2:$A$2500)=EY$1)*(MONTH(Gastos!$A$2:$A$2500)=EY$3)*(Gastos!$B$2:$B$2500=$A69)*(Gastos!$D$2:$D$2500))</f>
        <v>0</v>
      </c>
      <c r="EZ69" s="75">
        <f t="array" ref="EZ69">SUM((YEAR(Gastos!$A$2:$A$2500)=EZ$1)*(MONTH(Gastos!$A$2:$A$2500)=EZ$3)*(Gastos!$B$2:$B$2500=$A69)*(Gastos!$D$2:$D$2500))</f>
        <v>0</v>
      </c>
      <c r="FA69" s="75">
        <f t="array" ref="FA69">SUM((YEAR(Gastos!$A$2:$A$2500)=FA$1)*(MONTH(Gastos!$A$2:$A$2500)=FA$3)*(Gastos!$B$2:$B$2500=$A69)*(Gastos!$D$2:$D$2500))</f>
        <v>0</v>
      </c>
      <c r="FB69" s="75">
        <f t="array" ref="FB69">SUM((YEAR(Gastos!$A$2:$A$2500)=FB$1)*(MONTH(Gastos!$A$2:$A$2500)=FB$3)*(Gastos!$B$2:$B$2500=$A69)*(Gastos!$D$2:$D$2500))</f>
        <v>0</v>
      </c>
      <c r="FC69" s="75">
        <f t="array" ref="FC69">SUM((YEAR(Gastos!$A$2:$A$2500)=FC$1)*(MONTH(Gastos!$A$2:$A$2500)=FC$3)*(Gastos!$B$2:$B$2500=$A69)*(Gastos!$D$2:$D$2500))</f>
        <v>0</v>
      </c>
      <c r="FD69" s="75">
        <f t="array" ref="FD69">SUM((YEAR(Gastos!$A$2:$A$2500)=FD$1)*(MONTH(Gastos!$A$2:$A$2500)=FD$3)*(Gastos!$B$2:$B$2500=$A69)*(Gastos!$D$2:$D$2500))</f>
        <v>0</v>
      </c>
      <c r="FE69" s="75">
        <f t="array" ref="FE69">SUM((YEAR(Gastos!$A$2:$A$2500)=FE$1)*(MONTH(Gastos!$A$2:$A$2500)=FE$3)*(Gastos!$B$2:$B$2500=$A69)*(Gastos!$D$2:$D$2500))</f>
        <v>0</v>
      </c>
      <c r="FF69" s="75">
        <f t="array" ref="FF69">SUM((YEAR(Gastos!$A$2:$A$2500)=FF$1)*(MONTH(Gastos!$A$2:$A$2500)=FF$3)*(Gastos!$B$2:$B$2500=$A69)*(Gastos!$D$2:$D$2500))</f>
        <v>0</v>
      </c>
      <c r="FG69" s="75">
        <f t="array" ref="FG69">SUM((YEAR(Gastos!$A$2:$A$2500)=FG$1)*(MONTH(Gastos!$A$2:$A$2500)=FG$3)*(Gastos!$B$2:$B$2500=$A69)*(Gastos!$D$2:$D$2500))</f>
        <v>0</v>
      </c>
      <c r="FH69" s="75">
        <f t="array" ref="FH69">SUM((YEAR(Gastos!$A$2:$A$2500)=FH$1)*(MONTH(Gastos!$A$2:$A$2500)=FH$3)*(Gastos!$B$2:$B$2500=$A69)*(Gastos!$D$2:$D$2500))</f>
        <v>0</v>
      </c>
      <c r="FI69" s="75">
        <f t="array" ref="FI69">SUM((YEAR(Gastos!$A$2:$A$2500)=FI$1)*(MONTH(Gastos!$A$2:$A$2500)=FI$3)*(Gastos!$B$2:$B$2500=$A69)*(Gastos!$D$2:$D$2500))</f>
        <v>0</v>
      </c>
      <c r="FJ69" s="75">
        <f t="array" ref="FJ69">SUM((YEAR(Gastos!$A$2:$A$2500)=FJ$1)*(MONTH(Gastos!$A$2:$A$2500)=FJ$3)*(Gastos!$B$2:$B$2500=$A69)*(Gastos!$D$2:$D$2500))</f>
        <v>0</v>
      </c>
      <c r="FK69" s="75">
        <f t="array" ref="FK69">SUM((YEAR(Gastos!$A$2:$A$2500)=FK$1)*(MONTH(Gastos!$A$2:$A$2500)=FK$3)*(Gastos!$B$2:$B$2500=$A69)*(Gastos!$D$2:$D$2500))</f>
        <v>0</v>
      </c>
      <c r="FL69" s="75">
        <f t="array" ref="FL69">SUM((YEAR(Gastos!$A$2:$A$2500)=FL$1)*(MONTH(Gastos!$A$2:$A$2500)=FL$3)*(Gastos!$B$2:$B$2500=$A69)*(Gastos!$D$2:$D$2500))</f>
        <v>0</v>
      </c>
      <c r="FM69" s="75">
        <f t="array" ref="FM69">SUM((YEAR(Gastos!$A$2:$A$2500)=FM$1)*(MONTH(Gastos!$A$2:$A$2500)=FM$3)*(Gastos!$B$2:$B$2500=$A69)*(Gastos!$D$2:$D$2500))</f>
        <v>0</v>
      </c>
      <c r="FN69" s="75">
        <f t="array" ref="FN69">SUM((YEAR(Gastos!$A$2:$A$2500)=FN$1)*(MONTH(Gastos!$A$2:$A$2500)=FN$3)*(Gastos!$B$2:$B$2500=$A69)*(Gastos!$D$2:$D$2500))</f>
        <v>0</v>
      </c>
      <c r="FO69" s="75">
        <f t="array" ref="FO69">SUM((YEAR(Gastos!$A$2:$A$2500)=FO$1)*(MONTH(Gastos!$A$2:$A$2500)=FO$3)*(Gastos!$B$2:$B$2500=$A69)*(Gastos!$D$2:$D$2500))</f>
        <v>0</v>
      </c>
      <c r="FP69" s="75">
        <f t="array" ref="FP69">SUM((YEAR(Gastos!$A$2:$A$2500)=FP$1)*(MONTH(Gastos!$A$2:$A$2500)=FP$3)*(Gastos!$B$2:$B$2500=$A69)*(Gastos!$D$2:$D$2500))</f>
        <v>0</v>
      </c>
      <c r="FQ69" s="75">
        <f t="array" ref="FQ69">SUM((YEAR(Gastos!$A$2:$A$2500)=FQ$1)*(MONTH(Gastos!$A$2:$A$2500)=FQ$3)*(Gastos!$B$2:$B$2500=$A69)*(Gastos!$D$2:$D$2500))</f>
        <v>0</v>
      </c>
      <c r="FR69" s="75">
        <f t="array" ref="FR69">SUM((YEAR(Gastos!$A$2:$A$2500)=FR$1)*(MONTH(Gastos!$A$2:$A$2500)=FR$3)*(Gastos!$B$2:$B$2500=$A69)*(Gastos!$D$2:$D$2500))</f>
        <v>0</v>
      </c>
      <c r="FS69" s="75">
        <f t="array" ref="FS69">SUM((YEAR(Gastos!$A$2:$A$2500)=FS$1)*(MONTH(Gastos!$A$2:$A$2500)=FS$3)*(Gastos!$B$2:$B$2500=$A69)*(Gastos!$D$2:$D$2500))</f>
        <v>0</v>
      </c>
      <c r="FT69" s="75">
        <f t="array" ref="FT69">SUM((YEAR(Gastos!$A$2:$A$2500)=FT$1)*(MONTH(Gastos!$A$2:$A$2500)=FT$3)*(Gastos!$B$2:$B$2500=$A69)*(Gastos!$D$2:$D$2500))</f>
        <v>0</v>
      </c>
      <c r="FU69" s="75">
        <f t="array" ref="FU69">SUM((YEAR(Gastos!$A$2:$A$2500)=FU$1)*(MONTH(Gastos!$A$2:$A$2500)=FU$3)*(Gastos!$B$2:$B$2500=$A69)*(Gastos!$D$2:$D$2500))</f>
        <v>0</v>
      </c>
      <c r="FV69" s="75">
        <f t="array" ref="FV69">SUM((YEAR(Gastos!$A$2:$A$2500)=FV$1)*(MONTH(Gastos!$A$2:$A$2500)=FV$3)*(Gastos!$B$2:$B$2500=$A69)*(Gastos!$D$2:$D$2500))</f>
        <v>0</v>
      </c>
      <c r="FW69" s="75">
        <f t="array" ref="FW69">SUM((YEAR(Gastos!$A$2:$A$2500)=FW$1)*(MONTH(Gastos!$A$2:$A$2500)=FW$3)*(Gastos!$B$2:$B$2500=$A69)*(Gastos!$D$2:$D$2500))</f>
        <v>0</v>
      </c>
      <c r="FX69" s="75">
        <f t="array" ref="FX69">SUM((YEAR(Gastos!$A$2:$A$2500)=FX$1)*(MONTH(Gastos!$A$2:$A$2500)=FX$3)*(Gastos!$B$2:$B$2500=$A69)*(Gastos!$D$2:$D$2500))</f>
        <v>0</v>
      </c>
      <c r="FY69" s="75">
        <f t="array" ref="FY69">SUM((YEAR(Gastos!$A$2:$A$2500)=FY$1)*(MONTH(Gastos!$A$2:$A$2500)=FY$3)*(Gastos!$B$2:$B$2500=$A69)*(Gastos!$D$2:$D$2500))</f>
        <v>0</v>
      </c>
      <c r="FZ69" s="76">
        <f t="shared" ref="FZ69:FZ103" si="68">SUM(B69:FY69)</f>
        <v>0</v>
      </c>
      <c r="GA69" s="80"/>
      <c r="GB69" s="82"/>
    </row>
    <row r="70" spans="1:184" ht="15" thickBot="1" x14ac:dyDescent="0.4">
      <c r="A70" s="74" t="str">
        <f>Gastos!AA68</f>
        <v>X</v>
      </c>
      <c r="B70" s="75">
        <f t="array" ref="B70">SUM((YEAR(Gastos!$A$2:$A$2500)=B$1)*(MONTH(Gastos!$A$2:$A$2500)=B$3)*(Gastos!$B$2:$B$2500=$A70)*(Gastos!$D$2:$D$2500))</f>
        <v>0</v>
      </c>
      <c r="C70" s="75">
        <f t="array" ref="C70">SUM((YEAR(Gastos!$A$2:$A$2500)=C$1)*(MONTH(Gastos!$A$2:$A$2500)=C$3)*(Gastos!$B$2:$B$2500=$A70)*(Gastos!$D$2:$D$2500))</f>
        <v>0</v>
      </c>
      <c r="D70" s="75">
        <f t="array" ref="D70">SUM((YEAR(Gastos!$A$2:$A$2500)=D$1)*(MONTH(Gastos!$A$2:$A$2500)=D$3)*(Gastos!$B$2:$B$2500=$A70)*(Gastos!$D$2:$D$2500))</f>
        <v>0</v>
      </c>
      <c r="E70" s="75">
        <f t="array" ref="E70">SUM((YEAR(Gastos!$A$2:$A$2500)=E$1)*(MONTH(Gastos!$A$2:$A$2500)=E$3)*(Gastos!$B$2:$B$2500=$A70)*(Gastos!$D$2:$D$2500))</f>
        <v>0</v>
      </c>
      <c r="F70" s="75">
        <f t="array" ref="F70">SUM((YEAR(Gastos!$A$2:$A$2500)=F$1)*(MONTH(Gastos!$A$2:$A$2500)=F$3)*(Gastos!$B$2:$B$2500=$A70)*(Gastos!$D$2:$D$2500))</f>
        <v>0</v>
      </c>
      <c r="G70" s="75">
        <f t="array" ref="G70">SUM((YEAR(Gastos!$A$2:$A$2500)=G$1)*(MONTH(Gastos!$A$2:$A$2500)=G$3)*(Gastos!$B$2:$B$2500=$A70)*(Gastos!$D$2:$D$2500))</f>
        <v>0</v>
      </c>
      <c r="H70" s="75">
        <f t="array" ref="H70">SUM((YEAR(Gastos!$A$2:$A$2500)=H$1)*(MONTH(Gastos!$A$2:$A$2500)=H$3)*(Gastos!$B$2:$B$2500=$A70)*(Gastos!$D$2:$D$2500))</f>
        <v>0</v>
      </c>
      <c r="I70" s="75">
        <f t="array" ref="I70">SUM((YEAR(Gastos!$A$2:$A$2500)=I$1)*(MONTH(Gastos!$A$2:$A$2500)=I$3)*(Gastos!$B$2:$B$2500=$A70)*(Gastos!$D$2:$D$2500))</f>
        <v>0</v>
      </c>
      <c r="J70" s="75">
        <f t="array" ref="J70">SUM((YEAR(Gastos!$A$2:$A$2500)=J$1)*(MONTH(Gastos!$A$2:$A$2500)=J$3)*(Gastos!$B$2:$B$2500=$A70)*(Gastos!$D$2:$D$2500))</f>
        <v>0</v>
      </c>
      <c r="K70" s="75">
        <f t="array" ref="K70">SUM((YEAR(Gastos!$A$2:$A$2500)=K$1)*(MONTH(Gastos!$A$2:$A$2500)=K$3)*(Gastos!$B$2:$B$2500=$A70)*(Gastos!$D$2:$D$2500))</f>
        <v>0</v>
      </c>
      <c r="L70" s="75">
        <f t="array" ref="L70">SUM((YEAR(Gastos!$A$2:$A$2500)=L$1)*(MONTH(Gastos!$A$2:$A$2500)=L$3)*(Gastos!$B$2:$B$2500=$A70)*(Gastos!$D$2:$D$2500))</f>
        <v>0</v>
      </c>
      <c r="M70" s="75">
        <f t="array" ref="M70">SUM((YEAR(Gastos!$A$2:$A$2500)=M$1)*(MONTH(Gastos!$A$2:$A$2500)=M$3)*(Gastos!$B$2:$B$2500=$A70)*(Gastos!$D$2:$D$2500))</f>
        <v>0</v>
      </c>
      <c r="N70" s="75">
        <f t="array" ref="N70">SUM((YEAR(Gastos!$A$2:$A$2500)=N$1)*(MONTH(Gastos!$A$2:$A$2500)=N$3)*(Gastos!$B$2:$B$2500=$A70)*(Gastos!$D$2:$D$2500))</f>
        <v>0</v>
      </c>
      <c r="O70" s="75">
        <f t="array" ref="O70">SUM((YEAR(Gastos!$A$2:$A$2500)=O$1)*(MONTH(Gastos!$A$2:$A$2500)=O$3)*(Gastos!$B$2:$B$2500=$A70)*(Gastos!$D$2:$D$2500))</f>
        <v>0</v>
      </c>
      <c r="P70" s="75">
        <f t="array" ref="P70">SUM((YEAR(Gastos!$A$2:$A$2500)=P$1)*(MONTH(Gastos!$A$2:$A$2500)=P$3)*(Gastos!$B$2:$B$2500=$A70)*(Gastos!$D$2:$D$2500))</f>
        <v>0</v>
      </c>
      <c r="Q70" s="75">
        <f t="array" ref="Q70">SUM((YEAR(Gastos!$A$2:$A$2500)=Q$1)*(MONTH(Gastos!$A$2:$A$2500)=Q$3)*(Gastos!$B$2:$B$2500=$A70)*(Gastos!$D$2:$D$2500))</f>
        <v>0</v>
      </c>
      <c r="R70" s="75">
        <f t="array" ref="R70">SUM((YEAR(Gastos!$A$2:$A$2500)=R$1)*(MONTH(Gastos!$A$2:$A$2500)=R$3)*(Gastos!$B$2:$B$2500=$A70)*(Gastos!$D$2:$D$2500))</f>
        <v>0</v>
      </c>
      <c r="S70" s="75">
        <f t="array" ref="S70">SUM((YEAR(Gastos!$A$2:$A$2500)=S$1)*(MONTH(Gastos!$A$2:$A$2500)=S$3)*(Gastos!$B$2:$B$2500=$A70)*(Gastos!$D$2:$D$2500))</f>
        <v>0</v>
      </c>
      <c r="T70" s="75">
        <f t="array" ref="T70">SUM((YEAR(Gastos!$A$2:$A$2500)=T$1)*(MONTH(Gastos!$A$2:$A$2500)=T$3)*(Gastos!$B$2:$B$2500=$A70)*(Gastos!$D$2:$D$2500))</f>
        <v>0</v>
      </c>
      <c r="U70" s="75">
        <f t="array" ref="U70">SUM((YEAR(Gastos!$A$2:$A$2500)=U$1)*(MONTH(Gastos!$A$2:$A$2500)=U$3)*(Gastos!$B$2:$B$2500=$A70)*(Gastos!$D$2:$D$2500))</f>
        <v>0</v>
      </c>
      <c r="V70" s="75">
        <f t="array" ref="V70">SUM((YEAR(Gastos!$A$2:$A$2500)=V$1)*(MONTH(Gastos!$A$2:$A$2500)=V$3)*(Gastos!$B$2:$B$2500=$A70)*(Gastos!$D$2:$D$2500))</f>
        <v>0</v>
      </c>
      <c r="W70" s="75">
        <f t="array" ref="W70">SUM((YEAR(Gastos!$A$2:$A$2500)=W$1)*(MONTH(Gastos!$A$2:$A$2500)=W$3)*(Gastos!$B$2:$B$2500=$A70)*(Gastos!$D$2:$D$2500))</f>
        <v>0</v>
      </c>
      <c r="X70" s="75">
        <f t="array" ref="X70">SUM((YEAR(Gastos!$A$2:$A$2500)=X$1)*(MONTH(Gastos!$A$2:$A$2500)=X$3)*(Gastos!$B$2:$B$2500=$A70)*(Gastos!$D$2:$D$2500))</f>
        <v>0</v>
      </c>
      <c r="Y70" s="75">
        <f t="array" ref="Y70">SUM((YEAR(Gastos!$A$2:$A$2500)=Y$1)*(MONTH(Gastos!$A$2:$A$2500)=Y$3)*(Gastos!$B$2:$B$2500=$A70)*(Gastos!$D$2:$D$2500))</f>
        <v>0</v>
      </c>
      <c r="Z70" s="75">
        <f t="array" ref="Z70">SUM((YEAR(Gastos!$A$2:$A$2500)=Z$1)*(MONTH(Gastos!$A$2:$A$2500)=Z$3)*(Gastos!$B$2:$B$2500=$A70)*(Gastos!$D$2:$D$2500))</f>
        <v>0</v>
      </c>
      <c r="AA70" s="75">
        <f t="array" ref="AA70">SUM((YEAR(Gastos!$A$2:$A$2500)=AA$1)*(MONTH(Gastos!$A$2:$A$2500)=AA$3)*(Gastos!$B$2:$B$2500=$A70)*(Gastos!$D$2:$D$2500))</f>
        <v>0</v>
      </c>
      <c r="AB70" s="75">
        <f t="array" ref="AB70">SUM((YEAR(Gastos!$A$2:$A$2500)=AB$1)*(MONTH(Gastos!$A$2:$A$2500)=AB$3)*(Gastos!$B$2:$B$2500=$A70)*(Gastos!$D$2:$D$2500))</f>
        <v>0</v>
      </c>
      <c r="AC70" s="75">
        <f t="array" ref="AC70">SUM((YEAR(Gastos!$A$2:$A$2500)=AC$1)*(MONTH(Gastos!$A$2:$A$2500)=AC$3)*(Gastos!$B$2:$B$2500=$A70)*(Gastos!$D$2:$D$2500))</f>
        <v>0</v>
      </c>
      <c r="AD70" s="75">
        <f t="array" ref="AD70">SUM((YEAR(Gastos!$A$2:$A$2500)=AD$1)*(MONTH(Gastos!$A$2:$A$2500)=AD$3)*(Gastos!$B$2:$B$2500=$A70)*(Gastos!$D$2:$D$2500))</f>
        <v>0</v>
      </c>
      <c r="AE70" s="75">
        <f t="array" ref="AE70">SUM((YEAR(Gastos!$A$2:$A$2500)=AE$1)*(MONTH(Gastos!$A$2:$A$2500)=AE$3)*(Gastos!$B$2:$B$2500=$A70)*(Gastos!$D$2:$D$2500))</f>
        <v>0</v>
      </c>
      <c r="AF70" s="75">
        <f t="array" ref="AF70">SUM((YEAR(Gastos!$A$2:$A$2500)=AF$1)*(MONTH(Gastos!$A$2:$A$2500)=AF$3)*(Gastos!$B$2:$B$2500=$A70)*(Gastos!$D$2:$D$2500))</f>
        <v>0</v>
      </c>
      <c r="AG70" s="75">
        <f t="array" ref="AG70">SUM((YEAR(Gastos!$A$2:$A$2500)=AG$1)*(MONTH(Gastos!$A$2:$A$2500)=AG$3)*(Gastos!$B$2:$B$2500=$A70)*(Gastos!$D$2:$D$2500))</f>
        <v>0</v>
      </c>
      <c r="AH70" s="75">
        <f t="array" ref="AH70">SUM((YEAR(Gastos!$A$2:$A$2500)=AH$1)*(MONTH(Gastos!$A$2:$A$2500)=AH$3)*(Gastos!$B$2:$B$2500=$A70)*(Gastos!$D$2:$D$2500))</f>
        <v>0</v>
      </c>
      <c r="AI70" s="75">
        <f t="array" ref="AI70">SUM((YEAR(Gastos!$A$2:$A$2500)=AI$1)*(MONTH(Gastos!$A$2:$A$2500)=AI$3)*(Gastos!$B$2:$B$2500=$A70)*(Gastos!$D$2:$D$2500))</f>
        <v>0</v>
      </c>
      <c r="AJ70" s="75">
        <f t="array" ref="AJ70">SUM((YEAR(Gastos!$A$2:$A$2500)=AJ$1)*(MONTH(Gastos!$A$2:$A$2500)=AJ$3)*(Gastos!$B$2:$B$2500=$A70)*(Gastos!$D$2:$D$2500))</f>
        <v>0</v>
      </c>
      <c r="AK70" s="75">
        <f t="array" ref="AK70">SUM((YEAR(Gastos!$A$2:$A$2500)=AK$1)*(MONTH(Gastos!$A$2:$A$2500)=AK$3)*(Gastos!$B$2:$B$2500=$A70)*(Gastos!$D$2:$D$2500))</f>
        <v>0</v>
      </c>
      <c r="AL70" s="75">
        <f t="array" ref="AL70">SUM((YEAR(Gastos!$A$2:$A$2500)=AL$1)*(MONTH(Gastos!$A$2:$A$2500)=AL$3)*(Gastos!$B$2:$B$2500=$A70)*(Gastos!$D$2:$D$2500))</f>
        <v>0</v>
      </c>
      <c r="AM70" s="75">
        <f t="array" ref="AM70">SUM((YEAR(Gastos!$A$2:$A$2500)=AM$1)*(MONTH(Gastos!$A$2:$A$2500)=AM$3)*(Gastos!$B$2:$B$2500=$A70)*(Gastos!$D$2:$D$2500))</f>
        <v>0</v>
      </c>
      <c r="AN70" s="75">
        <f t="array" ref="AN70">SUM((YEAR(Gastos!$A$2:$A$2500)=AN$1)*(MONTH(Gastos!$A$2:$A$2500)=AN$3)*(Gastos!$B$2:$B$2500=$A70)*(Gastos!$D$2:$D$2500))</f>
        <v>0</v>
      </c>
      <c r="AO70" s="75">
        <f t="array" ref="AO70">SUM((YEAR(Gastos!$A$2:$A$2500)=AO$1)*(MONTH(Gastos!$A$2:$A$2500)=AO$3)*(Gastos!$B$2:$B$2500=$A70)*(Gastos!$D$2:$D$2500))</f>
        <v>0</v>
      </c>
      <c r="AP70" s="75">
        <f t="array" ref="AP70">SUM((YEAR(Gastos!$A$2:$A$2500)=AP$1)*(MONTH(Gastos!$A$2:$A$2500)=AP$3)*(Gastos!$B$2:$B$2500=$A70)*(Gastos!$D$2:$D$2500))</f>
        <v>0</v>
      </c>
      <c r="AQ70" s="75">
        <f t="array" ref="AQ70">SUM((YEAR(Gastos!$A$2:$A$2500)=AQ$1)*(MONTH(Gastos!$A$2:$A$2500)=AQ$3)*(Gastos!$B$2:$B$2500=$A70)*(Gastos!$D$2:$D$2500))</f>
        <v>0</v>
      </c>
      <c r="AR70" s="75">
        <f t="array" ref="AR70">SUM((YEAR(Gastos!$A$2:$A$2500)=AR$1)*(MONTH(Gastos!$A$2:$A$2500)=AR$3)*(Gastos!$B$2:$B$2500=$A70)*(Gastos!$D$2:$D$2500))</f>
        <v>0</v>
      </c>
      <c r="AS70" s="75">
        <f t="array" ref="AS70">SUM((YEAR(Gastos!$A$2:$A$2500)=AS$1)*(MONTH(Gastos!$A$2:$A$2500)=AS$3)*(Gastos!$B$2:$B$2500=$A70)*(Gastos!$D$2:$D$2500))</f>
        <v>0</v>
      </c>
      <c r="AT70" s="75">
        <f t="array" ref="AT70">SUM((YEAR(Gastos!$A$2:$A$2500)=AT$1)*(MONTH(Gastos!$A$2:$A$2500)=AT$3)*(Gastos!$B$2:$B$2500=$A70)*(Gastos!$D$2:$D$2500))</f>
        <v>0</v>
      </c>
      <c r="AU70" s="75">
        <f t="array" ref="AU70">SUM((YEAR(Gastos!$A$2:$A$2500)=AU$1)*(MONTH(Gastos!$A$2:$A$2500)=AU$3)*(Gastos!$B$2:$B$2500=$A70)*(Gastos!$D$2:$D$2500))</f>
        <v>0</v>
      </c>
      <c r="AV70" s="75">
        <f t="array" ref="AV70">SUM((YEAR(Gastos!$A$2:$A$2500)=AV$1)*(MONTH(Gastos!$A$2:$A$2500)=AV$3)*(Gastos!$B$2:$B$2500=$A70)*(Gastos!$D$2:$D$2500))</f>
        <v>0</v>
      </c>
      <c r="AW70" s="75">
        <f t="array" ref="AW70">SUM((YEAR(Gastos!$A$2:$A$2500)=AW$1)*(MONTH(Gastos!$A$2:$A$2500)=AW$3)*(Gastos!$B$2:$B$2500=$A70)*(Gastos!$D$2:$D$2500))</f>
        <v>0</v>
      </c>
      <c r="AX70" s="75">
        <f t="array" ref="AX70">SUM((YEAR(Gastos!$A$2:$A$2500)=AX$1)*(MONTH(Gastos!$A$2:$A$2500)=AX$3)*(Gastos!$B$2:$B$2500=$A70)*(Gastos!$D$2:$D$2500))</f>
        <v>0</v>
      </c>
      <c r="AY70" s="75">
        <f t="array" ref="AY70">SUM((YEAR(Gastos!$A$2:$A$2500)=AY$1)*(MONTH(Gastos!$A$2:$A$2500)=AY$3)*(Gastos!$B$2:$B$2500=$A70)*(Gastos!$D$2:$D$2500))</f>
        <v>0</v>
      </c>
      <c r="AZ70" s="75">
        <f t="array" ref="AZ70">SUM((YEAR(Gastos!$A$2:$A$2500)=AZ$1)*(MONTH(Gastos!$A$2:$A$2500)=AZ$3)*(Gastos!$B$2:$B$2500=$A70)*(Gastos!$D$2:$D$2500))</f>
        <v>0</v>
      </c>
      <c r="BA70" s="75">
        <f t="array" ref="BA70">SUM((YEAR(Gastos!$A$2:$A$2500)=BA$1)*(MONTH(Gastos!$A$2:$A$2500)=BA$3)*(Gastos!$B$2:$B$2500=$A70)*(Gastos!$D$2:$D$2500))</f>
        <v>0</v>
      </c>
      <c r="BB70" s="75">
        <f t="array" ref="BB70">SUM((YEAR(Gastos!$A$2:$A$2500)=BB$1)*(MONTH(Gastos!$A$2:$A$2500)=BB$3)*(Gastos!$B$2:$B$2500=$A70)*(Gastos!$D$2:$D$2500))</f>
        <v>0</v>
      </c>
      <c r="BC70" s="75">
        <f t="array" ref="BC70">SUM((YEAR(Gastos!$A$2:$A$2500)=BC$1)*(MONTH(Gastos!$A$2:$A$2500)=BC$3)*(Gastos!$B$2:$B$2500=$A70)*(Gastos!$D$2:$D$2500))</f>
        <v>0</v>
      </c>
      <c r="BD70" s="75">
        <f t="array" ref="BD70">SUM((YEAR(Gastos!$A$2:$A$2500)=BD$1)*(MONTH(Gastos!$A$2:$A$2500)=BD$3)*(Gastos!$B$2:$B$2500=$A70)*(Gastos!$D$2:$D$2500))</f>
        <v>0</v>
      </c>
      <c r="BE70" s="75">
        <f t="array" ref="BE70">SUM((YEAR(Gastos!$A$2:$A$2500)=BE$1)*(MONTH(Gastos!$A$2:$A$2500)=BE$3)*(Gastos!$B$2:$B$2500=$A70)*(Gastos!$D$2:$D$2500))</f>
        <v>0</v>
      </c>
      <c r="BF70" s="75">
        <f t="array" ref="BF70">SUM((YEAR(Gastos!$A$2:$A$2500)=BF$1)*(MONTH(Gastos!$A$2:$A$2500)=BF$3)*(Gastos!$B$2:$B$2500=$A70)*(Gastos!$D$2:$D$2500))</f>
        <v>0</v>
      </c>
      <c r="BG70" s="75">
        <f t="array" ref="BG70">SUM((YEAR(Gastos!$A$2:$A$2500)=BG$1)*(MONTH(Gastos!$A$2:$A$2500)=BG$3)*(Gastos!$B$2:$B$2500=$A70)*(Gastos!$D$2:$D$2500))</f>
        <v>0</v>
      </c>
      <c r="BH70" s="75">
        <f t="array" ref="BH70">SUM((YEAR(Gastos!$A$2:$A$2500)=BH$1)*(MONTH(Gastos!$A$2:$A$2500)=BH$3)*(Gastos!$B$2:$B$2500=$A70)*(Gastos!$D$2:$D$2500))</f>
        <v>0</v>
      </c>
      <c r="BI70" s="75">
        <f t="array" ref="BI70">SUM((YEAR(Gastos!$A$2:$A$2500)=BI$1)*(MONTH(Gastos!$A$2:$A$2500)=BI$3)*(Gastos!$B$2:$B$2500=$A70)*(Gastos!$D$2:$D$2500))</f>
        <v>0</v>
      </c>
      <c r="BJ70" s="75">
        <f t="array" ref="BJ70">SUM((YEAR(Gastos!$A$2:$A$2500)=BJ$1)*(MONTH(Gastos!$A$2:$A$2500)=BJ$3)*(Gastos!$B$2:$B$2500=$A70)*(Gastos!$D$2:$D$2500))</f>
        <v>0</v>
      </c>
      <c r="BK70" s="75">
        <f t="array" ref="BK70">SUM((YEAR(Gastos!$A$2:$A$2500)=BK$1)*(MONTH(Gastos!$A$2:$A$2500)=BK$3)*(Gastos!$B$2:$B$2500=$A70)*(Gastos!$D$2:$D$2500))</f>
        <v>0</v>
      </c>
      <c r="BL70" s="75">
        <f t="array" ref="BL70">SUM((YEAR(Gastos!$A$2:$A$2500)=BL$1)*(MONTH(Gastos!$A$2:$A$2500)=BL$3)*(Gastos!$B$2:$B$2500=$A70)*(Gastos!$D$2:$D$2500))</f>
        <v>0</v>
      </c>
      <c r="BM70" s="75">
        <f t="array" ref="BM70">SUM((YEAR(Gastos!$A$2:$A$2500)=BM$1)*(MONTH(Gastos!$A$2:$A$2500)=BM$3)*(Gastos!$B$2:$B$2500=$A70)*(Gastos!$D$2:$D$2500))</f>
        <v>0</v>
      </c>
      <c r="BN70" s="75">
        <f t="array" ref="BN70">SUM((YEAR(Gastos!$A$2:$A$2500)=BN$1)*(MONTH(Gastos!$A$2:$A$2500)=BN$3)*(Gastos!$B$2:$B$2500=$A70)*(Gastos!$D$2:$D$2500))</f>
        <v>0</v>
      </c>
      <c r="BO70" s="75">
        <f t="array" ref="BO70">SUM((YEAR(Gastos!$A$2:$A$2500)=BO$1)*(MONTH(Gastos!$A$2:$A$2500)=BO$3)*(Gastos!$B$2:$B$2500=$A70)*(Gastos!$D$2:$D$2500))</f>
        <v>0</v>
      </c>
      <c r="BP70" s="75">
        <f t="array" ref="BP70">SUM((YEAR(Gastos!$A$2:$A$2500)=BP$1)*(MONTH(Gastos!$A$2:$A$2500)=BP$3)*(Gastos!$B$2:$B$2500=$A70)*(Gastos!$D$2:$D$2500))</f>
        <v>0</v>
      </c>
      <c r="BQ70" s="75">
        <f t="array" ref="BQ70">SUM((YEAR(Gastos!$A$2:$A$2500)=BQ$1)*(MONTH(Gastos!$A$2:$A$2500)=BQ$3)*(Gastos!$B$2:$B$2500=$A70)*(Gastos!$D$2:$D$2500))</f>
        <v>0</v>
      </c>
      <c r="BR70" s="75">
        <f t="array" ref="BR70">SUM((YEAR(Gastos!$A$2:$A$2500)=BR$1)*(MONTH(Gastos!$A$2:$A$2500)=BR$3)*(Gastos!$B$2:$B$2500=$A70)*(Gastos!$D$2:$D$2500))</f>
        <v>0</v>
      </c>
      <c r="BS70" s="75">
        <f t="array" ref="BS70">SUM((YEAR(Gastos!$A$2:$A$2500)=BS$1)*(MONTH(Gastos!$A$2:$A$2500)=BS$3)*(Gastos!$B$2:$B$2500=$A70)*(Gastos!$D$2:$D$2500))</f>
        <v>0</v>
      </c>
      <c r="BT70" s="75">
        <f t="array" ref="BT70">SUM((YEAR(Gastos!$A$2:$A$2500)=BT$1)*(MONTH(Gastos!$A$2:$A$2500)=BT$3)*(Gastos!$B$2:$B$2500=$A70)*(Gastos!$D$2:$D$2500))</f>
        <v>0</v>
      </c>
      <c r="BU70" s="75">
        <f t="array" ref="BU70">SUM((YEAR(Gastos!$A$2:$A$2500)=BU$1)*(MONTH(Gastos!$A$2:$A$2500)=BU$3)*(Gastos!$B$2:$B$2500=$A70)*(Gastos!$D$2:$D$2500))</f>
        <v>0</v>
      </c>
      <c r="BV70" s="75">
        <f t="array" ref="BV70">SUM((YEAR(Gastos!$A$2:$A$2500)=BV$1)*(MONTH(Gastos!$A$2:$A$2500)=BV$3)*(Gastos!$B$2:$B$2500=$A70)*(Gastos!$D$2:$D$2500))</f>
        <v>0</v>
      </c>
      <c r="BW70" s="75">
        <f t="array" ref="BW70">SUM((YEAR(Gastos!$A$2:$A$2500)=BW$1)*(MONTH(Gastos!$A$2:$A$2500)=BW$3)*(Gastos!$B$2:$B$2500=$A70)*(Gastos!$D$2:$D$2500))</f>
        <v>0</v>
      </c>
      <c r="BX70" s="75">
        <f t="array" ref="BX70">SUM((YEAR(Gastos!$A$2:$A$2500)=BX$1)*(MONTH(Gastos!$A$2:$A$2500)=BX$3)*(Gastos!$B$2:$B$2500=$A70)*(Gastos!$D$2:$D$2500))</f>
        <v>0</v>
      </c>
      <c r="BY70" s="75">
        <f t="array" ref="BY70">SUM((YEAR(Gastos!$A$2:$A$2500)=BY$1)*(MONTH(Gastos!$A$2:$A$2500)=BY$3)*(Gastos!$B$2:$B$2500=$A70)*(Gastos!$D$2:$D$2500))</f>
        <v>0</v>
      </c>
      <c r="BZ70" s="75">
        <f t="array" ref="BZ70">SUM((YEAR(Gastos!$A$2:$A$2500)=BZ$1)*(MONTH(Gastos!$A$2:$A$2500)=BZ$3)*(Gastos!$B$2:$B$2500=$A70)*(Gastos!$D$2:$D$2500))</f>
        <v>0</v>
      </c>
      <c r="CA70" s="75">
        <f t="array" ref="CA70">SUM((YEAR(Gastos!$A$2:$A$2500)=CA$1)*(MONTH(Gastos!$A$2:$A$2500)=CA$3)*(Gastos!$B$2:$B$2500=$A70)*(Gastos!$D$2:$D$2500))</f>
        <v>0</v>
      </c>
      <c r="CB70" s="75">
        <f t="array" ref="CB70">SUM((YEAR(Gastos!$A$2:$A$2500)=CB$1)*(MONTH(Gastos!$A$2:$A$2500)=CB$3)*(Gastos!$B$2:$B$2500=$A70)*(Gastos!$D$2:$D$2500))</f>
        <v>0</v>
      </c>
      <c r="CC70" s="75">
        <f t="array" ref="CC70">SUM((YEAR(Gastos!$A$2:$A$2500)=CC$1)*(MONTH(Gastos!$A$2:$A$2500)=CC$3)*(Gastos!$B$2:$B$2500=$A70)*(Gastos!$D$2:$D$2500))</f>
        <v>0</v>
      </c>
      <c r="CD70" s="75">
        <f t="array" ref="CD70">SUM((YEAR(Gastos!$A$2:$A$2500)=CD$1)*(MONTH(Gastos!$A$2:$A$2500)=CD$3)*(Gastos!$B$2:$B$2500=$A70)*(Gastos!$D$2:$D$2500))</f>
        <v>0</v>
      </c>
      <c r="CE70" s="75">
        <f t="array" ref="CE70">SUM((YEAR(Gastos!$A$2:$A$2500)=CE$1)*(MONTH(Gastos!$A$2:$A$2500)=CE$3)*(Gastos!$B$2:$B$2500=$A70)*(Gastos!$D$2:$D$2500))</f>
        <v>0</v>
      </c>
      <c r="CF70" s="75">
        <f t="array" ref="CF70">SUM((YEAR(Gastos!$A$2:$A$2500)=CF$1)*(MONTH(Gastos!$A$2:$A$2500)=CF$3)*(Gastos!$B$2:$B$2500=$A70)*(Gastos!$D$2:$D$2500))</f>
        <v>0</v>
      </c>
      <c r="CG70" s="75">
        <f t="array" ref="CG70">SUM((YEAR(Gastos!$A$2:$A$2500)=CG$1)*(MONTH(Gastos!$A$2:$A$2500)=CG$3)*(Gastos!$B$2:$B$2500=$A70)*(Gastos!$D$2:$D$2500))</f>
        <v>0</v>
      </c>
      <c r="CH70" s="75">
        <f t="array" ref="CH70">SUM((YEAR(Gastos!$A$2:$A$2500)=CH$1)*(MONTH(Gastos!$A$2:$A$2500)=CH$3)*(Gastos!$B$2:$B$2500=$A70)*(Gastos!$D$2:$D$2500))</f>
        <v>0</v>
      </c>
      <c r="CI70" s="75">
        <f t="array" ref="CI70">SUM((YEAR(Gastos!$A$2:$A$2500)=CI$1)*(MONTH(Gastos!$A$2:$A$2500)=CI$3)*(Gastos!$B$2:$B$2500=$A70)*(Gastos!$D$2:$D$2500))</f>
        <v>0</v>
      </c>
      <c r="CJ70" s="75">
        <f t="array" ref="CJ70">SUM((YEAR(Gastos!$A$2:$A$2500)=CJ$1)*(MONTH(Gastos!$A$2:$A$2500)=CJ$3)*(Gastos!$B$2:$B$2500=$A70)*(Gastos!$D$2:$D$2500))</f>
        <v>0</v>
      </c>
      <c r="CK70" s="75">
        <f t="array" ref="CK70">SUM((YEAR(Gastos!$A$2:$A$2500)=CK$1)*(MONTH(Gastos!$A$2:$A$2500)=CK$3)*(Gastos!$B$2:$B$2500=$A70)*(Gastos!$D$2:$D$2500))</f>
        <v>0</v>
      </c>
      <c r="CL70" s="75">
        <f t="array" ref="CL70">SUM((YEAR(Gastos!$A$2:$A$2500)=CL$1)*(MONTH(Gastos!$A$2:$A$2500)=CL$3)*(Gastos!$B$2:$B$2500=$A70)*(Gastos!$D$2:$D$2500))</f>
        <v>0</v>
      </c>
      <c r="CM70" s="75">
        <f t="array" ref="CM70">SUM((YEAR(Gastos!$A$2:$A$2500)=CM$1)*(MONTH(Gastos!$A$2:$A$2500)=CM$3)*(Gastos!$B$2:$B$2500=$A70)*(Gastos!$D$2:$D$2500))</f>
        <v>0</v>
      </c>
      <c r="CN70" s="75">
        <f t="array" ref="CN70">SUM((YEAR(Gastos!$A$2:$A$2500)=CN$1)*(MONTH(Gastos!$A$2:$A$2500)=CN$3)*(Gastos!$B$2:$B$2500=$A70)*(Gastos!$D$2:$D$2500))</f>
        <v>0</v>
      </c>
      <c r="CO70" s="75">
        <f t="array" ref="CO70">SUM((YEAR(Gastos!$A$2:$A$2500)=CO$1)*(MONTH(Gastos!$A$2:$A$2500)=CO$3)*(Gastos!$B$2:$B$2500=$A70)*(Gastos!$D$2:$D$2500))</f>
        <v>0</v>
      </c>
      <c r="CP70" s="75">
        <f t="array" ref="CP70">SUM((YEAR(Gastos!$A$2:$A$2500)=CP$1)*(MONTH(Gastos!$A$2:$A$2500)=CP$3)*(Gastos!$B$2:$B$2500=$A70)*(Gastos!$D$2:$D$2500))</f>
        <v>0</v>
      </c>
      <c r="CQ70" s="75">
        <f t="array" ref="CQ70">SUM((YEAR(Gastos!$A$2:$A$2500)=CQ$1)*(MONTH(Gastos!$A$2:$A$2500)=CQ$3)*(Gastos!$B$2:$B$2500=$A70)*(Gastos!$D$2:$D$2500))</f>
        <v>0</v>
      </c>
      <c r="CR70" s="75">
        <f t="array" ref="CR70">SUM((YEAR(Gastos!$A$2:$A$2500)=CR$1)*(MONTH(Gastos!$A$2:$A$2500)=CR$3)*(Gastos!$B$2:$B$2500=$A70)*(Gastos!$D$2:$D$2500))</f>
        <v>0</v>
      </c>
      <c r="CS70" s="75">
        <f t="array" ref="CS70">SUM((YEAR(Gastos!$A$2:$A$2500)=CS$1)*(MONTH(Gastos!$A$2:$A$2500)=CS$3)*(Gastos!$B$2:$B$2500=$A70)*(Gastos!$D$2:$D$2500))</f>
        <v>0</v>
      </c>
      <c r="CT70" s="75">
        <f t="array" ref="CT70">SUM((YEAR(Gastos!$A$2:$A$2500)=CT$1)*(MONTH(Gastos!$A$2:$A$2500)=CT$3)*(Gastos!$B$2:$B$2500=$A70)*(Gastos!$D$2:$D$2500))</f>
        <v>0</v>
      </c>
      <c r="CU70" s="75">
        <f t="array" ref="CU70">SUM((YEAR(Gastos!$A$2:$A$2500)=CU$1)*(MONTH(Gastos!$A$2:$A$2500)=CU$3)*(Gastos!$B$2:$B$2500=$A70)*(Gastos!$D$2:$D$2500))</f>
        <v>0</v>
      </c>
      <c r="CV70" s="75">
        <f t="array" ref="CV70">SUM((YEAR(Gastos!$A$2:$A$2500)=CV$1)*(MONTH(Gastos!$A$2:$A$2500)=CV$3)*(Gastos!$B$2:$B$2500=$A70)*(Gastos!$D$2:$D$2500))</f>
        <v>0</v>
      </c>
      <c r="CW70" s="75">
        <f t="array" ref="CW70">SUM((YEAR(Gastos!$A$2:$A$2500)=CW$1)*(MONTH(Gastos!$A$2:$A$2500)=CW$3)*(Gastos!$B$2:$B$2500=$A70)*(Gastos!$D$2:$D$2500))</f>
        <v>0</v>
      </c>
      <c r="CX70" s="75">
        <f t="array" ref="CX70">SUM((YEAR(Gastos!$A$2:$A$2500)=CX$1)*(MONTH(Gastos!$A$2:$A$2500)=CX$3)*(Gastos!$B$2:$B$2500=$A70)*(Gastos!$D$2:$D$2500))</f>
        <v>0</v>
      </c>
      <c r="CY70" s="75">
        <f t="array" ref="CY70">SUM((YEAR(Gastos!$A$2:$A$2500)=CY$1)*(MONTH(Gastos!$A$2:$A$2500)=CY$3)*(Gastos!$B$2:$B$2500=$A70)*(Gastos!$D$2:$D$2500))</f>
        <v>0</v>
      </c>
      <c r="CZ70" s="75">
        <f t="array" ref="CZ70">SUM((YEAR(Gastos!$A$2:$A$2500)=CZ$1)*(MONTH(Gastos!$A$2:$A$2500)=CZ$3)*(Gastos!$B$2:$B$2500=$A70)*(Gastos!$D$2:$D$2500))</f>
        <v>0</v>
      </c>
      <c r="DA70" s="75">
        <f t="array" ref="DA70">SUM((YEAR(Gastos!$A$2:$A$2500)=DA$1)*(MONTH(Gastos!$A$2:$A$2500)=DA$3)*(Gastos!$B$2:$B$2500=$A70)*(Gastos!$D$2:$D$2500))</f>
        <v>0</v>
      </c>
      <c r="DB70" s="75">
        <f t="array" ref="DB70">SUM((YEAR(Gastos!$A$2:$A$2500)=DB$1)*(MONTH(Gastos!$A$2:$A$2500)=DB$3)*(Gastos!$B$2:$B$2500=$A70)*(Gastos!$D$2:$D$2500))</f>
        <v>0</v>
      </c>
      <c r="DC70" s="75">
        <f t="array" ref="DC70">SUM((YEAR(Gastos!$A$2:$A$2500)=DC$1)*(MONTH(Gastos!$A$2:$A$2500)=DC$3)*(Gastos!$B$2:$B$2500=$A70)*(Gastos!$D$2:$D$2500))</f>
        <v>0</v>
      </c>
      <c r="DD70" s="75">
        <f t="array" ref="DD70">SUM((YEAR(Gastos!$A$2:$A$2500)=DD$1)*(MONTH(Gastos!$A$2:$A$2500)=DD$3)*(Gastos!$B$2:$B$2500=$A70)*(Gastos!$D$2:$D$2500))</f>
        <v>0</v>
      </c>
      <c r="DE70" s="75">
        <f t="array" ref="DE70">SUM((YEAR(Gastos!$A$2:$A$2500)=DE$1)*(MONTH(Gastos!$A$2:$A$2500)=DE$3)*(Gastos!$B$2:$B$2500=$A70)*(Gastos!$D$2:$D$2500))</f>
        <v>0</v>
      </c>
      <c r="DF70" s="75">
        <f t="array" ref="DF70">SUM((YEAR(Gastos!$A$2:$A$2500)=DF$1)*(MONTH(Gastos!$A$2:$A$2500)=DF$3)*(Gastos!$B$2:$B$2500=$A70)*(Gastos!$D$2:$D$2500))</f>
        <v>0</v>
      </c>
      <c r="DG70" s="75">
        <f t="array" ref="DG70">SUM((YEAR(Gastos!$A$2:$A$2500)=DG$1)*(MONTH(Gastos!$A$2:$A$2500)=DG$3)*(Gastos!$B$2:$B$2500=$A70)*(Gastos!$D$2:$D$2500))</f>
        <v>0</v>
      </c>
      <c r="DH70" s="75">
        <f t="array" ref="DH70">SUM((YEAR(Gastos!$A$2:$A$2500)=DH$1)*(MONTH(Gastos!$A$2:$A$2500)=DH$3)*(Gastos!$B$2:$B$2500=$A70)*(Gastos!$D$2:$D$2500))</f>
        <v>0</v>
      </c>
      <c r="DI70" s="75">
        <f t="array" ref="DI70">SUM((YEAR(Gastos!$A$2:$A$2500)=DI$1)*(MONTH(Gastos!$A$2:$A$2500)=DI$3)*(Gastos!$B$2:$B$2500=$A70)*(Gastos!$D$2:$D$2500))</f>
        <v>0</v>
      </c>
      <c r="DJ70" s="75">
        <f t="array" ref="DJ70">SUM((YEAR(Gastos!$A$2:$A$2500)=DJ$1)*(MONTH(Gastos!$A$2:$A$2500)=DJ$3)*(Gastos!$B$2:$B$2500=$A70)*(Gastos!$D$2:$D$2500))</f>
        <v>0</v>
      </c>
      <c r="DK70" s="75">
        <f t="array" ref="DK70">SUM((YEAR(Gastos!$A$2:$A$2500)=DK$1)*(MONTH(Gastos!$A$2:$A$2500)=DK$3)*(Gastos!$B$2:$B$2500=$A70)*(Gastos!$D$2:$D$2500))</f>
        <v>0</v>
      </c>
      <c r="DL70" s="75">
        <f t="array" ref="DL70">SUM((YEAR(Gastos!$A$2:$A$2500)=DL$1)*(MONTH(Gastos!$A$2:$A$2500)=DL$3)*(Gastos!$B$2:$B$2500=$A70)*(Gastos!$D$2:$D$2500))</f>
        <v>0</v>
      </c>
      <c r="DM70" s="75">
        <f t="array" ref="DM70">SUM((YEAR(Gastos!$A$2:$A$2500)=DM$1)*(MONTH(Gastos!$A$2:$A$2500)=DM$3)*(Gastos!$B$2:$B$2500=$A70)*(Gastos!$D$2:$D$2500))</f>
        <v>0</v>
      </c>
      <c r="DN70" s="75">
        <f t="array" ref="DN70">SUM((YEAR(Gastos!$A$2:$A$2500)=DN$1)*(MONTH(Gastos!$A$2:$A$2500)=DN$3)*(Gastos!$B$2:$B$2500=$A70)*(Gastos!$D$2:$D$2500))</f>
        <v>0</v>
      </c>
      <c r="DO70" s="75">
        <f t="array" ref="DO70">SUM((YEAR(Gastos!$A$2:$A$2500)=DO$1)*(MONTH(Gastos!$A$2:$A$2500)=DO$3)*(Gastos!$B$2:$B$2500=$A70)*(Gastos!$D$2:$D$2500))</f>
        <v>0</v>
      </c>
      <c r="DP70" s="75">
        <f t="array" ref="DP70">SUM((YEAR(Gastos!$A$2:$A$2500)=DP$1)*(MONTH(Gastos!$A$2:$A$2500)=DP$3)*(Gastos!$B$2:$B$2500=$A70)*(Gastos!$D$2:$D$2500))</f>
        <v>0</v>
      </c>
      <c r="DQ70" s="75">
        <f t="array" ref="DQ70">SUM((YEAR(Gastos!$A$2:$A$2500)=DQ$1)*(MONTH(Gastos!$A$2:$A$2500)=DQ$3)*(Gastos!$B$2:$B$2500=$A70)*(Gastos!$D$2:$D$2500))</f>
        <v>0</v>
      </c>
      <c r="DR70" s="75">
        <f t="array" ref="DR70">SUM((YEAR(Gastos!$A$2:$A$2500)=DR$1)*(MONTH(Gastos!$A$2:$A$2500)=DR$3)*(Gastos!$B$2:$B$2500=$A70)*(Gastos!$D$2:$D$2500))</f>
        <v>0</v>
      </c>
      <c r="DS70" s="75">
        <f t="array" ref="DS70">SUM((YEAR(Gastos!$A$2:$A$2500)=DS$1)*(MONTH(Gastos!$A$2:$A$2500)=DS$3)*(Gastos!$B$2:$B$2500=$A70)*(Gastos!$D$2:$D$2500))</f>
        <v>0</v>
      </c>
      <c r="DT70" s="75">
        <f t="array" ref="DT70">SUM((YEAR(Gastos!$A$2:$A$2500)=DT$1)*(MONTH(Gastos!$A$2:$A$2500)=DT$3)*(Gastos!$B$2:$B$2500=$A70)*(Gastos!$D$2:$D$2500))</f>
        <v>0</v>
      </c>
      <c r="DU70" s="75">
        <f t="array" ref="DU70">SUM((YEAR(Gastos!$A$2:$A$2500)=DU$1)*(MONTH(Gastos!$A$2:$A$2500)=DU$3)*(Gastos!$B$2:$B$2500=$A70)*(Gastos!$D$2:$D$2500))</f>
        <v>0</v>
      </c>
      <c r="DV70" s="75">
        <f t="array" ref="DV70">SUM((YEAR(Gastos!$A$2:$A$2500)=DV$1)*(MONTH(Gastos!$A$2:$A$2500)=DV$3)*(Gastos!$B$2:$B$2500=$A70)*(Gastos!$D$2:$D$2500))</f>
        <v>0</v>
      </c>
      <c r="DW70" s="75">
        <f t="array" ref="DW70">SUM((YEAR(Gastos!$A$2:$A$2500)=DW$1)*(MONTH(Gastos!$A$2:$A$2500)=DW$3)*(Gastos!$B$2:$B$2500=$A70)*(Gastos!$D$2:$D$2500))</f>
        <v>0</v>
      </c>
      <c r="DX70" s="75">
        <f t="array" ref="DX70">SUM((YEAR(Gastos!$A$2:$A$2500)=DX$1)*(MONTH(Gastos!$A$2:$A$2500)=DX$3)*(Gastos!$B$2:$B$2500=$A70)*(Gastos!$D$2:$D$2500))</f>
        <v>0</v>
      </c>
      <c r="DY70" s="75">
        <f t="array" ref="DY70">SUM((YEAR(Gastos!$A$2:$A$2500)=DY$1)*(MONTH(Gastos!$A$2:$A$2500)=DY$3)*(Gastos!$B$2:$B$2500=$A70)*(Gastos!$D$2:$D$2500))</f>
        <v>0</v>
      </c>
      <c r="DZ70" s="75">
        <f t="array" ref="DZ70">SUM((YEAR(Gastos!$A$2:$A$2500)=DZ$1)*(MONTH(Gastos!$A$2:$A$2500)=DZ$3)*(Gastos!$B$2:$B$2500=$A70)*(Gastos!$D$2:$D$2500))</f>
        <v>0</v>
      </c>
      <c r="EA70" s="75">
        <f t="array" ref="EA70">SUM((YEAR(Gastos!$A$2:$A$2500)=EA$1)*(MONTH(Gastos!$A$2:$A$2500)=EA$3)*(Gastos!$B$2:$B$2500=$A70)*(Gastos!$D$2:$D$2500))</f>
        <v>0</v>
      </c>
      <c r="EB70" s="75">
        <f t="array" ref="EB70">SUM((YEAR(Gastos!$A$2:$A$2500)=EB$1)*(MONTH(Gastos!$A$2:$A$2500)=EB$3)*(Gastos!$B$2:$B$2500=$A70)*(Gastos!$D$2:$D$2500))</f>
        <v>0</v>
      </c>
      <c r="EC70" s="75">
        <f t="array" ref="EC70">SUM((YEAR(Gastos!$A$2:$A$2500)=EC$1)*(MONTH(Gastos!$A$2:$A$2500)=EC$3)*(Gastos!$B$2:$B$2500=$A70)*(Gastos!$D$2:$D$2500))</f>
        <v>0</v>
      </c>
      <c r="ED70" s="75">
        <f t="array" ref="ED70">SUM((YEAR(Gastos!$A$2:$A$2500)=ED$1)*(MONTH(Gastos!$A$2:$A$2500)=ED$3)*(Gastos!$B$2:$B$2500=$A70)*(Gastos!$D$2:$D$2500))</f>
        <v>0</v>
      </c>
      <c r="EE70" s="75">
        <f t="array" ref="EE70">SUM((YEAR(Gastos!$A$2:$A$2500)=EE$1)*(MONTH(Gastos!$A$2:$A$2500)=EE$3)*(Gastos!$B$2:$B$2500=$A70)*(Gastos!$D$2:$D$2500))</f>
        <v>0</v>
      </c>
      <c r="EF70" s="75">
        <f t="array" ref="EF70">SUM((YEAR(Gastos!$A$2:$A$2500)=EF$1)*(MONTH(Gastos!$A$2:$A$2500)=EF$3)*(Gastos!$B$2:$B$2500=$A70)*(Gastos!$D$2:$D$2500))</f>
        <v>0</v>
      </c>
      <c r="EG70" s="75">
        <f t="array" ref="EG70">SUM((YEAR(Gastos!$A$2:$A$2500)=EG$1)*(MONTH(Gastos!$A$2:$A$2500)=EG$3)*(Gastos!$B$2:$B$2500=$A70)*(Gastos!$D$2:$D$2500))</f>
        <v>0</v>
      </c>
      <c r="EH70" s="75">
        <f t="array" ref="EH70">SUM((YEAR(Gastos!$A$2:$A$2500)=EH$1)*(MONTH(Gastos!$A$2:$A$2500)=EH$3)*(Gastos!$B$2:$B$2500=$A70)*(Gastos!$D$2:$D$2500))</f>
        <v>0</v>
      </c>
      <c r="EI70" s="75">
        <f t="array" ref="EI70">SUM((YEAR(Gastos!$A$2:$A$2500)=EI$1)*(MONTH(Gastos!$A$2:$A$2500)=EI$3)*(Gastos!$B$2:$B$2500=$A70)*(Gastos!$D$2:$D$2500))</f>
        <v>0</v>
      </c>
      <c r="EJ70" s="75">
        <f t="array" ref="EJ70">SUM((YEAR(Gastos!$A$2:$A$2500)=EJ$1)*(MONTH(Gastos!$A$2:$A$2500)=EJ$3)*(Gastos!$B$2:$B$2500=$A70)*(Gastos!$D$2:$D$2500))</f>
        <v>0</v>
      </c>
      <c r="EK70" s="75">
        <f t="array" ref="EK70">SUM((YEAR(Gastos!$A$2:$A$2500)=EK$1)*(MONTH(Gastos!$A$2:$A$2500)=EK$3)*(Gastos!$B$2:$B$2500=$A70)*(Gastos!$D$2:$D$2500))</f>
        <v>0</v>
      </c>
      <c r="EL70" s="75">
        <f t="array" ref="EL70">SUM((YEAR(Gastos!$A$2:$A$2500)=EL$1)*(MONTH(Gastos!$A$2:$A$2500)=EL$3)*(Gastos!$B$2:$B$2500=$A70)*(Gastos!$D$2:$D$2500))</f>
        <v>0</v>
      </c>
      <c r="EM70" s="75">
        <f t="array" ref="EM70">SUM((YEAR(Gastos!$A$2:$A$2500)=EM$1)*(MONTH(Gastos!$A$2:$A$2500)=EM$3)*(Gastos!$B$2:$B$2500=$A70)*(Gastos!$D$2:$D$2500))</f>
        <v>0</v>
      </c>
      <c r="EN70" s="75">
        <f t="array" ref="EN70">SUM((YEAR(Gastos!$A$2:$A$2500)=EN$1)*(MONTH(Gastos!$A$2:$A$2500)=EN$3)*(Gastos!$B$2:$B$2500=$A70)*(Gastos!$D$2:$D$2500))</f>
        <v>0</v>
      </c>
      <c r="EO70" s="75">
        <f t="array" ref="EO70">SUM((YEAR(Gastos!$A$2:$A$2500)=EO$1)*(MONTH(Gastos!$A$2:$A$2500)=EO$3)*(Gastos!$B$2:$B$2500=$A70)*(Gastos!$D$2:$D$2500))</f>
        <v>0</v>
      </c>
      <c r="EP70" s="75">
        <f t="array" ref="EP70">SUM((YEAR(Gastos!$A$2:$A$2500)=EP$1)*(MONTH(Gastos!$A$2:$A$2500)=EP$3)*(Gastos!$B$2:$B$2500=$A70)*(Gastos!$D$2:$D$2500))</f>
        <v>0</v>
      </c>
      <c r="EQ70" s="75">
        <f t="array" ref="EQ70">SUM((YEAR(Gastos!$A$2:$A$2500)=EQ$1)*(MONTH(Gastos!$A$2:$A$2500)=EQ$3)*(Gastos!$B$2:$B$2500=$A70)*(Gastos!$D$2:$D$2500))</f>
        <v>0</v>
      </c>
      <c r="ER70" s="75">
        <f t="array" ref="ER70">SUM((YEAR(Gastos!$A$2:$A$2500)=ER$1)*(MONTH(Gastos!$A$2:$A$2500)=ER$3)*(Gastos!$B$2:$B$2500=$A70)*(Gastos!$D$2:$D$2500))</f>
        <v>0</v>
      </c>
      <c r="ES70" s="75">
        <f t="array" ref="ES70">SUM((YEAR(Gastos!$A$2:$A$2500)=ES$1)*(MONTH(Gastos!$A$2:$A$2500)=ES$3)*(Gastos!$B$2:$B$2500=$A70)*(Gastos!$D$2:$D$2500))</f>
        <v>0</v>
      </c>
      <c r="ET70" s="75">
        <f t="array" ref="ET70">SUM((YEAR(Gastos!$A$2:$A$2500)=ET$1)*(MONTH(Gastos!$A$2:$A$2500)=ET$3)*(Gastos!$B$2:$B$2500=$A70)*(Gastos!$D$2:$D$2500))</f>
        <v>0</v>
      </c>
      <c r="EU70" s="75">
        <f t="array" ref="EU70">SUM((YEAR(Gastos!$A$2:$A$2500)=EU$1)*(MONTH(Gastos!$A$2:$A$2500)=EU$3)*(Gastos!$B$2:$B$2500=$A70)*(Gastos!$D$2:$D$2500))</f>
        <v>0</v>
      </c>
      <c r="EV70" s="75">
        <f t="array" ref="EV70">SUM((YEAR(Gastos!$A$2:$A$2500)=EV$1)*(MONTH(Gastos!$A$2:$A$2500)=EV$3)*(Gastos!$B$2:$B$2500=$A70)*(Gastos!$D$2:$D$2500))</f>
        <v>0</v>
      </c>
      <c r="EW70" s="75">
        <f t="array" ref="EW70">SUM((YEAR(Gastos!$A$2:$A$2500)=EW$1)*(MONTH(Gastos!$A$2:$A$2500)=EW$3)*(Gastos!$B$2:$B$2500=$A70)*(Gastos!$D$2:$D$2500))</f>
        <v>0</v>
      </c>
      <c r="EX70" s="75">
        <f t="array" ref="EX70">SUM((YEAR(Gastos!$A$2:$A$2500)=EX$1)*(MONTH(Gastos!$A$2:$A$2500)=EX$3)*(Gastos!$B$2:$B$2500=$A70)*(Gastos!$D$2:$D$2500))</f>
        <v>0</v>
      </c>
      <c r="EY70" s="75">
        <f t="array" ref="EY70">SUM((YEAR(Gastos!$A$2:$A$2500)=EY$1)*(MONTH(Gastos!$A$2:$A$2500)=EY$3)*(Gastos!$B$2:$B$2500=$A70)*(Gastos!$D$2:$D$2500))</f>
        <v>0</v>
      </c>
      <c r="EZ70" s="75">
        <f t="array" ref="EZ70">SUM((YEAR(Gastos!$A$2:$A$2500)=EZ$1)*(MONTH(Gastos!$A$2:$A$2500)=EZ$3)*(Gastos!$B$2:$B$2500=$A70)*(Gastos!$D$2:$D$2500))</f>
        <v>0</v>
      </c>
      <c r="FA70" s="75">
        <f t="array" ref="FA70">SUM((YEAR(Gastos!$A$2:$A$2500)=FA$1)*(MONTH(Gastos!$A$2:$A$2500)=FA$3)*(Gastos!$B$2:$B$2500=$A70)*(Gastos!$D$2:$D$2500))</f>
        <v>0</v>
      </c>
      <c r="FB70" s="75">
        <f t="array" ref="FB70">SUM((YEAR(Gastos!$A$2:$A$2500)=FB$1)*(MONTH(Gastos!$A$2:$A$2500)=FB$3)*(Gastos!$B$2:$B$2500=$A70)*(Gastos!$D$2:$D$2500))</f>
        <v>0</v>
      </c>
      <c r="FC70" s="75">
        <f t="array" ref="FC70">SUM((YEAR(Gastos!$A$2:$A$2500)=FC$1)*(MONTH(Gastos!$A$2:$A$2500)=FC$3)*(Gastos!$B$2:$B$2500=$A70)*(Gastos!$D$2:$D$2500))</f>
        <v>0</v>
      </c>
      <c r="FD70" s="75">
        <f t="array" ref="FD70">SUM((YEAR(Gastos!$A$2:$A$2500)=FD$1)*(MONTH(Gastos!$A$2:$A$2500)=FD$3)*(Gastos!$B$2:$B$2500=$A70)*(Gastos!$D$2:$D$2500))</f>
        <v>0</v>
      </c>
      <c r="FE70" s="75">
        <f t="array" ref="FE70">SUM((YEAR(Gastos!$A$2:$A$2500)=FE$1)*(MONTH(Gastos!$A$2:$A$2500)=FE$3)*(Gastos!$B$2:$B$2500=$A70)*(Gastos!$D$2:$D$2500))</f>
        <v>0</v>
      </c>
      <c r="FF70" s="75">
        <f t="array" ref="FF70">SUM((YEAR(Gastos!$A$2:$A$2500)=FF$1)*(MONTH(Gastos!$A$2:$A$2500)=FF$3)*(Gastos!$B$2:$B$2500=$A70)*(Gastos!$D$2:$D$2500))</f>
        <v>0</v>
      </c>
      <c r="FG70" s="75">
        <f t="array" ref="FG70">SUM((YEAR(Gastos!$A$2:$A$2500)=FG$1)*(MONTH(Gastos!$A$2:$A$2500)=FG$3)*(Gastos!$B$2:$B$2500=$A70)*(Gastos!$D$2:$D$2500))</f>
        <v>0</v>
      </c>
      <c r="FH70" s="75">
        <f t="array" ref="FH70">SUM((YEAR(Gastos!$A$2:$A$2500)=FH$1)*(MONTH(Gastos!$A$2:$A$2500)=FH$3)*(Gastos!$B$2:$B$2500=$A70)*(Gastos!$D$2:$D$2500))</f>
        <v>0</v>
      </c>
      <c r="FI70" s="75">
        <f t="array" ref="FI70">SUM((YEAR(Gastos!$A$2:$A$2500)=FI$1)*(MONTH(Gastos!$A$2:$A$2500)=FI$3)*(Gastos!$B$2:$B$2500=$A70)*(Gastos!$D$2:$D$2500))</f>
        <v>0</v>
      </c>
      <c r="FJ70" s="75">
        <f t="array" ref="FJ70">SUM((YEAR(Gastos!$A$2:$A$2500)=FJ$1)*(MONTH(Gastos!$A$2:$A$2500)=FJ$3)*(Gastos!$B$2:$B$2500=$A70)*(Gastos!$D$2:$D$2500))</f>
        <v>0</v>
      </c>
      <c r="FK70" s="75">
        <f t="array" ref="FK70">SUM((YEAR(Gastos!$A$2:$A$2500)=FK$1)*(MONTH(Gastos!$A$2:$A$2500)=FK$3)*(Gastos!$B$2:$B$2500=$A70)*(Gastos!$D$2:$D$2500))</f>
        <v>0</v>
      </c>
      <c r="FL70" s="75">
        <f t="array" ref="FL70">SUM((YEAR(Gastos!$A$2:$A$2500)=FL$1)*(MONTH(Gastos!$A$2:$A$2500)=FL$3)*(Gastos!$B$2:$B$2500=$A70)*(Gastos!$D$2:$D$2500))</f>
        <v>0</v>
      </c>
      <c r="FM70" s="75">
        <f t="array" ref="FM70">SUM((YEAR(Gastos!$A$2:$A$2500)=FM$1)*(MONTH(Gastos!$A$2:$A$2500)=FM$3)*(Gastos!$B$2:$B$2500=$A70)*(Gastos!$D$2:$D$2500))</f>
        <v>0</v>
      </c>
      <c r="FN70" s="75">
        <f t="array" ref="FN70">SUM((YEAR(Gastos!$A$2:$A$2500)=FN$1)*(MONTH(Gastos!$A$2:$A$2500)=FN$3)*(Gastos!$B$2:$B$2500=$A70)*(Gastos!$D$2:$D$2500))</f>
        <v>0</v>
      </c>
      <c r="FO70" s="75">
        <f t="array" ref="FO70">SUM((YEAR(Gastos!$A$2:$A$2500)=FO$1)*(MONTH(Gastos!$A$2:$A$2500)=FO$3)*(Gastos!$B$2:$B$2500=$A70)*(Gastos!$D$2:$D$2500))</f>
        <v>0</v>
      </c>
      <c r="FP70" s="75">
        <f t="array" ref="FP70">SUM((YEAR(Gastos!$A$2:$A$2500)=FP$1)*(MONTH(Gastos!$A$2:$A$2500)=FP$3)*(Gastos!$B$2:$B$2500=$A70)*(Gastos!$D$2:$D$2500))</f>
        <v>0</v>
      </c>
      <c r="FQ70" s="75">
        <f t="array" ref="FQ70">SUM((YEAR(Gastos!$A$2:$A$2500)=FQ$1)*(MONTH(Gastos!$A$2:$A$2500)=FQ$3)*(Gastos!$B$2:$B$2500=$A70)*(Gastos!$D$2:$D$2500))</f>
        <v>0</v>
      </c>
      <c r="FR70" s="75">
        <f t="array" ref="FR70">SUM((YEAR(Gastos!$A$2:$A$2500)=FR$1)*(MONTH(Gastos!$A$2:$A$2500)=FR$3)*(Gastos!$B$2:$B$2500=$A70)*(Gastos!$D$2:$D$2500))</f>
        <v>0</v>
      </c>
      <c r="FS70" s="75">
        <f t="array" ref="FS70">SUM((YEAR(Gastos!$A$2:$A$2500)=FS$1)*(MONTH(Gastos!$A$2:$A$2500)=FS$3)*(Gastos!$B$2:$B$2500=$A70)*(Gastos!$D$2:$D$2500))</f>
        <v>0</v>
      </c>
      <c r="FT70" s="75">
        <f t="array" ref="FT70">SUM((YEAR(Gastos!$A$2:$A$2500)=FT$1)*(MONTH(Gastos!$A$2:$A$2500)=FT$3)*(Gastos!$B$2:$B$2500=$A70)*(Gastos!$D$2:$D$2500))</f>
        <v>0</v>
      </c>
      <c r="FU70" s="75">
        <f t="array" ref="FU70">SUM((YEAR(Gastos!$A$2:$A$2500)=FU$1)*(MONTH(Gastos!$A$2:$A$2500)=FU$3)*(Gastos!$B$2:$B$2500=$A70)*(Gastos!$D$2:$D$2500))</f>
        <v>0</v>
      </c>
      <c r="FV70" s="75">
        <f t="array" ref="FV70">SUM((YEAR(Gastos!$A$2:$A$2500)=FV$1)*(MONTH(Gastos!$A$2:$A$2500)=FV$3)*(Gastos!$B$2:$B$2500=$A70)*(Gastos!$D$2:$D$2500))</f>
        <v>0</v>
      </c>
      <c r="FW70" s="75">
        <f t="array" ref="FW70">SUM((YEAR(Gastos!$A$2:$A$2500)=FW$1)*(MONTH(Gastos!$A$2:$A$2500)=FW$3)*(Gastos!$B$2:$B$2500=$A70)*(Gastos!$D$2:$D$2500))</f>
        <v>0</v>
      </c>
      <c r="FX70" s="75">
        <f t="array" ref="FX70">SUM((YEAR(Gastos!$A$2:$A$2500)=FX$1)*(MONTH(Gastos!$A$2:$A$2500)=FX$3)*(Gastos!$B$2:$B$2500=$A70)*(Gastos!$D$2:$D$2500))</f>
        <v>0</v>
      </c>
      <c r="FY70" s="75">
        <f t="array" ref="FY70">SUM((YEAR(Gastos!$A$2:$A$2500)=FY$1)*(MONTH(Gastos!$A$2:$A$2500)=FY$3)*(Gastos!$B$2:$B$2500=$A70)*(Gastos!$D$2:$D$2500))</f>
        <v>0</v>
      </c>
      <c r="FZ70" s="76">
        <f t="shared" si="68"/>
        <v>0</v>
      </c>
      <c r="GA70" s="80"/>
      <c r="GB70" s="82"/>
    </row>
    <row r="71" spans="1:184" ht="15" thickBot="1" x14ac:dyDescent="0.4">
      <c r="A71" s="74" t="str">
        <f>Gastos!AA69</f>
        <v>X</v>
      </c>
      <c r="B71" s="75">
        <f t="array" ref="B71">SUM((YEAR(Gastos!$A$2:$A$2500)=B$1)*(MONTH(Gastos!$A$2:$A$2500)=B$3)*(Gastos!$B$2:$B$2500=$A71)*(Gastos!$D$2:$D$2500))</f>
        <v>0</v>
      </c>
      <c r="C71" s="75">
        <f t="array" ref="C71">SUM((YEAR(Gastos!$A$2:$A$2500)=C$1)*(MONTH(Gastos!$A$2:$A$2500)=C$3)*(Gastos!$B$2:$B$2500=$A71)*(Gastos!$D$2:$D$2500))</f>
        <v>0</v>
      </c>
      <c r="D71" s="75">
        <f t="array" ref="D71">SUM((YEAR(Gastos!$A$2:$A$2500)=D$1)*(MONTH(Gastos!$A$2:$A$2500)=D$3)*(Gastos!$B$2:$B$2500=$A71)*(Gastos!$D$2:$D$2500))</f>
        <v>0</v>
      </c>
      <c r="E71" s="75">
        <f t="array" ref="E71">SUM((YEAR(Gastos!$A$2:$A$2500)=E$1)*(MONTH(Gastos!$A$2:$A$2500)=E$3)*(Gastos!$B$2:$B$2500=$A71)*(Gastos!$D$2:$D$2500))</f>
        <v>0</v>
      </c>
      <c r="F71" s="75">
        <f t="array" ref="F71">SUM((YEAR(Gastos!$A$2:$A$2500)=F$1)*(MONTH(Gastos!$A$2:$A$2500)=F$3)*(Gastos!$B$2:$B$2500=$A71)*(Gastos!$D$2:$D$2500))</f>
        <v>0</v>
      </c>
      <c r="G71" s="75">
        <f t="array" ref="G71">SUM((YEAR(Gastos!$A$2:$A$2500)=G$1)*(MONTH(Gastos!$A$2:$A$2500)=G$3)*(Gastos!$B$2:$B$2500=$A71)*(Gastos!$D$2:$D$2500))</f>
        <v>0</v>
      </c>
      <c r="H71" s="75">
        <f t="array" ref="H71">SUM((YEAR(Gastos!$A$2:$A$2500)=H$1)*(MONTH(Gastos!$A$2:$A$2500)=H$3)*(Gastos!$B$2:$B$2500=$A71)*(Gastos!$D$2:$D$2500))</f>
        <v>0</v>
      </c>
      <c r="I71" s="75">
        <f t="array" ref="I71">SUM((YEAR(Gastos!$A$2:$A$2500)=I$1)*(MONTH(Gastos!$A$2:$A$2500)=I$3)*(Gastos!$B$2:$B$2500=$A71)*(Gastos!$D$2:$D$2500))</f>
        <v>0</v>
      </c>
      <c r="J71" s="75">
        <f t="array" ref="J71">SUM((YEAR(Gastos!$A$2:$A$2500)=J$1)*(MONTH(Gastos!$A$2:$A$2500)=J$3)*(Gastos!$B$2:$B$2500=$A71)*(Gastos!$D$2:$D$2500))</f>
        <v>0</v>
      </c>
      <c r="K71" s="75">
        <f t="array" ref="K71">SUM((YEAR(Gastos!$A$2:$A$2500)=K$1)*(MONTH(Gastos!$A$2:$A$2500)=K$3)*(Gastos!$B$2:$B$2500=$A71)*(Gastos!$D$2:$D$2500))</f>
        <v>0</v>
      </c>
      <c r="L71" s="75">
        <f t="array" ref="L71">SUM((YEAR(Gastos!$A$2:$A$2500)=L$1)*(MONTH(Gastos!$A$2:$A$2500)=L$3)*(Gastos!$B$2:$B$2500=$A71)*(Gastos!$D$2:$D$2500))</f>
        <v>0</v>
      </c>
      <c r="M71" s="75">
        <f t="array" ref="M71">SUM((YEAR(Gastos!$A$2:$A$2500)=M$1)*(MONTH(Gastos!$A$2:$A$2500)=M$3)*(Gastos!$B$2:$B$2500=$A71)*(Gastos!$D$2:$D$2500))</f>
        <v>0</v>
      </c>
      <c r="N71" s="75">
        <f t="array" ref="N71">SUM((YEAR(Gastos!$A$2:$A$2500)=N$1)*(MONTH(Gastos!$A$2:$A$2500)=N$3)*(Gastos!$B$2:$B$2500=$A71)*(Gastos!$D$2:$D$2500))</f>
        <v>0</v>
      </c>
      <c r="O71" s="75">
        <f t="array" ref="O71">SUM((YEAR(Gastos!$A$2:$A$2500)=O$1)*(MONTH(Gastos!$A$2:$A$2500)=O$3)*(Gastos!$B$2:$B$2500=$A71)*(Gastos!$D$2:$D$2500))</f>
        <v>0</v>
      </c>
      <c r="P71" s="75">
        <f t="array" ref="P71">SUM((YEAR(Gastos!$A$2:$A$2500)=P$1)*(MONTH(Gastos!$A$2:$A$2500)=P$3)*(Gastos!$B$2:$B$2500=$A71)*(Gastos!$D$2:$D$2500))</f>
        <v>0</v>
      </c>
      <c r="Q71" s="75">
        <f t="array" ref="Q71">SUM((YEAR(Gastos!$A$2:$A$2500)=Q$1)*(MONTH(Gastos!$A$2:$A$2500)=Q$3)*(Gastos!$B$2:$B$2500=$A71)*(Gastos!$D$2:$D$2500))</f>
        <v>0</v>
      </c>
      <c r="R71" s="75">
        <f t="array" ref="R71">SUM((YEAR(Gastos!$A$2:$A$2500)=R$1)*(MONTH(Gastos!$A$2:$A$2500)=R$3)*(Gastos!$B$2:$B$2500=$A71)*(Gastos!$D$2:$D$2500))</f>
        <v>0</v>
      </c>
      <c r="S71" s="75">
        <f t="array" ref="S71">SUM((YEAR(Gastos!$A$2:$A$2500)=S$1)*(MONTH(Gastos!$A$2:$A$2500)=S$3)*(Gastos!$B$2:$B$2500=$A71)*(Gastos!$D$2:$D$2500))</f>
        <v>0</v>
      </c>
      <c r="T71" s="75">
        <f t="array" ref="T71">SUM((YEAR(Gastos!$A$2:$A$2500)=T$1)*(MONTH(Gastos!$A$2:$A$2500)=T$3)*(Gastos!$B$2:$B$2500=$A71)*(Gastos!$D$2:$D$2500))</f>
        <v>0</v>
      </c>
      <c r="U71" s="75">
        <f t="array" ref="U71">SUM((YEAR(Gastos!$A$2:$A$2500)=U$1)*(MONTH(Gastos!$A$2:$A$2500)=U$3)*(Gastos!$B$2:$B$2500=$A71)*(Gastos!$D$2:$D$2500))</f>
        <v>0</v>
      </c>
      <c r="V71" s="75">
        <f t="array" ref="V71">SUM((YEAR(Gastos!$A$2:$A$2500)=V$1)*(MONTH(Gastos!$A$2:$A$2500)=V$3)*(Gastos!$B$2:$B$2500=$A71)*(Gastos!$D$2:$D$2500))</f>
        <v>0</v>
      </c>
      <c r="W71" s="75">
        <f t="array" ref="W71">SUM((YEAR(Gastos!$A$2:$A$2500)=W$1)*(MONTH(Gastos!$A$2:$A$2500)=W$3)*(Gastos!$B$2:$B$2500=$A71)*(Gastos!$D$2:$D$2500))</f>
        <v>0</v>
      </c>
      <c r="X71" s="75">
        <f t="array" ref="X71">SUM((YEAR(Gastos!$A$2:$A$2500)=X$1)*(MONTH(Gastos!$A$2:$A$2500)=X$3)*(Gastos!$B$2:$B$2500=$A71)*(Gastos!$D$2:$D$2500))</f>
        <v>0</v>
      </c>
      <c r="Y71" s="75">
        <f t="array" ref="Y71">SUM((YEAR(Gastos!$A$2:$A$2500)=Y$1)*(MONTH(Gastos!$A$2:$A$2500)=Y$3)*(Gastos!$B$2:$B$2500=$A71)*(Gastos!$D$2:$D$2500))</f>
        <v>0</v>
      </c>
      <c r="Z71" s="75">
        <f t="array" ref="Z71">SUM((YEAR(Gastos!$A$2:$A$2500)=Z$1)*(MONTH(Gastos!$A$2:$A$2500)=Z$3)*(Gastos!$B$2:$B$2500=$A71)*(Gastos!$D$2:$D$2500))</f>
        <v>0</v>
      </c>
      <c r="AA71" s="75">
        <f t="array" ref="AA71">SUM((YEAR(Gastos!$A$2:$A$2500)=AA$1)*(MONTH(Gastos!$A$2:$A$2500)=AA$3)*(Gastos!$B$2:$B$2500=$A71)*(Gastos!$D$2:$D$2500))</f>
        <v>0</v>
      </c>
      <c r="AB71" s="75">
        <f t="array" ref="AB71">SUM((YEAR(Gastos!$A$2:$A$2500)=AB$1)*(MONTH(Gastos!$A$2:$A$2500)=AB$3)*(Gastos!$B$2:$B$2500=$A71)*(Gastos!$D$2:$D$2500))</f>
        <v>0</v>
      </c>
      <c r="AC71" s="75">
        <f t="array" ref="AC71">SUM((YEAR(Gastos!$A$2:$A$2500)=AC$1)*(MONTH(Gastos!$A$2:$A$2500)=AC$3)*(Gastos!$B$2:$B$2500=$A71)*(Gastos!$D$2:$D$2500))</f>
        <v>0</v>
      </c>
      <c r="AD71" s="75">
        <f t="array" ref="AD71">SUM((YEAR(Gastos!$A$2:$A$2500)=AD$1)*(MONTH(Gastos!$A$2:$A$2500)=AD$3)*(Gastos!$B$2:$B$2500=$A71)*(Gastos!$D$2:$D$2500))</f>
        <v>0</v>
      </c>
      <c r="AE71" s="75">
        <f t="array" ref="AE71">SUM((YEAR(Gastos!$A$2:$A$2500)=AE$1)*(MONTH(Gastos!$A$2:$A$2500)=AE$3)*(Gastos!$B$2:$B$2500=$A71)*(Gastos!$D$2:$D$2500))</f>
        <v>0</v>
      </c>
      <c r="AF71" s="75">
        <f t="array" ref="AF71">SUM((YEAR(Gastos!$A$2:$A$2500)=AF$1)*(MONTH(Gastos!$A$2:$A$2500)=AF$3)*(Gastos!$B$2:$B$2500=$A71)*(Gastos!$D$2:$D$2500))</f>
        <v>0</v>
      </c>
      <c r="AG71" s="75">
        <f t="array" ref="AG71">SUM((YEAR(Gastos!$A$2:$A$2500)=AG$1)*(MONTH(Gastos!$A$2:$A$2500)=AG$3)*(Gastos!$B$2:$B$2500=$A71)*(Gastos!$D$2:$D$2500))</f>
        <v>0</v>
      </c>
      <c r="AH71" s="75">
        <f t="array" ref="AH71">SUM((YEAR(Gastos!$A$2:$A$2500)=AH$1)*(MONTH(Gastos!$A$2:$A$2500)=AH$3)*(Gastos!$B$2:$B$2500=$A71)*(Gastos!$D$2:$D$2500))</f>
        <v>0</v>
      </c>
      <c r="AI71" s="75">
        <f t="array" ref="AI71">SUM((YEAR(Gastos!$A$2:$A$2500)=AI$1)*(MONTH(Gastos!$A$2:$A$2500)=AI$3)*(Gastos!$B$2:$B$2500=$A71)*(Gastos!$D$2:$D$2500))</f>
        <v>0</v>
      </c>
      <c r="AJ71" s="75">
        <f t="array" ref="AJ71">SUM((YEAR(Gastos!$A$2:$A$2500)=AJ$1)*(MONTH(Gastos!$A$2:$A$2500)=AJ$3)*(Gastos!$B$2:$B$2500=$A71)*(Gastos!$D$2:$D$2500))</f>
        <v>0</v>
      </c>
      <c r="AK71" s="75">
        <f t="array" ref="AK71">SUM((YEAR(Gastos!$A$2:$A$2500)=AK$1)*(MONTH(Gastos!$A$2:$A$2500)=AK$3)*(Gastos!$B$2:$B$2500=$A71)*(Gastos!$D$2:$D$2500))</f>
        <v>0</v>
      </c>
      <c r="AL71" s="75">
        <f t="array" ref="AL71">SUM((YEAR(Gastos!$A$2:$A$2500)=AL$1)*(MONTH(Gastos!$A$2:$A$2500)=AL$3)*(Gastos!$B$2:$B$2500=$A71)*(Gastos!$D$2:$D$2500))</f>
        <v>0</v>
      </c>
      <c r="AM71" s="75">
        <f t="array" ref="AM71">SUM((YEAR(Gastos!$A$2:$A$2500)=AM$1)*(MONTH(Gastos!$A$2:$A$2500)=AM$3)*(Gastos!$B$2:$B$2500=$A71)*(Gastos!$D$2:$D$2500))</f>
        <v>0</v>
      </c>
      <c r="AN71" s="75">
        <f t="array" ref="AN71">SUM((YEAR(Gastos!$A$2:$A$2500)=AN$1)*(MONTH(Gastos!$A$2:$A$2500)=AN$3)*(Gastos!$B$2:$B$2500=$A71)*(Gastos!$D$2:$D$2500))</f>
        <v>0</v>
      </c>
      <c r="AO71" s="75">
        <f t="array" ref="AO71">SUM((YEAR(Gastos!$A$2:$A$2500)=AO$1)*(MONTH(Gastos!$A$2:$A$2500)=AO$3)*(Gastos!$B$2:$B$2500=$A71)*(Gastos!$D$2:$D$2500))</f>
        <v>0</v>
      </c>
      <c r="AP71" s="75">
        <f t="array" ref="AP71">SUM((YEAR(Gastos!$A$2:$A$2500)=AP$1)*(MONTH(Gastos!$A$2:$A$2500)=AP$3)*(Gastos!$B$2:$B$2500=$A71)*(Gastos!$D$2:$D$2500))</f>
        <v>0</v>
      </c>
      <c r="AQ71" s="75">
        <f t="array" ref="AQ71">SUM((YEAR(Gastos!$A$2:$A$2500)=AQ$1)*(MONTH(Gastos!$A$2:$A$2500)=AQ$3)*(Gastos!$B$2:$B$2500=$A71)*(Gastos!$D$2:$D$2500))</f>
        <v>0</v>
      </c>
      <c r="AR71" s="75">
        <f t="array" ref="AR71">SUM((YEAR(Gastos!$A$2:$A$2500)=AR$1)*(MONTH(Gastos!$A$2:$A$2500)=AR$3)*(Gastos!$B$2:$B$2500=$A71)*(Gastos!$D$2:$D$2500))</f>
        <v>0</v>
      </c>
      <c r="AS71" s="75">
        <f t="array" ref="AS71">SUM((YEAR(Gastos!$A$2:$A$2500)=AS$1)*(MONTH(Gastos!$A$2:$A$2500)=AS$3)*(Gastos!$B$2:$B$2500=$A71)*(Gastos!$D$2:$D$2500))</f>
        <v>0</v>
      </c>
      <c r="AT71" s="75">
        <f t="array" ref="AT71">SUM((YEAR(Gastos!$A$2:$A$2500)=AT$1)*(MONTH(Gastos!$A$2:$A$2500)=AT$3)*(Gastos!$B$2:$B$2500=$A71)*(Gastos!$D$2:$D$2500))</f>
        <v>0</v>
      </c>
      <c r="AU71" s="75">
        <f t="array" ref="AU71">SUM((YEAR(Gastos!$A$2:$A$2500)=AU$1)*(MONTH(Gastos!$A$2:$A$2500)=AU$3)*(Gastos!$B$2:$B$2500=$A71)*(Gastos!$D$2:$D$2500))</f>
        <v>0</v>
      </c>
      <c r="AV71" s="75">
        <f t="array" ref="AV71">SUM((YEAR(Gastos!$A$2:$A$2500)=AV$1)*(MONTH(Gastos!$A$2:$A$2500)=AV$3)*(Gastos!$B$2:$B$2500=$A71)*(Gastos!$D$2:$D$2500))</f>
        <v>0</v>
      </c>
      <c r="AW71" s="75">
        <f t="array" ref="AW71">SUM((YEAR(Gastos!$A$2:$A$2500)=AW$1)*(MONTH(Gastos!$A$2:$A$2500)=AW$3)*(Gastos!$B$2:$B$2500=$A71)*(Gastos!$D$2:$D$2500))</f>
        <v>0</v>
      </c>
      <c r="AX71" s="75">
        <f t="array" ref="AX71">SUM((YEAR(Gastos!$A$2:$A$2500)=AX$1)*(MONTH(Gastos!$A$2:$A$2500)=AX$3)*(Gastos!$B$2:$B$2500=$A71)*(Gastos!$D$2:$D$2500))</f>
        <v>0</v>
      </c>
      <c r="AY71" s="75">
        <f t="array" ref="AY71">SUM((YEAR(Gastos!$A$2:$A$2500)=AY$1)*(MONTH(Gastos!$A$2:$A$2500)=AY$3)*(Gastos!$B$2:$B$2500=$A71)*(Gastos!$D$2:$D$2500))</f>
        <v>0</v>
      </c>
      <c r="AZ71" s="75">
        <f t="array" ref="AZ71">SUM((YEAR(Gastos!$A$2:$A$2500)=AZ$1)*(MONTH(Gastos!$A$2:$A$2500)=AZ$3)*(Gastos!$B$2:$B$2500=$A71)*(Gastos!$D$2:$D$2500))</f>
        <v>0</v>
      </c>
      <c r="BA71" s="75">
        <f t="array" ref="BA71">SUM((YEAR(Gastos!$A$2:$A$2500)=BA$1)*(MONTH(Gastos!$A$2:$A$2500)=BA$3)*(Gastos!$B$2:$B$2500=$A71)*(Gastos!$D$2:$D$2500))</f>
        <v>0</v>
      </c>
      <c r="BB71" s="75">
        <f t="array" ref="BB71">SUM((YEAR(Gastos!$A$2:$A$2500)=BB$1)*(MONTH(Gastos!$A$2:$A$2500)=BB$3)*(Gastos!$B$2:$B$2500=$A71)*(Gastos!$D$2:$D$2500))</f>
        <v>0</v>
      </c>
      <c r="BC71" s="75">
        <f t="array" ref="BC71">SUM((YEAR(Gastos!$A$2:$A$2500)=BC$1)*(MONTH(Gastos!$A$2:$A$2500)=BC$3)*(Gastos!$B$2:$B$2500=$A71)*(Gastos!$D$2:$D$2500))</f>
        <v>0</v>
      </c>
      <c r="BD71" s="75">
        <f t="array" ref="BD71">SUM((YEAR(Gastos!$A$2:$A$2500)=BD$1)*(MONTH(Gastos!$A$2:$A$2500)=BD$3)*(Gastos!$B$2:$B$2500=$A71)*(Gastos!$D$2:$D$2500))</f>
        <v>0</v>
      </c>
      <c r="BE71" s="75">
        <f t="array" ref="BE71">SUM((YEAR(Gastos!$A$2:$A$2500)=BE$1)*(MONTH(Gastos!$A$2:$A$2500)=BE$3)*(Gastos!$B$2:$B$2500=$A71)*(Gastos!$D$2:$D$2500))</f>
        <v>0</v>
      </c>
      <c r="BF71" s="75">
        <f t="array" ref="BF71">SUM((YEAR(Gastos!$A$2:$A$2500)=BF$1)*(MONTH(Gastos!$A$2:$A$2500)=BF$3)*(Gastos!$B$2:$B$2500=$A71)*(Gastos!$D$2:$D$2500))</f>
        <v>0</v>
      </c>
      <c r="BG71" s="75">
        <f t="array" ref="BG71">SUM((YEAR(Gastos!$A$2:$A$2500)=BG$1)*(MONTH(Gastos!$A$2:$A$2500)=BG$3)*(Gastos!$B$2:$B$2500=$A71)*(Gastos!$D$2:$D$2500))</f>
        <v>0</v>
      </c>
      <c r="BH71" s="75">
        <f t="array" ref="BH71">SUM((YEAR(Gastos!$A$2:$A$2500)=BH$1)*(MONTH(Gastos!$A$2:$A$2500)=BH$3)*(Gastos!$B$2:$B$2500=$A71)*(Gastos!$D$2:$D$2500))</f>
        <v>0</v>
      </c>
      <c r="BI71" s="75">
        <f t="array" ref="BI71">SUM((YEAR(Gastos!$A$2:$A$2500)=BI$1)*(MONTH(Gastos!$A$2:$A$2500)=BI$3)*(Gastos!$B$2:$B$2500=$A71)*(Gastos!$D$2:$D$2500))</f>
        <v>0</v>
      </c>
      <c r="BJ71" s="75">
        <f t="array" ref="BJ71">SUM((YEAR(Gastos!$A$2:$A$2500)=BJ$1)*(MONTH(Gastos!$A$2:$A$2500)=BJ$3)*(Gastos!$B$2:$B$2500=$A71)*(Gastos!$D$2:$D$2500))</f>
        <v>0</v>
      </c>
      <c r="BK71" s="75">
        <f t="array" ref="BK71">SUM((YEAR(Gastos!$A$2:$A$2500)=BK$1)*(MONTH(Gastos!$A$2:$A$2500)=BK$3)*(Gastos!$B$2:$B$2500=$A71)*(Gastos!$D$2:$D$2500))</f>
        <v>0</v>
      </c>
      <c r="BL71" s="75">
        <f t="array" ref="BL71">SUM((YEAR(Gastos!$A$2:$A$2500)=BL$1)*(MONTH(Gastos!$A$2:$A$2500)=BL$3)*(Gastos!$B$2:$B$2500=$A71)*(Gastos!$D$2:$D$2500))</f>
        <v>0</v>
      </c>
      <c r="BM71" s="75">
        <f t="array" ref="BM71">SUM((YEAR(Gastos!$A$2:$A$2500)=BM$1)*(MONTH(Gastos!$A$2:$A$2500)=BM$3)*(Gastos!$B$2:$B$2500=$A71)*(Gastos!$D$2:$D$2500))</f>
        <v>0</v>
      </c>
      <c r="BN71" s="75">
        <f t="array" ref="BN71">SUM((YEAR(Gastos!$A$2:$A$2500)=BN$1)*(MONTH(Gastos!$A$2:$A$2500)=BN$3)*(Gastos!$B$2:$B$2500=$A71)*(Gastos!$D$2:$D$2500))</f>
        <v>0</v>
      </c>
      <c r="BO71" s="75">
        <f t="array" ref="BO71">SUM((YEAR(Gastos!$A$2:$A$2500)=BO$1)*(MONTH(Gastos!$A$2:$A$2500)=BO$3)*(Gastos!$B$2:$B$2500=$A71)*(Gastos!$D$2:$D$2500))</f>
        <v>0</v>
      </c>
      <c r="BP71" s="75">
        <f t="array" ref="BP71">SUM((YEAR(Gastos!$A$2:$A$2500)=BP$1)*(MONTH(Gastos!$A$2:$A$2500)=BP$3)*(Gastos!$B$2:$B$2500=$A71)*(Gastos!$D$2:$D$2500))</f>
        <v>0</v>
      </c>
      <c r="BQ71" s="75">
        <f t="array" ref="BQ71">SUM((YEAR(Gastos!$A$2:$A$2500)=BQ$1)*(MONTH(Gastos!$A$2:$A$2500)=BQ$3)*(Gastos!$B$2:$B$2500=$A71)*(Gastos!$D$2:$D$2500))</f>
        <v>0</v>
      </c>
      <c r="BR71" s="75">
        <f t="array" ref="BR71">SUM((YEAR(Gastos!$A$2:$A$2500)=BR$1)*(MONTH(Gastos!$A$2:$A$2500)=BR$3)*(Gastos!$B$2:$B$2500=$A71)*(Gastos!$D$2:$D$2500))</f>
        <v>0</v>
      </c>
      <c r="BS71" s="75">
        <f t="array" ref="BS71">SUM((YEAR(Gastos!$A$2:$A$2500)=BS$1)*(MONTH(Gastos!$A$2:$A$2500)=BS$3)*(Gastos!$B$2:$B$2500=$A71)*(Gastos!$D$2:$D$2500))</f>
        <v>0</v>
      </c>
      <c r="BT71" s="75">
        <f t="array" ref="BT71">SUM((YEAR(Gastos!$A$2:$A$2500)=BT$1)*(MONTH(Gastos!$A$2:$A$2500)=BT$3)*(Gastos!$B$2:$B$2500=$A71)*(Gastos!$D$2:$D$2500))</f>
        <v>0</v>
      </c>
      <c r="BU71" s="75">
        <f t="array" ref="BU71">SUM((YEAR(Gastos!$A$2:$A$2500)=BU$1)*(MONTH(Gastos!$A$2:$A$2500)=BU$3)*(Gastos!$B$2:$B$2500=$A71)*(Gastos!$D$2:$D$2500))</f>
        <v>0</v>
      </c>
      <c r="BV71" s="75">
        <f t="array" ref="BV71">SUM((YEAR(Gastos!$A$2:$A$2500)=BV$1)*(MONTH(Gastos!$A$2:$A$2500)=BV$3)*(Gastos!$B$2:$B$2500=$A71)*(Gastos!$D$2:$D$2500))</f>
        <v>0</v>
      </c>
      <c r="BW71" s="75">
        <f t="array" ref="BW71">SUM((YEAR(Gastos!$A$2:$A$2500)=BW$1)*(MONTH(Gastos!$A$2:$A$2500)=BW$3)*(Gastos!$B$2:$B$2500=$A71)*(Gastos!$D$2:$D$2500))</f>
        <v>0</v>
      </c>
      <c r="BX71" s="75">
        <f t="array" ref="BX71">SUM((YEAR(Gastos!$A$2:$A$2500)=BX$1)*(MONTH(Gastos!$A$2:$A$2500)=BX$3)*(Gastos!$B$2:$B$2500=$A71)*(Gastos!$D$2:$D$2500))</f>
        <v>0</v>
      </c>
      <c r="BY71" s="75">
        <f t="array" ref="BY71">SUM((YEAR(Gastos!$A$2:$A$2500)=BY$1)*(MONTH(Gastos!$A$2:$A$2500)=BY$3)*(Gastos!$B$2:$B$2500=$A71)*(Gastos!$D$2:$D$2500))</f>
        <v>0</v>
      </c>
      <c r="BZ71" s="75">
        <f t="array" ref="BZ71">SUM((YEAR(Gastos!$A$2:$A$2500)=BZ$1)*(MONTH(Gastos!$A$2:$A$2500)=BZ$3)*(Gastos!$B$2:$B$2500=$A71)*(Gastos!$D$2:$D$2500))</f>
        <v>0</v>
      </c>
      <c r="CA71" s="75">
        <f t="array" ref="CA71">SUM((YEAR(Gastos!$A$2:$A$2500)=CA$1)*(MONTH(Gastos!$A$2:$A$2500)=CA$3)*(Gastos!$B$2:$B$2500=$A71)*(Gastos!$D$2:$D$2500))</f>
        <v>0</v>
      </c>
      <c r="CB71" s="75">
        <f t="array" ref="CB71">SUM((YEAR(Gastos!$A$2:$A$2500)=CB$1)*(MONTH(Gastos!$A$2:$A$2500)=CB$3)*(Gastos!$B$2:$B$2500=$A71)*(Gastos!$D$2:$D$2500))</f>
        <v>0</v>
      </c>
      <c r="CC71" s="75">
        <f t="array" ref="CC71">SUM((YEAR(Gastos!$A$2:$A$2500)=CC$1)*(MONTH(Gastos!$A$2:$A$2500)=CC$3)*(Gastos!$B$2:$B$2500=$A71)*(Gastos!$D$2:$D$2500))</f>
        <v>0</v>
      </c>
      <c r="CD71" s="75">
        <f t="array" ref="CD71">SUM((YEAR(Gastos!$A$2:$A$2500)=CD$1)*(MONTH(Gastos!$A$2:$A$2500)=CD$3)*(Gastos!$B$2:$B$2500=$A71)*(Gastos!$D$2:$D$2500))</f>
        <v>0</v>
      </c>
      <c r="CE71" s="75">
        <f t="array" ref="CE71">SUM((YEAR(Gastos!$A$2:$A$2500)=CE$1)*(MONTH(Gastos!$A$2:$A$2500)=CE$3)*(Gastos!$B$2:$B$2500=$A71)*(Gastos!$D$2:$D$2500))</f>
        <v>0</v>
      </c>
      <c r="CF71" s="75">
        <f t="array" ref="CF71">SUM((YEAR(Gastos!$A$2:$A$2500)=CF$1)*(MONTH(Gastos!$A$2:$A$2500)=CF$3)*(Gastos!$B$2:$B$2500=$A71)*(Gastos!$D$2:$D$2500))</f>
        <v>0</v>
      </c>
      <c r="CG71" s="75">
        <f t="array" ref="CG71">SUM((YEAR(Gastos!$A$2:$A$2500)=CG$1)*(MONTH(Gastos!$A$2:$A$2500)=CG$3)*(Gastos!$B$2:$B$2500=$A71)*(Gastos!$D$2:$D$2500))</f>
        <v>0</v>
      </c>
      <c r="CH71" s="75">
        <f t="array" ref="CH71">SUM((YEAR(Gastos!$A$2:$A$2500)=CH$1)*(MONTH(Gastos!$A$2:$A$2500)=CH$3)*(Gastos!$B$2:$B$2500=$A71)*(Gastos!$D$2:$D$2500))</f>
        <v>0</v>
      </c>
      <c r="CI71" s="75">
        <f t="array" ref="CI71">SUM((YEAR(Gastos!$A$2:$A$2500)=CI$1)*(MONTH(Gastos!$A$2:$A$2500)=CI$3)*(Gastos!$B$2:$B$2500=$A71)*(Gastos!$D$2:$D$2500))</f>
        <v>0</v>
      </c>
      <c r="CJ71" s="75">
        <f t="array" ref="CJ71">SUM((YEAR(Gastos!$A$2:$A$2500)=CJ$1)*(MONTH(Gastos!$A$2:$A$2500)=CJ$3)*(Gastos!$B$2:$B$2500=$A71)*(Gastos!$D$2:$D$2500))</f>
        <v>0</v>
      </c>
      <c r="CK71" s="75">
        <f t="array" ref="CK71">SUM((YEAR(Gastos!$A$2:$A$2500)=CK$1)*(MONTH(Gastos!$A$2:$A$2500)=CK$3)*(Gastos!$B$2:$B$2500=$A71)*(Gastos!$D$2:$D$2500))</f>
        <v>0</v>
      </c>
      <c r="CL71" s="75">
        <f t="array" ref="CL71">SUM((YEAR(Gastos!$A$2:$A$2500)=CL$1)*(MONTH(Gastos!$A$2:$A$2500)=CL$3)*(Gastos!$B$2:$B$2500=$A71)*(Gastos!$D$2:$D$2500))</f>
        <v>0</v>
      </c>
      <c r="CM71" s="75">
        <f t="array" ref="CM71">SUM((YEAR(Gastos!$A$2:$A$2500)=CM$1)*(MONTH(Gastos!$A$2:$A$2500)=CM$3)*(Gastos!$B$2:$B$2500=$A71)*(Gastos!$D$2:$D$2500))</f>
        <v>0</v>
      </c>
      <c r="CN71" s="75">
        <f t="array" ref="CN71">SUM((YEAR(Gastos!$A$2:$A$2500)=CN$1)*(MONTH(Gastos!$A$2:$A$2500)=CN$3)*(Gastos!$B$2:$B$2500=$A71)*(Gastos!$D$2:$D$2500))</f>
        <v>0</v>
      </c>
      <c r="CO71" s="75">
        <f t="array" ref="CO71">SUM((YEAR(Gastos!$A$2:$A$2500)=CO$1)*(MONTH(Gastos!$A$2:$A$2500)=CO$3)*(Gastos!$B$2:$B$2500=$A71)*(Gastos!$D$2:$D$2500))</f>
        <v>0</v>
      </c>
      <c r="CP71" s="75">
        <f t="array" ref="CP71">SUM((YEAR(Gastos!$A$2:$A$2500)=CP$1)*(MONTH(Gastos!$A$2:$A$2500)=CP$3)*(Gastos!$B$2:$B$2500=$A71)*(Gastos!$D$2:$D$2500))</f>
        <v>0</v>
      </c>
      <c r="CQ71" s="75">
        <f t="array" ref="CQ71">SUM((YEAR(Gastos!$A$2:$A$2500)=CQ$1)*(MONTH(Gastos!$A$2:$A$2500)=CQ$3)*(Gastos!$B$2:$B$2500=$A71)*(Gastos!$D$2:$D$2500))</f>
        <v>0</v>
      </c>
      <c r="CR71" s="75">
        <f t="array" ref="CR71">SUM((YEAR(Gastos!$A$2:$A$2500)=CR$1)*(MONTH(Gastos!$A$2:$A$2500)=CR$3)*(Gastos!$B$2:$B$2500=$A71)*(Gastos!$D$2:$D$2500))</f>
        <v>0</v>
      </c>
      <c r="CS71" s="75">
        <f t="array" ref="CS71">SUM((YEAR(Gastos!$A$2:$A$2500)=CS$1)*(MONTH(Gastos!$A$2:$A$2500)=CS$3)*(Gastos!$B$2:$B$2500=$A71)*(Gastos!$D$2:$D$2500))</f>
        <v>0</v>
      </c>
      <c r="CT71" s="75">
        <f t="array" ref="CT71">SUM((YEAR(Gastos!$A$2:$A$2500)=CT$1)*(MONTH(Gastos!$A$2:$A$2500)=CT$3)*(Gastos!$B$2:$B$2500=$A71)*(Gastos!$D$2:$D$2500))</f>
        <v>0</v>
      </c>
      <c r="CU71" s="75">
        <f t="array" ref="CU71">SUM((YEAR(Gastos!$A$2:$A$2500)=CU$1)*(MONTH(Gastos!$A$2:$A$2500)=CU$3)*(Gastos!$B$2:$B$2500=$A71)*(Gastos!$D$2:$D$2500))</f>
        <v>0</v>
      </c>
      <c r="CV71" s="75">
        <f t="array" ref="CV71">SUM((YEAR(Gastos!$A$2:$A$2500)=CV$1)*(MONTH(Gastos!$A$2:$A$2500)=CV$3)*(Gastos!$B$2:$B$2500=$A71)*(Gastos!$D$2:$D$2500))</f>
        <v>0</v>
      </c>
      <c r="CW71" s="75">
        <f t="array" ref="CW71">SUM((YEAR(Gastos!$A$2:$A$2500)=CW$1)*(MONTH(Gastos!$A$2:$A$2500)=CW$3)*(Gastos!$B$2:$B$2500=$A71)*(Gastos!$D$2:$D$2500))</f>
        <v>0</v>
      </c>
      <c r="CX71" s="75">
        <f t="array" ref="CX71">SUM((YEAR(Gastos!$A$2:$A$2500)=CX$1)*(MONTH(Gastos!$A$2:$A$2500)=CX$3)*(Gastos!$B$2:$B$2500=$A71)*(Gastos!$D$2:$D$2500))</f>
        <v>0</v>
      </c>
      <c r="CY71" s="75">
        <f t="array" ref="CY71">SUM((YEAR(Gastos!$A$2:$A$2500)=CY$1)*(MONTH(Gastos!$A$2:$A$2500)=CY$3)*(Gastos!$B$2:$B$2500=$A71)*(Gastos!$D$2:$D$2500))</f>
        <v>0</v>
      </c>
      <c r="CZ71" s="75">
        <f t="array" ref="CZ71">SUM((YEAR(Gastos!$A$2:$A$2500)=CZ$1)*(MONTH(Gastos!$A$2:$A$2500)=CZ$3)*(Gastos!$B$2:$B$2500=$A71)*(Gastos!$D$2:$D$2500))</f>
        <v>0</v>
      </c>
      <c r="DA71" s="75">
        <f t="array" ref="DA71">SUM((YEAR(Gastos!$A$2:$A$2500)=DA$1)*(MONTH(Gastos!$A$2:$A$2500)=DA$3)*(Gastos!$B$2:$B$2500=$A71)*(Gastos!$D$2:$D$2500))</f>
        <v>0</v>
      </c>
      <c r="DB71" s="75">
        <f t="array" ref="DB71">SUM((YEAR(Gastos!$A$2:$A$2500)=DB$1)*(MONTH(Gastos!$A$2:$A$2500)=DB$3)*(Gastos!$B$2:$B$2500=$A71)*(Gastos!$D$2:$D$2500))</f>
        <v>0</v>
      </c>
      <c r="DC71" s="75">
        <f t="array" ref="DC71">SUM((YEAR(Gastos!$A$2:$A$2500)=DC$1)*(MONTH(Gastos!$A$2:$A$2500)=DC$3)*(Gastos!$B$2:$B$2500=$A71)*(Gastos!$D$2:$D$2500))</f>
        <v>0</v>
      </c>
      <c r="DD71" s="75">
        <f t="array" ref="DD71">SUM((YEAR(Gastos!$A$2:$A$2500)=DD$1)*(MONTH(Gastos!$A$2:$A$2500)=DD$3)*(Gastos!$B$2:$B$2500=$A71)*(Gastos!$D$2:$D$2500))</f>
        <v>0</v>
      </c>
      <c r="DE71" s="75">
        <f t="array" ref="DE71">SUM((YEAR(Gastos!$A$2:$A$2500)=DE$1)*(MONTH(Gastos!$A$2:$A$2500)=DE$3)*(Gastos!$B$2:$B$2500=$A71)*(Gastos!$D$2:$D$2500))</f>
        <v>0</v>
      </c>
      <c r="DF71" s="75">
        <f t="array" ref="DF71">SUM((YEAR(Gastos!$A$2:$A$2500)=DF$1)*(MONTH(Gastos!$A$2:$A$2500)=DF$3)*(Gastos!$B$2:$B$2500=$A71)*(Gastos!$D$2:$D$2500))</f>
        <v>0</v>
      </c>
      <c r="DG71" s="75">
        <f t="array" ref="DG71">SUM((YEAR(Gastos!$A$2:$A$2500)=DG$1)*(MONTH(Gastos!$A$2:$A$2500)=DG$3)*(Gastos!$B$2:$B$2500=$A71)*(Gastos!$D$2:$D$2500))</f>
        <v>0</v>
      </c>
      <c r="DH71" s="75">
        <f t="array" ref="DH71">SUM((YEAR(Gastos!$A$2:$A$2500)=DH$1)*(MONTH(Gastos!$A$2:$A$2500)=DH$3)*(Gastos!$B$2:$B$2500=$A71)*(Gastos!$D$2:$D$2500))</f>
        <v>0</v>
      </c>
      <c r="DI71" s="75">
        <f t="array" ref="DI71">SUM((YEAR(Gastos!$A$2:$A$2500)=DI$1)*(MONTH(Gastos!$A$2:$A$2500)=DI$3)*(Gastos!$B$2:$B$2500=$A71)*(Gastos!$D$2:$D$2500))</f>
        <v>0</v>
      </c>
      <c r="DJ71" s="75">
        <f t="array" ref="DJ71">SUM((YEAR(Gastos!$A$2:$A$2500)=DJ$1)*(MONTH(Gastos!$A$2:$A$2500)=DJ$3)*(Gastos!$B$2:$B$2500=$A71)*(Gastos!$D$2:$D$2500))</f>
        <v>0</v>
      </c>
      <c r="DK71" s="75">
        <f t="array" ref="DK71">SUM((YEAR(Gastos!$A$2:$A$2500)=DK$1)*(MONTH(Gastos!$A$2:$A$2500)=DK$3)*(Gastos!$B$2:$B$2500=$A71)*(Gastos!$D$2:$D$2500))</f>
        <v>0</v>
      </c>
      <c r="DL71" s="75">
        <f t="array" ref="DL71">SUM((YEAR(Gastos!$A$2:$A$2500)=DL$1)*(MONTH(Gastos!$A$2:$A$2500)=DL$3)*(Gastos!$B$2:$B$2500=$A71)*(Gastos!$D$2:$D$2500))</f>
        <v>0</v>
      </c>
      <c r="DM71" s="75">
        <f t="array" ref="DM71">SUM((YEAR(Gastos!$A$2:$A$2500)=DM$1)*(MONTH(Gastos!$A$2:$A$2500)=DM$3)*(Gastos!$B$2:$B$2500=$A71)*(Gastos!$D$2:$D$2500))</f>
        <v>0</v>
      </c>
      <c r="DN71" s="75">
        <f t="array" ref="DN71">SUM((YEAR(Gastos!$A$2:$A$2500)=DN$1)*(MONTH(Gastos!$A$2:$A$2500)=DN$3)*(Gastos!$B$2:$B$2500=$A71)*(Gastos!$D$2:$D$2500))</f>
        <v>0</v>
      </c>
      <c r="DO71" s="75">
        <f t="array" ref="DO71">SUM((YEAR(Gastos!$A$2:$A$2500)=DO$1)*(MONTH(Gastos!$A$2:$A$2500)=DO$3)*(Gastos!$B$2:$B$2500=$A71)*(Gastos!$D$2:$D$2500))</f>
        <v>0</v>
      </c>
      <c r="DP71" s="75">
        <f t="array" ref="DP71">SUM((YEAR(Gastos!$A$2:$A$2500)=DP$1)*(MONTH(Gastos!$A$2:$A$2500)=DP$3)*(Gastos!$B$2:$B$2500=$A71)*(Gastos!$D$2:$D$2500))</f>
        <v>0</v>
      </c>
      <c r="DQ71" s="75">
        <f t="array" ref="DQ71">SUM((YEAR(Gastos!$A$2:$A$2500)=DQ$1)*(MONTH(Gastos!$A$2:$A$2500)=DQ$3)*(Gastos!$B$2:$B$2500=$A71)*(Gastos!$D$2:$D$2500))</f>
        <v>0</v>
      </c>
      <c r="DR71" s="75">
        <f t="array" ref="DR71">SUM((YEAR(Gastos!$A$2:$A$2500)=DR$1)*(MONTH(Gastos!$A$2:$A$2500)=DR$3)*(Gastos!$B$2:$B$2500=$A71)*(Gastos!$D$2:$D$2500))</f>
        <v>0</v>
      </c>
      <c r="DS71" s="75">
        <f t="array" ref="DS71">SUM((YEAR(Gastos!$A$2:$A$2500)=DS$1)*(MONTH(Gastos!$A$2:$A$2500)=DS$3)*(Gastos!$B$2:$B$2500=$A71)*(Gastos!$D$2:$D$2500))</f>
        <v>0</v>
      </c>
      <c r="DT71" s="75">
        <f t="array" ref="DT71">SUM((YEAR(Gastos!$A$2:$A$2500)=DT$1)*(MONTH(Gastos!$A$2:$A$2500)=DT$3)*(Gastos!$B$2:$B$2500=$A71)*(Gastos!$D$2:$D$2500))</f>
        <v>0</v>
      </c>
      <c r="DU71" s="75">
        <f t="array" ref="DU71">SUM((YEAR(Gastos!$A$2:$A$2500)=DU$1)*(MONTH(Gastos!$A$2:$A$2500)=DU$3)*(Gastos!$B$2:$B$2500=$A71)*(Gastos!$D$2:$D$2500))</f>
        <v>0</v>
      </c>
      <c r="DV71" s="75">
        <f t="array" ref="DV71">SUM((YEAR(Gastos!$A$2:$A$2500)=DV$1)*(MONTH(Gastos!$A$2:$A$2500)=DV$3)*(Gastos!$B$2:$B$2500=$A71)*(Gastos!$D$2:$D$2500))</f>
        <v>0</v>
      </c>
      <c r="DW71" s="75">
        <f t="array" ref="DW71">SUM((YEAR(Gastos!$A$2:$A$2500)=DW$1)*(MONTH(Gastos!$A$2:$A$2500)=DW$3)*(Gastos!$B$2:$B$2500=$A71)*(Gastos!$D$2:$D$2500))</f>
        <v>0</v>
      </c>
      <c r="DX71" s="75">
        <f t="array" ref="DX71">SUM((YEAR(Gastos!$A$2:$A$2500)=DX$1)*(MONTH(Gastos!$A$2:$A$2500)=DX$3)*(Gastos!$B$2:$B$2500=$A71)*(Gastos!$D$2:$D$2500))</f>
        <v>0</v>
      </c>
      <c r="DY71" s="75">
        <f t="array" ref="DY71">SUM((YEAR(Gastos!$A$2:$A$2500)=DY$1)*(MONTH(Gastos!$A$2:$A$2500)=DY$3)*(Gastos!$B$2:$B$2500=$A71)*(Gastos!$D$2:$D$2500))</f>
        <v>0</v>
      </c>
      <c r="DZ71" s="75">
        <f t="array" ref="DZ71">SUM((YEAR(Gastos!$A$2:$A$2500)=DZ$1)*(MONTH(Gastos!$A$2:$A$2500)=DZ$3)*(Gastos!$B$2:$B$2500=$A71)*(Gastos!$D$2:$D$2500))</f>
        <v>0</v>
      </c>
      <c r="EA71" s="75">
        <f t="array" ref="EA71">SUM((YEAR(Gastos!$A$2:$A$2500)=EA$1)*(MONTH(Gastos!$A$2:$A$2500)=EA$3)*(Gastos!$B$2:$B$2500=$A71)*(Gastos!$D$2:$D$2500))</f>
        <v>0</v>
      </c>
      <c r="EB71" s="75">
        <f t="array" ref="EB71">SUM((YEAR(Gastos!$A$2:$A$2500)=EB$1)*(MONTH(Gastos!$A$2:$A$2500)=EB$3)*(Gastos!$B$2:$B$2500=$A71)*(Gastos!$D$2:$D$2500))</f>
        <v>0</v>
      </c>
      <c r="EC71" s="75">
        <f t="array" ref="EC71">SUM((YEAR(Gastos!$A$2:$A$2500)=EC$1)*(MONTH(Gastos!$A$2:$A$2500)=EC$3)*(Gastos!$B$2:$B$2500=$A71)*(Gastos!$D$2:$D$2500))</f>
        <v>0</v>
      </c>
      <c r="ED71" s="75">
        <f t="array" ref="ED71">SUM((YEAR(Gastos!$A$2:$A$2500)=ED$1)*(MONTH(Gastos!$A$2:$A$2500)=ED$3)*(Gastos!$B$2:$B$2500=$A71)*(Gastos!$D$2:$D$2500))</f>
        <v>0</v>
      </c>
      <c r="EE71" s="75">
        <f t="array" ref="EE71">SUM((YEAR(Gastos!$A$2:$A$2500)=EE$1)*(MONTH(Gastos!$A$2:$A$2500)=EE$3)*(Gastos!$B$2:$B$2500=$A71)*(Gastos!$D$2:$D$2500))</f>
        <v>0</v>
      </c>
      <c r="EF71" s="75">
        <f t="array" ref="EF71">SUM((YEAR(Gastos!$A$2:$A$2500)=EF$1)*(MONTH(Gastos!$A$2:$A$2500)=EF$3)*(Gastos!$B$2:$B$2500=$A71)*(Gastos!$D$2:$D$2500))</f>
        <v>0</v>
      </c>
      <c r="EG71" s="75">
        <f t="array" ref="EG71">SUM((YEAR(Gastos!$A$2:$A$2500)=EG$1)*(MONTH(Gastos!$A$2:$A$2500)=EG$3)*(Gastos!$B$2:$B$2500=$A71)*(Gastos!$D$2:$D$2500))</f>
        <v>0</v>
      </c>
      <c r="EH71" s="75">
        <f t="array" ref="EH71">SUM((YEAR(Gastos!$A$2:$A$2500)=EH$1)*(MONTH(Gastos!$A$2:$A$2500)=EH$3)*(Gastos!$B$2:$B$2500=$A71)*(Gastos!$D$2:$D$2500))</f>
        <v>0</v>
      </c>
      <c r="EI71" s="75">
        <f t="array" ref="EI71">SUM((YEAR(Gastos!$A$2:$A$2500)=EI$1)*(MONTH(Gastos!$A$2:$A$2500)=EI$3)*(Gastos!$B$2:$B$2500=$A71)*(Gastos!$D$2:$D$2500))</f>
        <v>0</v>
      </c>
      <c r="EJ71" s="75">
        <f t="array" ref="EJ71">SUM((YEAR(Gastos!$A$2:$A$2500)=EJ$1)*(MONTH(Gastos!$A$2:$A$2500)=EJ$3)*(Gastos!$B$2:$B$2500=$A71)*(Gastos!$D$2:$D$2500))</f>
        <v>0</v>
      </c>
      <c r="EK71" s="75">
        <f t="array" ref="EK71">SUM((YEAR(Gastos!$A$2:$A$2500)=EK$1)*(MONTH(Gastos!$A$2:$A$2500)=EK$3)*(Gastos!$B$2:$B$2500=$A71)*(Gastos!$D$2:$D$2500))</f>
        <v>0</v>
      </c>
      <c r="EL71" s="75">
        <f t="array" ref="EL71">SUM((YEAR(Gastos!$A$2:$A$2500)=EL$1)*(MONTH(Gastos!$A$2:$A$2500)=EL$3)*(Gastos!$B$2:$B$2500=$A71)*(Gastos!$D$2:$D$2500))</f>
        <v>0</v>
      </c>
      <c r="EM71" s="75">
        <f t="array" ref="EM71">SUM((YEAR(Gastos!$A$2:$A$2500)=EM$1)*(MONTH(Gastos!$A$2:$A$2500)=EM$3)*(Gastos!$B$2:$B$2500=$A71)*(Gastos!$D$2:$D$2500))</f>
        <v>0</v>
      </c>
      <c r="EN71" s="75">
        <f t="array" ref="EN71">SUM((YEAR(Gastos!$A$2:$A$2500)=EN$1)*(MONTH(Gastos!$A$2:$A$2500)=EN$3)*(Gastos!$B$2:$B$2500=$A71)*(Gastos!$D$2:$D$2500))</f>
        <v>0</v>
      </c>
      <c r="EO71" s="75">
        <f t="array" ref="EO71">SUM((YEAR(Gastos!$A$2:$A$2500)=EO$1)*(MONTH(Gastos!$A$2:$A$2500)=EO$3)*(Gastos!$B$2:$B$2500=$A71)*(Gastos!$D$2:$D$2500))</f>
        <v>0</v>
      </c>
      <c r="EP71" s="75">
        <f t="array" ref="EP71">SUM((YEAR(Gastos!$A$2:$A$2500)=EP$1)*(MONTH(Gastos!$A$2:$A$2500)=EP$3)*(Gastos!$B$2:$B$2500=$A71)*(Gastos!$D$2:$D$2500))</f>
        <v>0</v>
      </c>
      <c r="EQ71" s="75">
        <f t="array" ref="EQ71">SUM((YEAR(Gastos!$A$2:$A$2500)=EQ$1)*(MONTH(Gastos!$A$2:$A$2500)=EQ$3)*(Gastos!$B$2:$B$2500=$A71)*(Gastos!$D$2:$D$2500))</f>
        <v>0</v>
      </c>
      <c r="ER71" s="75">
        <f t="array" ref="ER71">SUM((YEAR(Gastos!$A$2:$A$2500)=ER$1)*(MONTH(Gastos!$A$2:$A$2500)=ER$3)*(Gastos!$B$2:$B$2500=$A71)*(Gastos!$D$2:$D$2500))</f>
        <v>0</v>
      </c>
      <c r="ES71" s="75">
        <f t="array" ref="ES71">SUM((YEAR(Gastos!$A$2:$A$2500)=ES$1)*(MONTH(Gastos!$A$2:$A$2500)=ES$3)*(Gastos!$B$2:$B$2500=$A71)*(Gastos!$D$2:$D$2500))</f>
        <v>0</v>
      </c>
      <c r="ET71" s="75">
        <f t="array" ref="ET71">SUM((YEAR(Gastos!$A$2:$A$2500)=ET$1)*(MONTH(Gastos!$A$2:$A$2500)=ET$3)*(Gastos!$B$2:$B$2500=$A71)*(Gastos!$D$2:$D$2500))</f>
        <v>0</v>
      </c>
      <c r="EU71" s="75">
        <f t="array" ref="EU71">SUM((YEAR(Gastos!$A$2:$A$2500)=EU$1)*(MONTH(Gastos!$A$2:$A$2500)=EU$3)*(Gastos!$B$2:$B$2500=$A71)*(Gastos!$D$2:$D$2500))</f>
        <v>0</v>
      </c>
      <c r="EV71" s="75">
        <f t="array" ref="EV71">SUM((YEAR(Gastos!$A$2:$A$2500)=EV$1)*(MONTH(Gastos!$A$2:$A$2500)=EV$3)*(Gastos!$B$2:$B$2500=$A71)*(Gastos!$D$2:$D$2500))</f>
        <v>0</v>
      </c>
      <c r="EW71" s="75">
        <f t="array" ref="EW71">SUM((YEAR(Gastos!$A$2:$A$2500)=EW$1)*(MONTH(Gastos!$A$2:$A$2500)=EW$3)*(Gastos!$B$2:$B$2500=$A71)*(Gastos!$D$2:$D$2500))</f>
        <v>0</v>
      </c>
      <c r="EX71" s="75">
        <f t="array" ref="EX71">SUM((YEAR(Gastos!$A$2:$A$2500)=EX$1)*(MONTH(Gastos!$A$2:$A$2500)=EX$3)*(Gastos!$B$2:$B$2500=$A71)*(Gastos!$D$2:$D$2500))</f>
        <v>0</v>
      </c>
      <c r="EY71" s="75">
        <f t="array" ref="EY71">SUM((YEAR(Gastos!$A$2:$A$2500)=EY$1)*(MONTH(Gastos!$A$2:$A$2500)=EY$3)*(Gastos!$B$2:$B$2500=$A71)*(Gastos!$D$2:$D$2500))</f>
        <v>0</v>
      </c>
      <c r="EZ71" s="75">
        <f t="array" ref="EZ71">SUM((YEAR(Gastos!$A$2:$A$2500)=EZ$1)*(MONTH(Gastos!$A$2:$A$2500)=EZ$3)*(Gastos!$B$2:$B$2500=$A71)*(Gastos!$D$2:$D$2500))</f>
        <v>0</v>
      </c>
      <c r="FA71" s="75">
        <f t="array" ref="FA71">SUM((YEAR(Gastos!$A$2:$A$2500)=FA$1)*(MONTH(Gastos!$A$2:$A$2500)=FA$3)*(Gastos!$B$2:$B$2500=$A71)*(Gastos!$D$2:$D$2500))</f>
        <v>0</v>
      </c>
      <c r="FB71" s="75">
        <f t="array" ref="FB71">SUM((YEAR(Gastos!$A$2:$A$2500)=FB$1)*(MONTH(Gastos!$A$2:$A$2500)=FB$3)*(Gastos!$B$2:$B$2500=$A71)*(Gastos!$D$2:$D$2500))</f>
        <v>0</v>
      </c>
      <c r="FC71" s="75">
        <f t="array" ref="FC71">SUM((YEAR(Gastos!$A$2:$A$2500)=FC$1)*(MONTH(Gastos!$A$2:$A$2500)=FC$3)*(Gastos!$B$2:$B$2500=$A71)*(Gastos!$D$2:$D$2500))</f>
        <v>0</v>
      </c>
      <c r="FD71" s="75">
        <f t="array" ref="FD71">SUM((YEAR(Gastos!$A$2:$A$2500)=FD$1)*(MONTH(Gastos!$A$2:$A$2500)=FD$3)*(Gastos!$B$2:$B$2500=$A71)*(Gastos!$D$2:$D$2500))</f>
        <v>0</v>
      </c>
      <c r="FE71" s="75">
        <f t="array" ref="FE71">SUM((YEAR(Gastos!$A$2:$A$2500)=FE$1)*(MONTH(Gastos!$A$2:$A$2500)=FE$3)*(Gastos!$B$2:$B$2500=$A71)*(Gastos!$D$2:$D$2500))</f>
        <v>0</v>
      </c>
      <c r="FF71" s="75">
        <f t="array" ref="FF71">SUM((YEAR(Gastos!$A$2:$A$2500)=FF$1)*(MONTH(Gastos!$A$2:$A$2500)=FF$3)*(Gastos!$B$2:$B$2500=$A71)*(Gastos!$D$2:$D$2500))</f>
        <v>0</v>
      </c>
      <c r="FG71" s="75">
        <f t="array" ref="FG71">SUM((YEAR(Gastos!$A$2:$A$2500)=FG$1)*(MONTH(Gastos!$A$2:$A$2500)=FG$3)*(Gastos!$B$2:$B$2500=$A71)*(Gastos!$D$2:$D$2500))</f>
        <v>0</v>
      </c>
      <c r="FH71" s="75">
        <f t="array" ref="FH71">SUM((YEAR(Gastos!$A$2:$A$2500)=FH$1)*(MONTH(Gastos!$A$2:$A$2500)=FH$3)*(Gastos!$B$2:$B$2500=$A71)*(Gastos!$D$2:$D$2500))</f>
        <v>0</v>
      </c>
      <c r="FI71" s="75">
        <f t="array" ref="FI71">SUM((YEAR(Gastos!$A$2:$A$2500)=FI$1)*(MONTH(Gastos!$A$2:$A$2500)=FI$3)*(Gastos!$B$2:$B$2500=$A71)*(Gastos!$D$2:$D$2500))</f>
        <v>0</v>
      </c>
      <c r="FJ71" s="75">
        <f t="array" ref="FJ71">SUM((YEAR(Gastos!$A$2:$A$2500)=FJ$1)*(MONTH(Gastos!$A$2:$A$2500)=FJ$3)*(Gastos!$B$2:$B$2500=$A71)*(Gastos!$D$2:$D$2500))</f>
        <v>0</v>
      </c>
      <c r="FK71" s="75">
        <f t="array" ref="FK71">SUM((YEAR(Gastos!$A$2:$A$2500)=FK$1)*(MONTH(Gastos!$A$2:$A$2500)=FK$3)*(Gastos!$B$2:$B$2500=$A71)*(Gastos!$D$2:$D$2500))</f>
        <v>0</v>
      </c>
      <c r="FL71" s="75">
        <f t="array" ref="FL71">SUM((YEAR(Gastos!$A$2:$A$2500)=FL$1)*(MONTH(Gastos!$A$2:$A$2500)=FL$3)*(Gastos!$B$2:$B$2500=$A71)*(Gastos!$D$2:$D$2500))</f>
        <v>0</v>
      </c>
      <c r="FM71" s="75">
        <f t="array" ref="FM71">SUM((YEAR(Gastos!$A$2:$A$2500)=FM$1)*(MONTH(Gastos!$A$2:$A$2500)=FM$3)*(Gastos!$B$2:$B$2500=$A71)*(Gastos!$D$2:$D$2500))</f>
        <v>0</v>
      </c>
      <c r="FN71" s="75">
        <f t="array" ref="FN71">SUM((YEAR(Gastos!$A$2:$A$2500)=FN$1)*(MONTH(Gastos!$A$2:$A$2500)=FN$3)*(Gastos!$B$2:$B$2500=$A71)*(Gastos!$D$2:$D$2500))</f>
        <v>0</v>
      </c>
      <c r="FO71" s="75">
        <f t="array" ref="FO71">SUM((YEAR(Gastos!$A$2:$A$2500)=FO$1)*(MONTH(Gastos!$A$2:$A$2500)=FO$3)*(Gastos!$B$2:$B$2500=$A71)*(Gastos!$D$2:$D$2500))</f>
        <v>0</v>
      </c>
      <c r="FP71" s="75">
        <f t="array" ref="FP71">SUM((YEAR(Gastos!$A$2:$A$2500)=FP$1)*(MONTH(Gastos!$A$2:$A$2500)=FP$3)*(Gastos!$B$2:$B$2500=$A71)*(Gastos!$D$2:$D$2500))</f>
        <v>0</v>
      </c>
      <c r="FQ71" s="75">
        <f t="array" ref="FQ71">SUM((YEAR(Gastos!$A$2:$A$2500)=FQ$1)*(MONTH(Gastos!$A$2:$A$2500)=FQ$3)*(Gastos!$B$2:$B$2500=$A71)*(Gastos!$D$2:$D$2500))</f>
        <v>0</v>
      </c>
      <c r="FR71" s="75">
        <f t="array" ref="FR71">SUM((YEAR(Gastos!$A$2:$A$2500)=FR$1)*(MONTH(Gastos!$A$2:$A$2500)=FR$3)*(Gastos!$B$2:$B$2500=$A71)*(Gastos!$D$2:$D$2500))</f>
        <v>0</v>
      </c>
      <c r="FS71" s="75">
        <f t="array" ref="FS71">SUM((YEAR(Gastos!$A$2:$A$2500)=FS$1)*(MONTH(Gastos!$A$2:$A$2500)=FS$3)*(Gastos!$B$2:$B$2500=$A71)*(Gastos!$D$2:$D$2500))</f>
        <v>0</v>
      </c>
      <c r="FT71" s="75">
        <f t="array" ref="FT71">SUM((YEAR(Gastos!$A$2:$A$2500)=FT$1)*(MONTH(Gastos!$A$2:$A$2500)=FT$3)*(Gastos!$B$2:$B$2500=$A71)*(Gastos!$D$2:$D$2500))</f>
        <v>0</v>
      </c>
      <c r="FU71" s="75">
        <f t="array" ref="FU71">SUM((YEAR(Gastos!$A$2:$A$2500)=FU$1)*(MONTH(Gastos!$A$2:$A$2500)=FU$3)*(Gastos!$B$2:$B$2500=$A71)*(Gastos!$D$2:$D$2500))</f>
        <v>0</v>
      </c>
      <c r="FV71" s="75">
        <f t="array" ref="FV71">SUM((YEAR(Gastos!$A$2:$A$2500)=FV$1)*(MONTH(Gastos!$A$2:$A$2500)=FV$3)*(Gastos!$B$2:$B$2500=$A71)*(Gastos!$D$2:$D$2500))</f>
        <v>0</v>
      </c>
      <c r="FW71" s="75">
        <f t="array" ref="FW71">SUM((YEAR(Gastos!$A$2:$A$2500)=FW$1)*(MONTH(Gastos!$A$2:$A$2500)=FW$3)*(Gastos!$B$2:$B$2500=$A71)*(Gastos!$D$2:$D$2500))</f>
        <v>0</v>
      </c>
      <c r="FX71" s="75">
        <f t="array" ref="FX71">SUM((YEAR(Gastos!$A$2:$A$2500)=FX$1)*(MONTH(Gastos!$A$2:$A$2500)=FX$3)*(Gastos!$B$2:$B$2500=$A71)*(Gastos!$D$2:$D$2500))</f>
        <v>0</v>
      </c>
      <c r="FY71" s="75">
        <f t="array" ref="FY71">SUM((YEAR(Gastos!$A$2:$A$2500)=FY$1)*(MONTH(Gastos!$A$2:$A$2500)=FY$3)*(Gastos!$B$2:$B$2500=$A71)*(Gastos!$D$2:$D$2500))</f>
        <v>0</v>
      </c>
      <c r="FZ71" s="76">
        <f t="shared" si="68"/>
        <v>0</v>
      </c>
      <c r="GA71" s="80"/>
      <c r="GB71" s="82"/>
    </row>
    <row r="72" spans="1:184" ht="15" thickBot="1" x14ac:dyDescent="0.4">
      <c r="A72" s="74" t="str">
        <f>Gastos!AA70</f>
        <v>X</v>
      </c>
      <c r="B72" s="75">
        <f t="array" ref="B72">SUM((YEAR(Gastos!$A$2:$A$2500)=B$1)*(MONTH(Gastos!$A$2:$A$2500)=B$3)*(Gastos!$B$2:$B$2500=$A72)*(Gastos!$D$2:$D$2500))</f>
        <v>0</v>
      </c>
      <c r="C72" s="75">
        <f t="array" ref="C72">SUM((YEAR(Gastos!$A$2:$A$2500)=C$1)*(MONTH(Gastos!$A$2:$A$2500)=C$3)*(Gastos!$B$2:$B$2500=$A72)*(Gastos!$D$2:$D$2500))</f>
        <v>0</v>
      </c>
      <c r="D72" s="75">
        <f t="array" ref="D72">SUM((YEAR(Gastos!$A$2:$A$2500)=D$1)*(MONTH(Gastos!$A$2:$A$2500)=D$3)*(Gastos!$B$2:$B$2500=$A72)*(Gastos!$D$2:$D$2500))</f>
        <v>0</v>
      </c>
      <c r="E72" s="75">
        <f t="array" ref="E72">SUM((YEAR(Gastos!$A$2:$A$2500)=E$1)*(MONTH(Gastos!$A$2:$A$2500)=E$3)*(Gastos!$B$2:$B$2500=$A72)*(Gastos!$D$2:$D$2500))</f>
        <v>0</v>
      </c>
      <c r="F72" s="75">
        <f t="array" ref="F72">SUM((YEAR(Gastos!$A$2:$A$2500)=F$1)*(MONTH(Gastos!$A$2:$A$2500)=F$3)*(Gastos!$B$2:$B$2500=$A72)*(Gastos!$D$2:$D$2500))</f>
        <v>0</v>
      </c>
      <c r="G72" s="75">
        <f t="array" ref="G72">SUM((YEAR(Gastos!$A$2:$A$2500)=G$1)*(MONTH(Gastos!$A$2:$A$2500)=G$3)*(Gastos!$B$2:$B$2500=$A72)*(Gastos!$D$2:$D$2500))</f>
        <v>0</v>
      </c>
      <c r="H72" s="75">
        <f t="array" ref="H72">SUM((YEAR(Gastos!$A$2:$A$2500)=H$1)*(MONTH(Gastos!$A$2:$A$2500)=H$3)*(Gastos!$B$2:$B$2500=$A72)*(Gastos!$D$2:$D$2500))</f>
        <v>0</v>
      </c>
      <c r="I72" s="75">
        <f t="array" ref="I72">SUM((YEAR(Gastos!$A$2:$A$2500)=I$1)*(MONTH(Gastos!$A$2:$A$2500)=I$3)*(Gastos!$B$2:$B$2500=$A72)*(Gastos!$D$2:$D$2500))</f>
        <v>0</v>
      </c>
      <c r="J72" s="75">
        <f t="array" ref="J72">SUM((YEAR(Gastos!$A$2:$A$2500)=J$1)*(MONTH(Gastos!$A$2:$A$2500)=J$3)*(Gastos!$B$2:$B$2500=$A72)*(Gastos!$D$2:$D$2500))</f>
        <v>0</v>
      </c>
      <c r="K72" s="75">
        <f t="array" ref="K72">SUM((YEAR(Gastos!$A$2:$A$2500)=K$1)*(MONTH(Gastos!$A$2:$A$2500)=K$3)*(Gastos!$B$2:$B$2500=$A72)*(Gastos!$D$2:$D$2500))</f>
        <v>0</v>
      </c>
      <c r="L72" s="75">
        <f t="array" ref="L72">SUM((YEAR(Gastos!$A$2:$A$2500)=L$1)*(MONTH(Gastos!$A$2:$A$2500)=L$3)*(Gastos!$B$2:$B$2500=$A72)*(Gastos!$D$2:$D$2500))</f>
        <v>0</v>
      </c>
      <c r="M72" s="75">
        <f t="array" ref="M72">SUM((YEAR(Gastos!$A$2:$A$2500)=M$1)*(MONTH(Gastos!$A$2:$A$2500)=M$3)*(Gastos!$B$2:$B$2500=$A72)*(Gastos!$D$2:$D$2500))</f>
        <v>0</v>
      </c>
      <c r="N72" s="75">
        <f t="array" ref="N72">SUM((YEAR(Gastos!$A$2:$A$2500)=N$1)*(MONTH(Gastos!$A$2:$A$2500)=N$3)*(Gastos!$B$2:$B$2500=$A72)*(Gastos!$D$2:$D$2500))</f>
        <v>0</v>
      </c>
      <c r="O72" s="75">
        <f t="array" ref="O72">SUM((YEAR(Gastos!$A$2:$A$2500)=O$1)*(MONTH(Gastos!$A$2:$A$2500)=O$3)*(Gastos!$B$2:$B$2500=$A72)*(Gastos!$D$2:$D$2500))</f>
        <v>0</v>
      </c>
      <c r="P72" s="75">
        <f t="array" ref="P72">SUM((YEAR(Gastos!$A$2:$A$2500)=P$1)*(MONTH(Gastos!$A$2:$A$2500)=P$3)*(Gastos!$B$2:$B$2500=$A72)*(Gastos!$D$2:$D$2500))</f>
        <v>0</v>
      </c>
      <c r="Q72" s="75">
        <f t="array" ref="Q72">SUM((YEAR(Gastos!$A$2:$A$2500)=Q$1)*(MONTH(Gastos!$A$2:$A$2500)=Q$3)*(Gastos!$B$2:$B$2500=$A72)*(Gastos!$D$2:$D$2500))</f>
        <v>0</v>
      </c>
      <c r="R72" s="75">
        <f t="array" ref="R72">SUM((YEAR(Gastos!$A$2:$A$2500)=R$1)*(MONTH(Gastos!$A$2:$A$2500)=R$3)*(Gastos!$B$2:$B$2500=$A72)*(Gastos!$D$2:$D$2500))</f>
        <v>0</v>
      </c>
      <c r="S72" s="75">
        <f t="array" ref="S72">SUM((YEAR(Gastos!$A$2:$A$2500)=S$1)*(MONTH(Gastos!$A$2:$A$2500)=S$3)*(Gastos!$B$2:$B$2500=$A72)*(Gastos!$D$2:$D$2500))</f>
        <v>0</v>
      </c>
      <c r="T72" s="75">
        <f t="array" ref="T72">SUM((YEAR(Gastos!$A$2:$A$2500)=T$1)*(MONTH(Gastos!$A$2:$A$2500)=T$3)*(Gastos!$B$2:$B$2500=$A72)*(Gastos!$D$2:$D$2500))</f>
        <v>0</v>
      </c>
      <c r="U72" s="75">
        <f t="array" ref="U72">SUM((YEAR(Gastos!$A$2:$A$2500)=U$1)*(MONTH(Gastos!$A$2:$A$2500)=U$3)*(Gastos!$B$2:$B$2500=$A72)*(Gastos!$D$2:$D$2500))</f>
        <v>0</v>
      </c>
      <c r="V72" s="75">
        <f t="array" ref="V72">SUM((YEAR(Gastos!$A$2:$A$2500)=V$1)*(MONTH(Gastos!$A$2:$A$2500)=V$3)*(Gastos!$B$2:$B$2500=$A72)*(Gastos!$D$2:$D$2500))</f>
        <v>0</v>
      </c>
      <c r="W72" s="75">
        <f t="array" ref="W72">SUM((YEAR(Gastos!$A$2:$A$2500)=W$1)*(MONTH(Gastos!$A$2:$A$2500)=W$3)*(Gastos!$B$2:$B$2500=$A72)*(Gastos!$D$2:$D$2500))</f>
        <v>0</v>
      </c>
      <c r="X72" s="75">
        <f t="array" ref="X72">SUM((YEAR(Gastos!$A$2:$A$2500)=X$1)*(MONTH(Gastos!$A$2:$A$2500)=X$3)*(Gastos!$B$2:$B$2500=$A72)*(Gastos!$D$2:$D$2500))</f>
        <v>0</v>
      </c>
      <c r="Y72" s="75">
        <f t="array" ref="Y72">SUM((YEAR(Gastos!$A$2:$A$2500)=Y$1)*(MONTH(Gastos!$A$2:$A$2500)=Y$3)*(Gastos!$B$2:$B$2500=$A72)*(Gastos!$D$2:$D$2500))</f>
        <v>0</v>
      </c>
      <c r="Z72" s="75">
        <f t="array" ref="Z72">SUM((YEAR(Gastos!$A$2:$A$2500)=Z$1)*(MONTH(Gastos!$A$2:$A$2500)=Z$3)*(Gastos!$B$2:$B$2500=$A72)*(Gastos!$D$2:$D$2500))</f>
        <v>0</v>
      </c>
      <c r="AA72" s="75">
        <f t="array" ref="AA72">SUM((YEAR(Gastos!$A$2:$A$2500)=AA$1)*(MONTH(Gastos!$A$2:$A$2500)=AA$3)*(Gastos!$B$2:$B$2500=$A72)*(Gastos!$D$2:$D$2500))</f>
        <v>0</v>
      </c>
      <c r="AB72" s="75">
        <f t="array" ref="AB72">SUM((YEAR(Gastos!$A$2:$A$2500)=AB$1)*(MONTH(Gastos!$A$2:$A$2500)=AB$3)*(Gastos!$B$2:$B$2500=$A72)*(Gastos!$D$2:$D$2500))</f>
        <v>0</v>
      </c>
      <c r="AC72" s="75">
        <f t="array" ref="AC72">SUM((YEAR(Gastos!$A$2:$A$2500)=AC$1)*(MONTH(Gastos!$A$2:$A$2500)=AC$3)*(Gastos!$B$2:$B$2500=$A72)*(Gastos!$D$2:$D$2500))</f>
        <v>0</v>
      </c>
      <c r="AD72" s="75">
        <f t="array" ref="AD72">SUM((YEAR(Gastos!$A$2:$A$2500)=AD$1)*(MONTH(Gastos!$A$2:$A$2500)=AD$3)*(Gastos!$B$2:$B$2500=$A72)*(Gastos!$D$2:$D$2500))</f>
        <v>0</v>
      </c>
      <c r="AE72" s="75">
        <f t="array" ref="AE72">SUM((YEAR(Gastos!$A$2:$A$2500)=AE$1)*(MONTH(Gastos!$A$2:$A$2500)=AE$3)*(Gastos!$B$2:$B$2500=$A72)*(Gastos!$D$2:$D$2500))</f>
        <v>0</v>
      </c>
      <c r="AF72" s="75">
        <f t="array" ref="AF72">SUM((YEAR(Gastos!$A$2:$A$2500)=AF$1)*(MONTH(Gastos!$A$2:$A$2500)=AF$3)*(Gastos!$B$2:$B$2500=$A72)*(Gastos!$D$2:$D$2500))</f>
        <v>0</v>
      </c>
      <c r="AG72" s="75">
        <f t="array" ref="AG72">SUM((YEAR(Gastos!$A$2:$A$2500)=AG$1)*(MONTH(Gastos!$A$2:$A$2500)=AG$3)*(Gastos!$B$2:$B$2500=$A72)*(Gastos!$D$2:$D$2500))</f>
        <v>0</v>
      </c>
      <c r="AH72" s="75">
        <f t="array" ref="AH72">SUM((YEAR(Gastos!$A$2:$A$2500)=AH$1)*(MONTH(Gastos!$A$2:$A$2500)=AH$3)*(Gastos!$B$2:$B$2500=$A72)*(Gastos!$D$2:$D$2500))</f>
        <v>0</v>
      </c>
      <c r="AI72" s="75">
        <f t="array" ref="AI72">SUM((YEAR(Gastos!$A$2:$A$2500)=AI$1)*(MONTH(Gastos!$A$2:$A$2500)=AI$3)*(Gastos!$B$2:$B$2500=$A72)*(Gastos!$D$2:$D$2500))</f>
        <v>0</v>
      </c>
      <c r="AJ72" s="75">
        <f t="array" ref="AJ72">SUM((YEAR(Gastos!$A$2:$A$2500)=AJ$1)*(MONTH(Gastos!$A$2:$A$2500)=AJ$3)*(Gastos!$B$2:$B$2500=$A72)*(Gastos!$D$2:$D$2500))</f>
        <v>0</v>
      </c>
      <c r="AK72" s="75">
        <f t="array" ref="AK72">SUM((YEAR(Gastos!$A$2:$A$2500)=AK$1)*(MONTH(Gastos!$A$2:$A$2500)=AK$3)*(Gastos!$B$2:$B$2500=$A72)*(Gastos!$D$2:$D$2500))</f>
        <v>0</v>
      </c>
      <c r="AL72" s="75">
        <f t="array" ref="AL72">SUM((YEAR(Gastos!$A$2:$A$2500)=AL$1)*(MONTH(Gastos!$A$2:$A$2500)=AL$3)*(Gastos!$B$2:$B$2500=$A72)*(Gastos!$D$2:$D$2500))</f>
        <v>0</v>
      </c>
      <c r="AM72" s="75">
        <f t="array" ref="AM72">SUM((YEAR(Gastos!$A$2:$A$2500)=AM$1)*(MONTH(Gastos!$A$2:$A$2500)=AM$3)*(Gastos!$B$2:$B$2500=$A72)*(Gastos!$D$2:$D$2500))</f>
        <v>0</v>
      </c>
      <c r="AN72" s="75">
        <f t="array" ref="AN72">SUM((YEAR(Gastos!$A$2:$A$2500)=AN$1)*(MONTH(Gastos!$A$2:$A$2500)=AN$3)*(Gastos!$B$2:$B$2500=$A72)*(Gastos!$D$2:$D$2500))</f>
        <v>0</v>
      </c>
      <c r="AO72" s="75">
        <f t="array" ref="AO72">SUM((YEAR(Gastos!$A$2:$A$2500)=AO$1)*(MONTH(Gastos!$A$2:$A$2500)=AO$3)*(Gastos!$B$2:$B$2500=$A72)*(Gastos!$D$2:$D$2500))</f>
        <v>0</v>
      </c>
      <c r="AP72" s="75">
        <f t="array" ref="AP72">SUM((YEAR(Gastos!$A$2:$A$2500)=AP$1)*(MONTH(Gastos!$A$2:$A$2500)=AP$3)*(Gastos!$B$2:$B$2500=$A72)*(Gastos!$D$2:$D$2500))</f>
        <v>0</v>
      </c>
      <c r="AQ72" s="75">
        <f t="array" ref="AQ72">SUM((YEAR(Gastos!$A$2:$A$2500)=AQ$1)*(MONTH(Gastos!$A$2:$A$2500)=AQ$3)*(Gastos!$B$2:$B$2500=$A72)*(Gastos!$D$2:$D$2500))</f>
        <v>0</v>
      </c>
      <c r="AR72" s="75">
        <f t="array" ref="AR72">SUM((YEAR(Gastos!$A$2:$A$2500)=AR$1)*(MONTH(Gastos!$A$2:$A$2500)=AR$3)*(Gastos!$B$2:$B$2500=$A72)*(Gastos!$D$2:$D$2500))</f>
        <v>0</v>
      </c>
      <c r="AS72" s="75">
        <f t="array" ref="AS72">SUM((YEAR(Gastos!$A$2:$A$2500)=AS$1)*(MONTH(Gastos!$A$2:$A$2500)=AS$3)*(Gastos!$B$2:$B$2500=$A72)*(Gastos!$D$2:$D$2500))</f>
        <v>0</v>
      </c>
      <c r="AT72" s="75">
        <f t="array" ref="AT72">SUM((YEAR(Gastos!$A$2:$A$2500)=AT$1)*(MONTH(Gastos!$A$2:$A$2500)=AT$3)*(Gastos!$B$2:$B$2500=$A72)*(Gastos!$D$2:$D$2500))</f>
        <v>0</v>
      </c>
      <c r="AU72" s="75">
        <f t="array" ref="AU72">SUM((YEAR(Gastos!$A$2:$A$2500)=AU$1)*(MONTH(Gastos!$A$2:$A$2500)=AU$3)*(Gastos!$B$2:$B$2500=$A72)*(Gastos!$D$2:$D$2500))</f>
        <v>0</v>
      </c>
      <c r="AV72" s="75">
        <f t="array" ref="AV72">SUM((YEAR(Gastos!$A$2:$A$2500)=AV$1)*(MONTH(Gastos!$A$2:$A$2500)=AV$3)*(Gastos!$B$2:$B$2500=$A72)*(Gastos!$D$2:$D$2500))</f>
        <v>0</v>
      </c>
      <c r="AW72" s="75">
        <f t="array" ref="AW72">SUM((YEAR(Gastos!$A$2:$A$2500)=AW$1)*(MONTH(Gastos!$A$2:$A$2500)=AW$3)*(Gastos!$B$2:$B$2500=$A72)*(Gastos!$D$2:$D$2500))</f>
        <v>0</v>
      </c>
      <c r="AX72" s="75">
        <f t="array" ref="AX72">SUM((YEAR(Gastos!$A$2:$A$2500)=AX$1)*(MONTH(Gastos!$A$2:$A$2500)=AX$3)*(Gastos!$B$2:$B$2500=$A72)*(Gastos!$D$2:$D$2500))</f>
        <v>0</v>
      </c>
      <c r="AY72" s="75">
        <f t="array" ref="AY72">SUM((YEAR(Gastos!$A$2:$A$2500)=AY$1)*(MONTH(Gastos!$A$2:$A$2500)=AY$3)*(Gastos!$B$2:$B$2500=$A72)*(Gastos!$D$2:$D$2500))</f>
        <v>0</v>
      </c>
      <c r="AZ72" s="75">
        <f t="array" ref="AZ72">SUM((YEAR(Gastos!$A$2:$A$2500)=AZ$1)*(MONTH(Gastos!$A$2:$A$2500)=AZ$3)*(Gastos!$B$2:$B$2500=$A72)*(Gastos!$D$2:$D$2500))</f>
        <v>0</v>
      </c>
      <c r="BA72" s="75">
        <f t="array" ref="BA72">SUM((YEAR(Gastos!$A$2:$A$2500)=BA$1)*(MONTH(Gastos!$A$2:$A$2500)=BA$3)*(Gastos!$B$2:$B$2500=$A72)*(Gastos!$D$2:$D$2500))</f>
        <v>0</v>
      </c>
      <c r="BB72" s="75">
        <f t="array" ref="BB72">SUM((YEAR(Gastos!$A$2:$A$2500)=BB$1)*(MONTH(Gastos!$A$2:$A$2500)=BB$3)*(Gastos!$B$2:$B$2500=$A72)*(Gastos!$D$2:$D$2500))</f>
        <v>0</v>
      </c>
      <c r="BC72" s="75">
        <f t="array" ref="BC72">SUM((YEAR(Gastos!$A$2:$A$2500)=BC$1)*(MONTH(Gastos!$A$2:$A$2500)=BC$3)*(Gastos!$B$2:$B$2500=$A72)*(Gastos!$D$2:$D$2500))</f>
        <v>0</v>
      </c>
      <c r="BD72" s="75">
        <f t="array" ref="BD72">SUM((YEAR(Gastos!$A$2:$A$2500)=BD$1)*(MONTH(Gastos!$A$2:$A$2500)=BD$3)*(Gastos!$B$2:$B$2500=$A72)*(Gastos!$D$2:$D$2500))</f>
        <v>0</v>
      </c>
      <c r="BE72" s="75">
        <f t="array" ref="BE72">SUM((YEAR(Gastos!$A$2:$A$2500)=BE$1)*(MONTH(Gastos!$A$2:$A$2500)=BE$3)*(Gastos!$B$2:$B$2500=$A72)*(Gastos!$D$2:$D$2500))</f>
        <v>0</v>
      </c>
      <c r="BF72" s="75">
        <f t="array" ref="BF72">SUM((YEAR(Gastos!$A$2:$A$2500)=BF$1)*(MONTH(Gastos!$A$2:$A$2500)=BF$3)*(Gastos!$B$2:$B$2500=$A72)*(Gastos!$D$2:$D$2500))</f>
        <v>0</v>
      </c>
      <c r="BG72" s="75">
        <f t="array" ref="BG72">SUM((YEAR(Gastos!$A$2:$A$2500)=BG$1)*(MONTH(Gastos!$A$2:$A$2500)=BG$3)*(Gastos!$B$2:$B$2500=$A72)*(Gastos!$D$2:$D$2500))</f>
        <v>0</v>
      </c>
      <c r="BH72" s="75">
        <f t="array" ref="BH72">SUM((YEAR(Gastos!$A$2:$A$2500)=BH$1)*(MONTH(Gastos!$A$2:$A$2500)=BH$3)*(Gastos!$B$2:$B$2500=$A72)*(Gastos!$D$2:$D$2500))</f>
        <v>0</v>
      </c>
      <c r="BI72" s="75">
        <f t="array" ref="BI72">SUM((YEAR(Gastos!$A$2:$A$2500)=BI$1)*(MONTH(Gastos!$A$2:$A$2500)=BI$3)*(Gastos!$B$2:$B$2500=$A72)*(Gastos!$D$2:$D$2500))</f>
        <v>0</v>
      </c>
      <c r="BJ72" s="75">
        <f t="array" ref="BJ72">SUM((YEAR(Gastos!$A$2:$A$2500)=BJ$1)*(MONTH(Gastos!$A$2:$A$2500)=BJ$3)*(Gastos!$B$2:$B$2500=$A72)*(Gastos!$D$2:$D$2500))</f>
        <v>0</v>
      </c>
      <c r="BK72" s="75">
        <f t="array" ref="BK72">SUM((YEAR(Gastos!$A$2:$A$2500)=BK$1)*(MONTH(Gastos!$A$2:$A$2500)=BK$3)*(Gastos!$B$2:$B$2500=$A72)*(Gastos!$D$2:$D$2500))</f>
        <v>0</v>
      </c>
      <c r="BL72" s="75">
        <f t="array" ref="BL72">SUM((YEAR(Gastos!$A$2:$A$2500)=BL$1)*(MONTH(Gastos!$A$2:$A$2500)=BL$3)*(Gastos!$B$2:$B$2500=$A72)*(Gastos!$D$2:$D$2500))</f>
        <v>0</v>
      </c>
      <c r="BM72" s="75">
        <f t="array" ref="BM72">SUM((YEAR(Gastos!$A$2:$A$2500)=BM$1)*(MONTH(Gastos!$A$2:$A$2500)=BM$3)*(Gastos!$B$2:$B$2500=$A72)*(Gastos!$D$2:$D$2500))</f>
        <v>0</v>
      </c>
      <c r="BN72" s="75">
        <f t="array" ref="BN72">SUM((YEAR(Gastos!$A$2:$A$2500)=BN$1)*(MONTH(Gastos!$A$2:$A$2500)=BN$3)*(Gastos!$B$2:$B$2500=$A72)*(Gastos!$D$2:$D$2500))</f>
        <v>0</v>
      </c>
      <c r="BO72" s="75">
        <f t="array" ref="BO72">SUM((YEAR(Gastos!$A$2:$A$2500)=BO$1)*(MONTH(Gastos!$A$2:$A$2500)=BO$3)*(Gastos!$B$2:$B$2500=$A72)*(Gastos!$D$2:$D$2500))</f>
        <v>0</v>
      </c>
      <c r="BP72" s="75">
        <f t="array" ref="BP72">SUM((YEAR(Gastos!$A$2:$A$2500)=BP$1)*(MONTH(Gastos!$A$2:$A$2500)=BP$3)*(Gastos!$B$2:$B$2500=$A72)*(Gastos!$D$2:$D$2500))</f>
        <v>0</v>
      </c>
      <c r="BQ72" s="75">
        <f t="array" ref="BQ72">SUM((YEAR(Gastos!$A$2:$A$2500)=BQ$1)*(MONTH(Gastos!$A$2:$A$2500)=BQ$3)*(Gastos!$B$2:$B$2500=$A72)*(Gastos!$D$2:$D$2500))</f>
        <v>0</v>
      </c>
      <c r="BR72" s="75">
        <f t="array" ref="BR72">SUM((YEAR(Gastos!$A$2:$A$2500)=BR$1)*(MONTH(Gastos!$A$2:$A$2500)=BR$3)*(Gastos!$B$2:$B$2500=$A72)*(Gastos!$D$2:$D$2500))</f>
        <v>0</v>
      </c>
      <c r="BS72" s="75">
        <f t="array" ref="BS72">SUM((YEAR(Gastos!$A$2:$A$2500)=BS$1)*(MONTH(Gastos!$A$2:$A$2500)=BS$3)*(Gastos!$B$2:$B$2500=$A72)*(Gastos!$D$2:$D$2500))</f>
        <v>0</v>
      </c>
      <c r="BT72" s="75">
        <f t="array" ref="BT72">SUM((YEAR(Gastos!$A$2:$A$2500)=BT$1)*(MONTH(Gastos!$A$2:$A$2500)=BT$3)*(Gastos!$B$2:$B$2500=$A72)*(Gastos!$D$2:$D$2500))</f>
        <v>0</v>
      </c>
      <c r="BU72" s="75">
        <f t="array" ref="BU72">SUM((YEAR(Gastos!$A$2:$A$2500)=BU$1)*(MONTH(Gastos!$A$2:$A$2500)=BU$3)*(Gastos!$B$2:$B$2500=$A72)*(Gastos!$D$2:$D$2500))</f>
        <v>0</v>
      </c>
      <c r="BV72" s="75">
        <f t="array" ref="BV72">SUM((YEAR(Gastos!$A$2:$A$2500)=BV$1)*(MONTH(Gastos!$A$2:$A$2500)=BV$3)*(Gastos!$B$2:$B$2500=$A72)*(Gastos!$D$2:$D$2500))</f>
        <v>0</v>
      </c>
      <c r="BW72" s="75">
        <f t="array" ref="BW72">SUM((YEAR(Gastos!$A$2:$A$2500)=BW$1)*(MONTH(Gastos!$A$2:$A$2500)=BW$3)*(Gastos!$B$2:$B$2500=$A72)*(Gastos!$D$2:$D$2500))</f>
        <v>0</v>
      </c>
      <c r="BX72" s="75">
        <f t="array" ref="BX72">SUM((YEAR(Gastos!$A$2:$A$2500)=BX$1)*(MONTH(Gastos!$A$2:$A$2500)=BX$3)*(Gastos!$B$2:$B$2500=$A72)*(Gastos!$D$2:$D$2500))</f>
        <v>0</v>
      </c>
      <c r="BY72" s="75">
        <f t="array" ref="BY72">SUM((YEAR(Gastos!$A$2:$A$2500)=BY$1)*(MONTH(Gastos!$A$2:$A$2500)=BY$3)*(Gastos!$B$2:$B$2500=$A72)*(Gastos!$D$2:$D$2500))</f>
        <v>0</v>
      </c>
      <c r="BZ72" s="75">
        <f t="array" ref="BZ72">SUM((YEAR(Gastos!$A$2:$A$2500)=BZ$1)*(MONTH(Gastos!$A$2:$A$2500)=BZ$3)*(Gastos!$B$2:$B$2500=$A72)*(Gastos!$D$2:$D$2500))</f>
        <v>0</v>
      </c>
      <c r="CA72" s="75">
        <f t="array" ref="CA72">SUM((YEAR(Gastos!$A$2:$A$2500)=CA$1)*(MONTH(Gastos!$A$2:$A$2500)=CA$3)*(Gastos!$B$2:$B$2500=$A72)*(Gastos!$D$2:$D$2500))</f>
        <v>0</v>
      </c>
      <c r="CB72" s="75">
        <f t="array" ref="CB72">SUM((YEAR(Gastos!$A$2:$A$2500)=CB$1)*(MONTH(Gastos!$A$2:$A$2500)=CB$3)*(Gastos!$B$2:$B$2500=$A72)*(Gastos!$D$2:$D$2500))</f>
        <v>0</v>
      </c>
      <c r="CC72" s="75">
        <f t="array" ref="CC72">SUM((YEAR(Gastos!$A$2:$A$2500)=CC$1)*(MONTH(Gastos!$A$2:$A$2500)=CC$3)*(Gastos!$B$2:$B$2500=$A72)*(Gastos!$D$2:$D$2500))</f>
        <v>0</v>
      </c>
      <c r="CD72" s="75">
        <f t="array" ref="CD72">SUM((YEAR(Gastos!$A$2:$A$2500)=CD$1)*(MONTH(Gastos!$A$2:$A$2500)=CD$3)*(Gastos!$B$2:$B$2500=$A72)*(Gastos!$D$2:$D$2500))</f>
        <v>0</v>
      </c>
      <c r="CE72" s="75">
        <f t="array" ref="CE72">SUM((YEAR(Gastos!$A$2:$A$2500)=CE$1)*(MONTH(Gastos!$A$2:$A$2500)=CE$3)*(Gastos!$B$2:$B$2500=$A72)*(Gastos!$D$2:$D$2500))</f>
        <v>0</v>
      </c>
      <c r="CF72" s="75">
        <f t="array" ref="CF72">SUM((YEAR(Gastos!$A$2:$A$2500)=CF$1)*(MONTH(Gastos!$A$2:$A$2500)=CF$3)*(Gastos!$B$2:$B$2500=$A72)*(Gastos!$D$2:$D$2500))</f>
        <v>0</v>
      </c>
      <c r="CG72" s="75">
        <f t="array" ref="CG72">SUM((YEAR(Gastos!$A$2:$A$2500)=CG$1)*(MONTH(Gastos!$A$2:$A$2500)=CG$3)*(Gastos!$B$2:$B$2500=$A72)*(Gastos!$D$2:$D$2500))</f>
        <v>0</v>
      </c>
      <c r="CH72" s="75">
        <f t="array" ref="CH72">SUM((YEAR(Gastos!$A$2:$A$2500)=CH$1)*(MONTH(Gastos!$A$2:$A$2500)=CH$3)*(Gastos!$B$2:$B$2500=$A72)*(Gastos!$D$2:$D$2500))</f>
        <v>0</v>
      </c>
      <c r="CI72" s="75">
        <f t="array" ref="CI72">SUM((YEAR(Gastos!$A$2:$A$2500)=CI$1)*(MONTH(Gastos!$A$2:$A$2500)=CI$3)*(Gastos!$B$2:$B$2500=$A72)*(Gastos!$D$2:$D$2500))</f>
        <v>0</v>
      </c>
      <c r="CJ72" s="75">
        <f t="array" ref="CJ72">SUM((YEAR(Gastos!$A$2:$A$2500)=CJ$1)*(MONTH(Gastos!$A$2:$A$2500)=CJ$3)*(Gastos!$B$2:$B$2500=$A72)*(Gastos!$D$2:$D$2500))</f>
        <v>0</v>
      </c>
      <c r="CK72" s="75">
        <f t="array" ref="CK72">SUM((YEAR(Gastos!$A$2:$A$2500)=CK$1)*(MONTH(Gastos!$A$2:$A$2500)=CK$3)*(Gastos!$B$2:$B$2500=$A72)*(Gastos!$D$2:$D$2500))</f>
        <v>0</v>
      </c>
      <c r="CL72" s="75">
        <f t="array" ref="CL72">SUM((YEAR(Gastos!$A$2:$A$2500)=CL$1)*(MONTH(Gastos!$A$2:$A$2500)=CL$3)*(Gastos!$B$2:$B$2500=$A72)*(Gastos!$D$2:$D$2500))</f>
        <v>0</v>
      </c>
      <c r="CM72" s="75">
        <f t="array" ref="CM72">SUM((YEAR(Gastos!$A$2:$A$2500)=CM$1)*(MONTH(Gastos!$A$2:$A$2500)=CM$3)*(Gastos!$B$2:$B$2500=$A72)*(Gastos!$D$2:$D$2500))</f>
        <v>0</v>
      </c>
      <c r="CN72" s="75">
        <f t="array" ref="CN72">SUM((YEAR(Gastos!$A$2:$A$2500)=CN$1)*(MONTH(Gastos!$A$2:$A$2500)=CN$3)*(Gastos!$B$2:$B$2500=$A72)*(Gastos!$D$2:$D$2500))</f>
        <v>0</v>
      </c>
      <c r="CO72" s="75">
        <f t="array" ref="CO72">SUM((YEAR(Gastos!$A$2:$A$2500)=CO$1)*(MONTH(Gastos!$A$2:$A$2500)=CO$3)*(Gastos!$B$2:$B$2500=$A72)*(Gastos!$D$2:$D$2500))</f>
        <v>0</v>
      </c>
      <c r="CP72" s="75">
        <f t="array" ref="CP72">SUM((YEAR(Gastos!$A$2:$A$2500)=CP$1)*(MONTH(Gastos!$A$2:$A$2500)=CP$3)*(Gastos!$B$2:$B$2500=$A72)*(Gastos!$D$2:$D$2500))</f>
        <v>0</v>
      </c>
      <c r="CQ72" s="75">
        <f t="array" ref="CQ72">SUM((YEAR(Gastos!$A$2:$A$2500)=CQ$1)*(MONTH(Gastos!$A$2:$A$2500)=CQ$3)*(Gastos!$B$2:$B$2500=$A72)*(Gastos!$D$2:$D$2500))</f>
        <v>0</v>
      </c>
      <c r="CR72" s="75">
        <f t="array" ref="CR72">SUM((YEAR(Gastos!$A$2:$A$2500)=CR$1)*(MONTH(Gastos!$A$2:$A$2500)=CR$3)*(Gastos!$B$2:$B$2500=$A72)*(Gastos!$D$2:$D$2500))</f>
        <v>0</v>
      </c>
      <c r="CS72" s="75">
        <f t="array" ref="CS72">SUM((YEAR(Gastos!$A$2:$A$2500)=CS$1)*(MONTH(Gastos!$A$2:$A$2500)=CS$3)*(Gastos!$B$2:$B$2500=$A72)*(Gastos!$D$2:$D$2500))</f>
        <v>0</v>
      </c>
      <c r="CT72" s="75">
        <f t="array" ref="CT72">SUM((YEAR(Gastos!$A$2:$A$2500)=CT$1)*(MONTH(Gastos!$A$2:$A$2500)=CT$3)*(Gastos!$B$2:$B$2500=$A72)*(Gastos!$D$2:$D$2500))</f>
        <v>0</v>
      </c>
      <c r="CU72" s="75">
        <f t="array" ref="CU72">SUM((YEAR(Gastos!$A$2:$A$2500)=CU$1)*(MONTH(Gastos!$A$2:$A$2500)=CU$3)*(Gastos!$B$2:$B$2500=$A72)*(Gastos!$D$2:$D$2500))</f>
        <v>0</v>
      </c>
      <c r="CV72" s="75">
        <f t="array" ref="CV72">SUM((YEAR(Gastos!$A$2:$A$2500)=CV$1)*(MONTH(Gastos!$A$2:$A$2500)=CV$3)*(Gastos!$B$2:$B$2500=$A72)*(Gastos!$D$2:$D$2500))</f>
        <v>0</v>
      </c>
      <c r="CW72" s="75">
        <f t="array" ref="CW72">SUM((YEAR(Gastos!$A$2:$A$2500)=CW$1)*(MONTH(Gastos!$A$2:$A$2500)=CW$3)*(Gastos!$B$2:$B$2500=$A72)*(Gastos!$D$2:$D$2500))</f>
        <v>0</v>
      </c>
      <c r="CX72" s="75">
        <f t="array" ref="CX72">SUM((YEAR(Gastos!$A$2:$A$2500)=CX$1)*(MONTH(Gastos!$A$2:$A$2500)=CX$3)*(Gastos!$B$2:$B$2500=$A72)*(Gastos!$D$2:$D$2500))</f>
        <v>0</v>
      </c>
      <c r="CY72" s="75">
        <f t="array" ref="CY72">SUM((YEAR(Gastos!$A$2:$A$2500)=CY$1)*(MONTH(Gastos!$A$2:$A$2500)=CY$3)*(Gastos!$B$2:$B$2500=$A72)*(Gastos!$D$2:$D$2500))</f>
        <v>0</v>
      </c>
      <c r="CZ72" s="75">
        <f t="array" ref="CZ72">SUM((YEAR(Gastos!$A$2:$A$2500)=CZ$1)*(MONTH(Gastos!$A$2:$A$2500)=CZ$3)*(Gastos!$B$2:$B$2500=$A72)*(Gastos!$D$2:$D$2500))</f>
        <v>0</v>
      </c>
      <c r="DA72" s="75">
        <f t="array" ref="DA72">SUM((YEAR(Gastos!$A$2:$A$2500)=DA$1)*(MONTH(Gastos!$A$2:$A$2500)=DA$3)*(Gastos!$B$2:$B$2500=$A72)*(Gastos!$D$2:$D$2500))</f>
        <v>0</v>
      </c>
      <c r="DB72" s="75">
        <f t="array" ref="DB72">SUM((YEAR(Gastos!$A$2:$A$2500)=DB$1)*(MONTH(Gastos!$A$2:$A$2500)=DB$3)*(Gastos!$B$2:$B$2500=$A72)*(Gastos!$D$2:$D$2500))</f>
        <v>0</v>
      </c>
      <c r="DC72" s="75">
        <f t="array" ref="DC72">SUM((YEAR(Gastos!$A$2:$A$2500)=DC$1)*(MONTH(Gastos!$A$2:$A$2500)=DC$3)*(Gastos!$B$2:$B$2500=$A72)*(Gastos!$D$2:$D$2500))</f>
        <v>0</v>
      </c>
      <c r="DD72" s="75">
        <f t="array" ref="DD72">SUM((YEAR(Gastos!$A$2:$A$2500)=DD$1)*(MONTH(Gastos!$A$2:$A$2500)=DD$3)*(Gastos!$B$2:$B$2500=$A72)*(Gastos!$D$2:$D$2500))</f>
        <v>0</v>
      </c>
      <c r="DE72" s="75">
        <f t="array" ref="DE72">SUM((YEAR(Gastos!$A$2:$A$2500)=DE$1)*(MONTH(Gastos!$A$2:$A$2500)=DE$3)*(Gastos!$B$2:$B$2500=$A72)*(Gastos!$D$2:$D$2500))</f>
        <v>0</v>
      </c>
      <c r="DF72" s="75">
        <f t="array" ref="DF72">SUM((YEAR(Gastos!$A$2:$A$2500)=DF$1)*(MONTH(Gastos!$A$2:$A$2500)=DF$3)*(Gastos!$B$2:$B$2500=$A72)*(Gastos!$D$2:$D$2500))</f>
        <v>0</v>
      </c>
      <c r="DG72" s="75">
        <f t="array" ref="DG72">SUM((YEAR(Gastos!$A$2:$A$2500)=DG$1)*(MONTH(Gastos!$A$2:$A$2500)=DG$3)*(Gastos!$B$2:$B$2500=$A72)*(Gastos!$D$2:$D$2500))</f>
        <v>0</v>
      </c>
      <c r="DH72" s="75">
        <f t="array" ref="DH72">SUM((YEAR(Gastos!$A$2:$A$2500)=DH$1)*(MONTH(Gastos!$A$2:$A$2500)=DH$3)*(Gastos!$B$2:$B$2500=$A72)*(Gastos!$D$2:$D$2500))</f>
        <v>0</v>
      </c>
      <c r="DI72" s="75">
        <f t="array" ref="DI72">SUM((YEAR(Gastos!$A$2:$A$2500)=DI$1)*(MONTH(Gastos!$A$2:$A$2500)=DI$3)*(Gastos!$B$2:$B$2500=$A72)*(Gastos!$D$2:$D$2500))</f>
        <v>0</v>
      </c>
      <c r="DJ72" s="75">
        <f t="array" ref="DJ72">SUM((YEAR(Gastos!$A$2:$A$2500)=DJ$1)*(MONTH(Gastos!$A$2:$A$2500)=DJ$3)*(Gastos!$B$2:$B$2500=$A72)*(Gastos!$D$2:$D$2500))</f>
        <v>0</v>
      </c>
      <c r="DK72" s="75">
        <f t="array" ref="DK72">SUM((YEAR(Gastos!$A$2:$A$2500)=DK$1)*(MONTH(Gastos!$A$2:$A$2500)=DK$3)*(Gastos!$B$2:$B$2500=$A72)*(Gastos!$D$2:$D$2500))</f>
        <v>0</v>
      </c>
      <c r="DL72" s="75">
        <f t="array" ref="DL72">SUM((YEAR(Gastos!$A$2:$A$2500)=DL$1)*(MONTH(Gastos!$A$2:$A$2500)=DL$3)*(Gastos!$B$2:$B$2500=$A72)*(Gastos!$D$2:$D$2500))</f>
        <v>0</v>
      </c>
      <c r="DM72" s="75">
        <f t="array" ref="DM72">SUM((YEAR(Gastos!$A$2:$A$2500)=DM$1)*(MONTH(Gastos!$A$2:$A$2500)=DM$3)*(Gastos!$B$2:$B$2500=$A72)*(Gastos!$D$2:$D$2500))</f>
        <v>0</v>
      </c>
      <c r="DN72" s="75">
        <f t="array" ref="DN72">SUM((YEAR(Gastos!$A$2:$A$2500)=DN$1)*(MONTH(Gastos!$A$2:$A$2500)=DN$3)*(Gastos!$B$2:$B$2500=$A72)*(Gastos!$D$2:$D$2500))</f>
        <v>0</v>
      </c>
      <c r="DO72" s="75">
        <f t="array" ref="DO72">SUM((YEAR(Gastos!$A$2:$A$2500)=DO$1)*(MONTH(Gastos!$A$2:$A$2500)=DO$3)*(Gastos!$B$2:$B$2500=$A72)*(Gastos!$D$2:$D$2500))</f>
        <v>0</v>
      </c>
      <c r="DP72" s="75">
        <f t="array" ref="DP72">SUM((YEAR(Gastos!$A$2:$A$2500)=DP$1)*(MONTH(Gastos!$A$2:$A$2500)=DP$3)*(Gastos!$B$2:$B$2500=$A72)*(Gastos!$D$2:$D$2500))</f>
        <v>0</v>
      </c>
      <c r="DQ72" s="75">
        <f t="array" ref="DQ72">SUM((YEAR(Gastos!$A$2:$A$2500)=DQ$1)*(MONTH(Gastos!$A$2:$A$2500)=DQ$3)*(Gastos!$B$2:$B$2500=$A72)*(Gastos!$D$2:$D$2500))</f>
        <v>0</v>
      </c>
      <c r="DR72" s="75">
        <f t="array" ref="DR72">SUM((YEAR(Gastos!$A$2:$A$2500)=DR$1)*(MONTH(Gastos!$A$2:$A$2500)=DR$3)*(Gastos!$B$2:$B$2500=$A72)*(Gastos!$D$2:$D$2500))</f>
        <v>0</v>
      </c>
      <c r="DS72" s="75">
        <f t="array" ref="DS72">SUM((YEAR(Gastos!$A$2:$A$2500)=DS$1)*(MONTH(Gastos!$A$2:$A$2500)=DS$3)*(Gastos!$B$2:$B$2500=$A72)*(Gastos!$D$2:$D$2500))</f>
        <v>0</v>
      </c>
      <c r="DT72" s="75">
        <f t="array" ref="DT72">SUM((YEAR(Gastos!$A$2:$A$2500)=DT$1)*(MONTH(Gastos!$A$2:$A$2500)=DT$3)*(Gastos!$B$2:$B$2500=$A72)*(Gastos!$D$2:$D$2500))</f>
        <v>0</v>
      </c>
      <c r="DU72" s="75">
        <f t="array" ref="DU72">SUM((YEAR(Gastos!$A$2:$A$2500)=DU$1)*(MONTH(Gastos!$A$2:$A$2500)=DU$3)*(Gastos!$B$2:$B$2500=$A72)*(Gastos!$D$2:$D$2500))</f>
        <v>0</v>
      </c>
      <c r="DV72" s="75">
        <f t="array" ref="DV72">SUM((YEAR(Gastos!$A$2:$A$2500)=DV$1)*(MONTH(Gastos!$A$2:$A$2500)=DV$3)*(Gastos!$B$2:$B$2500=$A72)*(Gastos!$D$2:$D$2500))</f>
        <v>0</v>
      </c>
      <c r="DW72" s="75">
        <f t="array" ref="DW72">SUM((YEAR(Gastos!$A$2:$A$2500)=DW$1)*(MONTH(Gastos!$A$2:$A$2500)=DW$3)*(Gastos!$B$2:$B$2500=$A72)*(Gastos!$D$2:$D$2500))</f>
        <v>0</v>
      </c>
      <c r="DX72" s="75">
        <f t="array" ref="DX72">SUM((YEAR(Gastos!$A$2:$A$2500)=DX$1)*(MONTH(Gastos!$A$2:$A$2500)=DX$3)*(Gastos!$B$2:$B$2500=$A72)*(Gastos!$D$2:$D$2500))</f>
        <v>0</v>
      </c>
      <c r="DY72" s="75">
        <f t="array" ref="DY72">SUM((YEAR(Gastos!$A$2:$A$2500)=DY$1)*(MONTH(Gastos!$A$2:$A$2500)=DY$3)*(Gastos!$B$2:$B$2500=$A72)*(Gastos!$D$2:$D$2500))</f>
        <v>0</v>
      </c>
      <c r="DZ72" s="75">
        <f t="array" ref="DZ72">SUM((YEAR(Gastos!$A$2:$A$2500)=DZ$1)*(MONTH(Gastos!$A$2:$A$2500)=DZ$3)*(Gastos!$B$2:$B$2500=$A72)*(Gastos!$D$2:$D$2500))</f>
        <v>0</v>
      </c>
      <c r="EA72" s="75">
        <f t="array" ref="EA72">SUM((YEAR(Gastos!$A$2:$A$2500)=EA$1)*(MONTH(Gastos!$A$2:$A$2500)=EA$3)*(Gastos!$B$2:$B$2500=$A72)*(Gastos!$D$2:$D$2500))</f>
        <v>0</v>
      </c>
      <c r="EB72" s="75">
        <f t="array" ref="EB72">SUM((YEAR(Gastos!$A$2:$A$2500)=EB$1)*(MONTH(Gastos!$A$2:$A$2500)=EB$3)*(Gastos!$B$2:$B$2500=$A72)*(Gastos!$D$2:$D$2500))</f>
        <v>0</v>
      </c>
      <c r="EC72" s="75">
        <f t="array" ref="EC72">SUM((YEAR(Gastos!$A$2:$A$2500)=EC$1)*(MONTH(Gastos!$A$2:$A$2500)=EC$3)*(Gastos!$B$2:$B$2500=$A72)*(Gastos!$D$2:$D$2500))</f>
        <v>0</v>
      </c>
      <c r="ED72" s="75">
        <f t="array" ref="ED72">SUM((YEAR(Gastos!$A$2:$A$2500)=ED$1)*(MONTH(Gastos!$A$2:$A$2500)=ED$3)*(Gastos!$B$2:$B$2500=$A72)*(Gastos!$D$2:$D$2500))</f>
        <v>0</v>
      </c>
      <c r="EE72" s="75">
        <f t="array" ref="EE72">SUM((YEAR(Gastos!$A$2:$A$2500)=EE$1)*(MONTH(Gastos!$A$2:$A$2500)=EE$3)*(Gastos!$B$2:$B$2500=$A72)*(Gastos!$D$2:$D$2500))</f>
        <v>0</v>
      </c>
      <c r="EF72" s="75">
        <f t="array" ref="EF72">SUM((YEAR(Gastos!$A$2:$A$2500)=EF$1)*(MONTH(Gastos!$A$2:$A$2500)=EF$3)*(Gastos!$B$2:$B$2500=$A72)*(Gastos!$D$2:$D$2500))</f>
        <v>0</v>
      </c>
      <c r="EG72" s="75">
        <f t="array" ref="EG72">SUM((YEAR(Gastos!$A$2:$A$2500)=EG$1)*(MONTH(Gastos!$A$2:$A$2500)=EG$3)*(Gastos!$B$2:$B$2500=$A72)*(Gastos!$D$2:$D$2500))</f>
        <v>0</v>
      </c>
      <c r="EH72" s="75">
        <f t="array" ref="EH72">SUM((YEAR(Gastos!$A$2:$A$2500)=EH$1)*(MONTH(Gastos!$A$2:$A$2500)=EH$3)*(Gastos!$B$2:$B$2500=$A72)*(Gastos!$D$2:$D$2500))</f>
        <v>0</v>
      </c>
      <c r="EI72" s="75">
        <f t="array" ref="EI72">SUM((YEAR(Gastos!$A$2:$A$2500)=EI$1)*(MONTH(Gastos!$A$2:$A$2500)=EI$3)*(Gastos!$B$2:$B$2500=$A72)*(Gastos!$D$2:$D$2500))</f>
        <v>0</v>
      </c>
      <c r="EJ72" s="75">
        <f t="array" ref="EJ72">SUM((YEAR(Gastos!$A$2:$A$2500)=EJ$1)*(MONTH(Gastos!$A$2:$A$2500)=EJ$3)*(Gastos!$B$2:$B$2500=$A72)*(Gastos!$D$2:$D$2500))</f>
        <v>0</v>
      </c>
      <c r="EK72" s="75">
        <f t="array" ref="EK72">SUM((YEAR(Gastos!$A$2:$A$2500)=EK$1)*(MONTH(Gastos!$A$2:$A$2500)=EK$3)*(Gastos!$B$2:$B$2500=$A72)*(Gastos!$D$2:$D$2500))</f>
        <v>0</v>
      </c>
      <c r="EL72" s="75">
        <f t="array" ref="EL72">SUM((YEAR(Gastos!$A$2:$A$2500)=EL$1)*(MONTH(Gastos!$A$2:$A$2500)=EL$3)*(Gastos!$B$2:$B$2500=$A72)*(Gastos!$D$2:$D$2500))</f>
        <v>0</v>
      </c>
      <c r="EM72" s="75">
        <f t="array" ref="EM72">SUM((YEAR(Gastos!$A$2:$A$2500)=EM$1)*(MONTH(Gastos!$A$2:$A$2500)=EM$3)*(Gastos!$B$2:$B$2500=$A72)*(Gastos!$D$2:$D$2500))</f>
        <v>0</v>
      </c>
      <c r="EN72" s="75">
        <f t="array" ref="EN72">SUM((YEAR(Gastos!$A$2:$A$2500)=EN$1)*(MONTH(Gastos!$A$2:$A$2500)=EN$3)*(Gastos!$B$2:$B$2500=$A72)*(Gastos!$D$2:$D$2500))</f>
        <v>0</v>
      </c>
      <c r="EO72" s="75">
        <f t="array" ref="EO72">SUM((YEAR(Gastos!$A$2:$A$2500)=EO$1)*(MONTH(Gastos!$A$2:$A$2500)=EO$3)*(Gastos!$B$2:$B$2500=$A72)*(Gastos!$D$2:$D$2500))</f>
        <v>0</v>
      </c>
      <c r="EP72" s="75">
        <f t="array" ref="EP72">SUM((YEAR(Gastos!$A$2:$A$2500)=EP$1)*(MONTH(Gastos!$A$2:$A$2500)=EP$3)*(Gastos!$B$2:$B$2500=$A72)*(Gastos!$D$2:$D$2500))</f>
        <v>0</v>
      </c>
      <c r="EQ72" s="75">
        <f t="array" ref="EQ72">SUM((YEAR(Gastos!$A$2:$A$2500)=EQ$1)*(MONTH(Gastos!$A$2:$A$2500)=EQ$3)*(Gastos!$B$2:$B$2500=$A72)*(Gastos!$D$2:$D$2500))</f>
        <v>0</v>
      </c>
      <c r="ER72" s="75">
        <f t="array" ref="ER72">SUM((YEAR(Gastos!$A$2:$A$2500)=ER$1)*(MONTH(Gastos!$A$2:$A$2500)=ER$3)*(Gastos!$B$2:$B$2500=$A72)*(Gastos!$D$2:$D$2500))</f>
        <v>0</v>
      </c>
      <c r="ES72" s="75">
        <f t="array" ref="ES72">SUM((YEAR(Gastos!$A$2:$A$2500)=ES$1)*(MONTH(Gastos!$A$2:$A$2500)=ES$3)*(Gastos!$B$2:$B$2500=$A72)*(Gastos!$D$2:$D$2500))</f>
        <v>0</v>
      </c>
      <c r="ET72" s="75">
        <f t="array" ref="ET72">SUM((YEAR(Gastos!$A$2:$A$2500)=ET$1)*(MONTH(Gastos!$A$2:$A$2500)=ET$3)*(Gastos!$B$2:$B$2500=$A72)*(Gastos!$D$2:$D$2500))</f>
        <v>0</v>
      </c>
      <c r="EU72" s="75">
        <f t="array" ref="EU72">SUM((YEAR(Gastos!$A$2:$A$2500)=EU$1)*(MONTH(Gastos!$A$2:$A$2500)=EU$3)*(Gastos!$B$2:$B$2500=$A72)*(Gastos!$D$2:$D$2500))</f>
        <v>0</v>
      </c>
      <c r="EV72" s="75">
        <f t="array" ref="EV72">SUM((YEAR(Gastos!$A$2:$A$2500)=EV$1)*(MONTH(Gastos!$A$2:$A$2500)=EV$3)*(Gastos!$B$2:$B$2500=$A72)*(Gastos!$D$2:$D$2500))</f>
        <v>0</v>
      </c>
      <c r="EW72" s="75">
        <f t="array" ref="EW72">SUM((YEAR(Gastos!$A$2:$A$2500)=EW$1)*(MONTH(Gastos!$A$2:$A$2500)=EW$3)*(Gastos!$B$2:$B$2500=$A72)*(Gastos!$D$2:$D$2500))</f>
        <v>0</v>
      </c>
      <c r="EX72" s="75">
        <f t="array" ref="EX72">SUM((YEAR(Gastos!$A$2:$A$2500)=EX$1)*(MONTH(Gastos!$A$2:$A$2500)=EX$3)*(Gastos!$B$2:$B$2500=$A72)*(Gastos!$D$2:$D$2500))</f>
        <v>0</v>
      </c>
      <c r="EY72" s="75">
        <f t="array" ref="EY72">SUM((YEAR(Gastos!$A$2:$A$2500)=EY$1)*(MONTH(Gastos!$A$2:$A$2500)=EY$3)*(Gastos!$B$2:$B$2500=$A72)*(Gastos!$D$2:$D$2500))</f>
        <v>0</v>
      </c>
      <c r="EZ72" s="75">
        <f t="array" ref="EZ72">SUM((YEAR(Gastos!$A$2:$A$2500)=EZ$1)*(MONTH(Gastos!$A$2:$A$2500)=EZ$3)*(Gastos!$B$2:$B$2500=$A72)*(Gastos!$D$2:$D$2500))</f>
        <v>0</v>
      </c>
      <c r="FA72" s="75">
        <f t="array" ref="FA72">SUM((YEAR(Gastos!$A$2:$A$2500)=FA$1)*(MONTH(Gastos!$A$2:$A$2500)=FA$3)*(Gastos!$B$2:$B$2500=$A72)*(Gastos!$D$2:$D$2500))</f>
        <v>0</v>
      </c>
      <c r="FB72" s="75">
        <f t="array" ref="FB72">SUM((YEAR(Gastos!$A$2:$A$2500)=FB$1)*(MONTH(Gastos!$A$2:$A$2500)=FB$3)*(Gastos!$B$2:$B$2500=$A72)*(Gastos!$D$2:$D$2500))</f>
        <v>0</v>
      </c>
      <c r="FC72" s="75">
        <f t="array" ref="FC72">SUM((YEAR(Gastos!$A$2:$A$2500)=FC$1)*(MONTH(Gastos!$A$2:$A$2500)=FC$3)*(Gastos!$B$2:$B$2500=$A72)*(Gastos!$D$2:$D$2500))</f>
        <v>0</v>
      </c>
      <c r="FD72" s="75">
        <f t="array" ref="FD72">SUM((YEAR(Gastos!$A$2:$A$2500)=FD$1)*(MONTH(Gastos!$A$2:$A$2500)=FD$3)*(Gastos!$B$2:$B$2500=$A72)*(Gastos!$D$2:$D$2500))</f>
        <v>0</v>
      </c>
      <c r="FE72" s="75">
        <f t="array" ref="FE72">SUM((YEAR(Gastos!$A$2:$A$2500)=FE$1)*(MONTH(Gastos!$A$2:$A$2500)=FE$3)*(Gastos!$B$2:$B$2500=$A72)*(Gastos!$D$2:$D$2500))</f>
        <v>0</v>
      </c>
      <c r="FF72" s="75">
        <f t="array" ref="FF72">SUM((YEAR(Gastos!$A$2:$A$2500)=FF$1)*(MONTH(Gastos!$A$2:$A$2500)=FF$3)*(Gastos!$B$2:$B$2500=$A72)*(Gastos!$D$2:$D$2500))</f>
        <v>0</v>
      </c>
      <c r="FG72" s="75">
        <f t="array" ref="FG72">SUM((YEAR(Gastos!$A$2:$A$2500)=FG$1)*(MONTH(Gastos!$A$2:$A$2500)=FG$3)*(Gastos!$B$2:$B$2500=$A72)*(Gastos!$D$2:$D$2500))</f>
        <v>0</v>
      </c>
      <c r="FH72" s="75">
        <f t="array" ref="FH72">SUM((YEAR(Gastos!$A$2:$A$2500)=FH$1)*(MONTH(Gastos!$A$2:$A$2500)=FH$3)*(Gastos!$B$2:$B$2500=$A72)*(Gastos!$D$2:$D$2500))</f>
        <v>0</v>
      </c>
      <c r="FI72" s="75">
        <f t="array" ref="FI72">SUM((YEAR(Gastos!$A$2:$A$2500)=FI$1)*(MONTH(Gastos!$A$2:$A$2500)=FI$3)*(Gastos!$B$2:$B$2500=$A72)*(Gastos!$D$2:$D$2500))</f>
        <v>0</v>
      </c>
      <c r="FJ72" s="75">
        <f t="array" ref="FJ72">SUM((YEAR(Gastos!$A$2:$A$2500)=FJ$1)*(MONTH(Gastos!$A$2:$A$2500)=FJ$3)*(Gastos!$B$2:$B$2500=$A72)*(Gastos!$D$2:$D$2500))</f>
        <v>0</v>
      </c>
      <c r="FK72" s="75">
        <f t="array" ref="FK72">SUM((YEAR(Gastos!$A$2:$A$2500)=FK$1)*(MONTH(Gastos!$A$2:$A$2500)=FK$3)*(Gastos!$B$2:$B$2500=$A72)*(Gastos!$D$2:$D$2500))</f>
        <v>0</v>
      </c>
      <c r="FL72" s="75">
        <f t="array" ref="FL72">SUM((YEAR(Gastos!$A$2:$A$2500)=FL$1)*(MONTH(Gastos!$A$2:$A$2500)=FL$3)*(Gastos!$B$2:$B$2500=$A72)*(Gastos!$D$2:$D$2500))</f>
        <v>0</v>
      </c>
      <c r="FM72" s="75">
        <f t="array" ref="FM72">SUM((YEAR(Gastos!$A$2:$A$2500)=FM$1)*(MONTH(Gastos!$A$2:$A$2500)=FM$3)*(Gastos!$B$2:$B$2500=$A72)*(Gastos!$D$2:$D$2500))</f>
        <v>0</v>
      </c>
      <c r="FN72" s="75">
        <f t="array" ref="FN72">SUM((YEAR(Gastos!$A$2:$A$2500)=FN$1)*(MONTH(Gastos!$A$2:$A$2500)=FN$3)*(Gastos!$B$2:$B$2500=$A72)*(Gastos!$D$2:$D$2500))</f>
        <v>0</v>
      </c>
      <c r="FO72" s="75">
        <f t="array" ref="FO72">SUM((YEAR(Gastos!$A$2:$A$2500)=FO$1)*(MONTH(Gastos!$A$2:$A$2500)=FO$3)*(Gastos!$B$2:$B$2500=$A72)*(Gastos!$D$2:$D$2500))</f>
        <v>0</v>
      </c>
      <c r="FP72" s="75">
        <f t="array" ref="FP72">SUM((YEAR(Gastos!$A$2:$A$2500)=FP$1)*(MONTH(Gastos!$A$2:$A$2500)=FP$3)*(Gastos!$B$2:$B$2500=$A72)*(Gastos!$D$2:$D$2500))</f>
        <v>0</v>
      </c>
      <c r="FQ72" s="75">
        <f t="array" ref="FQ72">SUM((YEAR(Gastos!$A$2:$A$2500)=FQ$1)*(MONTH(Gastos!$A$2:$A$2500)=FQ$3)*(Gastos!$B$2:$B$2500=$A72)*(Gastos!$D$2:$D$2500))</f>
        <v>0</v>
      </c>
      <c r="FR72" s="75">
        <f t="array" ref="FR72">SUM((YEAR(Gastos!$A$2:$A$2500)=FR$1)*(MONTH(Gastos!$A$2:$A$2500)=FR$3)*(Gastos!$B$2:$B$2500=$A72)*(Gastos!$D$2:$D$2500))</f>
        <v>0</v>
      </c>
      <c r="FS72" s="75">
        <f t="array" ref="FS72">SUM((YEAR(Gastos!$A$2:$A$2500)=FS$1)*(MONTH(Gastos!$A$2:$A$2500)=FS$3)*(Gastos!$B$2:$B$2500=$A72)*(Gastos!$D$2:$D$2500))</f>
        <v>0</v>
      </c>
      <c r="FT72" s="75">
        <f t="array" ref="FT72">SUM((YEAR(Gastos!$A$2:$A$2500)=FT$1)*(MONTH(Gastos!$A$2:$A$2500)=FT$3)*(Gastos!$B$2:$B$2500=$A72)*(Gastos!$D$2:$D$2500))</f>
        <v>0</v>
      </c>
      <c r="FU72" s="75">
        <f t="array" ref="FU72">SUM((YEAR(Gastos!$A$2:$A$2500)=FU$1)*(MONTH(Gastos!$A$2:$A$2500)=FU$3)*(Gastos!$B$2:$B$2500=$A72)*(Gastos!$D$2:$D$2500))</f>
        <v>0</v>
      </c>
      <c r="FV72" s="75">
        <f t="array" ref="FV72">SUM((YEAR(Gastos!$A$2:$A$2500)=FV$1)*(MONTH(Gastos!$A$2:$A$2500)=FV$3)*(Gastos!$B$2:$B$2500=$A72)*(Gastos!$D$2:$D$2500))</f>
        <v>0</v>
      </c>
      <c r="FW72" s="75">
        <f t="array" ref="FW72">SUM((YEAR(Gastos!$A$2:$A$2500)=FW$1)*(MONTH(Gastos!$A$2:$A$2500)=FW$3)*(Gastos!$B$2:$B$2500=$A72)*(Gastos!$D$2:$D$2500))</f>
        <v>0</v>
      </c>
      <c r="FX72" s="75">
        <f t="array" ref="FX72">SUM((YEAR(Gastos!$A$2:$A$2500)=FX$1)*(MONTH(Gastos!$A$2:$A$2500)=FX$3)*(Gastos!$B$2:$B$2500=$A72)*(Gastos!$D$2:$D$2500))</f>
        <v>0</v>
      </c>
      <c r="FY72" s="75">
        <f t="array" ref="FY72">SUM((YEAR(Gastos!$A$2:$A$2500)=FY$1)*(MONTH(Gastos!$A$2:$A$2500)=FY$3)*(Gastos!$B$2:$B$2500=$A72)*(Gastos!$D$2:$D$2500))</f>
        <v>0</v>
      </c>
      <c r="FZ72" s="76">
        <f t="shared" si="68"/>
        <v>0</v>
      </c>
      <c r="GA72" s="80"/>
      <c r="GB72" s="82"/>
    </row>
    <row r="73" spans="1:184" ht="15" thickBot="1" x14ac:dyDescent="0.4">
      <c r="A73" s="74" t="str">
        <f>Gastos!AA71</f>
        <v>X</v>
      </c>
      <c r="B73" s="75">
        <f t="array" ref="B73">SUM((YEAR(Gastos!$A$2:$A$2500)=B$1)*(MONTH(Gastos!$A$2:$A$2500)=B$3)*(Gastos!$B$2:$B$2500=$A73)*(Gastos!$D$2:$D$2500))</f>
        <v>0</v>
      </c>
      <c r="C73" s="75">
        <f t="array" ref="C73">SUM((YEAR(Gastos!$A$2:$A$2500)=C$1)*(MONTH(Gastos!$A$2:$A$2500)=C$3)*(Gastos!$B$2:$B$2500=$A73)*(Gastos!$D$2:$D$2500))</f>
        <v>0</v>
      </c>
      <c r="D73" s="75">
        <f t="array" ref="D73">SUM((YEAR(Gastos!$A$2:$A$2500)=D$1)*(MONTH(Gastos!$A$2:$A$2500)=D$3)*(Gastos!$B$2:$B$2500=$A73)*(Gastos!$D$2:$D$2500))</f>
        <v>0</v>
      </c>
      <c r="E73" s="75">
        <f t="array" ref="E73">SUM((YEAR(Gastos!$A$2:$A$2500)=E$1)*(MONTH(Gastos!$A$2:$A$2500)=E$3)*(Gastos!$B$2:$B$2500=$A73)*(Gastos!$D$2:$D$2500))</f>
        <v>0</v>
      </c>
      <c r="F73" s="75">
        <f t="array" ref="F73">SUM((YEAR(Gastos!$A$2:$A$2500)=F$1)*(MONTH(Gastos!$A$2:$A$2500)=F$3)*(Gastos!$B$2:$B$2500=$A73)*(Gastos!$D$2:$D$2500))</f>
        <v>0</v>
      </c>
      <c r="G73" s="75">
        <f t="array" ref="G73">SUM((YEAR(Gastos!$A$2:$A$2500)=G$1)*(MONTH(Gastos!$A$2:$A$2500)=G$3)*(Gastos!$B$2:$B$2500=$A73)*(Gastos!$D$2:$D$2500))</f>
        <v>0</v>
      </c>
      <c r="H73" s="75">
        <f t="array" ref="H73">SUM((YEAR(Gastos!$A$2:$A$2500)=H$1)*(MONTH(Gastos!$A$2:$A$2500)=H$3)*(Gastos!$B$2:$B$2500=$A73)*(Gastos!$D$2:$D$2500))</f>
        <v>0</v>
      </c>
      <c r="I73" s="75">
        <f t="array" ref="I73">SUM((YEAR(Gastos!$A$2:$A$2500)=I$1)*(MONTH(Gastos!$A$2:$A$2500)=I$3)*(Gastos!$B$2:$B$2500=$A73)*(Gastos!$D$2:$D$2500))</f>
        <v>0</v>
      </c>
      <c r="J73" s="75">
        <f t="array" ref="J73">SUM((YEAR(Gastos!$A$2:$A$2500)=J$1)*(MONTH(Gastos!$A$2:$A$2500)=J$3)*(Gastos!$B$2:$B$2500=$A73)*(Gastos!$D$2:$D$2500))</f>
        <v>0</v>
      </c>
      <c r="K73" s="75">
        <f t="array" ref="K73">SUM((YEAR(Gastos!$A$2:$A$2500)=K$1)*(MONTH(Gastos!$A$2:$A$2500)=K$3)*(Gastos!$B$2:$B$2500=$A73)*(Gastos!$D$2:$D$2500))</f>
        <v>0</v>
      </c>
      <c r="L73" s="75">
        <f t="array" ref="L73">SUM((YEAR(Gastos!$A$2:$A$2500)=L$1)*(MONTH(Gastos!$A$2:$A$2500)=L$3)*(Gastos!$B$2:$B$2500=$A73)*(Gastos!$D$2:$D$2500))</f>
        <v>0</v>
      </c>
      <c r="M73" s="75">
        <f t="array" ref="M73">SUM((YEAR(Gastos!$A$2:$A$2500)=M$1)*(MONTH(Gastos!$A$2:$A$2500)=M$3)*(Gastos!$B$2:$B$2500=$A73)*(Gastos!$D$2:$D$2500))</f>
        <v>0</v>
      </c>
      <c r="N73" s="75">
        <f t="array" ref="N73">SUM((YEAR(Gastos!$A$2:$A$2500)=N$1)*(MONTH(Gastos!$A$2:$A$2500)=N$3)*(Gastos!$B$2:$B$2500=$A73)*(Gastos!$D$2:$D$2500))</f>
        <v>0</v>
      </c>
      <c r="O73" s="75">
        <f t="array" ref="O73">SUM((YEAR(Gastos!$A$2:$A$2500)=O$1)*(MONTH(Gastos!$A$2:$A$2500)=O$3)*(Gastos!$B$2:$B$2500=$A73)*(Gastos!$D$2:$D$2500))</f>
        <v>0</v>
      </c>
      <c r="P73" s="75">
        <f t="array" ref="P73">SUM((YEAR(Gastos!$A$2:$A$2500)=P$1)*(MONTH(Gastos!$A$2:$A$2500)=P$3)*(Gastos!$B$2:$B$2500=$A73)*(Gastos!$D$2:$D$2500))</f>
        <v>0</v>
      </c>
      <c r="Q73" s="75">
        <f t="array" ref="Q73">SUM((YEAR(Gastos!$A$2:$A$2500)=Q$1)*(MONTH(Gastos!$A$2:$A$2500)=Q$3)*(Gastos!$B$2:$B$2500=$A73)*(Gastos!$D$2:$D$2500))</f>
        <v>0</v>
      </c>
      <c r="R73" s="75">
        <f t="array" ref="R73">SUM((YEAR(Gastos!$A$2:$A$2500)=R$1)*(MONTH(Gastos!$A$2:$A$2500)=R$3)*(Gastos!$B$2:$B$2500=$A73)*(Gastos!$D$2:$D$2500))</f>
        <v>0</v>
      </c>
      <c r="S73" s="75">
        <f t="array" ref="S73">SUM((YEAR(Gastos!$A$2:$A$2500)=S$1)*(MONTH(Gastos!$A$2:$A$2500)=S$3)*(Gastos!$B$2:$B$2500=$A73)*(Gastos!$D$2:$D$2500))</f>
        <v>0</v>
      </c>
      <c r="T73" s="75">
        <f t="array" ref="T73">SUM((YEAR(Gastos!$A$2:$A$2500)=T$1)*(MONTH(Gastos!$A$2:$A$2500)=T$3)*(Gastos!$B$2:$B$2500=$A73)*(Gastos!$D$2:$D$2500))</f>
        <v>0</v>
      </c>
      <c r="U73" s="75">
        <f t="array" ref="U73">SUM((YEAR(Gastos!$A$2:$A$2500)=U$1)*(MONTH(Gastos!$A$2:$A$2500)=U$3)*(Gastos!$B$2:$B$2500=$A73)*(Gastos!$D$2:$D$2500))</f>
        <v>0</v>
      </c>
      <c r="V73" s="75">
        <f t="array" ref="V73">SUM((YEAR(Gastos!$A$2:$A$2500)=V$1)*(MONTH(Gastos!$A$2:$A$2500)=V$3)*(Gastos!$B$2:$B$2500=$A73)*(Gastos!$D$2:$D$2500))</f>
        <v>0</v>
      </c>
      <c r="W73" s="75">
        <f t="array" ref="W73">SUM((YEAR(Gastos!$A$2:$A$2500)=W$1)*(MONTH(Gastos!$A$2:$A$2500)=W$3)*(Gastos!$B$2:$B$2500=$A73)*(Gastos!$D$2:$D$2500))</f>
        <v>0</v>
      </c>
      <c r="X73" s="75">
        <f t="array" ref="X73">SUM((YEAR(Gastos!$A$2:$A$2500)=X$1)*(MONTH(Gastos!$A$2:$A$2500)=X$3)*(Gastos!$B$2:$B$2500=$A73)*(Gastos!$D$2:$D$2500))</f>
        <v>0</v>
      </c>
      <c r="Y73" s="75">
        <f t="array" ref="Y73">SUM((YEAR(Gastos!$A$2:$A$2500)=Y$1)*(MONTH(Gastos!$A$2:$A$2500)=Y$3)*(Gastos!$B$2:$B$2500=$A73)*(Gastos!$D$2:$D$2500))</f>
        <v>0</v>
      </c>
      <c r="Z73" s="75">
        <f t="array" ref="Z73">SUM((YEAR(Gastos!$A$2:$A$2500)=Z$1)*(MONTH(Gastos!$A$2:$A$2500)=Z$3)*(Gastos!$B$2:$B$2500=$A73)*(Gastos!$D$2:$D$2500))</f>
        <v>0</v>
      </c>
      <c r="AA73" s="75">
        <f t="array" ref="AA73">SUM((YEAR(Gastos!$A$2:$A$2500)=AA$1)*(MONTH(Gastos!$A$2:$A$2500)=AA$3)*(Gastos!$B$2:$B$2500=$A73)*(Gastos!$D$2:$D$2500))</f>
        <v>0</v>
      </c>
      <c r="AB73" s="75">
        <f t="array" ref="AB73">SUM((YEAR(Gastos!$A$2:$A$2500)=AB$1)*(MONTH(Gastos!$A$2:$A$2500)=AB$3)*(Gastos!$B$2:$B$2500=$A73)*(Gastos!$D$2:$D$2500))</f>
        <v>0</v>
      </c>
      <c r="AC73" s="75">
        <f t="array" ref="AC73">SUM((YEAR(Gastos!$A$2:$A$2500)=AC$1)*(MONTH(Gastos!$A$2:$A$2500)=AC$3)*(Gastos!$B$2:$B$2500=$A73)*(Gastos!$D$2:$D$2500))</f>
        <v>0</v>
      </c>
      <c r="AD73" s="75">
        <f t="array" ref="AD73">SUM((YEAR(Gastos!$A$2:$A$2500)=AD$1)*(MONTH(Gastos!$A$2:$A$2500)=AD$3)*(Gastos!$B$2:$B$2500=$A73)*(Gastos!$D$2:$D$2500))</f>
        <v>0</v>
      </c>
      <c r="AE73" s="75">
        <f t="array" ref="AE73">SUM((YEAR(Gastos!$A$2:$A$2500)=AE$1)*(MONTH(Gastos!$A$2:$A$2500)=AE$3)*(Gastos!$B$2:$B$2500=$A73)*(Gastos!$D$2:$D$2500))</f>
        <v>0</v>
      </c>
      <c r="AF73" s="75">
        <f t="array" ref="AF73">SUM((YEAR(Gastos!$A$2:$A$2500)=AF$1)*(MONTH(Gastos!$A$2:$A$2500)=AF$3)*(Gastos!$B$2:$B$2500=$A73)*(Gastos!$D$2:$D$2500))</f>
        <v>0</v>
      </c>
      <c r="AG73" s="75">
        <f t="array" ref="AG73">SUM((YEAR(Gastos!$A$2:$A$2500)=AG$1)*(MONTH(Gastos!$A$2:$A$2500)=AG$3)*(Gastos!$B$2:$B$2500=$A73)*(Gastos!$D$2:$D$2500))</f>
        <v>0</v>
      </c>
      <c r="AH73" s="75">
        <f t="array" ref="AH73">SUM((YEAR(Gastos!$A$2:$A$2500)=AH$1)*(MONTH(Gastos!$A$2:$A$2500)=AH$3)*(Gastos!$B$2:$B$2500=$A73)*(Gastos!$D$2:$D$2500))</f>
        <v>0</v>
      </c>
      <c r="AI73" s="75">
        <f t="array" ref="AI73">SUM((YEAR(Gastos!$A$2:$A$2500)=AI$1)*(MONTH(Gastos!$A$2:$A$2500)=AI$3)*(Gastos!$B$2:$B$2500=$A73)*(Gastos!$D$2:$D$2500))</f>
        <v>0</v>
      </c>
      <c r="AJ73" s="75">
        <f t="array" ref="AJ73">SUM((YEAR(Gastos!$A$2:$A$2500)=AJ$1)*(MONTH(Gastos!$A$2:$A$2500)=AJ$3)*(Gastos!$B$2:$B$2500=$A73)*(Gastos!$D$2:$D$2500))</f>
        <v>0</v>
      </c>
      <c r="AK73" s="75">
        <f t="array" ref="AK73">SUM((YEAR(Gastos!$A$2:$A$2500)=AK$1)*(MONTH(Gastos!$A$2:$A$2500)=AK$3)*(Gastos!$B$2:$B$2500=$A73)*(Gastos!$D$2:$D$2500))</f>
        <v>0</v>
      </c>
      <c r="AL73" s="75">
        <f t="array" ref="AL73">SUM((YEAR(Gastos!$A$2:$A$2500)=AL$1)*(MONTH(Gastos!$A$2:$A$2500)=AL$3)*(Gastos!$B$2:$B$2500=$A73)*(Gastos!$D$2:$D$2500))</f>
        <v>0</v>
      </c>
      <c r="AM73" s="75">
        <f t="array" ref="AM73">SUM((YEAR(Gastos!$A$2:$A$2500)=AM$1)*(MONTH(Gastos!$A$2:$A$2500)=AM$3)*(Gastos!$B$2:$B$2500=$A73)*(Gastos!$D$2:$D$2500))</f>
        <v>0</v>
      </c>
      <c r="AN73" s="75">
        <f t="array" ref="AN73">SUM((YEAR(Gastos!$A$2:$A$2500)=AN$1)*(MONTH(Gastos!$A$2:$A$2500)=AN$3)*(Gastos!$B$2:$B$2500=$A73)*(Gastos!$D$2:$D$2500))</f>
        <v>0</v>
      </c>
      <c r="AO73" s="75">
        <f t="array" ref="AO73">SUM((YEAR(Gastos!$A$2:$A$2500)=AO$1)*(MONTH(Gastos!$A$2:$A$2500)=AO$3)*(Gastos!$B$2:$B$2500=$A73)*(Gastos!$D$2:$D$2500))</f>
        <v>0</v>
      </c>
      <c r="AP73" s="75">
        <f t="array" ref="AP73">SUM((YEAR(Gastos!$A$2:$A$2500)=AP$1)*(MONTH(Gastos!$A$2:$A$2500)=AP$3)*(Gastos!$B$2:$B$2500=$A73)*(Gastos!$D$2:$D$2500))</f>
        <v>0</v>
      </c>
      <c r="AQ73" s="75">
        <f t="array" ref="AQ73">SUM((YEAR(Gastos!$A$2:$A$2500)=AQ$1)*(MONTH(Gastos!$A$2:$A$2500)=AQ$3)*(Gastos!$B$2:$B$2500=$A73)*(Gastos!$D$2:$D$2500))</f>
        <v>0</v>
      </c>
      <c r="AR73" s="75">
        <f t="array" ref="AR73">SUM((YEAR(Gastos!$A$2:$A$2500)=AR$1)*(MONTH(Gastos!$A$2:$A$2500)=AR$3)*(Gastos!$B$2:$B$2500=$A73)*(Gastos!$D$2:$D$2500))</f>
        <v>0</v>
      </c>
      <c r="AS73" s="75">
        <f t="array" ref="AS73">SUM((YEAR(Gastos!$A$2:$A$2500)=AS$1)*(MONTH(Gastos!$A$2:$A$2500)=AS$3)*(Gastos!$B$2:$B$2500=$A73)*(Gastos!$D$2:$D$2500))</f>
        <v>0</v>
      </c>
      <c r="AT73" s="75">
        <f t="array" ref="AT73">SUM((YEAR(Gastos!$A$2:$A$2500)=AT$1)*(MONTH(Gastos!$A$2:$A$2500)=AT$3)*(Gastos!$B$2:$B$2500=$A73)*(Gastos!$D$2:$D$2500))</f>
        <v>0</v>
      </c>
      <c r="AU73" s="75">
        <f t="array" ref="AU73">SUM((YEAR(Gastos!$A$2:$A$2500)=AU$1)*(MONTH(Gastos!$A$2:$A$2500)=AU$3)*(Gastos!$B$2:$B$2500=$A73)*(Gastos!$D$2:$D$2500))</f>
        <v>0</v>
      </c>
      <c r="AV73" s="75">
        <f t="array" ref="AV73">SUM((YEAR(Gastos!$A$2:$A$2500)=AV$1)*(MONTH(Gastos!$A$2:$A$2500)=AV$3)*(Gastos!$B$2:$B$2500=$A73)*(Gastos!$D$2:$D$2500))</f>
        <v>0</v>
      </c>
      <c r="AW73" s="75">
        <f t="array" ref="AW73">SUM((YEAR(Gastos!$A$2:$A$2500)=AW$1)*(MONTH(Gastos!$A$2:$A$2500)=AW$3)*(Gastos!$B$2:$B$2500=$A73)*(Gastos!$D$2:$D$2500))</f>
        <v>0</v>
      </c>
      <c r="AX73" s="75">
        <f t="array" ref="AX73">SUM((YEAR(Gastos!$A$2:$A$2500)=AX$1)*(MONTH(Gastos!$A$2:$A$2500)=AX$3)*(Gastos!$B$2:$B$2500=$A73)*(Gastos!$D$2:$D$2500))</f>
        <v>0</v>
      </c>
      <c r="AY73" s="75">
        <f t="array" ref="AY73">SUM((YEAR(Gastos!$A$2:$A$2500)=AY$1)*(MONTH(Gastos!$A$2:$A$2500)=AY$3)*(Gastos!$B$2:$B$2500=$A73)*(Gastos!$D$2:$D$2500))</f>
        <v>0</v>
      </c>
      <c r="AZ73" s="75">
        <f t="array" ref="AZ73">SUM((YEAR(Gastos!$A$2:$A$2500)=AZ$1)*(MONTH(Gastos!$A$2:$A$2500)=AZ$3)*(Gastos!$B$2:$B$2500=$A73)*(Gastos!$D$2:$D$2500))</f>
        <v>0</v>
      </c>
      <c r="BA73" s="75">
        <f t="array" ref="BA73">SUM((YEAR(Gastos!$A$2:$A$2500)=BA$1)*(MONTH(Gastos!$A$2:$A$2500)=BA$3)*(Gastos!$B$2:$B$2500=$A73)*(Gastos!$D$2:$D$2500))</f>
        <v>0</v>
      </c>
      <c r="BB73" s="75">
        <f t="array" ref="BB73">SUM((YEAR(Gastos!$A$2:$A$2500)=BB$1)*(MONTH(Gastos!$A$2:$A$2500)=BB$3)*(Gastos!$B$2:$B$2500=$A73)*(Gastos!$D$2:$D$2500))</f>
        <v>0</v>
      </c>
      <c r="BC73" s="75">
        <f t="array" ref="BC73">SUM((YEAR(Gastos!$A$2:$A$2500)=BC$1)*(MONTH(Gastos!$A$2:$A$2500)=BC$3)*(Gastos!$B$2:$B$2500=$A73)*(Gastos!$D$2:$D$2500))</f>
        <v>0</v>
      </c>
      <c r="BD73" s="75">
        <f t="array" ref="BD73">SUM((YEAR(Gastos!$A$2:$A$2500)=BD$1)*(MONTH(Gastos!$A$2:$A$2500)=BD$3)*(Gastos!$B$2:$B$2500=$A73)*(Gastos!$D$2:$D$2500))</f>
        <v>0</v>
      </c>
      <c r="BE73" s="75">
        <f t="array" ref="BE73">SUM((YEAR(Gastos!$A$2:$A$2500)=BE$1)*(MONTH(Gastos!$A$2:$A$2500)=BE$3)*(Gastos!$B$2:$B$2500=$A73)*(Gastos!$D$2:$D$2500))</f>
        <v>0</v>
      </c>
      <c r="BF73" s="75">
        <f t="array" ref="BF73">SUM((YEAR(Gastos!$A$2:$A$2500)=BF$1)*(MONTH(Gastos!$A$2:$A$2500)=BF$3)*(Gastos!$B$2:$B$2500=$A73)*(Gastos!$D$2:$D$2500))</f>
        <v>0</v>
      </c>
      <c r="BG73" s="75">
        <f t="array" ref="BG73">SUM((YEAR(Gastos!$A$2:$A$2500)=BG$1)*(MONTH(Gastos!$A$2:$A$2500)=BG$3)*(Gastos!$B$2:$B$2500=$A73)*(Gastos!$D$2:$D$2500))</f>
        <v>0</v>
      </c>
      <c r="BH73" s="75">
        <f t="array" ref="BH73">SUM((YEAR(Gastos!$A$2:$A$2500)=BH$1)*(MONTH(Gastos!$A$2:$A$2500)=BH$3)*(Gastos!$B$2:$B$2500=$A73)*(Gastos!$D$2:$D$2500))</f>
        <v>0</v>
      </c>
      <c r="BI73" s="75">
        <f t="array" ref="BI73">SUM((YEAR(Gastos!$A$2:$A$2500)=BI$1)*(MONTH(Gastos!$A$2:$A$2500)=BI$3)*(Gastos!$B$2:$B$2500=$A73)*(Gastos!$D$2:$D$2500))</f>
        <v>0</v>
      </c>
      <c r="BJ73" s="75">
        <f t="array" ref="BJ73">SUM((YEAR(Gastos!$A$2:$A$2500)=BJ$1)*(MONTH(Gastos!$A$2:$A$2500)=BJ$3)*(Gastos!$B$2:$B$2500=$A73)*(Gastos!$D$2:$D$2500))</f>
        <v>0</v>
      </c>
      <c r="BK73" s="75">
        <f t="array" ref="BK73">SUM((YEAR(Gastos!$A$2:$A$2500)=BK$1)*(MONTH(Gastos!$A$2:$A$2500)=BK$3)*(Gastos!$B$2:$B$2500=$A73)*(Gastos!$D$2:$D$2500))</f>
        <v>0</v>
      </c>
      <c r="BL73" s="75">
        <f t="array" ref="BL73">SUM((YEAR(Gastos!$A$2:$A$2500)=BL$1)*(MONTH(Gastos!$A$2:$A$2500)=BL$3)*(Gastos!$B$2:$B$2500=$A73)*(Gastos!$D$2:$D$2500))</f>
        <v>0</v>
      </c>
      <c r="BM73" s="75">
        <f t="array" ref="BM73">SUM((YEAR(Gastos!$A$2:$A$2500)=BM$1)*(MONTH(Gastos!$A$2:$A$2500)=BM$3)*(Gastos!$B$2:$B$2500=$A73)*(Gastos!$D$2:$D$2500))</f>
        <v>0</v>
      </c>
      <c r="BN73" s="75">
        <f t="array" ref="BN73">SUM((YEAR(Gastos!$A$2:$A$2500)=BN$1)*(MONTH(Gastos!$A$2:$A$2500)=BN$3)*(Gastos!$B$2:$B$2500=$A73)*(Gastos!$D$2:$D$2500))</f>
        <v>0</v>
      </c>
      <c r="BO73" s="75">
        <f t="array" ref="BO73">SUM((YEAR(Gastos!$A$2:$A$2500)=BO$1)*(MONTH(Gastos!$A$2:$A$2500)=BO$3)*(Gastos!$B$2:$B$2500=$A73)*(Gastos!$D$2:$D$2500))</f>
        <v>0</v>
      </c>
      <c r="BP73" s="75">
        <f t="array" ref="BP73">SUM((YEAR(Gastos!$A$2:$A$2500)=BP$1)*(MONTH(Gastos!$A$2:$A$2500)=BP$3)*(Gastos!$B$2:$B$2500=$A73)*(Gastos!$D$2:$D$2500))</f>
        <v>0</v>
      </c>
      <c r="BQ73" s="75">
        <f t="array" ref="BQ73">SUM((YEAR(Gastos!$A$2:$A$2500)=BQ$1)*(MONTH(Gastos!$A$2:$A$2500)=BQ$3)*(Gastos!$B$2:$B$2500=$A73)*(Gastos!$D$2:$D$2500))</f>
        <v>0</v>
      </c>
      <c r="BR73" s="75">
        <f t="array" ref="BR73">SUM((YEAR(Gastos!$A$2:$A$2500)=BR$1)*(MONTH(Gastos!$A$2:$A$2500)=BR$3)*(Gastos!$B$2:$B$2500=$A73)*(Gastos!$D$2:$D$2500))</f>
        <v>0</v>
      </c>
      <c r="BS73" s="75">
        <f t="array" ref="BS73">SUM((YEAR(Gastos!$A$2:$A$2500)=BS$1)*(MONTH(Gastos!$A$2:$A$2500)=BS$3)*(Gastos!$B$2:$B$2500=$A73)*(Gastos!$D$2:$D$2500))</f>
        <v>0</v>
      </c>
      <c r="BT73" s="75">
        <f t="array" ref="BT73">SUM((YEAR(Gastos!$A$2:$A$2500)=BT$1)*(MONTH(Gastos!$A$2:$A$2500)=BT$3)*(Gastos!$B$2:$B$2500=$A73)*(Gastos!$D$2:$D$2500))</f>
        <v>0</v>
      </c>
      <c r="BU73" s="75">
        <f t="array" ref="BU73">SUM((YEAR(Gastos!$A$2:$A$2500)=BU$1)*(MONTH(Gastos!$A$2:$A$2500)=BU$3)*(Gastos!$B$2:$B$2500=$A73)*(Gastos!$D$2:$D$2500))</f>
        <v>0</v>
      </c>
      <c r="BV73" s="75">
        <f t="array" ref="BV73">SUM((YEAR(Gastos!$A$2:$A$2500)=BV$1)*(MONTH(Gastos!$A$2:$A$2500)=BV$3)*(Gastos!$B$2:$B$2500=$A73)*(Gastos!$D$2:$D$2500))</f>
        <v>0</v>
      </c>
      <c r="BW73" s="75">
        <f t="array" ref="BW73">SUM((YEAR(Gastos!$A$2:$A$2500)=BW$1)*(MONTH(Gastos!$A$2:$A$2500)=BW$3)*(Gastos!$B$2:$B$2500=$A73)*(Gastos!$D$2:$D$2500))</f>
        <v>0</v>
      </c>
      <c r="BX73" s="75">
        <f t="array" ref="BX73">SUM((YEAR(Gastos!$A$2:$A$2500)=BX$1)*(MONTH(Gastos!$A$2:$A$2500)=BX$3)*(Gastos!$B$2:$B$2500=$A73)*(Gastos!$D$2:$D$2500))</f>
        <v>0</v>
      </c>
      <c r="BY73" s="75">
        <f t="array" ref="BY73">SUM((YEAR(Gastos!$A$2:$A$2500)=BY$1)*(MONTH(Gastos!$A$2:$A$2500)=BY$3)*(Gastos!$B$2:$B$2500=$A73)*(Gastos!$D$2:$D$2500))</f>
        <v>0</v>
      </c>
      <c r="BZ73" s="75">
        <f t="array" ref="BZ73">SUM((YEAR(Gastos!$A$2:$A$2500)=BZ$1)*(MONTH(Gastos!$A$2:$A$2500)=BZ$3)*(Gastos!$B$2:$B$2500=$A73)*(Gastos!$D$2:$D$2500))</f>
        <v>0</v>
      </c>
      <c r="CA73" s="75">
        <f t="array" ref="CA73">SUM((YEAR(Gastos!$A$2:$A$2500)=CA$1)*(MONTH(Gastos!$A$2:$A$2500)=CA$3)*(Gastos!$B$2:$B$2500=$A73)*(Gastos!$D$2:$D$2500))</f>
        <v>0</v>
      </c>
      <c r="CB73" s="75">
        <f t="array" ref="CB73">SUM((YEAR(Gastos!$A$2:$A$2500)=CB$1)*(MONTH(Gastos!$A$2:$A$2500)=CB$3)*(Gastos!$B$2:$B$2500=$A73)*(Gastos!$D$2:$D$2500))</f>
        <v>0</v>
      </c>
      <c r="CC73" s="75">
        <f t="array" ref="CC73">SUM((YEAR(Gastos!$A$2:$A$2500)=CC$1)*(MONTH(Gastos!$A$2:$A$2500)=CC$3)*(Gastos!$B$2:$B$2500=$A73)*(Gastos!$D$2:$D$2500))</f>
        <v>0</v>
      </c>
      <c r="CD73" s="75">
        <f t="array" ref="CD73">SUM((YEAR(Gastos!$A$2:$A$2500)=CD$1)*(MONTH(Gastos!$A$2:$A$2500)=CD$3)*(Gastos!$B$2:$B$2500=$A73)*(Gastos!$D$2:$D$2500))</f>
        <v>0</v>
      </c>
      <c r="CE73" s="75">
        <f t="array" ref="CE73">SUM((YEAR(Gastos!$A$2:$A$2500)=CE$1)*(MONTH(Gastos!$A$2:$A$2500)=CE$3)*(Gastos!$B$2:$B$2500=$A73)*(Gastos!$D$2:$D$2500))</f>
        <v>0</v>
      </c>
      <c r="CF73" s="75">
        <f t="array" ref="CF73">SUM((YEAR(Gastos!$A$2:$A$2500)=CF$1)*(MONTH(Gastos!$A$2:$A$2500)=CF$3)*(Gastos!$B$2:$B$2500=$A73)*(Gastos!$D$2:$D$2500))</f>
        <v>0</v>
      </c>
      <c r="CG73" s="75">
        <f t="array" ref="CG73">SUM((YEAR(Gastos!$A$2:$A$2500)=CG$1)*(MONTH(Gastos!$A$2:$A$2500)=CG$3)*(Gastos!$B$2:$B$2500=$A73)*(Gastos!$D$2:$D$2500))</f>
        <v>0</v>
      </c>
      <c r="CH73" s="75">
        <f t="array" ref="CH73">SUM((YEAR(Gastos!$A$2:$A$2500)=CH$1)*(MONTH(Gastos!$A$2:$A$2500)=CH$3)*(Gastos!$B$2:$B$2500=$A73)*(Gastos!$D$2:$D$2500))</f>
        <v>0</v>
      </c>
      <c r="CI73" s="75">
        <f t="array" ref="CI73">SUM((YEAR(Gastos!$A$2:$A$2500)=CI$1)*(MONTH(Gastos!$A$2:$A$2500)=CI$3)*(Gastos!$B$2:$B$2500=$A73)*(Gastos!$D$2:$D$2500))</f>
        <v>0</v>
      </c>
      <c r="CJ73" s="75">
        <f t="array" ref="CJ73">SUM((YEAR(Gastos!$A$2:$A$2500)=CJ$1)*(MONTH(Gastos!$A$2:$A$2500)=CJ$3)*(Gastos!$B$2:$B$2500=$A73)*(Gastos!$D$2:$D$2500))</f>
        <v>0</v>
      </c>
      <c r="CK73" s="75">
        <f t="array" ref="CK73">SUM((YEAR(Gastos!$A$2:$A$2500)=CK$1)*(MONTH(Gastos!$A$2:$A$2500)=CK$3)*(Gastos!$B$2:$B$2500=$A73)*(Gastos!$D$2:$D$2500))</f>
        <v>0</v>
      </c>
      <c r="CL73" s="75">
        <f t="array" ref="CL73">SUM((YEAR(Gastos!$A$2:$A$2500)=CL$1)*(MONTH(Gastos!$A$2:$A$2500)=CL$3)*(Gastos!$B$2:$B$2500=$A73)*(Gastos!$D$2:$D$2500))</f>
        <v>0</v>
      </c>
      <c r="CM73" s="75">
        <f t="array" ref="CM73">SUM((YEAR(Gastos!$A$2:$A$2500)=CM$1)*(MONTH(Gastos!$A$2:$A$2500)=CM$3)*(Gastos!$B$2:$B$2500=$A73)*(Gastos!$D$2:$D$2500))</f>
        <v>0</v>
      </c>
      <c r="CN73" s="75">
        <f t="array" ref="CN73">SUM((YEAR(Gastos!$A$2:$A$2500)=CN$1)*(MONTH(Gastos!$A$2:$A$2500)=CN$3)*(Gastos!$B$2:$B$2500=$A73)*(Gastos!$D$2:$D$2500))</f>
        <v>0</v>
      </c>
      <c r="CO73" s="75">
        <f t="array" ref="CO73">SUM((YEAR(Gastos!$A$2:$A$2500)=CO$1)*(MONTH(Gastos!$A$2:$A$2500)=CO$3)*(Gastos!$B$2:$B$2500=$A73)*(Gastos!$D$2:$D$2500))</f>
        <v>0</v>
      </c>
      <c r="CP73" s="75">
        <f t="array" ref="CP73">SUM((YEAR(Gastos!$A$2:$A$2500)=CP$1)*(MONTH(Gastos!$A$2:$A$2500)=CP$3)*(Gastos!$B$2:$B$2500=$A73)*(Gastos!$D$2:$D$2500))</f>
        <v>0</v>
      </c>
      <c r="CQ73" s="75">
        <f t="array" ref="CQ73">SUM((YEAR(Gastos!$A$2:$A$2500)=CQ$1)*(MONTH(Gastos!$A$2:$A$2500)=CQ$3)*(Gastos!$B$2:$B$2500=$A73)*(Gastos!$D$2:$D$2500))</f>
        <v>0</v>
      </c>
      <c r="CR73" s="75">
        <f t="array" ref="CR73">SUM((YEAR(Gastos!$A$2:$A$2500)=CR$1)*(MONTH(Gastos!$A$2:$A$2500)=CR$3)*(Gastos!$B$2:$B$2500=$A73)*(Gastos!$D$2:$D$2500))</f>
        <v>0</v>
      </c>
      <c r="CS73" s="75">
        <f t="array" ref="CS73">SUM((YEAR(Gastos!$A$2:$A$2500)=CS$1)*(MONTH(Gastos!$A$2:$A$2500)=CS$3)*(Gastos!$B$2:$B$2500=$A73)*(Gastos!$D$2:$D$2500))</f>
        <v>0</v>
      </c>
      <c r="CT73" s="75">
        <f t="array" ref="CT73">SUM((YEAR(Gastos!$A$2:$A$2500)=CT$1)*(MONTH(Gastos!$A$2:$A$2500)=CT$3)*(Gastos!$B$2:$B$2500=$A73)*(Gastos!$D$2:$D$2500))</f>
        <v>0</v>
      </c>
      <c r="CU73" s="75">
        <f t="array" ref="CU73">SUM((YEAR(Gastos!$A$2:$A$2500)=CU$1)*(MONTH(Gastos!$A$2:$A$2500)=CU$3)*(Gastos!$B$2:$B$2500=$A73)*(Gastos!$D$2:$D$2500))</f>
        <v>0</v>
      </c>
      <c r="CV73" s="75">
        <f t="array" ref="CV73">SUM((YEAR(Gastos!$A$2:$A$2500)=CV$1)*(MONTH(Gastos!$A$2:$A$2500)=CV$3)*(Gastos!$B$2:$B$2500=$A73)*(Gastos!$D$2:$D$2500))</f>
        <v>0</v>
      </c>
      <c r="CW73" s="75">
        <f t="array" ref="CW73">SUM((YEAR(Gastos!$A$2:$A$2500)=CW$1)*(MONTH(Gastos!$A$2:$A$2500)=CW$3)*(Gastos!$B$2:$B$2500=$A73)*(Gastos!$D$2:$D$2500))</f>
        <v>0</v>
      </c>
      <c r="CX73" s="75">
        <f t="array" ref="CX73">SUM((YEAR(Gastos!$A$2:$A$2500)=CX$1)*(MONTH(Gastos!$A$2:$A$2500)=CX$3)*(Gastos!$B$2:$B$2500=$A73)*(Gastos!$D$2:$D$2500))</f>
        <v>0</v>
      </c>
      <c r="CY73" s="75">
        <f t="array" ref="CY73">SUM((YEAR(Gastos!$A$2:$A$2500)=CY$1)*(MONTH(Gastos!$A$2:$A$2500)=CY$3)*(Gastos!$B$2:$B$2500=$A73)*(Gastos!$D$2:$D$2500))</f>
        <v>0</v>
      </c>
      <c r="CZ73" s="75">
        <f t="array" ref="CZ73">SUM((YEAR(Gastos!$A$2:$A$2500)=CZ$1)*(MONTH(Gastos!$A$2:$A$2500)=CZ$3)*(Gastos!$B$2:$B$2500=$A73)*(Gastos!$D$2:$D$2500))</f>
        <v>0</v>
      </c>
      <c r="DA73" s="75">
        <f t="array" ref="DA73">SUM((YEAR(Gastos!$A$2:$A$2500)=DA$1)*(MONTH(Gastos!$A$2:$A$2500)=DA$3)*(Gastos!$B$2:$B$2500=$A73)*(Gastos!$D$2:$D$2500))</f>
        <v>0</v>
      </c>
      <c r="DB73" s="75">
        <f t="array" ref="DB73">SUM((YEAR(Gastos!$A$2:$A$2500)=DB$1)*(MONTH(Gastos!$A$2:$A$2500)=DB$3)*(Gastos!$B$2:$B$2500=$A73)*(Gastos!$D$2:$D$2500))</f>
        <v>0</v>
      </c>
      <c r="DC73" s="75">
        <f t="array" ref="DC73">SUM((YEAR(Gastos!$A$2:$A$2500)=DC$1)*(MONTH(Gastos!$A$2:$A$2500)=DC$3)*(Gastos!$B$2:$B$2500=$A73)*(Gastos!$D$2:$D$2500))</f>
        <v>0</v>
      </c>
      <c r="DD73" s="75">
        <f t="array" ref="DD73">SUM((YEAR(Gastos!$A$2:$A$2500)=DD$1)*(MONTH(Gastos!$A$2:$A$2500)=DD$3)*(Gastos!$B$2:$B$2500=$A73)*(Gastos!$D$2:$D$2500))</f>
        <v>0</v>
      </c>
      <c r="DE73" s="75">
        <f t="array" ref="DE73">SUM((YEAR(Gastos!$A$2:$A$2500)=DE$1)*(MONTH(Gastos!$A$2:$A$2500)=DE$3)*(Gastos!$B$2:$B$2500=$A73)*(Gastos!$D$2:$D$2500))</f>
        <v>0</v>
      </c>
      <c r="DF73" s="75">
        <f t="array" ref="DF73">SUM((YEAR(Gastos!$A$2:$A$2500)=DF$1)*(MONTH(Gastos!$A$2:$A$2500)=DF$3)*(Gastos!$B$2:$B$2500=$A73)*(Gastos!$D$2:$D$2500))</f>
        <v>0</v>
      </c>
      <c r="DG73" s="75">
        <f t="array" ref="DG73">SUM((YEAR(Gastos!$A$2:$A$2500)=DG$1)*(MONTH(Gastos!$A$2:$A$2500)=DG$3)*(Gastos!$B$2:$B$2500=$A73)*(Gastos!$D$2:$D$2500))</f>
        <v>0</v>
      </c>
      <c r="DH73" s="75">
        <f t="array" ref="DH73">SUM((YEAR(Gastos!$A$2:$A$2500)=DH$1)*(MONTH(Gastos!$A$2:$A$2500)=DH$3)*(Gastos!$B$2:$B$2500=$A73)*(Gastos!$D$2:$D$2500))</f>
        <v>0</v>
      </c>
      <c r="DI73" s="75">
        <f t="array" ref="DI73">SUM((YEAR(Gastos!$A$2:$A$2500)=DI$1)*(MONTH(Gastos!$A$2:$A$2500)=DI$3)*(Gastos!$B$2:$B$2500=$A73)*(Gastos!$D$2:$D$2500))</f>
        <v>0</v>
      </c>
      <c r="DJ73" s="75">
        <f t="array" ref="DJ73">SUM((YEAR(Gastos!$A$2:$A$2500)=DJ$1)*(MONTH(Gastos!$A$2:$A$2500)=DJ$3)*(Gastos!$B$2:$B$2500=$A73)*(Gastos!$D$2:$D$2500))</f>
        <v>0</v>
      </c>
      <c r="DK73" s="75">
        <f t="array" ref="DK73">SUM((YEAR(Gastos!$A$2:$A$2500)=DK$1)*(MONTH(Gastos!$A$2:$A$2500)=DK$3)*(Gastos!$B$2:$B$2500=$A73)*(Gastos!$D$2:$D$2500))</f>
        <v>0</v>
      </c>
      <c r="DL73" s="75">
        <f t="array" ref="DL73">SUM((YEAR(Gastos!$A$2:$A$2500)=DL$1)*(MONTH(Gastos!$A$2:$A$2500)=DL$3)*(Gastos!$B$2:$B$2500=$A73)*(Gastos!$D$2:$D$2500))</f>
        <v>0</v>
      </c>
      <c r="DM73" s="75">
        <f t="array" ref="DM73">SUM((YEAR(Gastos!$A$2:$A$2500)=DM$1)*(MONTH(Gastos!$A$2:$A$2500)=DM$3)*(Gastos!$B$2:$B$2500=$A73)*(Gastos!$D$2:$D$2500))</f>
        <v>0</v>
      </c>
      <c r="DN73" s="75">
        <f t="array" ref="DN73">SUM((YEAR(Gastos!$A$2:$A$2500)=DN$1)*(MONTH(Gastos!$A$2:$A$2500)=DN$3)*(Gastos!$B$2:$B$2500=$A73)*(Gastos!$D$2:$D$2500))</f>
        <v>0</v>
      </c>
      <c r="DO73" s="75">
        <f t="array" ref="DO73">SUM((YEAR(Gastos!$A$2:$A$2500)=DO$1)*(MONTH(Gastos!$A$2:$A$2500)=DO$3)*(Gastos!$B$2:$B$2500=$A73)*(Gastos!$D$2:$D$2500))</f>
        <v>0</v>
      </c>
      <c r="DP73" s="75">
        <f t="array" ref="DP73">SUM((YEAR(Gastos!$A$2:$A$2500)=DP$1)*(MONTH(Gastos!$A$2:$A$2500)=DP$3)*(Gastos!$B$2:$B$2500=$A73)*(Gastos!$D$2:$D$2500))</f>
        <v>0</v>
      </c>
      <c r="DQ73" s="75">
        <f t="array" ref="DQ73">SUM((YEAR(Gastos!$A$2:$A$2500)=DQ$1)*(MONTH(Gastos!$A$2:$A$2500)=DQ$3)*(Gastos!$B$2:$B$2500=$A73)*(Gastos!$D$2:$D$2500))</f>
        <v>0</v>
      </c>
      <c r="DR73" s="75">
        <f t="array" ref="DR73">SUM((YEAR(Gastos!$A$2:$A$2500)=DR$1)*(MONTH(Gastos!$A$2:$A$2500)=DR$3)*(Gastos!$B$2:$B$2500=$A73)*(Gastos!$D$2:$D$2500))</f>
        <v>0</v>
      </c>
      <c r="DS73" s="75">
        <f t="array" ref="DS73">SUM((YEAR(Gastos!$A$2:$A$2500)=DS$1)*(MONTH(Gastos!$A$2:$A$2500)=DS$3)*(Gastos!$B$2:$B$2500=$A73)*(Gastos!$D$2:$D$2500))</f>
        <v>0</v>
      </c>
      <c r="DT73" s="75">
        <f t="array" ref="DT73">SUM((YEAR(Gastos!$A$2:$A$2500)=DT$1)*(MONTH(Gastos!$A$2:$A$2500)=DT$3)*(Gastos!$B$2:$B$2500=$A73)*(Gastos!$D$2:$D$2500))</f>
        <v>0</v>
      </c>
      <c r="DU73" s="75">
        <f t="array" ref="DU73">SUM((YEAR(Gastos!$A$2:$A$2500)=DU$1)*(MONTH(Gastos!$A$2:$A$2500)=DU$3)*(Gastos!$B$2:$B$2500=$A73)*(Gastos!$D$2:$D$2500))</f>
        <v>0</v>
      </c>
      <c r="DV73" s="75">
        <f t="array" ref="DV73">SUM((YEAR(Gastos!$A$2:$A$2500)=DV$1)*(MONTH(Gastos!$A$2:$A$2500)=DV$3)*(Gastos!$B$2:$B$2500=$A73)*(Gastos!$D$2:$D$2500))</f>
        <v>0</v>
      </c>
      <c r="DW73" s="75">
        <f t="array" ref="DW73">SUM((YEAR(Gastos!$A$2:$A$2500)=DW$1)*(MONTH(Gastos!$A$2:$A$2500)=DW$3)*(Gastos!$B$2:$B$2500=$A73)*(Gastos!$D$2:$D$2500))</f>
        <v>0</v>
      </c>
      <c r="DX73" s="75">
        <f t="array" ref="DX73">SUM((YEAR(Gastos!$A$2:$A$2500)=DX$1)*(MONTH(Gastos!$A$2:$A$2500)=DX$3)*(Gastos!$B$2:$B$2500=$A73)*(Gastos!$D$2:$D$2500))</f>
        <v>0</v>
      </c>
      <c r="DY73" s="75">
        <f t="array" ref="DY73">SUM((YEAR(Gastos!$A$2:$A$2500)=DY$1)*(MONTH(Gastos!$A$2:$A$2500)=DY$3)*(Gastos!$B$2:$B$2500=$A73)*(Gastos!$D$2:$D$2500))</f>
        <v>0</v>
      </c>
      <c r="DZ73" s="75">
        <f t="array" ref="DZ73">SUM((YEAR(Gastos!$A$2:$A$2500)=DZ$1)*(MONTH(Gastos!$A$2:$A$2500)=DZ$3)*(Gastos!$B$2:$B$2500=$A73)*(Gastos!$D$2:$D$2500))</f>
        <v>0</v>
      </c>
      <c r="EA73" s="75">
        <f t="array" ref="EA73">SUM((YEAR(Gastos!$A$2:$A$2500)=EA$1)*(MONTH(Gastos!$A$2:$A$2500)=EA$3)*(Gastos!$B$2:$B$2500=$A73)*(Gastos!$D$2:$D$2500))</f>
        <v>0</v>
      </c>
      <c r="EB73" s="75">
        <f t="array" ref="EB73">SUM((YEAR(Gastos!$A$2:$A$2500)=EB$1)*(MONTH(Gastos!$A$2:$A$2500)=EB$3)*(Gastos!$B$2:$B$2500=$A73)*(Gastos!$D$2:$D$2500))</f>
        <v>0</v>
      </c>
      <c r="EC73" s="75">
        <f t="array" ref="EC73">SUM((YEAR(Gastos!$A$2:$A$2500)=EC$1)*(MONTH(Gastos!$A$2:$A$2500)=EC$3)*(Gastos!$B$2:$B$2500=$A73)*(Gastos!$D$2:$D$2500))</f>
        <v>0</v>
      </c>
      <c r="ED73" s="75">
        <f t="array" ref="ED73">SUM((YEAR(Gastos!$A$2:$A$2500)=ED$1)*(MONTH(Gastos!$A$2:$A$2500)=ED$3)*(Gastos!$B$2:$B$2500=$A73)*(Gastos!$D$2:$D$2500))</f>
        <v>0</v>
      </c>
      <c r="EE73" s="75">
        <f t="array" ref="EE73">SUM((YEAR(Gastos!$A$2:$A$2500)=EE$1)*(MONTH(Gastos!$A$2:$A$2500)=EE$3)*(Gastos!$B$2:$B$2500=$A73)*(Gastos!$D$2:$D$2500))</f>
        <v>0</v>
      </c>
      <c r="EF73" s="75">
        <f t="array" ref="EF73">SUM((YEAR(Gastos!$A$2:$A$2500)=EF$1)*(MONTH(Gastos!$A$2:$A$2500)=EF$3)*(Gastos!$B$2:$B$2500=$A73)*(Gastos!$D$2:$D$2500))</f>
        <v>0</v>
      </c>
      <c r="EG73" s="75">
        <f t="array" ref="EG73">SUM((YEAR(Gastos!$A$2:$A$2500)=EG$1)*(MONTH(Gastos!$A$2:$A$2500)=EG$3)*(Gastos!$B$2:$B$2500=$A73)*(Gastos!$D$2:$D$2500))</f>
        <v>0</v>
      </c>
      <c r="EH73" s="75">
        <f t="array" ref="EH73">SUM((YEAR(Gastos!$A$2:$A$2500)=EH$1)*(MONTH(Gastos!$A$2:$A$2500)=EH$3)*(Gastos!$B$2:$B$2500=$A73)*(Gastos!$D$2:$D$2500))</f>
        <v>0</v>
      </c>
      <c r="EI73" s="75">
        <f t="array" ref="EI73">SUM((YEAR(Gastos!$A$2:$A$2500)=EI$1)*(MONTH(Gastos!$A$2:$A$2500)=EI$3)*(Gastos!$B$2:$B$2500=$A73)*(Gastos!$D$2:$D$2500))</f>
        <v>0</v>
      </c>
      <c r="EJ73" s="75">
        <f t="array" ref="EJ73">SUM((YEAR(Gastos!$A$2:$A$2500)=EJ$1)*(MONTH(Gastos!$A$2:$A$2500)=EJ$3)*(Gastos!$B$2:$B$2500=$A73)*(Gastos!$D$2:$D$2500))</f>
        <v>0</v>
      </c>
      <c r="EK73" s="75">
        <f t="array" ref="EK73">SUM((YEAR(Gastos!$A$2:$A$2500)=EK$1)*(MONTH(Gastos!$A$2:$A$2500)=EK$3)*(Gastos!$B$2:$B$2500=$A73)*(Gastos!$D$2:$D$2500))</f>
        <v>0</v>
      </c>
      <c r="EL73" s="75">
        <f t="array" ref="EL73">SUM((YEAR(Gastos!$A$2:$A$2500)=EL$1)*(MONTH(Gastos!$A$2:$A$2500)=EL$3)*(Gastos!$B$2:$B$2500=$A73)*(Gastos!$D$2:$D$2500))</f>
        <v>0</v>
      </c>
      <c r="EM73" s="75">
        <f t="array" ref="EM73">SUM((YEAR(Gastos!$A$2:$A$2500)=EM$1)*(MONTH(Gastos!$A$2:$A$2500)=EM$3)*(Gastos!$B$2:$B$2500=$A73)*(Gastos!$D$2:$D$2500))</f>
        <v>0</v>
      </c>
      <c r="EN73" s="75">
        <f t="array" ref="EN73">SUM((YEAR(Gastos!$A$2:$A$2500)=EN$1)*(MONTH(Gastos!$A$2:$A$2500)=EN$3)*(Gastos!$B$2:$B$2500=$A73)*(Gastos!$D$2:$D$2500))</f>
        <v>0</v>
      </c>
      <c r="EO73" s="75">
        <f t="array" ref="EO73">SUM((YEAR(Gastos!$A$2:$A$2500)=EO$1)*(MONTH(Gastos!$A$2:$A$2500)=EO$3)*(Gastos!$B$2:$B$2500=$A73)*(Gastos!$D$2:$D$2500))</f>
        <v>0</v>
      </c>
      <c r="EP73" s="75">
        <f t="array" ref="EP73">SUM((YEAR(Gastos!$A$2:$A$2500)=EP$1)*(MONTH(Gastos!$A$2:$A$2500)=EP$3)*(Gastos!$B$2:$B$2500=$A73)*(Gastos!$D$2:$D$2500))</f>
        <v>0</v>
      </c>
      <c r="EQ73" s="75">
        <f t="array" ref="EQ73">SUM((YEAR(Gastos!$A$2:$A$2500)=EQ$1)*(MONTH(Gastos!$A$2:$A$2500)=EQ$3)*(Gastos!$B$2:$B$2500=$A73)*(Gastos!$D$2:$D$2500))</f>
        <v>0</v>
      </c>
      <c r="ER73" s="75">
        <f t="array" ref="ER73">SUM((YEAR(Gastos!$A$2:$A$2500)=ER$1)*(MONTH(Gastos!$A$2:$A$2500)=ER$3)*(Gastos!$B$2:$B$2500=$A73)*(Gastos!$D$2:$D$2500))</f>
        <v>0</v>
      </c>
      <c r="ES73" s="75">
        <f t="array" ref="ES73">SUM((YEAR(Gastos!$A$2:$A$2500)=ES$1)*(MONTH(Gastos!$A$2:$A$2500)=ES$3)*(Gastos!$B$2:$B$2500=$A73)*(Gastos!$D$2:$D$2500))</f>
        <v>0</v>
      </c>
      <c r="ET73" s="75">
        <f t="array" ref="ET73">SUM((YEAR(Gastos!$A$2:$A$2500)=ET$1)*(MONTH(Gastos!$A$2:$A$2500)=ET$3)*(Gastos!$B$2:$B$2500=$A73)*(Gastos!$D$2:$D$2500))</f>
        <v>0</v>
      </c>
      <c r="EU73" s="75">
        <f t="array" ref="EU73">SUM((YEAR(Gastos!$A$2:$A$2500)=EU$1)*(MONTH(Gastos!$A$2:$A$2500)=EU$3)*(Gastos!$B$2:$B$2500=$A73)*(Gastos!$D$2:$D$2500))</f>
        <v>0</v>
      </c>
      <c r="EV73" s="75">
        <f t="array" ref="EV73">SUM((YEAR(Gastos!$A$2:$A$2500)=EV$1)*(MONTH(Gastos!$A$2:$A$2500)=EV$3)*(Gastos!$B$2:$B$2500=$A73)*(Gastos!$D$2:$D$2500))</f>
        <v>0</v>
      </c>
      <c r="EW73" s="75">
        <f t="array" ref="EW73">SUM((YEAR(Gastos!$A$2:$A$2500)=EW$1)*(MONTH(Gastos!$A$2:$A$2500)=EW$3)*(Gastos!$B$2:$B$2500=$A73)*(Gastos!$D$2:$D$2500))</f>
        <v>0</v>
      </c>
      <c r="EX73" s="75">
        <f t="array" ref="EX73">SUM((YEAR(Gastos!$A$2:$A$2500)=EX$1)*(MONTH(Gastos!$A$2:$A$2500)=EX$3)*(Gastos!$B$2:$B$2500=$A73)*(Gastos!$D$2:$D$2500))</f>
        <v>0</v>
      </c>
      <c r="EY73" s="75">
        <f t="array" ref="EY73">SUM((YEAR(Gastos!$A$2:$A$2500)=EY$1)*(MONTH(Gastos!$A$2:$A$2500)=EY$3)*(Gastos!$B$2:$B$2500=$A73)*(Gastos!$D$2:$D$2500))</f>
        <v>0</v>
      </c>
      <c r="EZ73" s="75">
        <f t="array" ref="EZ73">SUM((YEAR(Gastos!$A$2:$A$2500)=EZ$1)*(MONTH(Gastos!$A$2:$A$2500)=EZ$3)*(Gastos!$B$2:$B$2500=$A73)*(Gastos!$D$2:$D$2500))</f>
        <v>0</v>
      </c>
      <c r="FA73" s="75">
        <f t="array" ref="FA73">SUM((YEAR(Gastos!$A$2:$A$2500)=FA$1)*(MONTH(Gastos!$A$2:$A$2500)=FA$3)*(Gastos!$B$2:$B$2500=$A73)*(Gastos!$D$2:$D$2500))</f>
        <v>0</v>
      </c>
      <c r="FB73" s="75">
        <f t="array" ref="FB73">SUM((YEAR(Gastos!$A$2:$A$2500)=FB$1)*(MONTH(Gastos!$A$2:$A$2500)=FB$3)*(Gastos!$B$2:$B$2500=$A73)*(Gastos!$D$2:$D$2500))</f>
        <v>0</v>
      </c>
      <c r="FC73" s="75">
        <f t="array" ref="FC73">SUM((YEAR(Gastos!$A$2:$A$2500)=FC$1)*(MONTH(Gastos!$A$2:$A$2500)=FC$3)*(Gastos!$B$2:$B$2500=$A73)*(Gastos!$D$2:$D$2500))</f>
        <v>0</v>
      </c>
      <c r="FD73" s="75">
        <f t="array" ref="FD73">SUM((YEAR(Gastos!$A$2:$A$2500)=FD$1)*(MONTH(Gastos!$A$2:$A$2500)=FD$3)*(Gastos!$B$2:$B$2500=$A73)*(Gastos!$D$2:$D$2500))</f>
        <v>0</v>
      </c>
      <c r="FE73" s="75">
        <f t="array" ref="FE73">SUM((YEAR(Gastos!$A$2:$A$2500)=FE$1)*(MONTH(Gastos!$A$2:$A$2500)=FE$3)*(Gastos!$B$2:$B$2500=$A73)*(Gastos!$D$2:$D$2500))</f>
        <v>0</v>
      </c>
      <c r="FF73" s="75">
        <f t="array" ref="FF73">SUM((YEAR(Gastos!$A$2:$A$2500)=FF$1)*(MONTH(Gastos!$A$2:$A$2500)=FF$3)*(Gastos!$B$2:$B$2500=$A73)*(Gastos!$D$2:$D$2500))</f>
        <v>0</v>
      </c>
      <c r="FG73" s="75">
        <f t="array" ref="FG73">SUM((YEAR(Gastos!$A$2:$A$2500)=FG$1)*(MONTH(Gastos!$A$2:$A$2500)=FG$3)*(Gastos!$B$2:$B$2500=$A73)*(Gastos!$D$2:$D$2500))</f>
        <v>0</v>
      </c>
      <c r="FH73" s="75">
        <f t="array" ref="FH73">SUM((YEAR(Gastos!$A$2:$A$2500)=FH$1)*(MONTH(Gastos!$A$2:$A$2500)=FH$3)*(Gastos!$B$2:$B$2500=$A73)*(Gastos!$D$2:$D$2500))</f>
        <v>0</v>
      </c>
      <c r="FI73" s="75">
        <f t="array" ref="FI73">SUM((YEAR(Gastos!$A$2:$A$2500)=FI$1)*(MONTH(Gastos!$A$2:$A$2500)=FI$3)*(Gastos!$B$2:$B$2500=$A73)*(Gastos!$D$2:$D$2500))</f>
        <v>0</v>
      </c>
      <c r="FJ73" s="75">
        <f t="array" ref="FJ73">SUM((YEAR(Gastos!$A$2:$A$2500)=FJ$1)*(MONTH(Gastos!$A$2:$A$2500)=FJ$3)*(Gastos!$B$2:$B$2500=$A73)*(Gastos!$D$2:$D$2500))</f>
        <v>0</v>
      </c>
      <c r="FK73" s="75">
        <f t="array" ref="FK73">SUM((YEAR(Gastos!$A$2:$A$2500)=FK$1)*(MONTH(Gastos!$A$2:$A$2500)=FK$3)*(Gastos!$B$2:$B$2500=$A73)*(Gastos!$D$2:$D$2500))</f>
        <v>0</v>
      </c>
      <c r="FL73" s="75">
        <f t="array" ref="FL73">SUM((YEAR(Gastos!$A$2:$A$2500)=FL$1)*(MONTH(Gastos!$A$2:$A$2500)=FL$3)*(Gastos!$B$2:$B$2500=$A73)*(Gastos!$D$2:$D$2500))</f>
        <v>0</v>
      </c>
      <c r="FM73" s="75">
        <f t="array" ref="FM73">SUM((YEAR(Gastos!$A$2:$A$2500)=FM$1)*(MONTH(Gastos!$A$2:$A$2500)=FM$3)*(Gastos!$B$2:$B$2500=$A73)*(Gastos!$D$2:$D$2500))</f>
        <v>0</v>
      </c>
      <c r="FN73" s="75">
        <f t="array" ref="FN73">SUM((YEAR(Gastos!$A$2:$A$2500)=FN$1)*(MONTH(Gastos!$A$2:$A$2500)=FN$3)*(Gastos!$B$2:$B$2500=$A73)*(Gastos!$D$2:$D$2500))</f>
        <v>0</v>
      </c>
      <c r="FO73" s="75">
        <f t="array" ref="FO73">SUM((YEAR(Gastos!$A$2:$A$2500)=FO$1)*(MONTH(Gastos!$A$2:$A$2500)=FO$3)*(Gastos!$B$2:$B$2500=$A73)*(Gastos!$D$2:$D$2500))</f>
        <v>0</v>
      </c>
      <c r="FP73" s="75">
        <f t="array" ref="FP73">SUM((YEAR(Gastos!$A$2:$A$2500)=FP$1)*(MONTH(Gastos!$A$2:$A$2500)=FP$3)*(Gastos!$B$2:$B$2500=$A73)*(Gastos!$D$2:$D$2500))</f>
        <v>0</v>
      </c>
      <c r="FQ73" s="75">
        <f t="array" ref="FQ73">SUM((YEAR(Gastos!$A$2:$A$2500)=FQ$1)*(MONTH(Gastos!$A$2:$A$2500)=FQ$3)*(Gastos!$B$2:$B$2500=$A73)*(Gastos!$D$2:$D$2500))</f>
        <v>0</v>
      </c>
      <c r="FR73" s="75">
        <f t="array" ref="FR73">SUM((YEAR(Gastos!$A$2:$A$2500)=FR$1)*(MONTH(Gastos!$A$2:$A$2500)=FR$3)*(Gastos!$B$2:$B$2500=$A73)*(Gastos!$D$2:$D$2500))</f>
        <v>0</v>
      </c>
      <c r="FS73" s="75">
        <f t="array" ref="FS73">SUM((YEAR(Gastos!$A$2:$A$2500)=FS$1)*(MONTH(Gastos!$A$2:$A$2500)=FS$3)*(Gastos!$B$2:$B$2500=$A73)*(Gastos!$D$2:$D$2500))</f>
        <v>0</v>
      </c>
      <c r="FT73" s="75">
        <f t="array" ref="FT73">SUM((YEAR(Gastos!$A$2:$A$2500)=FT$1)*(MONTH(Gastos!$A$2:$A$2500)=FT$3)*(Gastos!$B$2:$B$2500=$A73)*(Gastos!$D$2:$D$2500))</f>
        <v>0</v>
      </c>
      <c r="FU73" s="75">
        <f t="array" ref="FU73">SUM((YEAR(Gastos!$A$2:$A$2500)=FU$1)*(MONTH(Gastos!$A$2:$A$2500)=FU$3)*(Gastos!$B$2:$B$2500=$A73)*(Gastos!$D$2:$D$2500))</f>
        <v>0</v>
      </c>
      <c r="FV73" s="75">
        <f t="array" ref="FV73">SUM((YEAR(Gastos!$A$2:$A$2500)=FV$1)*(MONTH(Gastos!$A$2:$A$2500)=FV$3)*(Gastos!$B$2:$B$2500=$A73)*(Gastos!$D$2:$D$2500))</f>
        <v>0</v>
      </c>
      <c r="FW73" s="75">
        <f t="array" ref="FW73">SUM((YEAR(Gastos!$A$2:$A$2500)=FW$1)*(MONTH(Gastos!$A$2:$A$2500)=FW$3)*(Gastos!$B$2:$B$2500=$A73)*(Gastos!$D$2:$D$2500))</f>
        <v>0</v>
      </c>
      <c r="FX73" s="75">
        <f t="array" ref="FX73">SUM((YEAR(Gastos!$A$2:$A$2500)=FX$1)*(MONTH(Gastos!$A$2:$A$2500)=FX$3)*(Gastos!$B$2:$B$2500=$A73)*(Gastos!$D$2:$D$2500))</f>
        <v>0</v>
      </c>
      <c r="FY73" s="75">
        <f t="array" ref="FY73">SUM((YEAR(Gastos!$A$2:$A$2500)=FY$1)*(MONTH(Gastos!$A$2:$A$2500)=FY$3)*(Gastos!$B$2:$B$2500=$A73)*(Gastos!$D$2:$D$2500))</f>
        <v>0</v>
      </c>
      <c r="FZ73" s="76">
        <f t="shared" si="68"/>
        <v>0</v>
      </c>
      <c r="GA73" s="80"/>
      <c r="GB73" s="82"/>
    </row>
    <row r="74" spans="1:184" ht="15" thickBot="1" x14ac:dyDescent="0.4">
      <c r="A74" s="74" t="str">
        <f>Gastos!AA72</f>
        <v>X</v>
      </c>
      <c r="B74" s="75">
        <f t="array" ref="B74">SUM((YEAR(Gastos!$A$2:$A$2500)=B$1)*(MONTH(Gastos!$A$2:$A$2500)=B$3)*(Gastos!$B$2:$B$2500=$A74)*(Gastos!$D$2:$D$2500))</f>
        <v>0</v>
      </c>
      <c r="C74" s="75">
        <f t="array" ref="C74">SUM((YEAR(Gastos!$A$2:$A$2500)=C$1)*(MONTH(Gastos!$A$2:$A$2500)=C$3)*(Gastos!$B$2:$B$2500=$A74)*(Gastos!$D$2:$D$2500))</f>
        <v>0</v>
      </c>
      <c r="D74" s="75">
        <f t="array" ref="D74">SUM((YEAR(Gastos!$A$2:$A$2500)=D$1)*(MONTH(Gastos!$A$2:$A$2500)=D$3)*(Gastos!$B$2:$B$2500=$A74)*(Gastos!$D$2:$D$2500))</f>
        <v>0</v>
      </c>
      <c r="E74" s="75">
        <f t="array" ref="E74">SUM((YEAR(Gastos!$A$2:$A$2500)=E$1)*(MONTH(Gastos!$A$2:$A$2500)=E$3)*(Gastos!$B$2:$B$2500=$A74)*(Gastos!$D$2:$D$2500))</f>
        <v>0</v>
      </c>
      <c r="F74" s="75">
        <f t="array" ref="F74">SUM((YEAR(Gastos!$A$2:$A$2500)=F$1)*(MONTH(Gastos!$A$2:$A$2500)=F$3)*(Gastos!$B$2:$B$2500=$A74)*(Gastos!$D$2:$D$2500))</f>
        <v>0</v>
      </c>
      <c r="G74" s="75">
        <f t="array" ref="G74">SUM((YEAR(Gastos!$A$2:$A$2500)=G$1)*(MONTH(Gastos!$A$2:$A$2500)=G$3)*(Gastos!$B$2:$B$2500=$A74)*(Gastos!$D$2:$D$2500))</f>
        <v>0</v>
      </c>
      <c r="H74" s="75">
        <f t="array" ref="H74">SUM((YEAR(Gastos!$A$2:$A$2500)=H$1)*(MONTH(Gastos!$A$2:$A$2500)=H$3)*(Gastos!$B$2:$B$2500=$A74)*(Gastos!$D$2:$D$2500))</f>
        <v>0</v>
      </c>
      <c r="I74" s="75">
        <f t="array" ref="I74">SUM((YEAR(Gastos!$A$2:$A$2500)=I$1)*(MONTH(Gastos!$A$2:$A$2500)=I$3)*(Gastos!$B$2:$B$2500=$A74)*(Gastos!$D$2:$D$2500))</f>
        <v>0</v>
      </c>
      <c r="J74" s="75">
        <f t="array" ref="J74">SUM((YEAR(Gastos!$A$2:$A$2500)=J$1)*(MONTH(Gastos!$A$2:$A$2500)=J$3)*(Gastos!$B$2:$B$2500=$A74)*(Gastos!$D$2:$D$2500))</f>
        <v>0</v>
      </c>
      <c r="K74" s="75">
        <f t="array" ref="K74">SUM((YEAR(Gastos!$A$2:$A$2500)=K$1)*(MONTH(Gastos!$A$2:$A$2500)=K$3)*(Gastos!$B$2:$B$2500=$A74)*(Gastos!$D$2:$D$2500))</f>
        <v>0</v>
      </c>
      <c r="L74" s="75">
        <f t="array" ref="L74">SUM((YEAR(Gastos!$A$2:$A$2500)=L$1)*(MONTH(Gastos!$A$2:$A$2500)=L$3)*(Gastos!$B$2:$B$2500=$A74)*(Gastos!$D$2:$D$2500))</f>
        <v>0</v>
      </c>
      <c r="M74" s="75">
        <f t="array" ref="M74">SUM((YEAR(Gastos!$A$2:$A$2500)=M$1)*(MONTH(Gastos!$A$2:$A$2500)=M$3)*(Gastos!$B$2:$B$2500=$A74)*(Gastos!$D$2:$D$2500))</f>
        <v>0</v>
      </c>
      <c r="N74" s="75">
        <f t="array" ref="N74">SUM((YEAR(Gastos!$A$2:$A$2500)=N$1)*(MONTH(Gastos!$A$2:$A$2500)=N$3)*(Gastos!$B$2:$B$2500=$A74)*(Gastos!$D$2:$D$2500))</f>
        <v>0</v>
      </c>
      <c r="O74" s="75">
        <f t="array" ref="O74">SUM((YEAR(Gastos!$A$2:$A$2500)=O$1)*(MONTH(Gastos!$A$2:$A$2500)=O$3)*(Gastos!$B$2:$B$2500=$A74)*(Gastos!$D$2:$D$2500))</f>
        <v>0</v>
      </c>
      <c r="P74" s="75">
        <f t="array" ref="P74">SUM((YEAR(Gastos!$A$2:$A$2500)=P$1)*(MONTH(Gastos!$A$2:$A$2500)=P$3)*(Gastos!$B$2:$B$2500=$A74)*(Gastos!$D$2:$D$2500))</f>
        <v>0</v>
      </c>
      <c r="Q74" s="75">
        <f t="array" ref="Q74">SUM((YEAR(Gastos!$A$2:$A$2500)=Q$1)*(MONTH(Gastos!$A$2:$A$2500)=Q$3)*(Gastos!$B$2:$B$2500=$A74)*(Gastos!$D$2:$D$2500))</f>
        <v>0</v>
      </c>
      <c r="R74" s="75">
        <f t="array" ref="R74">SUM((YEAR(Gastos!$A$2:$A$2500)=R$1)*(MONTH(Gastos!$A$2:$A$2500)=R$3)*(Gastos!$B$2:$B$2500=$A74)*(Gastos!$D$2:$D$2500))</f>
        <v>0</v>
      </c>
      <c r="S74" s="75">
        <f t="array" ref="S74">SUM((YEAR(Gastos!$A$2:$A$2500)=S$1)*(MONTH(Gastos!$A$2:$A$2500)=S$3)*(Gastos!$B$2:$B$2500=$A74)*(Gastos!$D$2:$D$2500))</f>
        <v>0</v>
      </c>
      <c r="T74" s="75">
        <f t="array" ref="T74">SUM((YEAR(Gastos!$A$2:$A$2500)=T$1)*(MONTH(Gastos!$A$2:$A$2500)=T$3)*(Gastos!$B$2:$B$2500=$A74)*(Gastos!$D$2:$D$2500))</f>
        <v>0</v>
      </c>
      <c r="U74" s="75">
        <f t="array" ref="U74">SUM((YEAR(Gastos!$A$2:$A$2500)=U$1)*(MONTH(Gastos!$A$2:$A$2500)=U$3)*(Gastos!$B$2:$B$2500=$A74)*(Gastos!$D$2:$D$2500))</f>
        <v>0</v>
      </c>
      <c r="V74" s="75">
        <f t="array" ref="V74">SUM((YEAR(Gastos!$A$2:$A$2500)=V$1)*(MONTH(Gastos!$A$2:$A$2500)=V$3)*(Gastos!$B$2:$B$2500=$A74)*(Gastos!$D$2:$D$2500))</f>
        <v>0</v>
      </c>
      <c r="W74" s="75">
        <f t="array" ref="W74">SUM((YEAR(Gastos!$A$2:$A$2500)=W$1)*(MONTH(Gastos!$A$2:$A$2500)=W$3)*(Gastos!$B$2:$B$2500=$A74)*(Gastos!$D$2:$D$2500))</f>
        <v>0</v>
      </c>
      <c r="X74" s="75">
        <f t="array" ref="X74">SUM((YEAR(Gastos!$A$2:$A$2500)=X$1)*(MONTH(Gastos!$A$2:$A$2500)=X$3)*(Gastos!$B$2:$B$2500=$A74)*(Gastos!$D$2:$D$2500))</f>
        <v>0</v>
      </c>
      <c r="Y74" s="75">
        <f t="array" ref="Y74">SUM((YEAR(Gastos!$A$2:$A$2500)=Y$1)*(MONTH(Gastos!$A$2:$A$2500)=Y$3)*(Gastos!$B$2:$B$2500=$A74)*(Gastos!$D$2:$D$2500))</f>
        <v>0</v>
      </c>
      <c r="Z74" s="75">
        <f t="array" ref="Z74">SUM((YEAR(Gastos!$A$2:$A$2500)=Z$1)*(MONTH(Gastos!$A$2:$A$2500)=Z$3)*(Gastos!$B$2:$B$2500=$A74)*(Gastos!$D$2:$D$2500))</f>
        <v>0</v>
      </c>
      <c r="AA74" s="75">
        <f t="array" ref="AA74">SUM((YEAR(Gastos!$A$2:$A$2500)=AA$1)*(MONTH(Gastos!$A$2:$A$2500)=AA$3)*(Gastos!$B$2:$B$2500=$A74)*(Gastos!$D$2:$D$2500))</f>
        <v>0</v>
      </c>
      <c r="AB74" s="75">
        <f t="array" ref="AB74">SUM((YEAR(Gastos!$A$2:$A$2500)=AB$1)*(MONTH(Gastos!$A$2:$A$2500)=AB$3)*(Gastos!$B$2:$B$2500=$A74)*(Gastos!$D$2:$D$2500))</f>
        <v>0</v>
      </c>
      <c r="AC74" s="75">
        <f t="array" ref="AC74">SUM((YEAR(Gastos!$A$2:$A$2500)=AC$1)*(MONTH(Gastos!$A$2:$A$2500)=AC$3)*(Gastos!$B$2:$B$2500=$A74)*(Gastos!$D$2:$D$2500))</f>
        <v>0</v>
      </c>
      <c r="AD74" s="75">
        <f t="array" ref="AD74">SUM((YEAR(Gastos!$A$2:$A$2500)=AD$1)*(MONTH(Gastos!$A$2:$A$2500)=AD$3)*(Gastos!$B$2:$B$2500=$A74)*(Gastos!$D$2:$D$2500))</f>
        <v>0</v>
      </c>
      <c r="AE74" s="75">
        <f t="array" ref="AE74">SUM((YEAR(Gastos!$A$2:$A$2500)=AE$1)*(MONTH(Gastos!$A$2:$A$2500)=AE$3)*(Gastos!$B$2:$B$2500=$A74)*(Gastos!$D$2:$D$2500))</f>
        <v>0</v>
      </c>
      <c r="AF74" s="75">
        <f t="array" ref="AF74">SUM((YEAR(Gastos!$A$2:$A$2500)=AF$1)*(MONTH(Gastos!$A$2:$A$2500)=AF$3)*(Gastos!$B$2:$B$2500=$A74)*(Gastos!$D$2:$D$2500))</f>
        <v>0</v>
      </c>
      <c r="AG74" s="75">
        <f t="array" ref="AG74">SUM((YEAR(Gastos!$A$2:$A$2500)=AG$1)*(MONTH(Gastos!$A$2:$A$2500)=AG$3)*(Gastos!$B$2:$B$2500=$A74)*(Gastos!$D$2:$D$2500))</f>
        <v>0</v>
      </c>
      <c r="AH74" s="75">
        <f t="array" ref="AH74">SUM((YEAR(Gastos!$A$2:$A$2500)=AH$1)*(MONTH(Gastos!$A$2:$A$2500)=AH$3)*(Gastos!$B$2:$B$2500=$A74)*(Gastos!$D$2:$D$2500))</f>
        <v>0</v>
      </c>
      <c r="AI74" s="75">
        <f t="array" ref="AI74">SUM((YEAR(Gastos!$A$2:$A$2500)=AI$1)*(MONTH(Gastos!$A$2:$A$2500)=AI$3)*(Gastos!$B$2:$B$2500=$A74)*(Gastos!$D$2:$D$2500))</f>
        <v>0</v>
      </c>
      <c r="AJ74" s="75">
        <f t="array" ref="AJ74">SUM((YEAR(Gastos!$A$2:$A$2500)=AJ$1)*(MONTH(Gastos!$A$2:$A$2500)=AJ$3)*(Gastos!$B$2:$B$2500=$A74)*(Gastos!$D$2:$D$2500))</f>
        <v>0</v>
      </c>
      <c r="AK74" s="75">
        <f t="array" ref="AK74">SUM((YEAR(Gastos!$A$2:$A$2500)=AK$1)*(MONTH(Gastos!$A$2:$A$2500)=AK$3)*(Gastos!$B$2:$B$2500=$A74)*(Gastos!$D$2:$D$2500))</f>
        <v>0</v>
      </c>
      <c r="AL74" s="75">
        <f t="array" ref="AL74">SUM((YEAR(Gastos!$A$2:$A$2500)=AL$1)*(MONTH(Gastos!$A$2:$A$2500)=AL$3)*(Gastos!$B$2:$B$2500=$A74)*(Gastos!$D$2:$D$2500))</f>
        <v>0</v>
      </c>
      <c r="AM74" s="75">
        <f t="array" ref="AM74">SUM((YEAR(Gastos!$A$2:$A$2500)=AM$1)*(MONTH(Gastos!$A$2:$A$2500)=AM$3)*(Gastos!$B$2:$B$2500=$A74)*(Gastos!$D$2:$D$2500))</f>
        <v>0</v>
      </c>
      <c r="AN74" s="75">
        <f t="array" ref="AN74">SUM((YEAR(Gastos!$A$2:$A$2500)=AN$1)*(MONTH(Gastos!$A$2:$A$2500)=AN$3)*(Gastos!$B$2:$B$2500=$A74)*(Gastos!$D$2:$D$2500))</f>
        <v>0</v>
      </c>
      <c r="AO74" s="75">
        <f t="array" ref="AO74">SUM((YEAR(Gastos!$A$2:$A$2500)=AO$1)*(MONTH(Gastos!$A$2:$A$2500)=AO$3)*(Gastos!$B$2:$B$2500=$A74)*(Gastos!$D$2:$D$2500))</f>
        <v>0</v>
      </c>
      <c r="AP74" s="75">
        <f t="array" ref="AP74">SUM((YEAR(Gastos!$A$2:$A$2500)=AP$1)*(MONTH(Gastos!$A$2:$A$2500)=AP$3)*(Gastos!$B$2:$B$2500=$A74)*(Gastos!$D$2:$D$2500))</f>
        <v>0</v>
      </c>
      <c r="AQ74" s="75">
        <f t="array" ref="AQ74">SUM((YEAR(Gastos!$A$2:$A$2500)=AQ$1)*(MONTH(Gastos!$A$2:$A$2500)=AQ$3)*(Gastos!$B$2:$B$2500=$A74)*(Gastos!$D$2:$D$2500))</f>
        <v>0</v>
      </c>
      <c r="AR74" s="75">
        <f t="array" ref="AR74">SUM((YEAR(Gastos!$A$2:$A$2500)=AR$1)*(MONTH(Gastos!$A$2:$A$2500)=AR$3)*(Gastos!$B$2:$B$2500=$A74)*(Gastos!$D$2:$D$2500))</f>
        <v>0</v>
      </c>
      <c r="AS74" s="75">
        <f t="array" ref="AS74">SUM((YEAR(Gastos!$A$2:$A$2500)=AS$1)*(MONTH(Gastos!$A$2:$A$2500)=AS$3)*(Gastos!$B$2:$B$2500=$A74)*(Gastos!$D$2:$D$2500))</f>
        <v>0</v>
      </c>
      <c r="AT74" s="75">
        <f t="array" ref="AT74">SUM((YEAR(Gastos!$A$2:$A$2500)=AT$1)*(MONTH(Gastos!$A$2:$A$2500)=AT$3)*(Gastos!$B$2:$B$2500=$A74)*(Gastos!$D$2:$D$2500))</f>
        <v>0</v>
      </c>
      <c r="AU74" s="75">
        <f t="array" ref="AU74">SUM((YEAR(Gastos!$A$2:$A$2500)=AU$1)*(MONTH(Gastos!$A$2:$A$2500)=AU$3)*(Gastos!$B$2:$B$2500=$A74)*(Gastos!$D$2:$D$2500))</f>
        <v>0</v>
      </c>
      <c r="AV74" s="75">
        <f t="array" ref="AV74">SUM((YEAR(Gastos!$A$2:$A$2500)=AV$1)*(MONTH(Gastos!$A$2:$A$2500)=AV$3)*(Gastos!$B$2:$B$2500=$A74)*(Gastos!$D$2:$D$2500))</f>
        <v>0</v>
      </c>
      <c r="AW74" s="75">
        <f t="array" ref="AW74">SUM((YEAR(Gastos!$A$2:$A$2500)=AW$1)*(MONTH(Gastos!$A$2:$A$2500)=AW$3)*(Gastos!$B$2:$B$2500=$A74)*(Gastos!$D$2:$D$2500))</f>
        <v>0</v>
      </c>
      <c r="AX74" s="75">
        <f t="array" ref="AX74">SUM((YEAR(Gastos!$A$2:$A$2500)=AX$1)*(MONTH(Gastos!$A$2:$A$2500)=AX$3)*(Gastos!$B$2:$B$2500=$A74)*(Gastos!$D$2:$D$2500))</f>
        <v>0</v>
      </c>
      <c r="AY74" s="75">
        <f t="array" ref="AY74">SUM((YEAR(Gastos!$A$2:$A$2500)=AY$1)*(MONTH(Gastos!$A$2:$A$2500)=AY$3)*(Gastos!$B$2:$B$2500=$A74)*(Gastos!$D$2:$D$2500))</f>
        <v>0</v>
      </c>
      <c r="AZ74" s="75">
        <f t="array" ref="AZ74">SUM((YEAR(Gastos!$A$2:$A$2500)=AZ$1)*(MONTH(Gastos!$A$2:$A$2500)=AZ$3)*(Gastos!$B$2:$B$2500=$A74)*(Gastos!$D$2:$D$2500))</f>
        <v>0</v>
      </c>
      <c r="BA74" s="75">
        <f t="array" ref="BA74">SUM((YEAR(Gastos!$A$2:$A$2500)=BA$1)*(MONTH(Gastos!$A$2:$A$2500)=BA$3)*(Gastos!$B$2:$B$2500=$A74)*(Gastos!$D$2:$D$2500))</f>
        <v>0</v>
      </c>
      <c r="BB74" s="75">
        <f t="array" ref="BB74">SUM((YEAR(Gastos!$A$2:$A$2500)=BB$1)*(MONTH(Gastos!$A$2:$A$2500)=BB$3)*(Gastos!$B$2:$B$2500=$A74)*(Gastos!$D$2:$D$2500))</f>
        <v>0</v>
      </c>
      <c r="BC74" s="75">
        <f t="array" ref="BC74">SUM((YEAR(Gastos!$A$2:$A$2500)=BC$1)*(MONTH(Gastos!$A$2:$A$2500)=BC$3)*(Gastos!$B$2:$B$2500=$A74)*(Gastos!$D$2:$D$2500))</f>
        <v>0</v>
      </c>
      <c r="BD74" s="75">
        <f t="array" ref="BD74">SUM((YEAR(Gastos!$A$2:$A$2500)=BD$1)*(MONTH(Gastos!$A$2:$A$2500)=BD$3)*(Gastos!$B$2:$B$2500=$A74)*(Gastos!$D$2:$D$2500))</f>
        <v>0</v>
      </c>
      <c r="BE74" s="75">
        <f t="array" ref="BE74">SUM((YEAR(Gastos!$A$2:$A$2500)=BE$1)*(MONTH(Gastos!$A$2:$A$2500)=BE$3)*(Gastos!$B$2:$B$2500=$A74)*(Gastos!$D$2:$D$2500))</f>
        <v>0</v>
      </c>
      <c r="BF74" s="75">
        <f t="array" ref="BF74">SUM((YEAR(Gastos!$A$2:$A$2500)=BF$1)*(MONTH(Gastos!$A$2:$A$2500)=BF$3)*(Gastos!$B$2:$B$2500=$A74)*(Gastos!$D$2:$D$2500))</f>
        <v>0</v>
      </c>
      <c r="BG74" s="75">
        <f t="array" ref="BG74">SUM((YEAR(Gastos!$A$2:$A$2500)=BG$1)*(MONTH(Gastos!$A$2:$A$2500)=BG$3)*(Gastos!$B$2:$B$2500=$A74)*(Gastos!$D$2:$D$2500))</f>
        <v>0</v>
      </c>
      <c r="BH74" s="75">
        <f t="array" ref="BH74">SUM((YEAR(Gastos!$A$2:$A$2500)=BH$1)*(MONTH(Gastos!$A$2:$A$2500)=BH$3)*(Gastos!$B$2:$B$2500=$A74)*(Gastos!$D$2:$D$2500))</f>
        <v>0</v>
      </c>
      <c r="BI74" s="75">
        <f t="array" ref="BI74">SUM((YEAR(Gastos!$A$2:$A$2500)=BI$1)*(MONTH(Gastos!$A$2:$A$2500)=BI$3)*(Gastos!$B$2:$B$2500=$A74)*(Gastos!$D$2:$D$2500))</f>
        <v>0</v>
      </c>
      <c r="BJ74" s="75">
        <f t="array" ref="BJ74">SUM((YEAR(Gastos!$A$2:$A$2500)=BJ$1)*(MONTH(Gastos!$A$2:$A$2500)=BJ$3)*(Gastos!$B$2:$B$2500=$A74)*(Gastos!$D$2:$D$2500))</f>
        <v>0</v>
      </c>
      <c r="BK74" s="75">
        <f t="array" ref="BK74">SUM((YEAR(Gastos!$A$2:$A$2500)=BK$1)*(MONTH(Gastos!$A$2:$A$2500)=BK$3)*(Gastos!$B$2:$B$2500=$A74)*(Gastos!$D$2:$D$2500))</f>
        <v>0</v>
      </c>
      <c r="BL74" s="75">
        <f t="array" ref="BL74">SUM((YEAR(Gastos!$A$2:$A$2500)=BL$1)*(MONTH(Gastos!$A$2:$A$2500)=BL$3)*(Gastos!$B$2:$B$2500=$A74)*(Gastos!$D$2:$D$2500))</f>
        <v>0</v>
      </c>
      <c r="BM74" s="75">
        <f t="array" ref="BM74">SUM((YEAR(Gastos!$A$2:$A$2500)=BM$1)*(MONTH(Gastos!$A$2:$A$2500)=BM$3)*(Gastos!$B$2:$B$2500=$A74)*(Gastos!$D$2:$D$2500))</f>
        <v>0</v>
      </c>
      <c r="BN74" s="75">
        <f t="array" ref="BN74">SUM((YEAR(Gastos!$A$2:$A$2500)=BN$1)*(MONTH(Gastos!$A$2:$A$2500)=BN$3)*(Gastos!$B$2:$B$2500=$A74)*(Gastos!$D$2:$D$2500))</f>
        <v>0</v>
      </c>
      <c r="BO74" s="75">
        <f t="array" ref="BO74">SUM((YEAR(Gastos!$A$2:$A$2500)=BO$1)*(MONTH(Gastos!$A$2:$A$2500)=BO$3)*(Gastos!$B$2:$B$2500=$A74)*(Gastos!$D$2:$D$2500))</f>
        <v>0</v>
      </c>
      <c r="BP74" s="75">
        <f t="array" ref="BP74">SUM((YEAR(Gastos!$A$2:$A$2500)=BP$1)*(MONTH(Gastos!$A$2:$A$2500)=BP$3)*(Gastos!$B$2:$B$2500=$A74)*(Gastos!$D$2:$D$2500))</f>
        <v>0</v>
      </c>
      <c r="BQ74" s="75">
        <f t="array" ref="BQ74">SUM((YEAR(Gastos!$A$2:$A$2500)=BQ$1)*(MONTH(Gastos!$A$2:$A$2500)=BQ$3)*(Gastos!$B$2:$B$2500=$A74)*(Gastos!$D$2:$D$2500))</f>
        <v>0</v>
      </c>
      <c r="BR74" s="75">
        <f t="array" ref="BR74">SUM((YEAR(Gastos!$A$2:$A$2500)=BR$1)*(MONTH(Gastos!$A$2:$A$2500)=BR$3)*(Gastos!$B$2:$B$2500=$A74)*(Gastos!$D$2:$D$2500))</f>
        <v>0</v>
      </c>
      <c r="BS74" s="75">
        <f t="array" ref="BS74">SUM((YEAR(Gastos!$A$2:$A$2500)=BS$1)*(MONTH(Gastos!$A$2:$A$2500)=BS$3)*(Gastos!$B$2:$B$2500=$A74)*(Gastos!$D$2:$D$2500))</f>
        <v>0</v>
      </c>
      <c r="BT74" s="75">
        <f t="array" ref="BT74">SUM((YEAR(Gastos!$A$2:$A$2500)=BT$1)*(MONTH(Gastos!$A$2:$A$2500)=BT$3)*(Gastos!$B$2:$B$2500=$A74)*(Gastos!$D$2:$D$2500))</f>
        <v>0</v>
      </c>
      <c r="BU74" s="75">
        <f t="array" ref="BU74">SUM((YEAR(Gastos!$A$2:$A$2500)=BU$1)*(MONTH(Gastos!$A$2:$A$2500)=BU$3)*(Gastos!$B$2:$B$2500=$A74)*(Gastos!$D$2:$D$2500))</f>
        <v>0</v>
      </c>
      <c r="BV74" s="75">
        <f t="array" ref="BV74">SUM((YEAR(Gastos!$A$2:$A$2500)=BV$1)*(MONTH(Gastos!$A$2:$A$2500)=BV$3)*(Gastos!$B$2:$B$2500=$A74)*(Gastos!$D$2:$D$2500))</f>
        <v>0</v>
      </c>
      <c r="BW74" s="75">
        <f t="array" ref="BW74">SUM((YEAR(Gastos!$A$2:$A$2500)=BW$1)*(MONTH(Gastos!$A$2:$A$2500)=BW$3)*(Gastos!$B$2:$B$2500=$A74)*(Gastos!$D$2:$D$2500))</f>
        <v>0</v>
      </c>
      <c r="BX74" s="75">
        <f t="array" ref="BX74">SUM((YEAR(Gastos!$A$2:$A$2500)=BX$1)*(MONTH(Gastos!$A$2:$A$2500)=BX$3)*(Gastos!$B$2:$B$2500=$A74)*(Gastos!$D$2:$D$2500))</f>
        <v>0</v>
      </c>
      <c r="BY74" s="75">
        <f t="array" ref="BY74">SUM((YEAR(Gastos!$A$2:$A$2500)=BY$1)*(MONTH(Gastos!$A$2:$A$2500)=BY$3)*(Gastos!$B$2:$B$2500=$A74)*(Gastos!$D$2:$D$2500))</f>
        <v>0</v>
      </c>
      <c r="BZ74" s="75">
        <f t="array" ref="BZ74">SUM((YEAR(Gastos!$A$2:$A$2500)=BZ$1)*(MONTH(Gastos!$A$2:$A$2500)=BZ$3)*(Gastos!$B$2:$B$2500=$A74)*(Gastos!$D$2:$D$2500))</f>
        <v>0</v>
      </c>
      <c r="CA74" s="75">
        <f t="array" ref="CA74">SUM((YEAR(Gastos!$A$2:$A$2500)=CA$1)*(MONTH(Gastos!$A$2:$A$2500)=CA$3)*(Gastos!$B$2:$B$2500=$A74)*(Gastos!$D$2:$D$2500))</f>
        <v>0</v>
      </c>
      <c r="CB74" s="75">
        <f t="array" ref="CB74">SUM((YEAR(Gastos!$A$2:$A$2500)=CB$1)*(MONTH(Gastos!$A$2:$A$2500)=CB$3)*(Gastos!$B$2:$B$2500=$A74)*(Gastos!$D$2:$D$2500))</f>
        <v>0</v>
      </c>
      <c r="CC74" s="75">
        <f t="array" ref="CC74">SUM((YEAR(Gastos!$A$2:$A$2500)=CC$1)*(MONTH(Gastos!$A$2:$A$2500)=CC$3)*(Gastos!$B$2:$B$2500=$A74)*(Gastos!$D$2:$D$2500))</f>
        <v>0</v>
      </c>
      <c r="CD74" s="75">
        <f t="array" ref="CD74">SUM((YEAR(Gastos!$A$2:$A$2500)=CD$1)*(MONTH(Gastos!$A$2:$A$2500)=CD$3)*(Gastos!$B$2:$B$2500=$A74)*(Gastos!$D$2:$D$2500))</f>
        <v>0</v>
      </c>
      <c r="CE74" s="75">
        <f t="array" ref="CE74">SUM((YEAR(Gastos!$A$2:$A$2500)=CE$1)*(MONTH(Gastos!$A$2:$A$2500)=CE$3)*(Gastos!$B$2:$B$2500=$A74)*(Gastos!$D$2:$D$2500))</f>
        <v>0</v>
      </c>
      <c r="CF74" s="75">
        <f t="array" ref="CF74">SUM((YEAR(Gastos!$A$2:$A$2500)=CF$1)*(MONTH(Gastos!$A$2:$A$2500)=CF$3)*(Gastos!$B$2:$B$2500=$A74)*(Gastos!$D$2:$D$2500))</f>
        <v>0</v>
      </c>
      <c r="CG74" s="75">
        <f t="array" ref="CG74">SUM((YEAR(Gastos!$A$2:$A$2500)=CG$1)*(MONTH(Gastos!$A$2:$A$2500)=CG$3)*(Gastos!$B$2:$B$2500=$A74)*(Gastos!$D$2:$D$2500))</f>
        <v>0</v>
      </c>
      <c r="CH74" s="75">
        <f t="array" ref="CH74">SUM((YEAR(Gastos!$A$2:$A$2500)=CH$1)*(MONTH(Gastos!$A$2:$A$2500)=CH$3)*(Gastos!$B$2:$B$2500=$A74)*(Gastos!$D$2:$D$2500))</f>
        <v>0</v>
      </c>
      <c r="CI74" s="75">
        <f t="array" ref="CI74">SUM((YEAR(Gastos!$A$2:$A$2500)=CI$1)*(MONTH(Gastos!$A$2:$A$2500)=CI$3)*(Gastos!$B$2:$B$2500=$A74)*(Gastos!$D$2:$D$2500))</f>
        <v>0</v>
      </c>
      <c r="CJ74" s="75">
        <f t="array" ref="CJ74">SUM((YEAR(Gastos!$A$2:$A$2500)=CJ$1)*(MONTH(Gastos!$A$2:$A$2500)=CJ$3)*(Gastos!$B$2:$B$2500=$A74)*(Gastos!$D$2:$D$2500))</f>
        <v>0</v>
      </c>
      <c r="CK74" s="75">
        <f t="array" ref="CK74">SUM((YEAR(Gastos!$A$2:$A$2500)=CK$1)*(MONTH(Gastos!$A$2:$A$2500)=CK$3)*(Gastos!$B$2:$B$2500=$A74)*(Gastos!$D$2:$D$2500))</f>
        <v>0</v>
      </c>
      <c r="CL74" s="75">
        <f t="array" ref="CL74">SUM((YEAR(Gastos!$A$2:$A$2500)=CL$1)*(MONTH(Gastos!$A$2:$A$2500)=CL$3)*(Gastos!$B$2:$B$2500=$A74)*(Gastos!$D$2:$D$2500))</f>
        <v>0</v>
      </c>
      <c r="CM74" s="75">
        <f t="array" ref="CM74">SUM((YEAR(Gastos!$A$2:$A$2500)=CM$1)*(MONTH(Gastos!$A$2:$A$2500)=CM$3)*(Gastos!$B$2:$B$2500=$A74)*(Gastos!$D$2:$D$2500))</f>
        <v>0</v>
      </c>
      <c r="CN74" s="75">
        <f t="array" ref="CN74">SUM((YEAR(Gastos!$A$2:$A$2500)=CN$1)*(MONTH(Gastos!$A$2:$A$2500)=CN$3)*(Gastos!$B$2:$B$2500=$A74)*(Gastos!$D$2:$D$2500))</f>
        <v>0</v>
      </c>
      <c r="CO74" s="75">
        <f t="array" ref="CO74">SUM((YEAR(Gastos!$A$2:$A$2500)=CO$1)*(MONTH(Gastos!$A$2:$A$2500)=CO$3)*(Gastos!$B$2:$B$2500=$A74)*(Gastos!$D$2:$D$2500))</f>
        <v>0</v>
      </c>
      <c r="CP74" s="75">
        <f t="array" ref="CP74">SUM((YEAR(Gastos!$A$2:$A$2500)=CP$1)*(MONTH(Gastos!$A$2:$A$2500)=CP$3)*(Gastos!$B$2:$B$2500=$A74)*(Gastos!$D$2:$D$2500))</f>
        <v>0</v>
      </c>
      <c r="CQ74" s="75">
        <f t="array" ref="CQ74">SUM((YEAR(Gastos!$A$2:$A$2500)=CQ$1)*(MONTH(Gastos!$A$2:$A$2500)=CQ$3)*(Gastos!$B$2:$B$2500=$A74)*(Gastos!$D$2:$D$2500))</f>
        <v>0</v>
      </c>
      <c r="CR74" s="75">
        <f t="array" ref="CR74">SUM((YEAR(Gastos!$A$2:$A$2500)=CR$1)*(MONTH(Gastos!$A$2:$A$2500)=CR$3)*(Gastos!$B$2:$B$2500=$A74)*(Gastos!$D$2:$D$2500))</f>
        <v>0</v>
      </c>
      <c r="CS74" s="75">
        <f t="array" ref="CS74">SUM((YEAR(Gastos!$A$2:$A$2500)=CS$1)*(MONTH(Gastos!$A$2:$A$2500)=CS$3)*(Gastos!$B$2:$B$2500=$A74)*(Gastos!$D$2:$D$2500))</f>
        <v>0</v>
      </c>
      <c r="CT74" s="75">
        <f t="array" ref="CT74">SUM((YEAR(Gastos!$A$2:$A$2500)=CT$1)*(MONTH(Gastos!$A$2:$A$2500)=CT$3)*(Gastos!$B$2:$B$2500=$A74)*(Gastos!$D$2:$D$2500))</f>
        <v>0</v>
      </c>
      <c r="CU74" s="75">
        <f t="array" ref="CU74">SUM((YEAR(Gastos!$A$2:$A$2500)=CU$1)*(MONTH(Gastos!$A$2:$A$2500)=CU$3)*(Gastos!$B$2:$B$2500=$A74)*(Gastos!$D$2:$D$2500))</f>
        <v>0</v>
      </c>
      <c r="CV74" s="75">
        <f t="array" ref="CV74">SUM((YEAR(Gastos!$A$2:$A$2500)=CV$1)*(MONTH(Gastos!$A$2:$A$2500)=CV$3)*(Gastos!$B$2:$B$2500=$A74)*(Gastos!$D$2:$D$2500))</f>
        <v>0</v>
      </c>
      <c r="CW74" s="75">
        <f t="array" ref="CW74">SUM((YEAR(Gastos!$A$2:$A$2500)=CW$1)*(MONTH(Gastos!$A$2:$A$2500)=CW$3)*(Gastos!$B$2:$B$2500=$A74)*(Gastos!$D$2:$D$2500))</f>
        <v>0</v>
      </c>
      <c r="CX74" s="75">
        <f t="array" ref="CX74">SUM((YEAR(Gastos!$A$2:$A$2500)=CX$1)*(MONTH(Gastos!$A$2:$A$2500)=CX$3)*(Gastos!$B$2:$B$2500=$A74)*(Gastos!$D$2:$D$2500))</f>
        <v>0</v>
      </c>
      <c r="CY74" s="75">
        <f t="array" ref="CY74">SUM((YEAR(Gastos!$A$2:$A$2500)=CY$1)*(MONTH(Gastos!$A$2:$A$2500)=CY$3)*(Gastos!$B$2:$B$2500=$A74)*(Gastos!$D$2:$D$2500))</f>
        <v>0</v>
      </c>
      <c r="CZ74" s="75">
        <f t="array" ref="CZ74">SUM((YEAR(Gastos!$A$2:$A$2500)=CZ$1)*(MONTH(Gastos!$A$2:$A$2500)=CZ$3)*(Gastos!$B$2:$B$2500=$A74)*(Gastos!$D$2:$D$2500))</f>
        <v>0</v>
      </c>
      <c r="DA74" s="75">
        <f t="array" ref="DA74">SUM((YEAR(Gastos!$A$2:$A$2500)=DA$1)*(MONTH(Gastos!$A$2:$A$2500)=DA$3)*(Gastos!$B$2:$B$2500=$A74)*(Gastos!$D$2:$D$2500))</f>
        <v>0</v>
      </c>
      <c r="DB74" s="75">
        <f t="array" ref="DB74">SUM((YEAR(Gastos!$A$2:$A$2500)=DB$1)*(MONTH(Gastos!$A$2:$A$2500)=DB$3)*(Gastos!$B$2:$B$2500=$A74)*(Gastos!$D$2:$D$2500))</f>
        <v>0</v>
      </c>
      <c r="DC74" s="75">
        <f t="array" ref="DC74">SUM((YEAR(Gastos!$A$2:$A$2500)=DC$1)*(MONTH(Gastos!$A$2:$A$2500)=DC$3)*(Gastos!$B$2:$B$2500=$A74)*(Gastos!$D$2:$D$2500))</f>
        <v>0</v>
      </c>
      <c r="DD74" s="75">
        <f t="array" ref="DD74">SUM((YEAR(Gastos!$A$2:$A$2500)=DD$1)*(MONTH(Gastos!$A$2:$A$2500)=DD$3)*(Gastos!$B$2:$B$2500=$A74)*(Gastos!$D$2:$D$2500))</f>
        <v>0</v>
      </c>
      <c r="DE74" s="75">
        <f t="array" ref="DE74">SUM((YEAR(Gastos!$A$2:$A$2500)=DE$1)*(MONTH(Gastos!$A$2:$A$2500)=DE$3)*(Gastos!$B$2:$B$2500=$A74)*(Gastos!$D$2:$D$2500))</f>
        <v>0</v>
      </c>
      <c r="DF74" s="75">
        <f t="array" ref="DF74">SUM((YEAR(Gastos!$A$2:$A$2500)=DF$1)*(MONTH(Gastos!$A$2:$A$2500)=DF$3)*(Gastos!$B$2:$B$2500=$A74)*(Gastos!$D$2:$D$2500))</f>
        <v>0</v>
      </c>
      <c r="DG74" s="75">
        <f t="array" ref="DG74">SUM((YEAR(Gastos!$A$2:$A$2500)=DG$1)*(MONTH(Gastos!$A$2:$A$2500)=DG$3)*(Gastos!$B$2:$B$2500=$A74)*(Gastos!$D$2:$D$2500))</f>
        <v>0</v>
      </c>
      <c r="DH74" s="75">
        <f t="array" ref="DH74">SUM((YEAR(Gastos!$A$2:$A$2500)=DH$1)*(MONTH(Gastos!$A$2:$A$2500)=DH$3)*(Gastos!$B$2:$B$2500=$A74)*(Gastos!$D$2:$D$2500))</f>
        <v>0</v>
      </c>
      <c r="DI74" s="75">
        <f t="array" ref="DI74">SUM((YEAR(Gastos!$A$2:$A$2500)=DI$1)*(MONTH(Gastos!$A$2:$A$2500)=DI$3)*(Gastos!$B$2:$B$2500=$A74)*(Gastos!$D$2:$D$2500))</f>
        <v>0</v>
      </c>
      <c r="DJ74" s="75">
        <f t="array" ref="DJ74">SUM((YEAR(Gastos!$A$2:$A$2500)=DJ$1)*(MONTH(Gastos!$A$2:$A$2500)=DJ$3)*(Gastos!$B$2:$B$2500=$A74)*(Gastos!$D$2:$D$2500))</f>
        <v>0</v>
      </c>
      <c r="DK74" s="75">
        <f t="array" ref="DK74">SUM((YEAR(Gastos!$A$2:$A$2500)=DK$1)*(MONTH(Gastos!$A$2:$A$2500)=DK$3)*(Gastos!$B$2:$B$2500=$A74)*(Gastos!$D$2:$D$2500))</f>
        <v>0</v>
      </c>
      <c r="DL74" s="75">
        <f t="array" ref="DL74">SUM((YEAR(Gastos!$A$2:$A$2500)=DL$1)*(MONTH(Gastos!$A$2:$A$2500)=DL$3)*(Gastos!$B$2:$B$2500=$A74)*(Gastos!$D$2:$D$2500))</f>
        <v>0</v>
      </c>
      <c r="DM74" s="75">
        <f t="array" ref="DM74">SUM((YEAR(Gastos!$A$2:$A$2500)=DM$1)*(MONTH(Gastos!$A$2:$A$2500)=DM$3)*(Gastos!$B$2:$B$2500=$A74)*(Gastos!$D$2:$D$2500))</f>
        <v>0</v>
      </c>
      <c r="DN74" s="75">
        <f t="array" ref="DN74">SUM((YEAR(Gastos!$A$2:$A$2500)=DN$1)*(MONTH(Gastos!$A$2:$A$2500)=DN$3)*(Gastos!$B$2:$B$2500=$A74)*(Gastos!$D$2:$D$2500))</f>
        <v>0</v>
      </c>
      <c r="DO74" s="75">
        <f t="array" ref="DO74">SUM((YEAR(Gastos!$A$2:$A$2500)=DO$1)*(MONTH(Gastos!$A$2:$A$2500)=DO$3)*(Gastos!$B$2:$B$2500=$A74)*(Gastos!$D$2:$D$2500))</f>
        <v>0</v>
      </c>
      <c r="DP74" s="75">
        <f t="array" ref="DP74">SUM((YEAR(Gastos!$A$2:$A$2500)=DP$1)*(MONTH(Gastos!$A$2:$A$2500)=DP$3)*(Gastos!$B$2:$B$2500=$A74)*(Gastos!$D$2:$D$2500))</f>
        <v>0</v>
      </c>
      <c r="DQ74" s="75">
        <f t="array" ref="DQ74">SUM((YEAR(Gastos!$A$2:$A$2500)=DQ$1)*(MONTH(Gastos!$A$2:$A$2500)=DQ$3)*(Gastos!$B$2:$B$2500=$A74)*(Gastos!$D$2:$D$2500))</f>
        <v>0</v>
      </c>
      <c r="DR74" s="75">
        <f t="array" ref="DR74">SUM((YEAR(Gastos!$A$2:$A$2500)=DR$1)*(MONTH(Gastos!$A$2:$A$2500)=DR$3)*(Gastos!$B$2:$B$2500=$A74)*(Gastos!$D$2:$D$2500))</f>
        <v>0</v>
      </c>
      <c r="DS74" s="75">
        <f t="array" ref="DS74">SUM((YEAR(Gastos!$A$2:$A$2500)=DS$1)*(MONTH(Gastos!$A$2:$A$2500)=DS$3)*(Gastos!$B$2:$B$2500=$A74)*(Gastos!$D$2:$D$2500))</f>
        <v>0</v>
      </c>
      <c r="DT74" s="75">
        <f t="array" ref="DT74">SUM((YEAR(Gastos!$A$2:$A$2500)=DT$1)*(MONTH(Gastos!$A$2:$A$2500)=DT$3)*(Gastos!$B$2:$B$2500=$A74)*(Gastos!$D$2:$D$2500))</f>
        <v>0</v>
      </c>
      <c r="DU74" s="75">
        <f t="array" ref="DU74">SUM((YEAR(Gastos!$A$2:$A$2500)=DU$1)*(MONTH(Gastos!$A$2:$A$2500)=DU$3)*(Gastos!$B$2:$B$2500=$A74)*(Gastos!$D$2:$D$2500))</f>
        <v>0</v>
      </c>
      <c r="DV74" s="75">
        <f t="array" ref="DV74">SUM((YEAR(Gastos!$A$2:$A$2500)=DV$1)*(MONTH(Gastos!$A$2:$A$2500)=DV$3)*(Gastos!$B$2:$B$2500=$A74)*(Gastos!$D$2:$D$2500))</f>
        <v>0</v>
      </c>
      <c r="DW74" s="75">
        <f t="array" ref="DW74">SUM((YEAR(Gastos!$A$2:$A$2500)=DW$1)*(MONTH(Gastos!$A$2:$A$2500)=DW$3)*(Gastos!$B$2:$B$2500=$A74)*(Gastos!$D$2:$D$2500))</f>
        <v>0</v>
      </c>
      <c r="DX74" s="75">
        <f t="array" ref="DX74">SUM((YEAR(Gastos!$A$2:$A$2500)=DX$1)*(MONTH(Gastos!$A$2:$A$2500)=DX$3)*(Gastos!$B$2:$B$2500=$A74)*(Gastos!$D$2:$D$2500))</f>
        <v>0</v>
      </c>
      <c r="DY74" s="75">
        <f t="array" ref="DY74">SUM((YEAR(Gastos!$A$2:$A$2500)=DY$1)*(MONTH(Gastos!$A$2:$A$2500)=DY$3)*(Gastos!$B$2:$B$2500=$A74)*(Gastos!$D$2:$D$2500))</f>
        <v>0</v>
      </c>
      <c r="DZ74" s="75">
        <f t="array" ref="DZ74">SUM((YEAR(Gastos!$A$2:$A$2500)=DZ$1)*(MONTH(Gastos!$A$2:$A$2500)=DZ$3)*(Gastos!$B$2:$B$2500=$A74)*(Gastos!$D$2:$D$2500))</f>
        <v>0</v>
      </c>
      <c r="EA74" s="75">
        <f t="array" ref="EA74">SUM((YEAR(Gastos!$A$2:$A$2500)=EA$1)*(MONTH(Gastos!$A$2:$A$2500)=EA$3)*(Gastos!$B$2:$B$2500=$A74)*(Gastos!$D$2:$D$2500))</f>
        <v>0</v>
      </c>
      <c r="EB74" s="75">
        <f t="array" ref="EB74">SUM((YEAR(Gastos!$A$2:$A$2500)=EB$1)*(MONTH(Gastos!$A$2:$A$2500)=EB$3)*(Gastos!$B$2:$B$2500=$A74)*(Gastos!$D$2:$D$2500))</f>
        <v>0</v>
      </c>
      <c r="EC74" s="75">
        <f t="array" ref="EC74">SUM((YEAR(Gastos!$A$2:$A$2500)=EC$1)*(MONTH(Gastos!$A$2:$A$2500)=EC$3)*(Gastos!$B$2:$B$2500=$A74)*(Gastos!$D$2:$D$2500))</f>
        <v>0</v>
      </c>
      <c r="ED74" s="75">
        <f t="array" ref="ED74">SUM((YEAR(Gastos!$A$2:$A$2500)=ED$1)*(MONTH(Gastos!$A$2:$A$2500)=ED$3)*(Gastos!$B$2:$B$2500=$A74)*(Gastos!$D$2:$D$2500))</f>
        <v>0</v>
      </c>
      <c r="EE74" s="75">
        <f t="array" ref="EE74">SUM((YEAR(Gastos!$A$2:$A$2500)=EE$1)*(MONTH(Gastos!$A$2:$A$2500)=EE$3)*(Gastos!$B$2:$B$2500=$A74)*(Gastos!$D$2:$D$2500))</f>
        <v>0</v>
      </c>
      <c r="EF74" s="75">
        <f t="array" ref="EF74">SUM((YEAR(Gastos!$A$2:$A$2500)=EF$1)*(MONTH(Gastos!$A$2:$A$2500)=EF$3)*(Gastos!$B$2:$B$2500=$A74)*(Gastos!$D$2:$D$2500))</f>
        <v>0</v>
      </c>
      <c r="EG74" s="75">
        <f t="array" ref="EG74">SUM((YEAR(Gastos!$A$2:$A$2500)=EG$1)*(MONTH(Gastos!$A$2:$A$2500)=EG$3)*(Gastos!$B$2:$B$2500=$A74)*(Gastos!$D$2:$D$2500))</f>
        <v>0</v>
      </c>
      <c r="EH74" s="75">
        <f t="array" ref="EH74">SUM((YEAR(Gastos!$A$2:$A$2500)=EH$1)*(MONTH(Gastos!$A$2:$A$2500)=EH$3)*(Gastos!$B$2:$B$2500=$A74)*(Gastos!$D$2:$D$2500))</f>
        <v>0</v>
      </c>
      <c r="EI74" s="75">
        <f t="array" ref="EI74">SUM((YEAR(Gastos!$A$2:$A$2500)=EI$1)*(MONTH(Gastos!$A$2:$A$2500)=EI$3)*(Gastos!$B$2:$B$2500=$A74)*(Gastos!$D$2:$D$2500))</f>
        <v>0</v>
      </c>
      <c r="EJ74" s="75">
        <f t="array" ref="EJ74">SUM((YEAR(Gastos!$A$2:$A$2500)=EJ$1)*(MONTH(Gastos!$A$2:$A$2500)=EJ$3)*(Gastos!$B$2:$B$2500=$A74)*(Gastos!$D$2:$D$2500))</f>
        <v>0</v>
      </c>
      <c r="EK74" s="75">
        <f t="array" ref="EK74">SUM((YEAR(Gastos!$A$2:$A$2500)=EK$1)*(MONTH(Gastos!$A$2:$A$2500)=EK$3)*(Gastos!$B$2:$B$2500=$A74)*(Gastos!$D$2:$D$2500))</f>
        <v>0</v>
      </c>
      <c r="EL74" s="75">
        <f t="array" ref="EL74">SUM((YEAR(Gastos!$A$2:$A$2500)=EL$1)*(MONTH(Gastos!$A$2:$A$2500)=EL$3)*(Gastos!$B$2:$B$2500=$A74)*(Gastos!$D$2:$D$2500))</f>
        <v>0</v>
      </c>
      <c r="EM74" s="75">
        <f t="array" ref="EM74">SUM((YEAR(Gastos!$A$2:$A$2500)=EM$1)*(MONTH(Gastos!$A$2:$A$2500)=EM$3)*(Gastos!$B$2:$B$2500=$A74)*(Gastos!$D$2:$D$2500))</f>
        <v>0</v>
      </c>
      <c r="EN74" s="75">
        <f t="array" ref="EN74">SUM((YEAR(Gastos!$A$2:$A$2500)=EN$1)*(MONTH(Gastos!$A$2:$A$2500)=EN$3)*(Gastos!$B$2:$B$2500=$A74)*(Gastos!$D$2:$D$2500))</f>
        <v>0</v>
      </c>
      <c r="EO74" s="75">
        <f t="array" ref="EO74">SUM((YEAR(Gastos!$A$2:$A$2500)=EO$1)*(MONTH(Gastos!$A$2:$A$2500)=EO$3)*(Gastos!$B$2:$B$2500=$A74)*(Gastos!$D$2:$D$2500))</f>
        <v>0</v>
      </c>
      <c r="EP74" s="75">
        <f t="array" ref="EP74">SUM((YEAR(Gastos!$A$2:$A$2500)=EP$1)*(MONTH(Gastos!$A$2:$A$2500)=EP$3)*(Gastos!$B$2:$B$2500=$A74)*(Gastos!$D$2:$D$2500))</f>
        <v>0</v>
      </c>
      <c r="EQ74" s="75">
        <f t="array" ref="EQ74">SUM((YEAR(Gastos!$A$2:$A$2500)=EQ$1)*(MONTH(Gastos!$A$2:$A$2500)=EQ$3)*(Gastos!$B$2:$B$2500=$A74)*(Gastos!$D$2:$D$2500))</f>
        <v>0</v>
      </c>
      <c r="ER74" s="75">
        <f t="array" ref="ER74">SUM((YEAR(Gastos!$A$2:$A$2500)=ER$1)*(MONTH(Gastos!$A$2:$A$2500)=ER$3)*(Gastos!$B$2:$B$2500=$A74)*(Gastos!$D$2:$D$2500))</f>
        <v>0</v>
      </c>
      <c r="ES74" s="75">
        <f t="array" ref="ES74">SUM((YEAR(Gastos!$A$2:$A$2500)=ES$1)*(MONTH(Gastos!$A$2:$A$2500)=ES$3)*(Gastos!$B$2:$B$2500=$A74)*(Gastos!$D$2:$D$2500))</f>
        <v>0</v>
      </c>
      <c r="ET74" s="75">
        <f t="array" ref="ET74">SUM((YEAR(Gastos!$A$2:$A$2500)=ET$1)*(MONTH(Gastos!$A$2:$A$2500)=ET$3)*(Gastos!$B$2:$B$2500=$A74)*(Gastos!$D$2:$D$2500))</f>
        <v>0</v>
      </c>
      <c r="EU74" s="75">
        <f t="array" ref="EU74">SUM((YEAR(Gastos!$A$2:$A$2500)=EU$1)*(MONTH(Gastos!$A$2:$A$2500)=EU$3)*(Gastos!$B$2:$B$2500=$A74)*(Gastos!$D$2:$D$2500))</f>
        <v>0</v>
      </c>
      <c r="EV74" s="75">
        <f t="array" ref="EV74">SUM((YEAR(Gastos!$A$2:$A$2500)=EV$1)*(MONTH(Gastos!$A$2:$A$2500)=EV$3)*(Gastos!$B$2:$B$2500=$A74)*(Gastos!$D$2:$D$2500))</f>
        <v>0</v>
      </c>
      <c r="EW74" s="75">
        <f t="array" ref="EW74">SUM((YEAR(Gastos!$A$2:$A$2500)=EW$1)*(MONTH(Gastos!$A$2:$A$2500)=EW$3)*(Gastos!$B$2:$B$2500=$A74)*(Gastos!$D$2:$D$2500))</f>
        <v>0</v>
      </c>
      <c r="EX74" s="75">
        <f t="array" ref="EX74">SUM((YEAR(Gastos!$A$2:$A$2500)=EX$1)*(MONTH(Gastos!$A$2:$A$2500)=EX$3)*(Gastos!$B$2:$B$2500=$A74)*(Gastos!$D$2:$D$2500))</f>
        <v>0</v>
      </c>
      <c r="EY74" s="75">
        <f t="array" ref="EY74">SUM((YEAR(Gastos!$A$2:$A$2500)=EY$1)*(MONTH(Gastos!$A$2:$A$2500)=EY$3)*(Gastos!$B$2:$B$2500=$A74)*(Gastos!$D$2:$D$2500))</f>
        <v>0</v>
      </c>
      <c r="EZ74" s="75">
        <f t="array" ref="EZ74">SUM((YEAR(Gastos!$A$2:$A$2500)=EZ$1)*(MONTH(Gastos!$A$2:$A$2500)=EZ$3)*(Gastos!$B$2:$B$2500=$A74)*(Gastos!$D$2:$D$2500))</f>
        <v>0</v>
      </c>
      <c r="FA74" s="75">
        <f t="array" ref="FA74">SUM((YEAR(Gastos!$A$2:$A$2500)=FA$1)*(MONTH(Gastos!$A$2:$A$2500)=FA$3)*(Gastos!$B$2:$B$2500=$A74)*(Gastos!$D$2:$D$2500))</f>
        <v>0</v>
      </c>
      <c r="FB74" s="75">
        <f t="array" ref="FB74">SUM((YEAR(Gastos!$A$2:$A$2500)=FB$1)*(MONTH(Gastos!$A$2:$A$2500)=FB$3)*(Gastos!$B$2:$B$2500=$A74)*(Gastos!$D$2:$D$2500))</f>
        <v>0</v>
      </c>
      <c r="FC74" s="75">
        <f t="array" ref="FC74">SUM((YEAR(Gastos!$A$2:$A$2500)=FC$1)*(MONTH(Gastos!$A$2:$A$2500)=FC$3)*(Gastos!$B$2:$B$2500=$A74)*(Gastos!$D$2:$D$2500))</f>
        <v>0</v>
      </c>
      <c r="FD74" s="75">
        <f t="array" ref="FD74">SUM((YEAR(Gastos!$A$2:$A$2500)=FD$1)*(MONTH(Gastos!$A$2:$A$2500)=FD$3)*(Gastos!$B$2:$B$2500=$A74)*(Gastos!$D$2:$D$2500))</f>
        <v>0</v>
      </c>
      <c r="FE74" s="75">
        <f t="array" ref="FE74">SUM((YEAR(Gastos!$A$2:$A$2500)=FE$1)*(MONTH(Gastos!$A$2:$A$2500)=FE$3)*(Gastos!$B$2:$B$2500=$A74)*(Gastos!$D$2:$D$2500))</f>
        <v>0</v>
      </c>
      <c r="FF74" s="75">
        <f t="array" ref="FF74">SUM((YEAR(Gastos!$A$2:$A$2500)=FF$1)*(MONTH(Gastos!$A$2:$A$2500)=FF$3)*(Gastos!$B$2:$B$2500=$A74)*(Gastos!$D$2:$D$2500))</f>
        <v>0</v>
      </c>
      <c r="FG74" s="75">
        <f t="array" ref="FG74">SUM((YEAR(Gastos!$A$2:$A$2500)=FG$1)*(MONTH(Gastos!$A$2:$A$2500)=FG$3)*(Gastos!$B$2:$B$2500=$A74)*(Gastos!$D$2:$D$2500))</f>
        <v>0</v>
      </c>
      <c r="FH74" s="75">
        <f t="array" ref="FH74">SUM((YEAR(Gastos!$A$2:$A$2500)=FH$1)*(MONTH(Gastos!$A$2:$A$2500)=FH$3)*(Gastos!$B$2:$B$2500=$A74)*(Gastos!$D$2:$D$2500))</f>
        <v>0</v>
      </c>
      <c r="FI74" s="75">
        <f t="array" ref="FI74">SUM((YEAR(Gastos!$A$2:$A$2500)=FI$1)*(MONTH(Gastos!$A$2:$A$2500)=FI$3)*(Gastos!$B$2:$B$2500=$A74)*(Gastos!$D$2:$D$2500))</f>
        <v>0</v>
      </c>
      <c r="FJ74" s="75">
        <f t="array" ref="FJ74">SUM((YEAR(Gastos!$A$2:$A$2500)=FJ$1)*(MONTH(Gastos!$A$2:$A$2500)=FJ$3)*(Gastos!$B$2:$B$2500=$A74)*(Gastos!$D$2:$D$2500))</f>
        <v>0</v>
      </c>
      <c r="FK74" s="75">
        <f t="array" ref="FK74">SUM((YEAR(Gastos!$A$2:$A$2500)=FK$1)*(MONTH(Gastos!$A$2:$A$2500)=FK$3)*(Gastos!$B$2:$B$2500=$A74)*(Gastos!$D$2:$D$2500))</f>
        <v>0</v>
      </c>
      <c r="FL74" s="75">
        <f t="array" ref="FL74">SUM((YEAR(Gastos!$A$2:$A$2500)=FL$1)*(MONTH(Gastos!$A$2:$A$2500)=FL$3)*(Gastos!$B$2:$B$2500=$A74)*(Gastos!$D$2:$D$2500))</f>
        <v>0</v>
      </c>
      <c r="FM74" s="75">
        <f t="array" ref="FM74">SUM((YEAR(Gastos!$A$2:$A$2500)=FM$1)*(MONTH(Gastos!$A$2:$A$2500)=FM$3)*(Gastos!$B$2:$B$2500=$A74)*(Gastos!$D$2:$D$2500))</f>
        <v>0</v>
      </c>
      <c r="FN74" s="75">
        <f t="array" ref="FN74">SUM((YEAR(Gastos!$A$2:$A$2500)=FN$1)*(MONTH(Gastos!$A$2:$A$2500)=FN$3)*(Gastos!$B$2:$B$2500=$A74)*(Gastos!$D$2:$D$2500))</f>
        <v>0</v>
      </c>
      <c r="FO74" s="75">
        <f t="array" ref="FO74">SUM((YEAR(Gastos!$A$2:$A$2500)=FO$1)*(MONTH(Gastos!$A$2:$A$2500)=FO$3)*(Gastos!$B$2:$B$2500=$A74)*(Gastos!$D$2:$D$2500))</f>
        <v>0</v>
      </c>
      <c r="FP74" s="75">
        <f t="array" ref="FP74">SUM((YEAR(Gastos!$A$2:$A$2500)=FP$1)*(MONTH(Gastos!$A$2:$A$2500)=FP$3)*(Gastos!$B$2:$B$2500=$A74)*(Gastos!$D$2:$D$2500))</f>
        <v>0</v>
      </c>
      <c r="FQ74" s="75">
        <f t="array" ref="FQ74">SUM((YEAR(Gastos!$A$2:$A$2500)=FQ$1)*(MONTH(Gastos!$A$2:$A$2500)=FQ$3)*(Gastos!$B$2:$B$2500=$A74)*(Gastos!$D$2:$D$2500))</f>
        <v>0</v>
      </c>
      <c r="FR74" s="75">
        <f t="array" ref="FR74">SUM((YEAR(Gastos!$A$2:$A$2500)=FR$1)*(MONTH(Gastos!$A$2:$A$2500)=FR$3)*(Gastos!$B$2:$B$2500=$A74)*(Gastos!$D$2:$D$2500))</f>
        <v>0</v>
      </c>
      <c r="FS74" s="75">
        <f t="array" ref="FS74">SUM((YEAR(Gastos!$A$2:$A$2500)=FS$1)*(MONTH(Gastos!$A$2:$A$2500)=FS$3)*(Gastos!$B$2:$B$2500=$A74)*(Gastos!$D$2:$D$2500))</f>
        <v>0</v>
      </c>
      <c r="FT74" s="75">
        <f t="array" ref="FT74">SUM((YEAR(Gastos!$A$2:$A$2500)=FT$1)*(MONTH(Gastos!$A$2:$A$2500)=FT$3)*(Gastos!$B$2:$B$2500=$A74)*(Gastos!$D$2:$D$2500))</f>
        <v>0</v>
      </c>
      <c r="FU74" s="75">
        <f t="array" ref="FU74">SUM((YEAR(Gastos!$A$2:$A$2500)=FU$1)*(MONTH(Gastos!$A$2:$A$2500)=FU$3)*(Gastos!$B$2:$B$2500=$A74)*(Gastos!$D$2:$D$2500))</f>
        <v>0</v>
      </c>
      <c r="FV74" s="75">
        <f t="array" ref="FV74">SUM((YEAR(Gastos!$A$2:$A$2500)=FV$1)*(MONTH(Gastos!$A$2:$A$2500)=FV$3)*(Gastos!$B$2:$B$2500=$A74)*(Gastos!$D$2:$D$2500))</f>
        <v>0</v>
      </c>
      <c r="FW74" s="75">
        <f t="array" ref="FW74">SUM((YEAR(Gastos!$A$2:$A$2500)=FW$1)*(MONTH(Gastos!$A$2:$A$2500)=FW$3)*(Gastos!$B$2:$B$2500=$A74)*(Gastos!$D$2:$D$2500))</f>
        <v>0</v>
      </c>
      <c r="FX74" s="75">
        <f t="array" ref="FX74">SUM((YEAR(Gastos!$A$2:$A$2500)=FX$1)*(MONTH(Gastos!$A$2:$A$2500)=FX$3)*(Gastos!$B$2:$B$2500=$A74)*(Gastos!$D$2:$D$2500))</f>
        <v>0</v>
      </c>
      <c r="FY74" s="75">
        <f t="array" ref="FY74">SUM((YEAR(Gastos!$A$2:$A$2500)=FY$1)*(MONTH(Gastos!$A$2:$A$2500)=FY$3)*(Gastos!$B$2:$B$2500=$A74)*(Gastos!$D$2:$D$2500))</f>
        <v>0</v>
      </c>
      <c r="FZ74" s="76">
        <f t="shared" si="68"/>
        <v>0</v>
      </c>
      <c r="GA74" s="80"/>
      <c r="GB74" s="82"/>
    </row>
    <row r="75" spans="1:184" ht="15" thickBot="1" x14ac:dyDescent="0.4">
      <c r="A75" s="74" t="str">
        <f>Gastos!AA73</f>
        <v>X</v>
      </c>
      <c r="B75" s="75">
        <f t="array" ref="B75">SUM((YEAR(Gastos!$A$2:$A$2500)=B$1)*(MONTH(Gastos!$A$2:$A$2500)=B$3)*(Gastos!$B$2:$B$2500=$A75)*(Gastos!$D$2:$D$2500))</f>
        <v>0</v>
      </c>
      <c r="C75" s="75">
        <f t="array" ref="C75">SUM((YEAR(Gastos!$A$2:$A$2500)=C$1)*(MONTH(Gastos!$A$2:$A$2500)=C$3)*(Gastos!$B$2:$B$2500=$A75)*(Gastos!$D$2:$D$2500))</f>
        <v>0</v>
      </c>
      <c r="D75" s="75">
        <f t="array" ref="D75">SUM((YEAR(Gastos!$A$2:$A$2500)=D$1)*(MONTH(Gastos!$A$2:$A$2500)=D$3)*(Gastos!$B$2:$B$2500=$A75)*(Gastos!$D$2:$D$2500))</f>
        <v>0</v>
      </c>
      <c r="E75" s="75">
        <f t="array" ref="E75">SUM((YEAR(Gastos!$A$2:$A$2500)=E$1)*(MONTH(Gastos!$A$2:$A$2500)=E$3)*(Gastos!$B$2:$B$2500=$A75)*(Gastos!$D$2:$D$2500))</f>
        <v>0</v>
      </c>
      <c r="F75" s="75">
        <f t="array" ref="F75">SUM((YEAR(Gastos!$A$2:$A$2500)=F$1)*(MONTH(Gastos!$A$2:$A$2500)=F$3)*(Gastos!$B$2:$B$2500=$A75)*(Gastos!$D$2:$D$2500))</f>
        <v>0</v>
      </c>
      <c r="G75" s="75">
        <f t="array" ref="G75">SUM((YEAR(Gastos!$A$2:$A$2500)=G$1)*(MONTH(Gastos!$A$2:$A$2500)=G$3)*(Gastos!$B$2:$B$2500=$A75)*(Gastos!$D$2:$D$2500))</f>
        <v>0</v>
      </c>
      <c r="H75" s="75">
        <f t="array" ref="H75">SUM((YEAR(Gastos!$A$2:$A$2500)=H$1)*(MONTH(Gastos!$A$2:$A$2500)=H$3)*(Gastos!$B$2:$B$2500=$A75)*(Gastos!$D$2:$D$2500))</f>
        <v>0</v>
      </c>
      <c r="I75" s="75">
        <f t="array" ref="I75">SUM((YEAR(Gastos!$A$2:$A$2500)=I$1)*(MONTH(Gastos!$A$2:$A$2500)=I$3)*(Gastos!$B$2:$B$2500=$A75)*(Gastos!$D$2:$D$2500))</f>
        <v>0</v>
      </c>
      <c r="J75" s="75">
        <f t="array" ref="J75">SUM((YEAR(Gastos!$A$2:$A$2500)=J$1)*(MONTH(Gastos!$A$2:$A$2500)=J$3)*(Gastos!$B$2:$B$2500=$A75)*(Gastos!$D$2:$D$2500))</f>
        <v>0</v>
      </c>
      <c r="K75" s="75">
        <f t="array" ref="K75">SUM((YEAR(Gastos!$A$2:$A$2500)=K$1)*(MONTH(Gastos!$A$2:$A$2500)=K$3)*(Gastos!$B$2:$B$2500=$A75)*(Gastos!$D$2:$D$2500))</f>
        <v>0</v>
      </c>
      <c r="L75" s="75">
        <f t="array" ref="L75">SUM((YEAR(Gastos!$A$2:$A$2500)=L$1)*(MONTH(Gastos!$A$2:$A$2500)=L$3)*(Gastos!$B$2:$B$2500=$A75)*(Gastos!$D$2:$D$2500))</f>
        <v>0</v>
      </c>
      <c r="M75" s="75">
        <f t="array" ref="M75">SUM((YEAR(Gastos!$A$2:$A$2500)=M$1)*(MONTH(Gastos!$A$2:$A$2500)=M$3)*(Gastos!$B$2:$B$2500=$A75)*(Gastos!$D$2:$D$2500))</f>
        <v>0</v>
      </c>
      <c r="N75" s="75">
        <f t="array" ref="N75">SUM((YEAR(Gastos!$A$2:$A$2500)=N$1)*(MONTH(Gastos!$A$2:$A$2500)=N$3)*(Gastos!$B$2:$B$2500=$A75)*(Gastos!$D$2:$D$2500))</f>
        <v>0</v>
      </c>
      <c r="O75" s="75">
        <f t="array" ref="O75">SUM((YEAR(Gastos!$A$2:$A$2500)=O$1)*(MONTH(Gastos!$A$2:$A$2500)=O$3)*(Gastos!$B$2:$B$2500=$A75)*(Gastos!$D$2:$D$2500))</f>
        <v>0</v>
      </c>
      <c r="P75" s="75">
        <f t="array" ref="P75">SUM((YEAR(Gastos!$A$2:$A$2500)=P$1)*(MONTH(Gastos!$A$2:$A$2500)=P$3)*(Gastos!$B$2:$B$2500=$A75)*(Gastos!$D$2:$D$2500))</f>
        <v>0</v>
      </c>
      <c r="Q75" s="75">
        <f t="array" ref="Q75">SUM((YEAR(Gastos!$A$2:$A$2500)=Q$1)*(MONTH(Gastos!$A$2:$A$2500)=Q$3)*(Gastos!$B$2:$B$2500=$A75)*(Gastos!$D$2:$D$2500))</f>
        <v>0</v>
      </c>
      <c r="R75" s="75">
        <f t="array" ref="R75">SUM((YEAR(Gastos!$A$2:$A$2500)=R$1)*(MONTH(Gastos!$A$2:$A$2500)=R$3)*(Gastos!$B$2:$B$2500=$A75)*(Gastos!$D$2:$D$2500))</f>
        <v>0</v>
      </c>
      <c r="S75" s="75">
        <f t="array" ref="S75">SUM((YEAR(Gastos!$A$2:$A$2500)=S$1)*(MONTH(Gastos!$A$2:$A$2500)=S$3)*(Gastos!$B$2:$B$2500=$A75)*(Gastos!$D$2:$D$2500))</f>
        <v>0</v>
      </c>
      <c r="T75" s="75">
        <f t="array" ref="T75">SUM((YEAR(Gastos!$A$2:$A$2500)=T$1)*(MONTH(Gastos!$A$2:$A$2500)=T$3)*(Gastos!$B$2:$B$2500=$A75)*(Gastos!$D$2:$D$2500))</f>
        <v>0</v>
      </c>
      <c r="U75" s="75">
        <f t="array" ref="U75">SUM((YEAR(Gastos!$A$2:$A$2500)=U$1)*(MONTH(Gastos!$A$2:$A$2500)=U$3)*(Gastos!$B$2:$B$2500=$A75)*(Gastos!$D$2:$D$2500))</f>
        <v>0</v>
      </c>
      <c r="V75" s="75">
        <f t="array" ref="V75">SUM((YEAR(Gastos!$A$2:$A$2500)=V$1)*(MONTH(Gastos!$A$2:$A$2500)=V$3)*(Gastos!$B$2:$B$2500=$A75)*(Gastos!$D$2:$D$2500))</f>
        <v>0</v>
      </c>
      <c r="W75" s="75">
        <f t="array" ref="W75">SUM((YEAR(Gastos!$A$2:$A$2500)=W$1)*(MONTH(Gastos!$A$2:$A$2500)=W$3)*(Gastos!$B$2:$B$2500=$A75)*(Gastos!$D$2:$D$2500))</f>
        <v>0</v>
      </c>
      <c r="X75" s="75">
        <f t="array" ref="X75">SUM((YEAR(Gastos!$A$2:$A$2500)=X$1)*(MONTH(Gastos!$A$2:$A$2500)=X$3)*(Gastos!$B$2:$B$2500=$A75)*(Gastos!$D$2:$D$2500))</f>
        <v>0</v>
      </c>
      <c r="Y75" s="75">
        <f t="array" ref="Y75">SUM((YEAR(Gastos!$A$2:$A$2500)=Y$1)*(MONTH(Gastos!$A$2:$A$2500)=Y$3)*(Gastos!$B$2:$B$2500=$A75)*(Gastos!$D$2:$D$2500))</f>
        <v>0</v>
      </c>
      <c r="Z75" s="75">
        <f t="array" ref="Z75">SUM((YEAR(Gastos!$A$2:$A$2500)=Z$1)*(MONTH(Gastos!$A$2:$A$2500)=Z$3)*(Gastos!$B$2:$B$2500=$A75)*(Gastos!$D$2:$D$2500))</f>
        <v>0</v>
      </c>
      <c r="AA75" s="75">
        <f t="array" ref="AA75">SUM((YEAR(Gastos!$A$2:$A$2500)=AA$1)*(MONTH(Gastos!$A$2:$A$2500)=AA$3)*(Gastos!$B$2:$B$2500=$A75)*(Gastos!$D$2:$D$2500))</f>
        <v>0</v>
      </c>
      <c r="AB75" s="75">
        <f t="array" ref="AB75">SUM((YEAR(Gastos!$A$2:$A$2500)=AB$1)*(MONTH(Gastos!$A$2:$A$2500)=AB$3)*(Gastos!$B$2:$B$2500=$A75)*(Gastos!$D$2:$D$2500))</f>
        <v>0</v>
      </c>
      <c r="AC75" s="75">
        <f t="array" ref="AC75">SUM((YEAR(Gastos!$A$2:$A$2500)=AC$1)*(MONTH(Gastos!$A$2:$A$2500)=AC$3)*(Gastos!$B$2:$B$2500=$A75)*(Gastos!$D$2:$D$2500))</f>
        <v>0</v>
      </c>
      <c r="AD75" s="75">
        <f t="array" ref="AD75">SUM((YEAR(Gastos!$A$2:$A$2500)=AD$1)*(MONTH(Gastos!$A$2:$A$2500)=AD$3)*(Gastos!$B$2:$B$2500=$A75)*(Gastos!$D$2:$D$2500))</f>
        <v>0</v>
      </c>
      <c r="AE75" s="75">
        <f t="array" ref="AE75">SUM((YEAR(Gastos!$A$2:$A$2500)=AE$1)*(MONTH(Gastos!$A$2:$A$2500)=AE$3)*(Gastos!$B$2:$B$2500=$A75)*(Gastos!$D$2:$D$2500))</f>
        <v>0</v>
      </c>
      <c r="AF75" s="75">
        <f t="array" ref="AF75">SUM((YEAR(Gastos!$A$2:$A$2500)=AF$1)*(MONTH(Gastos!$A$2:$A$2500)=AF$3)*(Gastos!$B$2:$B$2500=$A75)*(Gastos!$D$2:$D$2500))</f>
        <v>0</v>
      </c>
      <c r="AG75" s="75">
        <f t="array" ref="AG75">SUM((YEAR(Gastos!$A$2:$A$2500)=AG$1)*(MONTH(Gastos!$A$2:$A$2500)=AG$3)*(Gastos!$B$2:$B$2500=$A75)*(Gastos!$D$2:$D$2500))</f>
        <v>0</v>
      </c>
      <c r="AH75" s="75">
        <f t="array" ref="AH75">SUM((YEAR(Gastos!$A$2:$A$2500)=AH$1)*(MONTH(Gastos!$A$2:$A$2500)=AH$3)*(Gastos!$B$2:$B$2500=$A75)*(Gastos!$D$2:$D$2500))</f>
        <v>0</v>
      </c>
      <c r="AI75" s="75">
        <f t="array" ref="AI75">SUM((YEAR(Gastos!$A$2:$A$2500)=AI$1)*(MONTH(Gastos!$A$2:$A$2500)=AI$3)*(Gastos!$B$2:$B$2500=$A75)*(Gastos!$D$2:$D$2500))</f>
        <v>0</v>
      </c>
      <c r="AJ75" s="75">
        <f t="array" ref="AJ75">SUM((YEAR(Gastos!$A$2:$A$2500)=AJ$1)*(MONTH(Gastos!$A$2:$A$2500)=AJ$3)*(Gastos!$B$2:$B$2500=$A75)*(Gastos!$D$2:$D$2500))</f>
        <v>0</v>
      </c>
      <c r="AK75" s="75">
        <f t="array" ref="AK75">SUM((YEAR(Gastos!$A$2:$A$2500)=AK$1)*(MONTH(Gastos!$A$2:$A$2500)=AK$3)*(Gastos!$B$2:$B$2500=$A75)*(Gastos!$D$2:$D$2500))</f>
        <v>0</v>
      </c>
      <c r="AL75" s="75">
        <f t="array" ref="AL75">SUM((YEAR(Gastos!$A$2:$A$2500)=AL$1)*(MONTH(Gastos!$A$2:$A$2500)=AL$3)*(Gastos!$B$2:$B$2500=$A75)*(Gastos!$D$2:$D$2500))</f>
        <v>0</v>
      </c>
      <c r="AM75" s="75">
        <f t="array" ref="AM75">SUM((YEAR(Gastos!$A$2:$A$2500)=AM$1)*(MONTH(Gastos!$A$2:$A$2500)=AM$3)*(Gastos!$B$2:$B$2500=$A75)*(Gastos!$D$2:$D$2500))</f>
        <v>0</v>
      </c>
      <c r="AN75" s="75">
        <f t="array" ref="AN75">SUM((YEAR(Gastos!$A$2:$A$2500)=AN$1)*(MONTH(Gastos!$A$2:$A$2500)=AN$3)*(Gastos!$B$2:$B$2500=$A75)*(Gastos!$D$2:$D$2500))</f>
        <v>0</v>
      </c>
      <c r="AO75" s="75">
        <f t="array" ref="AO75">SUM((YEAR(Gastos!$A$2:$A$2500)=AO$1)*(MONTH(Gastos!$A$2:$A$2500)=AO$3)*(Gastos!$B$2:$B$2500=$A75)*(Gastos!$D$2:$D$2500))</f>
        <v>0</v>
      </c>
      <c r="AP75" s="75">
        <f t="array" ref="AP75">SUM((YEAR(Gastos!$A$2:$A$2500)=AP$1)*(MONTH(Gastos!$A$2:$A$2500)=AP$3)*(Gastos!$B$2:$B$2500=$A75)*(Gastos!$D$2:$D$2500))</f>
        <v>0</v>
      </c>
      <c r="AQ75" s="75">
        <f t="array" ref="AQ75">SUM((YEAR(Gastos!$A$2:$A$2500)=AQ$1)*(MONTH(Gastos!$A$2:$A$2500)=AQ$3)*(Gastos!$B$2:$B$2500=$A75)*(Gastos!$D$2:$D$2500))</f>
        <v>0</v>
      </c>
      <c r="AR75" s="75">
        <f t="array" ref="AR75">SUM((YEAR(Gastos!$A$2:$A$2500)=AR$1)*(MONTH(Gastos!$A$2:$A$2500)=AR$3)*(Gastos!$B$2:$B$2500=$A75)*(Gastos!$D$2:$D$2500))</f>
        <v>0</v>
      </c>
      <c r="AS75" s="75">
        <f t="array" ref="AS75">SUM((YEAR(Gastos!$A$2:$A$2500)=AS$1)*(MONTH(Gastos!$A$2:$A$2500)=AS$3)*(Gastos!$B$2:$B$2500=$A75)*(Gastos!$D$2:$D$2500))</f>
        <v>0</v>
      </c>
      <c r="AT75" s="75">
        <f t="array" ref="AT75">SUM((YEAR(Gastos!$A$2:$A$2500)=AT$1)*(MONTH(Gastos!$A$2:$A$2500)=AT$3)*(Gastos!$B$2:$B$2500=$A75)*(Gastos!$D$2:$D$2500))</f>
        <v>0</v>
      </c>
      <c r="AU75" s="75">
        <f t="array" ref="AU75">SUM((YEAR(Gastos!$A$2:$A$2500)=AU$1)*(MONTH(Gastos!$A$2:$A$2500)=AU$3)*(Gastos!$B$2:$B$2500=$A75)*(Gastos!$D$2:$D$2500))</f>
        <v>0</v>
      </c>
      <c r="AV75" s="75">
        <f t="array" ref="AV75">SUM((YEAR(Gastos!$A$2:$A$2500)=AV$1)*(MONTH(Gastos!$A$2:$A$2500)=AV$3)*(Gastos!$B$2:$B$2500=$A75)*(Gastos!$D$2:$D$2500))</f>
        <v>0</v>
      </c>
      <c r="AW75" s="75">
        <f t="array" ref="AW75">SUM((YEAR(Gastos!$A$2:$A$2500)=AW$1)*(MONTH(Gastos!$A$2:$A$2500)=AW$3)*(Gastos!$B$2:$B$2500=$A75)*(Gastos!$D$2:$D$2500))</f>
        <v>0</v>
      </c>
      <c r="AX75" s="75">
        <f t="array" ref="AX75">SUM((YEAR(Gastos!$A$2:$A$2500)=AX$1)*(MONTH(Gastos!$A$2:$A$2500)=AX$3)*(Gastos!$B$2:$B$2500=$A75)*(Gastos!$D$2:$D$2500))</f>
        <v>0</v>
      </c>
      <c r="AY75" s="75">
        <f t="array" ref="AY75">SUM((YEAR(Gastos!$A$2:$A$2500)=AY$1)*(MONTH(Gastos!$A$2:$A$2500)=AY$3)*(Gastos!$B$2:$B$2500=$A75)*(Gastos!$D$2:$D$2500))</f>
        <v>0</v>
      </c>
      <c r="AZ75" s="75">
        <f t="array" ref="AZ75">SUM((YEAR(Gastos!$A$2:$A$2500)=AZ$1)*(MONTH(Gastos!$A$2:$A$2500)=AZ$3)*(Gastos!$B$2:$B$2500=$A75)*(Gastos!$D$2:$D$2500))</f>
        <v>0</v>
      </c>
      <c r="BA75" s="75">
        <f t="array" ref="BA75">SUM((YEAR(Gastos!$A$2:$A$2500)=BA$1)*(MONTH(Gastos!$A$2:$A$2500)=BA$3)*(Gastos!$B$2:$B$2500=$A75)*(Gastos!$D$2:$D$2500))</f>
        <v>0</v>
      </c>
      <c r="BB75" s="75">
        <f t="array" ref="BB75">SUM((YEAR(Gastos!$A$2:$A$2500)=BB$1)*(MONTH(Gastos!$A$2:$A$2500)=BB$3)*(Gastos!$B$2:$B$2500=$A75)*(Gastos!$D$2:$D$2500))</f>
        <v>0</v>
      </c>
      <c r="BC75" s="75">
        <f t="array" ref="BC75">SUM((YEAR(Gastos!$A$2:$A$2500)=BC$1)*(MONTH(Gastos!$A$2:$A$2500)=BC$3)*(Gastos!$B$2:$B$2500=$A75)*(Gastos!$D$2:$D$2500))</f>
        <v>0</v>
      </c>
      <c r="BD75" s="75">
        <f t="array" ref="BD75">SUM((YEAR(Gastos!$A$2:$A$2500)=BD$1)*(MONTH(Gastos!$A$2:$A$2500)=BD$3)*(Gastos!$B$2:$B$2500=$A75)*(Gastos!$D$2:$D$2500))</f>
        <v>0</v>
      </c>
      <c r="BE75" s="75">
        <f t="array" ref="BE75">SUM((YEAR(Gastos!$A$2:$A$2500)=BE$1)*(MONTH(Gastos!$A$2:$A$2500)=BE$3)*(Gastos!$B$2:$B$2500=$A75)*(Gastos!$D$2:$D$2500))</f>
        <v>0</v>
      </c>
      <c r="BF75" s="75">
        <f t="array" ref="BF75">SUM((YEAR(Gastos!$A$2:$A$2500)=BF$1)*(MONTH(Gastos!$A$2:$A$2500)=BF$3)*(Gastos!$B$2:$B$2500=$A75)*(Gastos!$D$2:$D$2500))</f>
        <v>0</v>
      </c>
      <c r="BG75" s="75">
        <f t="array" ref="BG75">SUM((YEAR(Gastos!$A$2:$A$2500)=BG$1)*(MONTH(Gastos!$A$2:$A$2500)=BG$3)*(Gastos!$B$2:$B$2500=$A75)*(Gastos!$D$2:$D$2500))</f>
        <v>0</v>
      </c>
      <c r="BH75" s="75">
        <f t="array" ref="BH75">SUM((YEAR(Gastos!$A$2:$A$2500)=BH$1)*(MONTH(Gastos!$A$2:$A$2500)=BH$3)*(Gastos!$B$2:$B$2500=$A75)*(Gastos!$D$2:$D$2500))</f>
        <v>0</v>
      </c>
      <c r="BI75" s="75">
        <f t="array" ref="BI75">SUM((YEAR(Gastos!$A$2:$A$2500)=BI$1)*(MONTH(Gastos!$A$2:$A$2500)=BI$3)*(Gastos!$B$2:$B$2500=$A75)*(Gastos!$D$2:$D$2500))</f>
        <v>0</v>
      </c>
      <c r="BJ75" s="75">
        <f t="array" ref="BJ75">SUM((YEAR(Gastos!$A$2:$A$2500)=BJ$1)*(MONTH(Gastos!$A$2:$A$2500)=BJ$3)*(Gastos!$B$2:$B$2500=$A75)*(Gastos!$D$2:$D$2500))</f>
        <v>0</v>
      </c>
      <c r="BK75" s="75">
        <f t="array" ref="BK75">SUM((YEAR(Gastos!$A$2:$A$2500)=BK$1)*(MONTH(Gastos!$A$2:$A$2500)=BK$3)*(Gastos!$B$2:$B$2500=$A75)*(Gastos!$D$2:$D$2500))</f>
        <v>0</v>
      </c>
      <c r="BL75" s="75">
        <f t="array" ref="BL75">SUM((YEAR(Gastos!$A$2:$A$2500)=BL$1)*(MONTH(Gastos!$A$2:$A$2500)=BL$3)*(Gastos!$B$2:$B$2500=$A75)*(Gastos!$D$2:$D$2500))</f>
        <v>0</v>
      </c>
      <c r="BM75" s="75">
        <f t="array" ref="BM75">SUM((YEAR(Gastos!$A$2:$A$2500)=BM$1)*(MONTH(Gastos!$A$2:$A$2500)=BM$3)*(Gastos!$B$2:$B$2500=$A75)*(Gastos!$D$2:$D$2500))</f>
        <v>0</v>
      </c>
      <c r="BN75" s="75">
        <f t="array" ref="BN75">SUM((YEAR(Gastos!$A$2:$A$2500)=BN$1)*(MONTH(Gastos!$A$2:$A$2500)=BN$3)*(Gastos!$B$2:$B$2500=$A75)*(Gastos!$D$2:$D$2500))</f>
        <v>0</v>
      </c>
      <c r="BO75" s="75">
        <f t="array" ref="BO75">SUM((YEAR(Gastos!$A$2:$A$2500)=BO$1)*(MONTH(Gastos!$A$2:$A$2500)=BO$3)*(Gastos!$B$2:$B$2500=$A75)*(Gastos!$D$2:$D$2500))</f>
        <v>0</v>
      </c>
      <c r="BP75" s="75">
        <f t="array" ref="BP75">SUM((YEAR(Gastos!$A$2:$A$2500)=BP$1)*(MONTH(Gastos!$A$2:$A$2500)=BP$3)*(Gastos!$B$2:$B$2500=$A75)*(Gastos!$D$2:$D$2500))</f>
        <v>0</v>
      </c>
      <c r="BQ75" s="75">
        <f t="array" ref="BQ75">SUM((YEAR(Gastos!$A$2:$A$2500)=BQ$1)*(MONTH(Gastos!$A$2:$A$2500)=BQ$3)*(Gastos!$B$2:$B$2500=$A75)*(Gastos!$D$2:$D$2500))</f>
        <v>0</v>
      </c>
      <c r="BR75" s="75">
        <f t="array" ref="BR75">SUM((YEAR(Gastos!$A$2:$A$2500)=BR$1)*(MONTH(Gastos!$A$2:$A$2500)=BR$3)*(Gastos!$B$2:$B$2500=$A75)*(Gastos!$D$2:$D$2500))</f>
        <v>0</v>
      </c>
      <c r="BS75" s="75">
        <f t="array" ref="BS75">SUM((YEAR(Gastos!$A$2:$A$2500)=BS$1)*(MONTH(Gastos!$A$2:$A$2500)=BS$3)*(Gastos!$B$2:$B$2500=$A75)*(Gastos!$D$2:$D$2500))</f>
        <v>0</v>
      </c>
      <c r="BT75" s="75">
        <f t="array" ref="BT75">SUM((YEAR(Gastos!$A$2:$A$2500)=BT$1)*(MONTH(Gastos!$A$2:$A$2500)=BT$3)*(Gastos!$B$2:$B$2500=$A75)*(Gastos!$D$2:$D$2500))</f>
        <v>0</v>
      </c>
      <c r="BU75" s="75">
        <f t="array" ref="BU75">SUM((YEAR(Gastos!$A$2:$A$2500)=BU$1)*(MONTH(Gastos!$A$2:$A$2500)=BU$3)*(Gastos!$B$2:$B$2500=$A75)*(Gastos!$D$2:$D$2500))</f>
        <v>0</v>
      </c>
      <c r="BV75" s="75">
        <f t="array" ref="BV75">SUM((YEAR(Gastos!$A$2:$A$2500)=BV$1)*(MONTH(Gastos!$A$2:$A$2500)=BV$3)*(Gastos!$B$2:$B$2500=$A75)*(Gastos!$D$2:$D$2500))</f>
        <v>0</v>
      </c>
      <c r="BW75" s="75">
        <f t="array" ref="BW75">SUM((YEAR(Gastos!$A$2:$A$2500)=BW$1)*(MONTH(Gastos!$A$2:$A$2500)=BW$3)*(Gastos!$B$2:$B$2500=$A75)*(Gastos!$D$2:$D$2500))</f>
        <v>0</v>
      </c>
      <c r="BX75" s="75">
        <f t="array" ref="BX75">SUM((YEAR(Gastos!$A$2:$A$2500)=BX$1)*(MONTH(Gastos!$A$2:$A$2500)=BX$3)*(Gastos!$B$2:$B$2500=$A75)*(Gastos!$D$2:$D$2500))</f>
        <v>0</v>
      </c>
      <c r="BY75" s="75">
        <f t="array" ref="BY75">SUM((YEAR(Gastos!$A$2:$A$2500)=BY$1)*(MONTH(Gastos!$A$2:$A$2500)=BY$3)*(Gastos!$B$2:$B$2500=$A75)*(Gastos!$D$2:$D$2500))</f>
        <v>0</v>
      </c>
      <c r="BZ75" s="75">
        <f t="array" ref="BZ75">SUM((YEAR(Gastos!$A$2:$A$2500)=BZ$1)*(MONTH(Gastos!$A$2:$A$2500)=BZ$3)*(Gastos!$B$2:$B$2500=$A75)*(Gastos!$D$2:$D$2500))</f>
        <v>0</v>
      </c>
      <c r="CA75" s="75">
        <f t="array" ref="CA75">SUM((YEAR(Gastos!$A$2:$A$2500)=CA$1)*(MONTH(Gastos!$A$2:$A$2500)=CA$3)*(Gastos!$B$2:$B$2500=$A75)*(Gastos!$D$2:$D$2500))</f>
        <v>0</v>
      </c>
      <c r="CB75" s="75">
        <f t="array" ref="CB75">SUM((YEAR(Gastos!$A$2:$A$2500)=CB$1)*(MONTH(Gastos!$A$2:$A$2500)=CB$3)*(Gastos!$B$2:$B$2500=$A75)*(Gastos!$D$2:$D$2500))</f>
        <v>0</v>
      </c>
      <c r="CC75" s="75">
        <f t="array" ref="CC75">SUM((YEAR(Gastos!$A$2:$A$2500)=CC$1)*(MONTH(Gastos!$A$2:$A$2500)=CC$3)*(Gastos!$B$2:$B$2500=$A75)*(Gastos!$D$2:$D$2500))</f>
        <v>0</v>
      </c>
      <c r="CD75" s="75">
        <f t="array" ref="CD75">SUM((YEAR(Gastos!$A$2:$A$2500)=CD$1)*(MONTH(Gastos!$A$2:$A$2500)=CD$3)*(Gastos!$B$2:$B$2500=$A75)*(Gastos!$D$2:$D$2500))</f>
        <v>0</v>
      </c>
      <c r="CE75" s="75">
        <f t="array" ref="CE75">SUM((YEAR(Gastos!$A$2:$A$2500)=CE$1)*(MONTH(Gastos!$A$2:$A$2500)=CE$3)*(Gastos!$B$2:$B$2500=$A75)*(Gastos!$D$2:$D$2500))</f>
        <v>0</v>
      </c>
      <c r="CF75" s="75">
        <f t="array" ref="CF75">SUM((YEAR(Gastos!$A$2:$A$2500)=CF$1)*(MONTH(Gastos!$A$2:$A$2500)=CF$3)*(Gastos!$B$2:$B$2500=$A75)*(Gastos!$D$2:$D$2500))</f>
        <v>0</v>
      </c>
      <c r="CG75" s="75">
        <f t="array" ref="CG75">SUM((YEAR(Gastos!$A$2:$A$2500)=CG$1)*(MONTH(Gastos!$A$2:$A$2500)=CG$3)*(Gastos!$B$2:$B$2500=$A75)*(Gastos!$D$2:$D$2500))</f>
        <v>0</v>
      </c>
      <c r="CH75" s="75">
        <f t="array" ref="CH75">SUM((YEAR(Gastos!$A$2:$A$2500)=CH$1)*(MONTH(Gastos!$A$2:$A$2500)=CH$3)*(Gastos!$B$2:$B$2500=$A75)*(Gastos!$D$2:$D$2500))</f>
        <v>0</v>
      </c>
      <c r="CI75" s="75">
        <f t="array" ref="CI75">SUM((YEAR(Gastos!$A$2:$A$2500)=CI$1)*(MONTH(Gastos!$A$2:$A$2500)=CI$3)*(Gastos!$B$2:$B$2500=$A75)*(Gastos!$D$2:$D$2500))</f>
        <v>0</v>
      </c>
      <c r="CJ75" s="75">
        <f t="array" ref="CJ75">SUM((YEAR(Gastos!$A$2:$A$2500)=CJ$1)*(MONTH(Gastos!$A$2:$A$2500)=CJ$3)*(Gastos!$B$2:$B$2500=$A75)*(Gastos!$D$2:$D$2500))</f>
        <v>0</v>
      </c>
      <c r="CK75" s="75">
        <f t="array" ref="CK75">SUM((YEAR(Gastos!$A$2:$A$2500)=CK$1)*(MONTH(Gastos!$A$2:$A$2500)=CK$3)*(Gastos!$B$2:$B$2500=$A75)*(Gastos!$D$2:$D$2500))</f>
        <v>0</v>
      </c>
      <c r="CL75" s="75">
        <f t="array" ref="CL75">SUM((YEAR(Gastos!$A$2:$A$2500)=CL$1)*(MONTH(Gastos!$A$2:$A$2500)=CL$3)*(Gastos!$B$2:$B$2500=$A75)*(Gastos!$D$2:$D$2500))</f>
        <v>0</v>
      </c>
      <c r="CM75" s="75">
        <f t="array" ref="CM75">SUM((YEAR(Gastos!$A$2:$A$2500)=CM$1)*(MONTH(Gastos!$A$2:$A$2500)=CM$3)*(Gastos!$B$2:$B$2500=$A75)*(Gastos!$D$2:$D$2500))</f>
        <v>0</v>
      </c>
      <c r="CN75" s="75">
        <f t="array" ref="CN75">SUM((YEAR(Gastos!$A$2:$A$2500)=CN$1)*(MONTH(Gastos!$A$2:$A$2500)=CN$3)*(Gastos!$B$2:$B$2500=$A75)*(Gastos!$D$2:$D$2500))</f>
        <v>0</v>
      </c>
      <c r="CO75" s="75">
        <f t="array" ref="CO75">SUM((YEAR(Gastos!$A$2:$A$2500)=CO$1)*(MONTH(Gastos!$A$2:$A$2500)=CO$3)*(Gastos!$B$2:$B$2500=$A75)*(Gastos!$D$2:$D$2500))</f>
        <v>0</v>
      </c>
      <c r="CP75" s="75">
        <f t="array" ref="CP75">SUM((YEAR(Gastos!$A$2:$A$2500)=CP$1)*(MONTH(Gastos!$A$2:$A$2500)=CP$3)*(Gastos!$B$2:$B$2500=$A75)*(Gastos!$D$2:$D$2500))</f>
        <v>0</v>
      </c>
      <c r="CQ75" s="75">
        <f t="array" ref="CQ75">SUM((YEAR(Gastos!$A$2:$A$2500)=CQ$1)*(MONTH(Gastos!$A$2:$A$2500)=CQ$3)*(Gastos!$B$2:$B$2500=$A75)*(Gastos!$D$2:$D$2500))</f>
        <v>0</v>
      </c>
      <c r="CR75" s="75">
        <f t="array" ref="CR75">SUM((YEAR(Gastos!$A$2:$A$2500)=CR$1)*(MONTH(Gastos!$A$2:$A$2500)=CR$3)*(Gastos!$B$2:$B$2500=$A75)*(Gastos!$D$2:$D$2500))</f>
        <v>0</v>
      </c>
      <c r="CS75" s="75">
        <f t="array" ref="CS75">SUM((YEAR(Gastos!$A$2:$A$2500)=CS$1)*(MONTH(Gastos!$A$2:$A$2500)=CS$3)*(Gastos!$B$2:$B$2500=$A75)*(Gastos!$D$2:$D$2500))</f>
        <v>0</v>
      </c>
      <c r="CT75" s="75">
        <f t="array" ref="CT75">SUM((YEAR(Gastos!$A$2:$A$2500)=CT$1)*(MONTH(Gastos!$A$2:$A$2500)=CT$3)*(Gastos!$B$2:$B$2500=$A75)*(Gastos!$D$2:$D$2500))</f>
        <v>0</v>
      </c>
      <c r="CU75" s="75">
        <f t="array" ref="CU75">SUM((YEAR(Gastos!$A$2:$A$2500)=CU$1)*(MONTH(Gastos!$A$2:$A$2500)=CU$3)*(Gastos!$B$2:$B$2500=$A75)*(Gastos!$D$2:$D$2500))</f>
        <v>0</v>
      </c>
      <c r="CV75" s="75">
        <f t="array" ref="CV75">SUM((YEAR(Gastos!$A$2:$A$2500)=CV$1)*(MONTH(Gastos!$A$2:$A$2500)=CV$3)*(Gastos!$B$2:$B$2500=$A75)*(Gastos!$D$2:$D$2500))</f>
        <v>0</v>
      </c>
      <c r="CW75" s="75">
        <f t="array" ref="CW75">SUM((YEAR(Gastos!$A$2:$A$2500)=CW$1)*(MONTH(Gastos!$A$2:$A$2500)=CW$3)*(Gastos!$B$2:$B$2500=$A75)*(Gastos!$D$2:$D$2500))</f>
        <v>0</v>
      </c>
      <c r="CX75" s="75">
        <f t="array" ref="CX75">SUM((YEAR(Gastos!$A$2:$A$2500)=CX$1)*(MONTH(Gastos!$A$2:$A$2500)=CX$3)*(Gastos!$B$2:$B$2500=$A75)*(Gastos!$D$2:$D$2500))</f>
        <v>0</v>
      </c>
      <c r="CY75" s="75">
        <f t="array" ref="CY75">SUM((YEAR(Gastos!$A$2:$A$2500)=CY$1)*(MONTH(Gastos!$A$2:$A$2500)=CY$3)*(Gastos!$B$2:$B$2500=$A75)*(Gastos!$D$2:$D$2500))</f>
        <v>0</v>
      </c>
      <c r="CZ75" s="75">
        <f t="array" ref="CZ75">SUM((YEAR(Gastos!$A$2:$A$2500)=CZ$1)*(MONTH(Gastos!$A$2:$A$2500)=CZ$3)*(Gastos!$B$2:$B$2500=$A75)*(Gastos!$D$2:$D$2500))</f>
        <v>0</v>
      </c>
      <c r="DA75" s="75">
        <f t="array" ref="DA75">SUM((YEAR(Gastos!$A$2:$A$2500)=DA$1)*(MONTH(Gastos!$A$2:$A$2500)=DA$3)*(Gastos!$B$2:$B$2500=$A75)*(Gastos!$D$2:$D$2500))</f>
        <v>0</v>
      </c>
      <c r="DB75" s="75">
        <f t="array" ref="DB75">SUM((YEAR(Gastos!$A$2:$A$2500)=DB$1)*(MONTH(Gastos!$A$2:$A$2500)=DB$3)*(Gastos!$B$2:$B$2500=$A75)*(Gastos!$D$2:$D$2500))</f>
        <v>0</v>
      </c>
      <c r="DC75" s="75">
        <f t="array" ref="DC75">SUM((YEAR(Gastos!$A$2:$A$2500)=DC$1)*(MONTH(Gastos!$A$2:$A$2500)=DC$3)*(Gastos!$B$2:$B$2500=$A75)*(Gastos!$D$2:$D$2500))</f>
        <v>0</v>
      </c>
      <c r="DD75" s="75">
        <f t="array" ref="DD75">SUM((YEAR(Gastos!$A$2:$A$2500)=DD$1)*(MONTH(Gastos!$A$2:$A$2500)=DD$3)*(Gastos!$B$2:$B$2500=$A75)*(Gastos!$D$2:$D$2500))</f>
        <v>0</v>
      </c>
      <c r="DE75" s="75">
        <f t="array" ref="DE75">SUM((YEAR(Gastos!$A$2:$A$2500)=DE$1)*(MONTH(Gastos!$A$2:$A$2500)=DE$3)*(Gastos!$B$2:$B$2500=$A75)*(Gastos!$D$2:$D$2500))</f>
        <v>0</v>
      </c>
      <c r="DF75" s="75">
        <f t="array" ref="DF75">SUM((YEAR(Gastos!$A$2:$A$2500)=DF$1)*(MONTH(Gastos!$A$2:$A$2500)=DF$3)*(Gastos!$B$2:$B$2500=$A75)*(Gastos!$D$2:$D$2500))</f>
        <v>0</v>
      </c>
      <c r="DG75" s="75">
        <f t="array" ref="DG75">SUM((YEAR(Gastos!$A$2:$A$2500)=DG$1)*(MONTH(Gastos!$A$2:$A$2500)=DG$3)*(Gastos!$B$2:$B$2500=$A75)*(Gastos!$D$2:$D$2500))</f>
        <v>0</v>
      </c>
      <c r="DH75" s="75">
        <f t="array" ref="DH75">SUM((YEAR(Gastos!$A$2:$A$2500)=DH$1)*(MONTH(Gastos!$A$2:$A$2500)=DH$3)*(Gastos!$B$2:$B$2500=$A75)*(Gastos!$D$2:$D$2500))</f>
        <v>0</v>
      </c>
      <c r="DI75" s="75">
        <f t="array" ref="DI75">SUM((YEAR(Gastos!$A$2:$A$2500)=DI$1)*(MONTH(Gastos!$A$2:$A$2500)=DI$3)*(Gastos!$B$2:$B$2500=$A75)*(Gastos!$D$2:$D$2500))</f>
        <v>0</v>
      </c>
      <c r="DJ75" s="75">
        <f t="array" ref="DJ75">SUM((YEAR(Gastos!$A$2:$A$2500)=DJ$1)*(MONTH(Gastos!$A$2:$A$2500)=DJ$3)*(Gastos!$B$2:$B$2500=$A75)*(Gastos!$D$2:$D$2500))</f>
        <v>0</v>
      </c>
      <c r="DK75" s="75">
        <f t="array" ref="DK75">SUM((YEAR(Gastos!$A$2:$A$2500)=DK$1)*(MONTH(Gastos!$A$2:$A$2500)=DK$3)*(Gastos!$B$2:$B$2500=$A75)*(Gastos!$D$2:$D$2500))</f>
        <v>0</v>
      </c>
      <c r="DL75" s="75">
        <f t="array" ref="DL75">SUM((YEAR(Gastos!$A$2:$A$2500)=DL$1)*(MONTH(Gastos!$A$2:$A$2500)=DL$3)*(Gastos!$B$2:$B$2500=$A75)*(Gastos!$D$2:$D$2500))</f>
        <v>0</v>
      </c>
      <c r="DM75" s="75">
        <f t="array" ref="DM75">SUM((YEAR(Gastos!$A$2:$A$2500)=DM$1)*(MONTH(Gastos!$A$2:$A$2500)=DM$3)*(Gastos!$B$2:$B$2500=$A75)*(Gastos!$D$2:$D$2500))</f>
        <v>0</v>
      </c>
      <c r="DN75" s="75">
        <f t="array" ref="DN75">SUM((YEAR(Gastos!$A$2:$A$2500)=DN$1)*(MONTH(Gastos!$A$2:$A$2500)=DN$3)*(Gastos!$B$2:$B$2500=$A75)*(Gastos!$D$2:$D$2500))</f>
        <v>0</v>
      </c>
      <c r="DO75" s="75">
        <f t="array" ref="DO75">SUM((YEAR(Gastos!$A$2:$A$2500)=DO$1)*(MONTH(Gastos!$A$2:$A$2500)=DO$3)*(Gastos!$B$2:$B$2500=$A75)*(Gastos!$D$2:$D$2500))</f>
        <v>0</v>
      </c>
      <c r="DP75" s="75">
        <f t="array" ref="DP75">SUM((YEAR(Gastos!$A$2:$A$2500)=DP$1)*(MONTH(Gastos!$A$2:$A$2500)=DP$3)*(Gastos!$B$2:$B$2500=$A75)*(Gastos!$D$2:$D$2500))</f>
        <v>0</v>
      </c>
      <c r="DQ75" s="75">
        <f t="array" ref="DQ75">SUM((YEAR(Gastos!$A$2:$A$2500)=DQ$1)*(MONTH(Gastos!$A$2:$A$2500)=DQ$3)*(Gastos!$B$2:$B$2500=$A75)*(Gastos!$D$2:$D$2500))</f>
        <v>0</v>
      </c>
      <c r="DR75" s="75">
        <f t="array" ref="DR75">SUM((YEAR(Gastos!$A$2:$A$2500)=DR$1)*(MONTH(Gastos!$A$2:$A$2500)=DR$3)*(Gastos!$B$2:$B$2500=$A75)*(Gastos!$D$2:$D$2500))</f>
        <v>0</v>
      </c>
      <c r="DS75" s="75">
        <f t="array" ref="DS75">SUM((YEAR(Gastos!$A$2:$A$2500)=DS$1)*(MONTH(Gastos!$A$2:$A$2500)=DS$3)*(Gastos!$B$2:$B$2500=$A75)*(Gastos!$D$2:$D$2500))</f>
        <v>0</v>
      </c>
      <c r="DT75" s="75">
        <f t="array" ref="DT75">SUM((YEAR(Gastos!$A$2:$A$2500)=DT$1)*(MONTH(Gastos!$A$2:$A$2500)=DT$3)*(Gastos!$B$2:$B$2500=$A75)*(Gastos!$D$2:$D$2500))</f>
        <v>0</v>
      </c>
      <c r="DU75" s="75">
        <f t="array" ref="DU75">SUM((YEAR(Gastos!$A$2:$A$2500)=DU$1)*(MONTH(Gastos!$A$2:$A$2500)=DU$3)*(Gastos!$B$2:$B$2500=$A75)*(Gastos!$D$2:$D$2500))</f>
        <v>0</v>
      </c>
      <c r="DV75" s="75">
        <f t="array" ref="DV75">SUM((YEAR(Gastos!$A$2:$A$2500)=DV$1)*(MONTH(Gastos!$A$2:$A$2500)=DV$3)*(Gastos!$B$2:$B$2500=$A75)*(Gastos!$D$2:$D$2500))</f>
        <v>0</v>
      </c>
      <c r="DW75" s="75">
        <f t="array" ref="DW75">SUM((YEAR(Gastos!$A$2:$A$2500)=DW$1)*(MONTH(Gastos!$A$2:$A$2500)=DW$3)*(Gastos!$B$2:$B$2500=$A75)*(Gastos!$D$2:$D$2500))</f>
        <v>0</v>
      </c>
      <c r="DX75" s="75">
        <f t="array" ref="DX75">SUM((YEAR(Gastos!$A$2:$A$2500)=DX$1)*(MONTH(Gastos!$A$2:$A$2500)=DX$3)*(Gastos!$B$2:$B$2500=$A75)*(Gastos!$D$2:$D$2500))</f>
        <v>0</v>
      </c>
      <c r="DY75" s="75">
        <f t="array" ref="DY75">SUM((YEAR(Gastos!$A$2:$A$2500)=DY$1)*(MONTH(Gastos!$A$2:$A$2500)=DY$3)*(Gastos!$B$2:$B$2500=$A75)*(Gastos!$D$2:$D$2500))</f>
        <v>0</v>
      </c>
      <c r="DZ75" s="75">
        <f t="array" ref="DZ75">SUM((YEAR(Gastos!$A$2:$A$2500)=DZ$1)*(MONTH(Gastos!$A$2:$A$2500)=DZ$3)*(Gastos!$B$2:$B$2500=$A75)*(Gastos!$D$2:$D$2500))</f>
        <v>0</v>
      </c>
      <c r="EA75" s="75">
        <f t="array" ref="EA75">SUM((YEAR(Gastos!$A$2:$A$2500)=EA$1)*(MONTH(Gastos!$A$2:$A$2500)=EA$3)*(Gastos!$B$2:$B$2500=$A75)*(Gastos!$D$2:$D$2500))</f>
        <v>0</v>
      </c>
      <c r="EB75" s="75">
        <f t="array" ref="EB75">SUM((YEAR(Gastos!$A$2:$A$2500)=EB$1)*(MONTH(Gastos!$A$2:$A$2500)=EB$3)*(Gastos!$B$2:$B$2500=$A75)*(Gastos!$D$2:$D$2500))</f>
        <v>0</v>
      </c>
      <c r="EC75" s="75">
        <f t="array" ref="EC75">SUM((YEAR(Gastos!$A$2:$A$2500)=EC$1)*(MONTH(Gastos!$A$2:$A$2500)=EC$3)*(Gastos!$B$2:$B$2500=$A75)*(Gastos!$D$2:$D$2500))</f>
        <v>0</v>
      </c>
      <c r="ED75" s="75">
        <f t="array" ref="ED75">SUM((YEAR(Gastos!$A$2:$A$2500)=ED$1)*(MONTH(Gastos!$A$2:$A$2500)=ED$3)*(Gastos!$B$2:$B$2500=$A75)*(Gastos!$D$2:$D$2500))</f>
        <v>0</v>
      </c>
      <c r="EE75" s="75">
        <f t="array" ref="EE75">SUM((YEAR(Gastos!$A$2:$A$2500)=EE$1)*(MONTH(Gastos!$A$2:$A$2500)=EE$3)*(Gastos!$B$2:$B$2500=$A75)*(Gastos!$D$2:$D$2500))</f>
        <v>0</v>
      </c>
      <c r="EF75" s="75">
        <f t="array" ref="EF75">SUM((YEAR(Gastos!$A$2:$A$2500)=EF$1)*(MONTH(Gastos!$A$2:$A$2500)=EF$3)*(Gastos!$B$2:$B$2500=$A75)*(Gastos!$D$2:$D$2500))</f>
        <v>0</v>
      </c>
      <c r="EG75" s="75">
        <f t="array" ref="EG75">SUM((YEAR(Gastos!$A$2:$A$2500)=EG$1)*(MONTH(Gastos!$A$2:$A$2500)=EG$3)*(Gastos!$B$2:$B$2500=$A75)*(Gastos!$D$2:$D$2500))</f>
        <v>0</v>
      </c>
      <c r="EH75" s="75">
        <f t="array" ref="EH75">SUM((YEAR(Gastos!$A$2:$A$2500)=EH$1)*(MONTH(Gastos!$A$2:$A$2500)=EH$3)*(Gastos!$B$2:$B$2500=$A75)*(Gastos!$D$2:$D$2500))</f>
        <v>0</v>
      </c>
      <c r="EI75" s="75">
        <f t="array" ref="EI75">SUM((YEAR(Gastos!$A$2:$A$2500)=EI$1)*(MONTH(Gastos!$A$2:$A$2500)=EI$3)*(Gastos!$B$2:$B$2500=$A75)*(Gastos!$D$2:$D$2500))</f>
        <v>0</v>
      </c>
      <c r="EJ75" s="75">
        <f t="array" ref="EJ75">SUM((YEAR(Gastos!$A$2:$A$2500)=EJ$1)*(MONTH(Gastos!$A$2:$A$2500)=EJ$3)*(Gastos!$B$2:$B$2500=$A75)*(Gastos!$D$2:$D$2500))</f>
        <v>0</v>
      </c>
      <c r="EK75" s="75">
        <f t="array" ref="EK75">SUM((YEAR(Gastos!$A$2:$A$2500)=EK$1)*(MONTH(Gastos!$A$2:$A$2500)=EK$3)*(Gastos!$B$2:$B$2500=$A75)*(Gastos!$D$2:$D$2500))</f>
        <v>0</v>
      </c>
      <c r="EL75" s="75">
        <f t="array" ref="EL75">SUM((YEAR(Gastos!$A$2:$A$2500)=EL$1)*(MONTH(Gastos!$A$2:$A$2500)=EL$3)*(Gastos!$B$2:$B$2500=$A75)*(Gastos!$D$2:$D$2500))</f>
        <v>0</v>
      </c>
      <c r="EM75" s="75">
        <f t="array" ref="EM75">SUM((YEAR(Gastos!$A$2:$A$2500)=EM$1)*(MONTH(Gastos!$A$2:$A$2500)=EM$3)*(Gastos!$B$2:$B$2500=$A75)*(Gastos!$D$2:$D$2500))</f>
        <v>0</v>
      </c>
      <c r="EN75" s="75">
        <f t="array" ref="EN75">SUM((YEAR(Gastos!$A$2:$A$2500)=EN$1)*(MONTH(Gastos!$A$2:$A$2500)=EN$3)*(Gastos!$B$2:$B$2500=$A75)*(Gastos!$D$2:$D$2500))</f>
        <v>0</v>
      </c>
      <c r="EO75" s="75">
        <f t="array" ref="EO75">SUM((YEAR(Gastos!$A$2:$A$2500)=EO$1)*(MONTH(Gastos!$A$2:$A$2500)=EO$3)*(Gastos!$B$2:$B$2500=$A75)*(Gastos!$D$2:$D$2500))</f>
        <v>0</v>
      </c>
      <c r="EP75" s="75">
        <f t="array" ref="EP75">SUM((YEAR(Gastos!$A$2:$A$2500)=EP$1)*(MONTH(Gastos!$A$2:$A$2500)=EP$3)*(Gastos!$B$2:$B$2500=$A75)*(Gastos!$D$2:$D$2500))</f>
        <v>0</v>
      </c>
      <c r="EQ75" s="75">
        <f t="array" ref="EQ75">SUM((YEAR(Gastos!$A$2:$A$2500)=EQ$1)*(MONTH(Gastos!$A$2:$A$2500)=EQ$3)*(Gastos!$B$2:$B$2500=$A75)*(Gastos!$D$2:$D$2500))</f>
        <v>0</v>
      </c>
      <c r="ER75" s="75">
        <f t="array" ref="ER75">SUM((YEAR(Gastos!$A$2:$A$2500)=ER$1)*(MONTH(Gastos!$A$2:$A$2500)=ER$3)*(Gastos!$B$2:$B$2500=$A75)*(Gastos!$D$2:$D$2500))</f>
        <v>0</v>
      </c>
      <c r="ES75" s="75">
        <f t="array" ref="ES75">SUM((YEAR(Gastos!$A$2:$A$2500)=ES$1)*(MONTH(Gastos!$A$2:$A$2500)=ES$3)*(Gastos!$B$2:$B$2500=$A75)*(Gastos!$D$2:$D$2500))</f>
        <v>0</v>
      </c>
      <c r="ET75" s="75">
        <f t="array" ref="ET75">SUM((YEAR(Gastos!$A$2:$A$2500)=ET$1)*(MONTH(Gastos!$A$2:$A$2500)=ET$3)*(Gastos!$B$2:$B$2500=$A75)*(Gastos!$D$2:$D$2500))</f>
        <v>0</v>
      </c>
      <c r="EU75" s="75">
        <f t="array" ref="EU75">SUM((YEAR(Gastos!$A$2:$A$2500)=EU$1)*(MONTH(Gastos!$A$2:$A$2500)=EU$3)*(Gastos!$B$2:$B$2500=$A75)*(Gastos!$D$2:$D$2500))</f>
        <v>0</v>
      </c>
      <c r="EV75" s="75">
        <f t="array" ref="EV75">SUM((YEAR(Gastos!$A$2:$A$2500)=EV$1)*(MONTH(Gastos!$A$2:$A$2500)=EV$3)*(Gastos!$B$2:$B$2500=$A75)*(Gastos!$D$2:$D$2500))</f>
        <v>0</v>
      </c>
      <c r="EW75" s="75">
        <f t="array" ref="EW75">SUM((YEAR(Gastos!$A$2:$A$2500)=EW$1)*(MONTH(Gastos!$A$2:$A$2500)=EW$3)*(Gastos!$B$2:$B$2500=$A75)*(Gastos!$D$2:$D$2500))</f>
        <v>0</v>
      </c>
      <c r="EX75" s="75">
        <f t="array" ref="EX75">SUM((YEAR(Gastos!$A$2:$A$2500)=EX$1)*(MONTH(Gastos!$A$2:$A$2500)=EX$3)*(Gastos!$B$2:$B$2500=$A75)*(Gastos!$D$2:$D$2500))</f>
        <v>0</v>
      </c>
      <c r="EY75" s="75">
        <f t="array" ref="EY75">SUM((YEAR(Gastos!$A$2:$A$2500)=EY$1)*(MONTH(Gastos!$A$2:$A$2500)=EY$3)*(Gastos!$B$2:$B$2500=$A75)*(Gastos!$D$2:$D$2500))</f>
        <v>0</v>
      </c>
      <c r="EZ75" s="75">
        <f t="array" ref="EZ75">SUM((YEAR(Gastos!$A$2:$A$2500)=EZ$1)*(MONTH(Gastos!$A$2:$A$2500)=EZ$3)*(Gastos!$B$2:$B$2500=$A75)*(Gastos!$D$2:$D$2500))</f>
        <v>0</v>
      </c>
      <c r="FA75" s="75">
        <f t="array" ref="FA75">SUM((YEAR(Gastos!$A$2:$A$2500)=FA$1)*(MONTH(Gastos!$A$2:$A$2500)=FA$3)*(Gastos!$B$2:$B$2500=$A75)*(Gastos!$D$2:$D$2500))</f>
        <v>0</v>
      </c>
      <c r="FB75" s="75">
        <f t="array" ref="FB75">SUM((YEAR(Gastos!$A$2:$A$2500)=FB$1)*(MONTH(Gastos!$A$2:$A$2500)=FB$3)*(Gastos!$B$2:$B$2500=$A75)*(Gastos!$D$2:$D$2500))</f>
        <v>0</v>
      </c>
      <c r="FC75" s="75">
        <f t="array" ref="FC75">SUM((YEAR(Gastos!$A$2:$A$2500)=FC$1)*(MONTH(Gastos!$A$2:$A$2500)=FC$3)*(Gastos!$B$2:$B$2500=$A75)*(Gastos!$D$2:$D$2500))</f>
        <v>0</v>
      </c>
      <c r="FD75" s="75">
        <f t="array" ref="FD75">SUM((YEAR(Gastos!$A$2:$A$2500)=FD$1)*(MONTH(Gastos!$A$2:$A$2500)=FD$3)*(Gastos!$B$2:$B$2500=$A75)*(Gastos!$D$2:$D$2500))</f>
        <v>0</v>
      </c>
      <c r="FE75" s="75">
        <f t="array" ref="FE75">SUM((YEAR(Gastos!$A$2:$A$2500)=FE$1)*(MONTH(Gastos!$A$2:$A$2500)=FE$3)*(Gastos!$B$2:$B$2500=$A75)*(Gastos!$D$2:$D$2500))</f>
        <v>0</v>
      </c>
      <c r="FF75" s="75">
        <f t="array" ref="FF75">SUM((YEAR(Gastos!$A$2:$A$2500)=FF$1)*(MONTH(Gastos!$A$2:$A$2500)=FF$3)*(Gastos!$B$2:$B$2500=$A75)*(Gastos!$D$2:$D$2500))</f>
        <v>0</v>
      </c>
      <c r="FG75" s="75">
        <f t="array" ref="FG75">SUM((YEAR(Gastos!$A$2:$A$2500)=FG$1)*(MONTH(Gastos!$A$2:$A$2500)=FG$3)*(Gastos!$B$2:$B$2500=$A75)*(Gastos!$D$2:$D$2500))</f>
        <v>0</v>
      </c>
      <c r="FH75" s="75">
        <f t="array" ref="FH75">SUM((YEAR(Gastos!$A$2:$A$2500)=FH$1)*(MONTH(Gastos!$A$2:$A$2500)=FH$3)*(Gastos!$B$2:$B$2500=$A75)*(Gastos!$D$2:$D$2500))</f>
        <v>0</v>
      </c>
      <c r="FI75" s="75">
        <f t="array" ref="FI75">SUM((YEAR(Gastos!$A$2:$A$2500)=FI$1)*(MONTH(Gastos!$A$2:$A$2500)=FI$3)*(Gastos!$B$2:$B$2500=$A75)*(Gastos!$D$2:$D$2500))</f>
        <v>0</v>
      </c>
      <c r="FJ75" s="75">
        <f t="array" ref="FJ75">SUM((YEAR(Gastos!$A$2:$A$2500)=FJ$1)*(MONTH(Gastos!$A$2:$A$2500)=FJ$3)*(Gastos!$B$2:$B$2500=$A75)*(Gastos!$D$2:$D$2500))</f>
        <v>0</v>
      </c>
      <c r="FK75" s="75">
        <f t="array" ref="FK75">SUM((YEAR(Gastos!$A$2:$A$2500)=FK$1)*(MONTH(Gastos!$A$2:$A$2500)=FK$3)*(Gastos!$B$2:$B$2500=$A75)*(Gastos!$D$2:$D$2500))</f>
        <v>0</v>
      </c>
      <c r="FL75" s="75">
        <f t="array" ref="FL75">SUM((YEAR(Gastos!$A$2:$A$2500)=FL$1)*(MONTH(Gastos!$A$2:$A$2500)=FL$3)*(Gastos!$B$2:$B$2500=$A75)*(Gastos!$D$2:$D$2500))</f>
        <v>0</v>
      </c>
      <c r="FM75" s="75">
        <f t="array" ref="FM75">SUM((YEAR(Gastos!$A$2:$A$2500)=FM$1)*(MONTH(Gastos!$A$2:$A$2500)=FM$3)*(Gastos!$B$2:$B$2500=$A75)*(Gastos!$D$2:$D$2500))</f>
        <v>0</v>
      </c>
      <c r="FN75" s="75">
        <f t="array" ref="FN75">SUM((YEAR(Gastos!$A$2:$A$2500)=FN$1)*(MONTH(Gastos!$A$2:$A$2500)=FN$3)*(Gastos!$B$2:$B$2500=$A75)*(Gastos!$D$2:$D$2500))</f>
        <v>0</v>
      </c>
      <c r="FO75" s="75">
        <f t="array" ref="FO75">SUM((YEAR(Gastos!$A$2:$A$2500)=FO$1)*(MONTH(Gastos!$A$2:$A$2500)=FO$3)*(Gastos!$B$2:$B$2500=$A75)*(Gastos!$D$2:$D$2500))</f>
        <v>0</v>
      </c>
      <c r="FP75" s="75">
        <f t="array" ref="FP75">SUM((YEAR(Gastos!$A$2:$A$2500)=FP$1)*(MONTH(Gastos!$A$2:$A$2500)=FP$3)*(Gastos!$B$2:$B$2500=$A75)*(Gastos!$D$2:$D$2500))</f>
        <v>0</v>
      </c>
      <c r="FQ75" s="75">
        <f t="array" ref="FQ75">SUM((YEAR(Gastos!$A$2:$A$2500)=FQ$1)*(MONTH(Gastos!$A$2:$A$2500)=FQ$3)*(Gastos!$B$2:$B$2500=$A75)*(Gastos!$D$2:$D$2500))</f>
        <v>0</v>
      </c>
      <c r="FR75" s="75">
        <f t="array" ref="FR75">SUM((YEAR(Gastos!$A$2:$A$2500)=FR$1)*(MONTH(Gastos!$A$2:$A$2500)=FR$3)*(Gastos!$B$2:$B$2500=$A75)*(Gastos!$D$2:$D$2500))</f>
        <v>0</v>
      </c>
      <c r="FS75" s="75">
        <f t="array" ref="FS75">SUM((YEAR(Gastos!$A$2:$A$2500)=FS$1)*(MONTH(Gastos!$A$2:$A$2500)=FS$3)*(Gastos!$B$2:$B$2500=$A75)*(Gastos!$D$2:$D$2500))</f>
        <v>0</v>
      </c>
      <c r="FT75" s="75">
        <f t="array" ref="FT75">SUM((YEAR(Gastos!$A$2:$A$2500)=FT$1)*(MONTH(Gastos!$A$2:$A$2500)=FT$3)*(Gastos!$B$2:$B$2500=$A75)*(Gastos!$D$2:$D$2500))</f>
        <v>0</v>
      </c>
      <c r="FU75" s="75">
        <f t="array" ref="FU75">SUM((YEAR(Gastos!$A$2:$A$2500)=FU$1)*(MONTH(Gastos!$A$2:$A$2500)=FU$3)*(Gastos!$B$2:$B$2500=$A75)*(Gastos!$D$2:$D$2500))</f>
        <v>0</v>
      </c>
      <c r="FV75" s="75">
        <f t="array" ref="FV75">SUM((YEAR(Gastos!$A$2:$A$2500)=FV$1)*(MONTH(Gastos!$A$2:$A$2500)=FV$3)*(Gastos!$B$2:$B$2500=$A75)*(Gastos!$D$2:$D$2500))</f>
        <v>0</v>
      </c>
      <c r="FW75" s="75">
        <f t="array" ref="FW75">SUM((YEAR(Gastos!$A$2:$A$2500)=FW$1)*(MONTH(Gastos!$A$2:$A$2500)=FW$3)*(Gastos!$B$2:$B$2500=$A75)*(Gastos!$D$2:$D$2500))</f>
        <v>0</v>
      </c>
      <c r="FX75" s="75">
        <f t="array" ref="FX75">SUM((YEAR(Gastos!$A$2:$A$2500)=FX$1)*(MONTH(Gastos!$A$2:$A$2500)=FX$3)*(Gastos!$B$2:$B$2500=$A75)*(Gastos!$D$2:$D$2500))</f>
        <v>0</v>
      </c>
      <c r="FY75" s="75">
        <f t="array" ref="FY75">SUM((YEAR(Gastos!$A$2:$A$2500)=FY$1)*(MONTH(Gastos!$A$2:$A$2500)=FY$3)*(Gastos!$B$2:$B$2500=$A75)*(Gastos!$D$2:$D$2500))</f>
        <v>0</v>
      </c>
      <c r="FZ75" s="76">
        <f t="shared" si="68"/>
        <v>0</v>
      </c>
      <c r="GA75" s="80"/>
      <c r="GB75" s="82"/>
    </row>
    <row r="76" spans="1:184" ht="15" thickBot="1" x14ac:dyDescent="0.4">
      <c r="A76" s="74" t="str">
        <f>Gastos!AA74</f>
        <v>X</v>
      </c>
      <c r="B76" s="75">
        <f t="array" ref="B76">SUM((YEAR(Gastos!$A$2:$A$2500)=B$1)*(MONTH(Gastos!$A$2:$A$2500)=B$3)*(Gastos!$B$2:$B$2500=$A76)*(Gastos!$D$2:$D$2500))</f>
        <v>0</v>
      </c>
      <c r="C76" s="75">
        <f t="array" ref="C76">SUM((YEAR(Gastos!$A$2:$A$2500)=C$1)*(MONTH(Gastos!$A$2:$A$2500)=C$3)*(Gastos!$B$2:$B$2500=$A76)*(Gastos!$D$2:$D$2500))</f>
        <v>0</v>
      </c>
      <c r="D76" s="75">
        <f t="array" ref="D76">SUM((YEAR(Gastos!$A$2:$A$2500)=D$1)*(MONTH(Gastos!$A$2:$A$2500)=D$3)*(Gastos!$B$2:$B$2500=$A76)*(Gastos!$D$2:$D$2500))</f>
        <v>0</v>
      </c>
      <c r="E76" s="75">
        <f t="array" ref="E76">SUM((YEAR(Gastos!$A$2:$A$2500)=E$1)*(MONTH(Gastos!$A$2:$A$2500)=E$3)*(Gastos!$B$2:$B$2500=$A76)*(Gastos!$D$2:$D$2500))</f>
        <v>0</v>
      </c>
      <c r="F76" s="75">
        <f t="array" ref="F76">SUM((YEAR(Gastos!$A$2:$A$2500)=F$1)*(MONTH(Gastos!$A$2:$A$2500)=F$3)*(Gastos!$B$2:$B$2500=$A76)*(Gastos!$D$2:$D$2500))</f>
        <v>0</v>
      </c>
      <c r="G76" s="75">
        <f t="array" ref="G76">SUM((YEAR(Gastos!$A$2:$A$2500)=G$1)*(MONTH(Gastos!$A$2:$A$2500)=G$3)*(Gastos!$B$2:$B$2500=$A76)*(Gastos!$D$2:$D$2500))</f>
        <v>0</v>
      </c>
      <c r="H76" s="75">
        <f t="array" ref="H76">SUM((YEAR(Gastos!$A$2:$A$2500)=H$1)*(MONTH(Gastos!$A$2:$A$2500)=H$3)*(Gastos!$B$2:$B$2500=$A76)*(Gastos!$D$2:$D$2500))</f>
        <v>0</v>
      </c>
      <c r="I76" s="75">
        <f t="array" ref="I76">SUM((YEAR(Gastos!$A$2:$A$2500)=I$1)*(MONTH(Gastos!$A$2:$A$2500)=I$3)*(Gastos!$B$2:$B$2500=$A76)*(Gastos!$D$2:$D$2500))</f>
        <v>0</v>
      </c>
      <c r="J76" s="75">
        <f t="array" ref="J76">SUM((YEAR(Gastos!$A$2:$A$2500)=J$1)*(MONTH(Gastos!$A$2:$A$2500)=J$3)*(Gastos!$B$2:$B$2500=$A76)*(Gastos!$D$2:$D$2500))</f>
        <v>0</v>
      </c>
      <c r="K76" s="75">
        <f t="array" ref="K76">SUM((YEAR(Gastos!$A$2:$A$2500)=K$1)*(MONTH(Gastos!$A$2:$A$2500)=K$3)*(Gastos!$B$2:$B$2500=$A76)*(Gastos!$D$2:$D$2500))</f>
        <v>0</v>
      </c>
      <c r="L76" s="75">
        <f t="array" ref="L76">SUM((YEAR(Gastos!$A$2:$A$2500)=L$1)*(MONTH(Gastos!$A$2:$A$2500)=L$3)*(Gastos!$B$2:$B$2500=$A76)*(Gastos!$D$2:$D$2500))</f>
        <v>0</v>
      </c>
      <c r="M76" s="75">
        <f t="array" ref="M76">SUM((YEAR(Gastos!$A$2:$A$2500)=M$1)*(MONTH(Gastos!$A$2:$A$2500)=M$3)*(Gastos!$B$2:$B$2500=$A76)*(Gastos!$D$2:$D$2500))</f>
        <v>0</v>
      </c>
      <c r="N76" s="75">
        <f t="array" ref="N76">SUM((YEAR(Gastos!$A$2:$A$2500)=N$1)*(MONTH(Gastos!$A$2:$A$2500)=N$3)*(Gastos!$B$2:$B$2500=$A76)*(Gastos!$D$2:$D$2500))</f>
        <v>0</v>
      </c>
      <c r="O76" s="75">
        <f t="array" ref="O76">SUM((YEAR(Gastos!$A$2:$A$2500)=O$1)*(MONTH(Gastos!$A$2:$A$2500)=O$3)*(Gastos!$B$2:$B$2500=$A76)*(Gastos!$D$2:$D$2500))</f>
        <v>0</v>
      </c>
      <c r="P76" s="75">
        <f t="array" ref="P76">SUM((YEAR(Gastos!$A$2:$A$2500)=P$1)*(MONTH(Gastos!$A$2:$A$2500)=P$3)*(Gastos!$B$2:$B$2500=$A76)*(Gastos!$D$2:$D$2500))</f>
        <v>0</v>
      </c>
      <c r="Q76" s="75">
        <f t="array" ref="Q76">SUM((YEAR(Gastos!$A$2:$A$2500)=Q$1)*(MONTH(Gastos!$A$2:$A$2500)=Q$3)*(Gastos!$B$2:$B$2500=$A76)*(Gastos!$D$2:$D$2500))</f>
        <v>0</v>
      </c>
      <c r="R76" s="75">
        <f t="array" ref="R76">SUM((YEAR(Gastos!$A$2:$A$2500)=R$1)*(MONTH(Gastos!$A$2:$A$2500)=R$3)*(Gastos!$B$2:$B$2500=$A76)*(Gastos!$D$2:$D$2500))</f>
        <v>0</v>
      </c>
      <c r="S76" s="75">
        <f t="array" ref="S76">SUM((YEAR(Gastos!$A$2:$A$2500)=S$1)*(MONTH(Gastos!$A$2:$A$2500)=S$3)*(Gastos!$B$2:$B$2500=$A76)*(Gastos!$D$2:$D$2500))</f>
        <v>0</v>
      </c>
      <c r="T76" s="75">
        <f t="array" ref="T76">SUM((YEAR(Gastos!$A$2:$A$2500)=T$1)*(MONTH(Gastos!$A$2:$A$2500)=T$3)*(Gastos!$B$2:$B$2500=$A76)*(Gastos!$D$2:$D$2500))</f>
        <v>0</v>
      </c>
      <c r="U76" s="75">
        <f t="array" ref="U76">SUM((YEAR(Gastos!$A$2:$A$2500)=U$1)*(MONTH(Gastos!$A$2:$A$2500)=U$3)*(Gastos!$B$2:$B$2500=$A76)*(Gastos!$D$2:$D$2500))</f>
        <v>0</v>
      </c>
      <c r="V76" s="75">
        <f t="array" ref="V76">SUM((YEAR(Gastos!$A$2:$A$2500)=V$1)*(MONTH(Gastos!$A$2:$A$2500)=V$3)*(Gastos!$B$2:$B$2500=$A76)*(Gastos!$D$2:$D$2500))</f>
        <v>0</v>
      </c>
      <c r="W76" s="75">
        <f t="array" ref="W76">SUM((YEAR(Gastos!$A$2:$A$2500)=W$1)*(MONTH(Gastos!$A$2:$A$2500)=W$3)*(Gastos!$B$2:$B$2500=$A76)*(Gastos!$D$2:$D$2500))</f>
        <v>0</v>
      </c>
      <c r="X76" s="75">
        <f t="array" ref="X76">SUM((YEAR(Gastos!$A$2:$A$2500)=X$1)*(MONTH(Gastos!$A$2:$A$2500)=X$3)*(Gastos!$B$2:$B$2500=$A76)*(Gastos!$D$2:$D$2500))</f>
        <v>0</v>
      </c>
      <c r="Y76" s="75">
        <f t="array" ref="Y76">SUM((YEAR(Gastos!$A$2:$A$2500)=Y$1)*(MONTH(Gastos!$A$2:$A$2500)=Y$3)*(Gastos!$B$2:$B$2500=$A76)*(Gastos!$D$2:$D$2500))</f>
        <v>0</v>
      </c>
      <c r="Z76" s="75">
        <f t="array" ref="Z76">SUM((YEAR(Gastos!$A$2:$A$2500)=Z$1)*(MONTH(Gastos!$A$2:$A$2500)=Z$3)*(Gastos!$B$2:$B$2500=$A76)*(Gastos!$D$2:$D$2500))</f>
        <v>0</v>
      </c>
      <c r="AA76" s="75">
        <f t="array" ref="AA76">SUM((YEAR(Gastos!$A$2:$A$2500)=AA$1)*(MONTH(Gastos!$A$2:$A$2500)=AA$3)*(Gastos!$B$2:$B$2500=$A76)*(Gastos!$D$2:$D$2500))</f>
        <v>0</v>
      </c>
      <c r="AB76" s="75">
        <f t="array" ref="AB76">SUM((YEAR(Gastos!$A$2:$A$2500)=AB$1)*(MONTH(Gastos!$A$2:$A$2500)=AB$3)*(Gastos!$B$2:$B$2500=$A76)*(Gastos!$D$2:$D$2500))</f>
        <v>0</v>
      </c>
      <c r="AC76" s="75">
        <f t="array" ref="AC76">SUM((YEAR(Gastos!$A$2:$A$2500)=AC$1)*(MONTH(Gastos!$A$2:$A$2500)=AC$3)*(Gastos!$B$2:$B$2500=$A76)*(Gastos!$D$2:$D$2500))</f>
        <v>0</v>
      </c>
      <c r="AD76" s="75">
        <f t="array" ref="AD76">SUM((YEAR(Gastos!$A$2:$A$2500)=AD$1)*(MONTH(Gastos!$A$2:$A$2500)=AD$3)*(Gastos!$B$2:$B$2500=$A76)*(Gastos!$D$2:$D$2500))</f>
        <v>0</v>
      </c>
      <c r="AE76" s="75">
        <f t="array" ref="AE76">SUM((YEAR(Gastos!$A$2:$A$2500)=AE$1)*(MONTH(Gastos!$A$2:$A$2500)=AE$3)*(Gastos!$B$2:$B$2500=$A76)*(Gastos!$D$2:$D$2500))</f>
        <v>0</v>
      </c>
      <c r="AF76" s="75">
        <f t="array" ref="AF76">SUM((YEAR(Gastos!$A$2:$A$2500)=AF$1)*(MONTH(Gastos!$A$2:$A$2500)=AF$3)*(Gastos!$B$2:$B$2500=$A76)*(Gastos!$D$2:$D$2500))</f>
        <v>0</v>
      </c>
      <c r="AG76" s="75">
        <f t="array" ref="AG76">SUM((YEAR(Gastos!$A$2:$A$2500)=AG$1)*(MONTH(Gastos!$A$2:$A$2500)=AG$3)*(Gastos!$B$2:$B$2500=$A76)*(Gastos!$D$2:$D$2500))</f>
        <v>0</v>
      </c>
      <c r="AH76" s="75">
        <f t="array" ref="AH76">SUM((YEAR(Gastos!$A$2:$A$2500)=AH$1)*(MONTH(Gastos!$A$2:$A$2500)=AH$3)*(Gastos!$B$2:$B$2500=$A76)*(Gastos!$D$2:$D$2500))</f>
        <v>0</v>
      </c>
      <c r="AI76" s="75">
        <f t="array" ref="AI76">SUM((YEAR(Gastos!$A$2:$A$2500)=AI$1)*(MONTH(Gastos!$A$2:$A$2500)=AI$3)*(Gastos!$B$2:$B$2500=$A76)*(Gastos!$D$2:$D$2500))</f>
        <v>0</v>
      </c>
      <c r="AJ76" s="75">
        <f t="array" ref="AJ76">SUM((YEAR(Gastos!$A$2:$A$2500)=AJ$1)*(MONTH(Gastos!$A$2:$A$2500)=AJ$3)*(Gastos!$B$2:$B$2500=$A76)*(Gastos!$D$2:$D$2500))</f>
        <v>0</v>
      </c>
      <c r="AK76" s="75">
        <f t="array" ref="AK76">SUM((YEAR(Gastos!$A$2:$A$2500)=AK$1)*(MONTH(Gastos!$A$2:$A$2500)=AK$3)*(Gastos!$B$2:$B$2500=$A76)*(Gastos!$D$2:$D$2500))</f>
        <v>0</v>
      </c>
      <c r="AL76" s="75">
        <f t="array" ref="AL76">SUM((YEAR(Gastos!$A$2:$A$2500)=AL$1)*(MONTH(Gastos!$A$2:$A$2500)=AL$3)*(Gastos!$B$2:$B$2500=$A76)*(Gastos!$D$2:$D$2500))</f>
        <v>0</v>
      </c>
      <c r="AM76" s="75">
        <f t="array" ref="AM76">SUM((YEAR(Gastos!$A$2:$A$2500)=AM$1)*(MONTH(Gastos!$A$2:$A$2500)=AM$3)*(Gastos!$B$2:$B$2500=$A76)*(Gastos!$D$2:$D$2500))</f>
        <v>0</v>
      </c>
      <c r="AN76" s="75">
        <f t="array" ref="AN76">SUM((YEAR(Gastos!$A$2:$A$2500)=AN$1)*(MONTH(Gastos!$A$2:$A$2500)=AN$3)*(Gastos!$B$2:$B$2500=$A76)*(Gastos!$D$2:$D$2500))</f>
        <v>0</v>
      </c>
      <c r="AO76" s="75">
        <f t="array" ref="AO76">SUM((YEAR(Gastos!$A$2:$A$2500)=AO$1)*(MONTH(Gastos!$A$2:$A$2500)=AO$3)*(Gastos!$B$2:$B$2500=$A76)*(Gastos!$D$2:$D$2500))</f>
        <v>0</v>
      </c>
      <c r="AP76" s="75">
        <f t="array" ref="AP76">SUM((YEAR(Gastos!$A$2:$A$2500)=AP$1)*(MONTH(Gastos!$A$2:$A$2500)=AP$3)*(Gastos!$B$2:$B$2500=$A76)*(Gastos!$D$2:$D$2500))</f>
        <v>0</v>
      </c>
      <c r="AQ76" s="75">
        <f t="array" ref="AQ76">SUM((YEAR(Gastos!$A$2:$A$2500)=AQ$1)*(MONTH(Gastos!$A$2:$A$2500)=AQ$3)*(Gastos!$B$2:$B$2500=$A76)*(Gastos!$D$2:$D$2500))</f>
        <v>0</v>
      </c>
      <c r="AR76" s="75">
        <f t="array" ref="AR76">SUM((YEAR(Gastos!$A$2:$A$2500)=AR$1)*(MONTH(Gastos!$A$2:$A$2500)=AR$3)*(Gastos!$B$2:$B$2500=$A76)*(Gastos!$D$2:$D$2500))</f>
        <v>0</v>
      </c>
      <c r="AS76" s="75">
        <f t="array" ref="AS76">SUM((YEAR(Gastos!$A$2:$A$2500)=AS$1)*(MONTH(Gastos!$A$2:$A$2500)=AS$3)*(Gastos!$B$2:$B$2500=$A76)*(Gastos!$D$2:$D$2500))</f>
        <v>0</v>
      </c>
      <c r="AT76" s="75">
        <f t="array" ref="AT76">SUM((YEAR(Gastos!$A$2:$A$2500)=AT$1)*(MONTH(Gastos!$A$2:$A$2500)=AT$3)*(Gastos!$B$2:$B$2500=$A76)*(Gastos!$D$2:$D$2500))</f>
        <v>0</v>
      </c>
      <c r="AU76" s="75">
        <f t="array" ref="AU76">SUM((YEAR(Gastos!$A$2:$A$2500)=AU$1)*(MONTH(Gastos!$A$2:$A$2500)=AU$3)*(Gastos!$B$2:$B$2500=$A76)*(Gastos!$D$2:$D$2500))</f>
        <v>0</v>
      </c>
      <c r="AV76" s="75">
        <f t="array" ref="AV76">SUM((YEAR(Gastos!$A$2:$A$2500)=AV$1)*(MONTH(Gastos!$A$2:$A$2500)=AV$3)*(Gastos!$B$2:$B$2500=$A76)*(Gastos!$D$2:$D$2500))</f>
        <v>0</v>
      </c>
      <c r="AW76" s="75">
        <f t="array" ref="AW76">SUM((YEAR(Gastos!$A$2:$A$2500)=AW$1)*(MONTH(Gastos!$A$2:$A$2500)=AW$3)*(Gastos!$B$2:$B$2500=$A76)*(Gastos!$D$2:$D$2500))</f>
        <v>0</v>
      </c>
      <c r="AX76" s="75">
        <f t="array" ref="AX76">SUM((YEAR(Gastos!$A$2:$A$2500)=AX$1)*(MONTH(Gastos!$A$2:$A$2500)=AX$3)*(Gastos!$B$2:$B$2500=$A76)*(Gastos!$D$2:$D$2500))</f>
        <v>0</v>
      </c>
      <c r="AY76" s="75">
        <f t="array" ref="AY76">SUM((YEAR(Gastos!$A$2:$A$2500)=AY$1)*(MONTH(Gastos!$A$2:$A$2500)=AY$3)*(Gastos!$B$2:$B$2500=$A76)*(Gastos!$D$2:$D$2500))</f>
        <v>0</v>
      </c>
      <c r="AZ76" s="75">
        <f t="array" ref="AZ76">SUM((YEAR(Gastos!$A$2:$A$2500)=AZ$1)*(MONTH(Gastos!$A$2:$A$2500)=AZ$3)*(Gastos!$B$2:$B$2500=$A76)*(Gastos!$D$2:$D$2500))</f>
        <v>0</v>
      </c>
      <c r="BA76" s="75">
        <f t="array" ref="BA76">SUM((YEAR(Gastos!$A$2:$A$2500)=BA$1)*(MONTH(Gastos!$A$2:$A$2500)=BA$3)*(Gastos!$B$2:$B$2500=$A76)*(Gastos!$D$2:$D$2500))</f>
        <v>0</v>
      </c>
      <c r="BB76" s="75">
        <f t="array" ref="BB76">SUM((YEAR(Gastos!$A$2:$A$2500)=BB$1)*(MONTH(Gastos!$A$2:$A$2500)=BB$3)*(Gastos!$B$2:$B$2500=$A76)*(Gastos!$D$2:$D$2500))</f>
        <v>0</v>
      </c>
      <c r="BC76" s="75">
        <f t="array" ref="BC76">SUM((YEAR(Gastos!$A$2:$A$2500)=BC$1)*(MONTH(Gastos!$A$2:$A$2500)=BC$3)*(Gastos!$B$2:$B$2500=$A76)*(Gastos!$D$2:$D$2500))</f>
        <v>0</v>
      </c>
      <c r="BD76" s="75">
        <f t="array" ref="BD76">SUM((YEAR(Gastos!$A$2:$A$2500)=BD$1)*(MONTH(Gastos!$A$2:$A$2500)=BD$3)*(Gastos!$B$2:$B$2500=$A76)*(Gastos!$D$2:$D$2500))</f>
        <v>0</v>
      </c>
      <c r="BE76" s="75">
        <f t="array" ref="BE76">SUM((YEAR(Gastos!$A$2:$A$2500)=BE$1)*(MONTH(Gastos!$A$2:$A$2500)=BE$3)*(Gastos!$B$2:$B$2500=$A76)*(Gastos!$D$2:$D$2500))</f>
        <v>0</v>
      </c>
      <c r="BF76" s="75">
        <f t="array" ref="BF76">SUM((YEAR(Gastos!$A$2:$A$2500)=BF$1)*(MONTH(Gastos!$A$2:$A$2500)=BF$3)*(Gastos!$B$2:$B$2500=$A76)*(Gastos!$D$2:$D$2500))</f>
        <v>0</v>
      </c>
      <c r="BG76" s="75">
        <f t="array" ref="BG76">SUM((YEAR(Gastos!$A$2:$A$2500)=BG$1)*(MONTH(Gastos!$A$2:$A$2500)=BG$3)*(Gastos!$B$2:$B$2500=$A76)*(Gastos!$D$2:$D$2500))</f>
        <v>0</v>
      </c>
      <c r="BH76" s="75">
        <f t="array" ref="BH76">SUM((YEAR(Gastos!$A$2:$A$2500)=BH$1)*(MONTH(Gastos!$A$2:$A$2500)=BH$3)*(Gastos!$B$2:$B$2500=$A76)*(Gastos!$D$2:$D$2500))</f>
        <v>0</v>
      </c>
      <c r="BI76" s="75">
        <f t="array" ref="BI76">SUM((YEAR(Gastos!$A$2:$A$2500)=BI$1)*(MONTH(Gastos!$A$2:$A$2500)=BI$3)*(Gastos!$B$2:$B$2500=$A76)*(Gastos!$D$2:$D$2500))</f>
        <v>0</v>
      </c>
      <c r="BJ76" s="75">
        <f t="array" ref="BJ76">SUM((YEAR(Gastos!$A$2:$A$2500)=BJ$1)*(MONTH(Gastos!$A$2:$A$2500)=BJ$3)*(Gastos!$B$2:$B$2500=$A76)*(Gastos!$D$2:$D$2500))</f>
        <v>0</v>
      </c>
      <c r="BK76" s="75">
        <f t="array" ref="BK76">SUM((YEAR(Gastos!$A$2:$A$2500)=BK$1)*(MONTH(Gastos!$A$2:$A$2500)=BK$3)*(Gastos!$B$2:$B$2500=$A76)*(Gastos!$D$2:$D$2500))</f>
        <v>0</v>
      </c>
      <c r="BL76" s="75">
        <f t="array" ref="BL76">SUM((YEAR(Gastos!$A$2:$A$2500)=BL$1)*(MONTH(Gastos!$A$2:$A$2500)=BL$3)*(Gastos!$B$2:$B$2500=$A76)*(Gastos!$D$2:$D$2500))</f>
        <v>0</v>
      </c>
      <c r="BM76" s="75">
        <f t="array" ref="BM76">SUM((YEAR(Gastos!$A$2:$A$2500)=BM$1)*(MONTH(Gastos!$A$2:$A$2500)=BM$3)*(Gastos!$B$2:$B$2500=$A76)*(Gastos!$D$2:$D$2500))</f>
        <v>0</v>
      </c>
      <c r="BN76" s="75">
        <f t="array" ref="BN76">SUM((YEAR(Gastos!$A$2:$A$2500)=BN$1)*(MONTH(Gastos!$A$2:$A$2500)=BN$3)*(Gastos!$B$2:$B$2500=$A76)*(Gastos!$D$2:$D$2500))</f>
        <v>0</v>
      </c>
      <c r="BO76" s="75">
        <f t="array" ref="BO76">SUM((YEAR(Gastos!$A$2:$A$2500)=BO$1)*(MONTH(Gastos!$A$2:$A$2500)=BO$3)*(Gastos!$B$2:$B$2500=$A76)*(Gastos!$D$2:$D$2500))</f>
        <v>0</v>
      </c>
      <c r="BP76" s="75">
        <f t="array" ref="BP76">SUM((YEAR(Gastos!$A$2:$A$2500)=BP$1)*(MONTH(Gastos!$A$2:$A$2500)=BP$3)*(Gastos!$B$2:$B$2500=$A76)*(Gastos!$D$2:$D$2500))</f>
        <v>0</v>
      </c>
      <c r="BQ76" s="75">
        <f t="array" ref="BQ76">SUM((YEAR(Gastos!$A$2:$A$2500)=BQ$1)*(MONTH(Gastos!$A$2:$A$2500)=BQ$3)*(Gastos!$B$2:$B$2500=$A76)*(Gastos!$D$2:$D$2500))</f>
        <v>0</v>
      </c>
      <c r="BR76" s="75">
        <f t="array" ref="BR76">SUM((YEAR(Gastos!$A$2:$A$2500)=BR$1)*(MONTH(Gastos!$A$2:$A$2500)=BR$3)*(Gastos!$B$2:$B$2500=$A76)*(Gastos!$D$2:$D$2500))</f>
        <v>0</v>
      </c>
      <c r="BS76" s="75">
        <f t="array" ref="BS76">SUM((YEAR(Gastos!$A$2:$A$2500)=BS$1)*(MONTH(Gastos!$A$2:$A$2500)=BS$3)*(Gastos!$B$2:$B$2500=$A76)*(Gastos!$D$2:$D$2500))</f>
        <v>0</v>
      </c>
      <c r="BT76" s="75">
        <f t="array" ref="BT76">SUM((YEAR(Gastos!$A$2:$A$2500)=BT$1)*(MONTH(Gastos!$A$2:$A$2500)=BT$3)*(Gastos!$B$2:$B$2500=$A76)*(Gastos!$D$2:$D$2500))</f>
        <v>0</v>
      </c>
      <c r="BU76" s="75">
        <f t="array" ref="BU76">SUM((YEAR(Gastos!$A$2:$A$2500)=BU$1)*(MONTH(Gastos!$A$2:$A$2500)=BU$3)*(Gastos!$B$2:$B$2500=$A76)*(Gastos!$D$2:$D$2500))</f>
        <v>0</v>
      </c>
      <c r="BV76" s="75">
        <f t="array" ref="BV76">SUM((YEAR(Gastos!$A$2:$A$2500)=BV$1)*(MONTH(Gastos!$A$2:$A$2500)=BV$3)*(Gastos!$B$2:$B$2500=$A76)*(Gastos!$D$2:$D$2500))</f>
        <v>0</v>
      </c>
      <c r="BW76" s="75">
        <f t="array" ref="BW76">SUM((YEAR(Gastos!$A$2:$A$2500)=BW$1)*(MONTH(Gastos!$A$2:$A$2500)=BW$3)*(Gastos!$B$2:$B$2500=$A76)*(Gastos!$D$2:$D$2500))</f>
        <v>0</v>
      </c>
      <c r="BX76" s="75">
        <f t="array" ref="BX76">SUM((YEAR(Gastos!$A$2:$A$2500)=BX$1)*(MONTH(Gastos!$A$2:$A$2500)=BX$3)*(Gastos!$B$2:$B$2500=$A76)*(Gastos!$D$2:$D$2500))</f>
        <v>0</v>
      </c>
      <c r="BY76" s="75">
        <f t="array" ref="BY76">SUM((YEAR(Gastos!$A$2:$A$2500)=BY$1)*(MONTH(Gastos!$A$2:$A$2500)=BY$3)*(Gastos!$B$2:$B$2500=$A76)*(Gastos!$D$2:$D$2500))</f>
        <v>0</v>
      </c>
      <c r="BZ76" s="75">
        <f t="array" ref="BZ76">SUM((YEAR(Gastos!$A$2:$A$2500)=BZ$1)*(MONTH(Gastos!$A$2:$A$2500)=BZ$3)*(Gastos!$B$2:$B$2500=$A76)*(Gastos!$D$2:$D$2500))</f>
        <v>0</v>
      </c>
      <c r="CA76" s="75">
        <f t="array" ref="CA76">SUM((YEAR(Gastos!$A$2:$A$2500)=CA$1)*(MONTH(Gastos!$A$2:$A$2500)=CA$3)*(Gastos!$B$2:$B$2500=$A76)*(Gastos!$D$2:$D$2500))</f>
        <v>0</v>
      </c>
      <c r="CB76" s="75">
        <f t="array" ref="CB76">SUM((YEAR(Gastos!$A$2:$A$2500)=CB$1)*(MONTH(Gastos!$A$2:$A$2500)=CB$3)*(Gastos!$B$2:$B$2500=$A76)*(Gastos!$D$2:$D$2500))</f>
        <v>0</v>
      </c>
      <c r="CC76" s="75">
        <f t="array" ref="CC76">SUM((YEAR(Gastos!$A$2:$A$2500)=CC$1)*(MONTH(Gastos!$A$2:$A$2500)=CC$3)*(Gastos!$B$2:$B$2500=$A76)*(Gastos!$D$2:$D$2500))</f>
        <v>0</v>
      </c>
      <c r="CD76" s="75">
        <f t="array" ref="CD76">SUM((YEAR(Gastos!$A$2:$A$2500)=CD$1)*(MONTH(Gastos!$A$2:$A$2500)=CD$3)*(Gastos!$B$2:$B$2500=$A76)*(Gastos!$D$2:$D$2500))</f>
        <v>0</v>
      </c>
      <c r="CE76" s="75">
        <f t="array" ref="CE76">SUM((YEAR(Gastos!$A$2:$A$2500)=CE$1)*(MONTH(Gastos!$A$2:$A$2500)=CE$3)*(Gastos!$B$2:$B$2500=$A76)*(Gastos!$D$2:$D$2500))</f>
        <v>0</v>
      </c>
      <c r="CF76" s="75">
        <f t="array" ref="CF76">SUM((YEAR(Gastos!$A$2:$A$2500)=CF$1)*(MONTH(Gastos!$A$2:$A$2500)=CF$3)*(Gastos!$B$2:$B$2500=$A76)*(Gastos!$D$2:$D$2500))</f>
        <v>0</v>
      </c>
      <c r="CG76" s="75">
        <f t="array" ref="CG76">SUM((YEAR(Gastos!$A$2:$A$2500)=CG$1)*(MONTH(Gastos!$A$2:$A$2500)=CG$3)*(Gastos!$B$2:$B$2500=$A76)*(Gastos!$D$2:$D$2500))</f>
        <v>0</v>
      </c>
      <c r="CH76" s="75">
        <f t="array" ref="CH76">SUM((YEAR(Gastos!$A$2:$A$2500)=CH$1)*(MONTH(Gastos!$A$2:$A$2500)=CH$3)*(Gastos!$B$2:$B$2500=$A76)*(Gastos!$D$2:$D$2500))</f>
        <v>0</v>
      </c>
      <c r="CI76" s="75">
        <f t="array" ref="CI76">SUM((YEAR(Gastos!$A$2:$A$2500)=CI$1)*(MONTH(Gastos!$A$2:$A$2500)=CI$3)*(Gastos!$B$2:$B$2500=$A76)*(Gastos!$D$2:$D$2500))</f>
        <v>0</v>
      </c>
      <c r="CJ76" s="75">
        <f t="array" ref="CJ76">SUM((YEAR(Gastos!$A$2:$A$2500)=CJ$1)*(MONTH(Gastos!$A$2:$A$2500)=CJ$3)*(Gastos!$B$2:$B$2500=$A76)*(Gastos!$D$2:$D$2500))</f>
        <v>0</v>
      </c>
      <c r="CK76" s="75">
        <f t="array" ref="CK76">SUM((YEAR(Gastos!$A$2:$A$2500)=CK$1)*(MONTH(Gastos!$A$2:$A$2500)=CK$3)*(Gastos!$B$2:$B$2500=$A76)*(Gastos!$D$2:$D$2500))</f>
        <v>0</v>
      </c>
      <c r="CL76" s="75">
        <f t="array" ref="CL76">SUM((YEAR(Gastos!$A$2:$A$2500)=CL$1)*(MONTH(Gastos!$A$2:$A$2500)=CL$3)*(Gastos!$B$2:$B$2500=$A76)*(Gastos!$D$2:$D$2500))</f>
        <v>0</v>
      </c>
      <c r="CM76" s="75">
        <f t="array" ref="CM76">SUM((YEAR(Gastos!$A$2:$A$2500)=CM$1)*(MONTH(Gastos!$A$2:$A$2500)=CM$3)*(Gastos!$B$2:$B$2500=$A76)*(Gastos!$D$2:$D$2500))</f>
        <v>0</v>
      </c>
      <c r="CN76" s="75">
        <f t="array" ref="CN76">SUM((YEAR(Gastos!$A$2:$A$2500)=CN$1)*(MONTH(Gastos!$A$2:$A$2500)=CN$3)*(Gastos!$B$2:$B$2500=$A76)*(Gastos!$D$2:$D$2500))</f>
        <v>0</v>
      </c>
      <c r="CO76" s="75">
        <f t="array" ref="CO76">SUM((YEAR(Gastos!$A$2:$A$2500)=CO$1)*(MONTH(Gastos!$A$2:$A$2500)=CO$3)*(Gastos!$B$2:$B$2500=$A76)*(Gastos!$D$2:$D$2500))</f>
        <v>0</v>
      </c>
      <c r="CP76" s="75">
        <f t="array" ref="CP76">SUM((YEAR(Gastos!$A$2:$A$2500)=CP$1)*(MONTH(Gastos!$A$2:$A$2500)=CP$3)*(Gastos!$B$2:$B$2500=$A76)*(Gastos!$D$2:$D$2500))</f>
        <v>0</v>
      </c>
      <c r="CQ76" s="75">
        <f t="array" ref="CQ76">SUM((YEAR(Gastos!$A$2:$A$2500)=CQ$1)*(MONTH(Gastos!$A$2:$A$2500)=CQ$3)*(Gastos!$B$2:$B$2500=$A76)*(Gastos!$D$2:$D$2500))</f>
        <v>0</v>
      </c>
      <c r="CR76" s="75">
        <f t="array" ref="CR76">SUM((YEAR(Gastos!$A$2:$A$2500)=CR$1)*(MONTH(Gastos!$A$2:$A$2500)=CR$3)*(Gastos!$B$2:$B$2500=$A76)*(Gastos!$D$2:$D$2500))</f>
        <v>0</v>
      </c>
      <c r="CS76" s="75">
        <f t="array" ref="CS76">SUM((YEAR(Gastos!$A$2:$A$2500)=CS$1)*(MONTH(Gastos!$A$2:$A$2500)=CS$3)*(Gastos!$B$2:$B$2500=$A76)*(Gastos!$D$2:$D$2500))</f>
        <v>0</v>
      </c>
      <c r="CT76" s="75">
        <f t="array" ref="CT76">SUM((YEAR(Gastos!$A$2:$A$2500)=CT$1)*(MONTH(Gastos!$A$2:$A$2500)=CT$3)*(Gastos!$B$2:$B$2500=$A76)*(Gastos!$D$2:$D$2500))</f>
        <v>0</v>
      </c>
      <c r="CU76" s="75">
        <f t="array" ref="CU76">SUM((YEAR(Gastos!$A$2:$A$2500)=CU$1)*(MONTH(Gastos!$A$2:$A$2500)=CU$3)*(Gastos!$B$2:$B$2500=$A76)*(Gastos!$D$2:$D$2500))</f>
        <v>0</v>
      </c>
      <c r="CV76" s="75">
        <f t="array" ref="CV76">SUM((YEAR(Gastos!$A$2:$A$2500)=CV$1)*(MONTH(Gastos!$A$2:$A$2500)=CV$3)*(Gastos!$B$2:$B$2500=$A76)*(Gastos!$D$2:$D$2500))</f>
        <v>0</v>
      </c>
      <c r="CW76" s="75">
        <f t="array" ref="CW76">SUM((YEAR(Gastos!$A$2:$A$2500)=CW$1)*(MONTH(Gastos!$A$2:$A$2500)=CW$3)*(Gastos!$B$2:$B$2500=$A76)*(Gastos!$D$2:$D$2500))</f>
        <v>0</v>
      </c>
      <c r="CX76" s="75">
        <f t="array" ref="CX76">SUM((YEAR(Gastos!$A$2:$A$2500)=CX$1)*(MONTH(Gastos!$A$2:$A$2500)=CX$3)*(Gastos!$B$2:$B$2500=$A76)*(Gastos!$D$2:$D$2500))</f>
        <v>0</v>
      </c>
      <c r="CY76" s="75">
        <f t="array" ref="CY76">SUM((YEAR(Gastos!$A$2:$A$2500)=CY$1)*(MONTH(Gastos!$A$2:$A$2500)=CY$3)*(Gastos!$B$2:$B$2500=$A76)*(Gastos!$D$2:$D$2500))</f>
        <v>0</v>
      </c>
      <c r="CZ76" s="75">
        <f t="array" ref="CZ76">SUM((YEAR(Gastos!$A$2:$A$2500)=CZ$1)*(MONTH(Gastos!$A$2:$A$2500)=CZ$3)*(Gastos!$B$2:$B$2500=$A76)*(Gastos!$D$2:$D$2500))</f>
        <v>0</v>
      </c>
      <c r="DA76" s="75">
        <f t="array" ref="DA76">SUM((YEAR(Gastos!$A$2:$A$2500)=DA$1)*(MONTH(Gastos!$A$2:$A$2500)=DA$3)*(Gastos!$B$2:$B$2500=$A76)*(Gastos!$D$2:$D$2500))</f>
        <v>0</v>
      </c>
      <c r="DB76" s="75">
        <f t="array" ref="DB76">SUM((YEAR(Gastos!$A$2:$A$2500)=DB$1)*(MONTH(Gastos!$A$2:$A$2500)=DB$3)*(Gastos!$B$2:$B$2500=$A76)*(Gastos!$D$2:$D$2500))</f>
        <v>0</v>
      </c>
      <c r="DC76" s="75">
        <f t="array" ref="DC76">SUM((YEAR(Gastos!$A$2:$A$2500)=DC$1)*(MONTH(Gastos!$A$2:$A$2500)=DC$3)*(Gastos!$B$2:$B$2500=$A76)*(Gastos!$D$2:$D$2500))</f>
        <v>0</v>
      </c>
      <c r="DD76" s="75">
        <f t="array" ref="DD76">SUM((YEAR(Gastos!$A$2:$A$2500)=DD$1)*(MONTH(Gastos!$A$2:$A$2500)=DD$3)*(Gastos!$B$2:$B$2500=$A76)*(Gastos!$D$2:$D$2500))</f>
        <v>0</v>
      </c>
      <c r="DE76" s="75">
        <f t="array" ref="DE76">SUM((YEAR(Gastos!$A$2:$A$2500)=DE$1)*(MONTH(Gastos!$A$2:$A$2500)=DE$3)*(Gastos!$B$2:$B$2500=$A76)*(Gastos!$D$2:$D$2500))</f>
        <v>0</v>
      </c>
      <c r="DF76" s="75">
        <f t="array" ref="DF76">SUM((YEAR(Gastos!$A$2:$A$2500)=DF$1)*(MONTH(Gastos!$A$2:$A$2500)=DF$3)*(Gastos!$B$2:$B$2500=$A76)*(Gastos!$D$2:$D$2500))</f>
        <v>0</v>
      </c>
      <c r="DG76" s="75">
        <f t="array" ref="DG76">SUM((YEAR(Gastos!$A$2:$A$2500)=DG$1)*(MONTH(Gastos!$A$2:$A$2500)=DG$3)*(Gastos!$B$2:$B$2500=$A76)*(Gastos!$D$2:$D$2500))</f>
        <v>0</v>
      </c>
      <c r="DH76" s="75">
        <f t="array" ref="DH76">SUM((YEAR(Gastos!$A$2:$A$2500)=DH$1)*(MONTH(Gastos!$A$2:$A$2500)=DH$3)*(Gastos!$B$2:$B$2500=$A76)*(Gastos!$D$2:$D$2500))</f>
        <v>0</v>
      </c>
      <c r="DI76" s="75">
        <f t="array" ref="DI76">SUM((YEAR(Gastos!$A$2:$A$2500)=DI$1)*(MONTH(Gastos!$A$2:$A$2500)=DI$3)*(Gastos!$B$2:$B$2500=$A76)*(Gastos!$D$2:$D$2500))</f>
        <v>0</v>
      </c>
      <c r="DJ76" s="75">
        <f t="array" ref="DJ76">SUM((YEAR(Gastos!$A$2:$A$2500)=DJ$1)*(MONTH(Gastos!$A$2:$A$2500)=DJ$3)*(Gastos!$B$2:$B$2500=$A76)*(Gastos!$D$2:$D$2500))</f>
        <v>0</v>
      </c>
      <c r="DK76" s="75">
        <f t="array" ref="DK76">SUM((YEAR(Gastos!$A$2:$A$2500)=DK$1)*(MONTH(Gastos!$A$2:$A$2500)=DK$3)*(Gastos!$B$2:$B$2500=$A76)*(Gastos!$D$2:$D$2500))</f>
        <v>0</v>
      </c>
      <c r="DL76" s="75">
        <f t="array" ref="DL76">SUM((YEAR(Gastos!$A$2:$A$2500)=DL$1)*(MONTH(Gastos!$A$2:$A$2500)=DL$3)*(Gastos!$B$2:$B$2500=$A76)*(Gastos!$D$2:$D$2500))</f>
        <v>0</v>
      </c>
      <c r="DM76" s="75">
        <f t="array" ref="DM76">SUM((YEAR(Gastos!$A$2:$A$2500)=DM$1)*(MONTH(Gastos!$A$2:$A$2500)=DM$3)*(Gastos!$B$2:$B$2500=$A76)*(Gastos!$D$2:$D$2500))</f>
        <v>0</v>
      </c>
      <c r="DN76" s="75">
        <f t="array" ref="DN76">SUM((YEAR(Gastos!$A$2:$A$2500)=DN$1)*(MONTH(Gastos!$A$2:$A$2500)=DN$3)*(Gastos!$B$2:$B$2500=$A76)*(Gastos!$D$2:$D$2500))</f>
        <v>0</v>
      </c>
      <c r="DO76" s="75">
        <f t="array" ref="DO76">SUM((YEAR(Gastos!$A$2:$A$2500)=DO$1)*(MONTH(Gastos!$A$2:$A$2500)=DO$3)*(Gastos!$B$2:$B$2500=$A76)*(Gastos!$D$2:$D$2500))</f>
        <v>0</v>
      </c>
      <c r="DP76" s="75">
        <f t="array" ref="DP76">SUM((YEAR(Gastos!$A$2:$A$2500)=DP$1)*(MONTH(Gastos!$A$2:$A$2500)=DP$3)*(Gastos!$B$2:$B$2500=$A76)*(Gastos!$D$2:$D$2500))</f>
        <v>0</v>
      </c>
      <c r="DQ76" s="75">
        <f t="array" ref="DQ76">SUM((YEAR(Gastos!$A$2:$A$2500)=DQ$1)*(MONTH(Gastos!$A$2:$A$2500)=DQ$3)*(Gastos!$B$2:$B$2500=$A76)*(Gastos!$D$2:$D$2500))</f>
        <v>0</v>
      </c>
      <c r="DR76" s="75">
        <f t="array" ref="DR76">SUM((YEAR(Gastos!$A$2:$A$2500)=DR$1)*(MONTH(Gastos!$A$2:$A$2500)=DR$3)*(Gastos!$B$2:$B$2500=$A76)*(Gastos!$D$2:$D$2500))</f>
        <v>0</v>
      </c>
      <c r="DS76" s="75">
        <f t="array" ref="DS76">SUM((YEAR(Gastos!$A$2:$A$2500)=DS$1)*(MONTH(Gastos!$A$2:$A$2500)=DS$3)*(Gastos!$B$2:$B$2500=$A76)*(Gastos!$D$2:$D$2500))</f>
        <v>0</v>
      </c>
      <c r="DT76" s="75">
        <f t="array" ref="DT76">SUM((YEAR(Gastos!$A$2:$A$2500)=DT$1)*(MONTH(Gastos!$A$2:$A$2500)=DT$3)*(Gastos!$B$2:$B$2500=$A76)*(Gastos!$D$2:$D$2500))</f>
        <v>0</v>
      </c>
      <c r="DU76" s="75">
        <f t="array" ref="DU76">SUM((YEAR(Gastos!$A$2:$A$2500)=DU$1)*(MONTH(Gastos!$A$2:$A$2500)=DU$3)*(Gastos!$B$2:$B$2500=$A76)*(Gastos!$D$2:$D$2500))</f>
        <v>0</v>
      </c>
      <c r="DV76" s="75">
        <f t="array" ref="DV76">SUM((YEAR(Gastos!$A$2:$A$2500)=DV$1)*(MONTH(Gastos!$A$2:$A$2500)=DV$3)*(Gastos!$B$2:$B$2500=$A76)*(Gastos!$D$2:$D$2500))</f>
        <v>0</v>
      </c>
      <c r="DW76" s="75">
        <f t="array" ref="DW76">SUM((YEAR(Gastos!$A$2:$A$2500)=DW$1)*(MONTH(Gastos!$A$2:$A$2500)=DW$3)*(Gastos!$B$2:$B$2500=$A76)*(Gastos!$D$2:$D$2500))</f>
        <v>0</v>
      </c>
      <c r="DX76" s="75">
        <f t="array" ref="DX76">SUM((YEAR(Gastos!$A$2:$A$2500)=DX$1)*(MONTH(Gastos!$A$2:$A$2500)=DX$3)*(Gastos!$B$2:$B$2500=$A76)*(Gastos!$D$2:$D$2500))</f>
        <v>0</v>
      </c>
      <c r="DY76" s="75">
        <f t="array" ref="DY76">SUM((YEAR(Gastos!$A$2:$A$2500)=DY$1)*(MONTH(Gastos!$A$2:$A$2500)=DY$3)*(Gastos!$B$2:$B$2500=$A76)*(Gastos!$D$2:$D$2500))</f>
        <v>0</v>
      </c>
      <c r="DZ76" s="75">
        <f t="array" ref="DZ76">SUM((YEAR(Gastos!$A$2:$A$2500)=DZ$1)*(MONTH(Gastos!$A$2:$A$2500)=DZ$3)*(Gastos!$B$2:$B$2500=$A76)*(Gastos!$D$2:$D$2500))</f>
        <v>0</v>
      </c>
      <c r="EA76" s="75">
        <f t="array" ref="EA76">SUM((YEAR(Gastos!$A$2:$A$2500)=EA$1)*(MONTH(Gastos!$A$2:$A$2500)=EA$3)*(Gastos!$B$2:$B$2500=$A76)*(Gastos!$D$2:$D$2500))</f>
        <v>0</v>
      </c>
      <c r="EB76" s="75">
        <f t="array" ref="EB76">SUM((YEAR(Gastos!$A$2:$A$2500)=EB$1)*(MONTH(Gastos!$A$2:$A$2500)=EB$3)*(Gastos!$B$2:$B$2500=$A76)*(Gastos!$D$2:$D$2500))</f>
        <v>0</v>
      </c>
      <c r="EC76" s="75">
        <f t="array" ref="EC76">SUM((YEAR(Gastos!$A$2:$A$2500)=EC$1)*(MONTH(Gastos!$A$2:$A$2500)=EC$3)*(Gastos!$B$2:$B$2500=$A76)*(Gastos!$D$2:$D$2500))</f>
        <v>0</v>
      </c>
      <c r="ED76" s="75">
        <f t="array" ref="ED76">SUM((YEAR(Gastos!$A$2:$A$2500)=ED$1)*(MONTH(Gastos!$A$2:$A$2500)=ED$3)*(Gastos!$B$2:$B$2500=$A76)*(Gastos!$D$2:$D$2500))</f>
        <v>0</v>
      </c>
      <c r="EE76" s="75">
        <f t="array" ref="EE76">SUM((YEAR(Gastos!$A$2:$A$2500)=EE$1)*(MONTH(Gastos!$A$2:$A$2500)=EE$3)*(Gastos!$B$2:$B$2500=$A76)*(Gastos!$D$2:$D$2500))</f>
        <v>0</v>
      </c>
      <c r="EF76" s="75">
        <f t="array" ref="EF76">SUM((YEAR(Gastos!$A$2:$A$2500)=EF$1)*(MONTH(Gastos!$A$2:$A$2500)=EF$3)*(Gastos!$B$2:$B$2500=$A76)*(Gastos!$D$2:$D$2500))</f>
        <v>0</v>
      </c>
      <c r="EG76" s="75">
        <f t="array" ref="EG76">SUM((YEAR(Gastos!$A$2:$A$2500)=EG$1)*(MONTH(Gastos!$A$2:$A$2500)=EG$3)*(Gastos!$B$2:$B$2500=$A76)*(Gastos!$D$2:$D$2500))</f>
        <v>0</v>
      </c>
      <c r="EH76" s="75">
        <f t="array" ref="EH76">SUM((YEAR(Gastos!$A$2:$A$2500)=EH$1)*(MONTH(Gastos!$A$2:$A$2500)=EH$3)*(Gastos!$B$2:$B$2500=$A76)*(Gastos!$D$2:$D$2500))</f>
        <v>0</v>
      </c>
      <c r="EI76" s="75">
        <f t="array" ref="EI76">SUM((YEAR(Gastos!$A$2:$A$2500)=EI$1)*(MONTH(Gastos!$A$2:$A$2500)=EI$3)*(Gastos!$B$2:$B$2500=$A76)*(Gastos!$D$2:$D$2500))</f>
        <v>0</v>
      </c>
      <c r="EJ76" s="75">
        <f t="array" ref="EJ76">SUM((YEAR(Gastos!$A$2:$A$2500)=EJ$1)*(MONTH(Gastos!$A$2:$A$2500)=EJ$3)*(Gastos!$B$2:$B$2500=$A76)*(Gastos!$D$2:$D$2500))</f>
        <v>0</v>
      </c>
      <c r="EK76" s="75">
        <f t="array" ref="EK76">SUM((YEAR(Gastos!$A$2:$A$2500)=EK$1)*(MONTH(Gastos!$A$2:$A$2500)=EK$3)*(Gastos!$B$2:$B$2500=$A76)*(Gastos!$D$2:$D$2500))</f>
        <v>0</v>
      </c>
      <c r="EL76" s="75">
        <f t="array" ref="EL76">SUM((YEAR(Gastos!$A$2:$A$2500)=EL$1)*(MONTH(Gastos!$A$2:$A$2500)=EL$3)*(Gastos!$B$2:$B$2500=$A76)*(Gastos!$D$2:$D$2500))</f>
        <v>0</v>
      </c>
      <c r="EM76" s="75">
        <f t="array" ref="EM76">SUM((YEAR(Gastos!$A$2:$A$2500)=EM$1)*(MONTH(Gastos!$A$2:$A$2500)=EM$3)*(Gastos!$B$2:$B$2500=$A76)*(Gastos!$D$2:$D$2500))</f>
        <v>0</v>
      </c>
      <c r="EN76" s="75">
        <f t="array" ref="EN76">SUM((YEAR(Gastos!$A$2:$A$2500)=EN$1)*(MONTH(Gastos!$A$2:$A$2500)=EN$3)*(Gastos!$B$2:$B$2500=$A76)*(Gastos!$D$2:$D$2500))</f>
        <v>0</v>
      </c>
      <c r="EO76" s="75">
        <f t="array" ref="EO76">SUM((YEAR(Gastos!$A$2:$A$2500)=EO$1)*(MONTH(Gastos!$A$2:$A$2500)=EO$3)*(Gastos!$B$2:$B$2500=$A76)*(Gastos!$D$2:$D$2500))</f>
        <v>0</v>
      </c>
      <c r="EP76" s="75">
        <f t="array" ref="EP76">SUM((YEAR(Gastos!$A$2:$A$2500)=EP$1)*(MONTH(Gastos!$A$2:$A$2500)=EP$3)*(Gastos!$B$2:$B$2500=$A76)*(Gastos!$D$2:$D$2500))</f>
        <v>0</v>
      </c>
      <c r="EQ76" s="75">
        <f t="array" ref="EQ76">SUM((YEAR(Gastos!$A$2:$A$2500)=EQ$1)*(MONTH(Gastos!$A$2:$A$2500)=EQ$3)*(Gastos!$B$2:$B$2500=$A76)*(Gastos!$D$2:$D$2500))</f>
        <v>0</v>
      </c>
      <c r="ER76" s="75">
        <f t="array" ref="ER76">SUM((YEAR(Gastos!$A$2:$A$2500)=ER$1)*(MONTH(Gastos!$A$2:$A$2500)=ER$3)*(Gastos!$B$2:$B$2500=$A76)*(Gastos!$D$2:$D$2500))</f>
        <v>0</v>
      </c>
      <c r="ES76" s="75">
        <f t="array" ref="ES76">SUM((YEAR(Gastos!$A$2:$A$2500)=ES$1)*(MONTH(Gastos!$A$2:$A$2500)=ES$3)*(Gastos!$B$2:$B$2500=$A76)*(Gastos!$D$2:$D$2500))</f>
        <v>0</v>
      </c>
      <c r="ET76" s="75">
        <f t="array" ref="ET76">SUM((YEAR(Gastos!$A$2:$A$2500)=ET$1)*(MONTH(Gastos!$A$2:$A$2500)=ET$3)*(Gastos!$B$2:$B$2500=$A76)*(Gastos!$D$2:$D$2500))</f>
        <v>0</v>
      </c>
      <c r="EU76" s="75">
        <f t="array" ref="EU76">SUM((YEAR(Gastos!$A$2:$A$2500)=EU$1)*(MONTH(Gastos!$A$2:$A$2500)=EU$3)*(Gastos!$B$2:$B$2500=$A76)*(Gastos!$D$2:$D$2500))</f>
        <v>0</v>
      </c>
      <c r="EV76" s="75">
        <f t="array" ref="EV76">SUM((YEAR(Gastos!$A$2:$A$2500)=EV$1)*(MONTH(Gastos!$A$2:$A$2500)=EV$3)*(Gastos!$B$2:$B$2500=$A76)*(Gastos!$D$2:$D$2500))</f>
        <v>0</v>
      </c>
      <c r="EW76" s="75">
        <f t="array" ref="EW76">SUM((YEAR(Gastos!$A$2:$A$2500)=EW$1)*(MONTH(Gastos!$A$2:$A$2500)=EW$3)*(Gastos!$B$2:$B$2500=$A76)*(Gastos!$D$2:$D$2500))</f>
        <v>0</v>
      </c>
      <c r="EX76" s="75">
        <f t="array" ref="EX76">SUM((YEAR(Gastos!$A$2:$A$2500)=EX$1)*(MONTH(Gastos!$A$2:$A$2500)=EX$3)*(Gastos!$B$2:$B$2500=$A76)*(Gastos!$D$2:$D$2500))</f>
        <v>0</v>
      </c>
      <c r="EY76" s="75">
        <f t="array" ref="EY76">SUM((YEAR(Gastos!$A$2:$A$2500)=EY$1)*(MONTH(Gastos!$A$2:$A$2500)=EY$3)*(Gastos!$B$2:$B$2500=$A76)*(Gastos!$D$2:$D$2500))</f>
        <v>0</v>
      </c>
      <c r="EZ76" s="75">
        <f t="array" ref="EZ76">SUM((YEAR(Gastos!$A$2:$A$2500)=EZ$1)*(MONTH(Gastos!$A$2:$A$2500)=EZ$3)*(Gastos!$B$2:$B$2500=$A76)*(Gastos!$D$2:$D$2500))</f>
        <v>0</v>
      </c>
      <c r="FA76" s="75">
        <f t="array" ref="FA76">SUM((YEAR(Gastos!$A$2:$A$2500)=FA$1)*(MONTH(Gastos!$A$2:$A$2500)=FA$3)*(Gastos!$B$2:$B$2500=$A76)*(Gastos!$D$2:$D$2500))</f>
        <v>0</v>
      </c>
      <c r="FB76" s="75">
        <f t="array" ref="FB76">SUM((YEAR(Gastos!$A$2:$A$2500)=FB$1)*(MONTH(Gastos!$A$2:$A$2500)=FB$3)*(Gastos!$B$2:$B$2500=$A76)*(Gastos!$D$2:$D$2500))</f>
        <v>0</v>
      </c>
      <c r="FC76" s="75">
        <f t="array" ref="FC76">SUM((YEAR(Gastos!$A$2:$A$2500)=FC$1)*(MONTH(Gastos!$A$2:$A$2500)=FC$3)*(Gastos!$B$2:$B$2500=$A76)*(Gastos!$D$2:$D$2500))</f>
        <v>0</v>
      </c>
      <c r="FD76" s="75">
        <f t="array" ref="FD76">SUM((YEAR(Gastos!$A$2:$A$2500)=FD$1)*(MONTH(Gastos!$A$2:$A$2500)=FD$3)*(Gastos!$B$2:$B$2500=$A76)*(Gastos!$D$2:$D$2500))</f>
        <v>0</v>
      </c>
      <c r="FE76" s="75">
        <f t="array" ref="FE76">SUM((YEAR(Gastos!$A$2:$A$2500)=FE$1)*(MONTH(Gastos!$A$2:$A$2500)=FE$3)*(Gastos!$B$2:$B$2500=$A76)*(Gastos!$D$2:$D$2500))</f>
        <v>0</v>
      </c>
      <c r="FF76" s="75">
        <f t="array" ref="FF76">SUM((YEAR(Gastos!$A$2:$A$2500)=FF$1)*(MONTH(Gastos!$A$2:$A$2500)=FF$3)*(Gastos!$B$2:$B$2500=$A76)*(Gastos!$D$2:$D$2500))</f>
        <v>0</v>
      </c>
      <c r="FG76" s="75">
        <f t="array" ref="FG76">SUM((YEAR(Gastos!$A$2:$A$2500)=FG$1)*(MONTH(Gastos!$A$2:$A$2500)=FG$3)*(Gastos!$B$2:$B$2500=$A76)*(Gastos!$D$2:$D$2500))</f>
        <v>0</v>
      </c>
      <c r="FH76" s="75">
        <f t="array" ref="FH76">SUM((YEAR(Gastos!$A$2:$A$2500)=FH$1)*(MONTH(Gastos!$A$2:$A$2500)=FH$3)*(Gastos!$B$2:$B$2500=$A76)*(Gastos!$D$2:$D$2500))</f>
        <v>0</v>
      </c>
      <c r="FI76" s="75">
        <f t="array" ref="FI76">SUM((YEAR(Gastos!$A$2:$A$2500)=FI$1)*(MONTH(Gastos!$A$2:$A$2500)=FI$3)*(Gastos!$B$2:$B$2500=$A76)*(Gastos!$D$2:$D$2500))</f>
        <v>0</v>
      </c>
      <c r="FJ76" s="75">
        <f t="array" ref="FJ76">SUM((YEAR(Gastos!$A$2:$A$2500)=FJ$1)*(MONTH(Gastos!$A$2:$A$2500)=FJ$3)*(Gastos!$B$2:$B$2500=$A76)*(Gastos!$D$2:$D$2500))</f>
        <v>0</v>
      </c>
      <c r="FK76" s="75">
        <f t="array" ref="FK76">SUM((YEAR(Gastos!$A$2:$A$2500)=FK$1)*(MONTH(Gastos!$A$2:$A$2500)=FK$3)*(Gastos!$B$2:$B$2500=$A76)*(Gastos!$D$2:$D$2500))</f>
        <v>0</v>
      </c>
      <c r="FL76" s="75">
        <f t="array" ref="FL76">SUM((YEAR(Gastos!$A$2:$A$2500)=FL$1)*(MONTH(Gastos!$A$2:$A$2500)=FL$3)*(Gastos!$B$2:$B$2500=$A76)*(Gastos!$D$2:$D$2500))</f>
        <v>0</v>
      </c>
      <c r="FM76" s="75">
        <f t="array" ref="FM76">SUM((YEAR(Gastos!$A$2:$A$2500)=FM$1)*(MONTH(Gastos!$A$2:$A$2500)=FM$3)*(Gastos!$B$2:$B$2500=$A76)*(Gastos!$D$2:$D$2500))</f>
        <v>0</v>
      </c>
      <c r="FN76" s="75">
        <f t="array" ref="FN76">SUM((YEAR(Gastos!$A$2:$A$2500)=FN$1)*(MONTH(Gastos!$A$2:$A$2500)=FN$3)*(Gastos!$B$2:$B$2500=$A76)*(Gastos!$D$2:$D$2500))</f>
        <v>0</v>
      </c>
      <c r="FO76" s="75">
        <f t="array" ref="FO76">SUM((YEAR(Gastos!$A$2:$A$2500)=FO$1)*(MONTH(Gastos!$A$2:$A$2500)=FO$3)*(Gastos!$B$2:$B$2500=$A76)*(Gastos!$D$2:$D$2500))</f>
        <v>0</v>
      </c>
      <c r="FP76" s="75">
        <f t="array" ref="FP76">SUM((YEAR(Gastos!$A$2:$A$2500)=FP$1)*(MONTH(Gastos!$A$2:$A$2500)=FP$3)*(Gastos!$B$2:$B$2500=$A76)*(Gastos!$D$2:$D$2500))</f>
        <v>0</v>
      </c>
      <c r="FQ76" s="75">
        <f t="array" ref="FQ76">SUM((YEAR(Gastos!$A$2:$A$2500)=FQ$1)*(MONTH(Gastos!$A$2:$A$2500)=FQ$3)*(Gastos!$B$2:$B$2500=$A76)*(Gastos!$D$2:$D$2500))</f>
        <v>0</v>
      </c>
      <c r="FR76" s="75">
        <f t="array" ref="FR76">SUM((YEAR(Gastos!$A$2:$A$2500)=FR$1)*(MONTH(Gastos!$A$2:$A$2500)=FR$3)*(Gastos!$B$2:$B$2500=$A76)*(Gastos!$D$2:$D$2500))</f>
        <v>0</v>
      </c>
      <c r="FS76" s="75">
        <f t="array" ref="FS76">SUM((YEAR(Gastos!$A$2:$A$2500)=FS$1)*(MONTH(Gastos!$A$2:$A$2500)=FS$3)*(Gastos!$B$2:$B$2500=$A76)*(Gastos!$D$2:$D$2500))</f>
        <v>0</v>
      </c>
      <c r="FT76" s="75">
        <f t="array" ref="FT76">SUM((YEAR(Gastos!$A$2:$A$2500)=FT$1)*(MONTH(Gastos!$A$2:$A$2500)=FT$3)*(Gastos!$B$2:$B$2500=$A76)*(Gastos!$D$2:$D$2500))</f>
        <v>0</v>
      </c>
      <c r="FU76" s="75">
        <f t="array" ref="FU76">SUM((YEAR(Gastos!$A$2:$A$2500)=FU$1)*(MONTH(Gastos!$A$2:$A$2500)=FU$3)*(Gastos!$B$2:$B$2500=$A76)*(Gastos!$D$2:$D$2500))</f>
        <v>0</v>
      </c>
      <c r="FV76" s="75">
        <f t="array" ref="FV76">SUM((YEAR(Gastos!$A$2:$A$2500)=FV$1)*(MONTH(Gastos!$A$2:$A$2500)=FV$3)*(Gastos!$B$2:$B$2500=$A76)*(Gastos!$D$2:$D$2500))</f>
        <v>0</v>
      </c>
      <c r="FW76" s="75">
        <f t="array" ref="FW76">SUM((YEAR(Gastos!$A$2:$A$2500)=FW$1)*(MONTH(Gastos!$A$2:$A$2500)=FW$3)*(Gastos!$B$2:$B$2500=$A76)*(Gastos!$D$2:$D$2500))</f>
        <v>0</v>
      </c>
      <c r="FX76" s="75">
        <f t="array" ref="FX76">SUM((YEAR(Gastos!$A$2:$A$2500)=FX$1)*(MONTH(Gastos!$A$2:$A$2500)=FX$3)*(Gastos!$B$2:$B$2500=$A76)*(Gastos!$D$2:$D$2500))</f>
        <v>0</v>
      </c>
      <c r="FY76" s="75">
        <f t="array" ref="FY76">SUM((YEAR(Gastos!$A$2:$A$2500)=FY$1)*(MONTH(Gastos!$A$2:$A$2500)=FY$3)*(Gastos!$B$2:$B$2500=$A76)*(Gastos!$D$2:$D$2500))</f>
        <v>0</v>
      </c>
      <c r="FZ76" s="76">
        <f t="shared" si="68"/>
        <v>0</v>
      </c>
      <c r="GA76" s="80"/>
      <c r="GB76" s="82"/>
    </row>
    <row r="77" spans="1:184" ht="15" thickBot="1" x14ac:dyDescent="0.4">
      <c r="A77" s="74" t="str">
        <f>Gastos!AA75</f>
        <v>X</v>
      </c>
      <c r="B77" s="75">
        <f t="array" ref="B77">SUM((YEAR(Gastos!$A$2:$A$2500)=B$1)*(MONTH(Gastos!$A$2:$A$2500)=B$3)*(Gastos!$B$2:$B$2500=$A77)*(Gastos!$D$2:$D$2500))</f>
        <v>0</v>
      </c>
      <c r="C77" s="75">
        <f t="array" ref="C77">SUM((YEAR(Gastos!$A$2:$A$2500)=C$1)*(MONTH(Gastos!$A$2:$A$2500)=C$3)*(Gastos!$B$2:$B$2500=$A77)*(Gastos!$D$2:$D$2500))</f>
        <v>0</v>
      </c>
      <c r="D77" s="75">
        <f t="array" ref="D77">SUM((YEAR(Gastos!$A$2:$A$2500)=D$1)*(MONTH(Gastos!$A$2:$A$2500)=D$3)*(Gastos!$B$2:$B$2500=$A77)*(Gastos!$D$2:$D$2500))</f>
        <v>0</v>
      </c>
      <c r="E77" s="75">
        <f t="array" ref="E77">SUM((YEAR(Gastos!$A$2:$A$2500)=E$1)*(MONTH(Gastos!$A$2:$A$2500)=E$3)*(Gastos!$B$2:$B$2500=$A77)*(Gastos!$D$2:$D$2500))</f>
        <v>0</v>
      </c>
      <c r="F77" s="75">
        <f t="array" ref="F77">SUM((YEAR(Gastos!$A$2:$A$2500)=F$1)*(MONTH(Gastos!$A$2:$A$2500)=F$3)*(Gastos!$B$2:$B$2500=$A77)*(Gastos!$D$2:$D$2500))</f>
        <v>0</v>
      </c>
      <c r="G77" s="75">
        <f t="array" ref="G77">SUM((YEAR(Gastos!$A$2:$A$2500)=G$1)*(MONTH(Gastos!$A$2:$A$2500)=G$3)*(Gastos!$B$2:$B$2500=$A77)*(Gastos!$D$2:$D$2500))</f>
        <v>0</v>
      </c>
      <c r="H77" s="75">
        <f t="array" ref="H77">SUM((YEAR(Gastos!$A$2:$A$2500)=H$1)*(MONTH(Gastos!$A$2:$A$2500)=H$3)*(Gastos!$B$2:$B$2500=$A77)*(Gastos!$D$2:$D$2500))</f>
        <v>0</v>
      </c>
      <c r="I77" s="75">
        <f t="array" ref="I77">SUM((YEAR(Gastos!$A$2:$A$2500)=I$1)*(MONTH(Gastos!$A$2:$A$2500)=I$3)*(Gastos!$B$2:$B$2500=$A77)*(Gastos!$D$2:$D$2500))</f>
        <v>0</v>
      </c>
      <c r="J77" s="75">
        <f t="array" ref="J77">SUM((YEAR(Gastos!$A$2:$A$2500)=J$1)*(MONTH(Gastos!$A$2:$A$2500)=J$3)*(Gastos!$B$2:$B$2500=$A77)*(Gastos!$D$2:$D$2500))</f>
        <v>0</v>
      </c>
      <c r="K77" s="75">
        <f t="array" ref="K77">SUM((YEAR(Gastos!$A$2:$A$2500)=K$1)*(MONTH(Gastos!$A$2:$A$2500)=K$3)*(Gastos!$B$2:$B$2500=$A77)*(Gastos!$D$2:$D$2500))</f>
        <v>0</v>
      </c>
      <c r="L77" s="75">
        <f t="array" ref="L77">SUM((YEAR(Gastos!$A$2:$A$2500)=L$1)*(MONTH(Gastos!$A$2:$A$2500)=L$3)*(Gastos!$B$2:$B$2500=$A77)*(Gastos!$D$2:$D$2500))</f>
        <v>0</v>
      </c>
      <c r="M77" s="75">
        <f t="array" ref="M77">SUM((YEAR(Gastos!$A$2:$A$2500)=M$1)*(MONTH(Gastos!$A$2:$A$2500)=M$3)*(Gastos!$B$2:$B$2500=$A77)*(Gastos!$D$2:$D$2500))</f>
        <v>0</v>
      </c>
      <c r="N77" s="75">
        <f t="array" ref="N77">SUM((YEAR(Gastos!$A$2:$A$2500)=N$1)*(MONTH(Gastos!$A$2:$A$2500)=N$3)*(Gastos!$B$2:$B$2500=$A77)*(Gastos!$D$2:$D$2500))</f>
        <v>0</v>
      </c>
      <c r="O77" s="75">
        <f t="array" ref="O77">SUM((YEAR(Gastos!$A$2:$A$2500)=O$1)*(MONTH(Gastos!$A$2:$A$2500)=O$3)*(Gastos!$B$2:$B$2500=$A77)*(Gastos!$D$2:$D$2500))</f>
        <v>0</v>
      </c>
      <c r="P77" s="75">
        <f t="array" ref="P77">SUM((YEAR(Gastos!$A$2:$A$2500)=P$1)*(MONTH(Gastos!$A$2:$A$2500)=P$3)*(Gastos!$B$2:$B$2500=$A77)*(Gastos!$D$2:$D$2500))</f>
        <v>0</v>
      </c>
      <c r="Q77" s="75">
        <f t="array" ref="Q77">SUM((YEAR(Gastos!$A$2:$A$2500)=Q$1)*(MONTH(Gastos!$A$2:$A$2500)=Q$3)*(Gastos!$B$2:$B$2500=$A77)*(Gastos!$D$2:$D$2500))</f>
        <v>0</v>
      </c>
      <c r="R77" s="75">
        <f t="array" ref="R77">SUM((YEAR(Gastos!$A$2:$A$2500)=R$1)*(MONTH(Gastos!$A$2:$A$2500)=R$3)*(Gastos!$B$2:$B$2500=$A77)*(Gastos!$D$2:$D$2500))</f>
        <v>0</v>
      </c>
      <c r="S77" s="75">
        <f t="array" ref="S77">SUM((YEAR(Gastos!$A$2:$A$2500)=S$1)*(MONTH(Gastos!$A$2:$A$2500)=S$3)*(Gastos!$B$2:$B$2500=$A77)*(Gastos!$D$2:$D$2500))</f>
        <v>0</v>
      </c>
      <c r="T77" s="75">
        <f t="array" ref="T77">SUM((YEAR(Gastos!$A$2:$A$2500)=T$1)*(MONTH(Gastos!$A$2:$A$2500)=T$3)*(Gastos!$B$2:$B$2500=$A77)*(Gastos!$D$2:$D$2500))</f>
        <v>0</v>
      </c>
      <c r="U77" s="75">
        <f t="array" ref="U77">SUM((YEAR(Gastos!$A$2:$A$2500)=U$1)*(MONTH(Gastos!$A$2:$A$2500)=U$3)*(Gastos!$B$2:$B$2500=$A77)*(Gastos!$D$2:$D$2500))</f>
        <v>0</v>
      </c>
      <c r="V77" s="75">
        <f t="array" ref="V77">SUM((YEAR(Gastos!$A$2:$A$2500)=V$1)*(MONTH(Gastos!$A$2:$A$2500)=V$3)*(Gastos!$B$2:$B$2500=$A77)*(Gastos!$D$2:$D$2500))</f>
        <v>0</v>
      </c>
      <c r="W77" s="75">
        <f t="array" ref="W77">SUM((YEAR(Gastos!$A$2:$A$2500)=W$1)*(MONTH(Gastos!$A$2:$A$2500)=W$3)*(Gastos!$B$2:$B$2500=$A77)*(Gastos!$D$2:$D$2500))</f>
        <v>0</v>
      </c>
      <c r="X77" s="75">
        <f t="array" ref="X77">SUM((YEAR(Gastos!$A$2:$A$2500)=X$1)*(MONTH(Gastos!$A$2:$A$2500)=X$3)*(Gastos!$B$2:$B$2500=$A77)*(Gastos!$D$2:$D$2500))</f>
        <v>0</v>
      </c>
      <c r="Y77" s="75">
        <f t="array" ref="Y77">SUM((YEAR(Gastos!$A$2:$A$2500)=Y$1)*(MONTH(Gastos!$A$2:$A$2500)=Y$3)*(Gastos!$B$2:$B$2500=$A77)*(Gastos!$D$2:$D$2500))</f>
        <v>0</v>
      </c>
      <c r="Z77" s="75">
        <f t="array" ref="Z77">SUM((YEAR(Gastos!$A$2:$A$2500)=Z$1)*(MONTH(Gastos!$A$2:$A$2500)=Z$3)*(Gastos!$B$2:$B$2500=$A77)*(Gastos!$D$2:$D$2500))</f>
        <v>0</v>
      </c>
      <c r="AA77" s="75">
        <f t="array" ref="AA77">SUM((YEAR(Gastos!$A$2:$A$2500)=AA$1)*(MONTH(Gastos!$A$2:$A$2500)=AA$3)*(Gastos!$B$2:$B$2500=$A77)*(Gastos!$D$2:$D$2500))</f>
        <v>0</v>
      </c>
      <c r="AB77" s="75">
        <f t="array" ref="AB77">SUM((YEAR(Gastos!$A$2:$A$2500)=AB$1)*(MONTH(Gastos!$A$2:$A$2500)=AB$3)*(Gastos!$B$2:$B$2500=$A77)*(Gastos!$D$2:$D$2500))</f>
        <v>0</v>
      </c>
      <c r="AC77" s="75">
        <f t="array" ref="AC77">SUM((YEAR(Gastos!$A$2:$A$2500)=AC$1)*(MONTH(Gastos!$A$2:$A$2500)=AC$3)*(Gastos!$B$2:$B$2500=$A77)*(Gastos!$D$2:$D$2500))</f>
        <v>0</v>
      </c>
      <c r="AD77" s="75">
        <f t="array" ref="AD77">SUM((YEAR(Gastos!$A$2:$A$2500)=AD$1)*(MONTH(Gastos!$A$2:$A$2500)=AD$3)*(Gastos!$B$2:$B$2500=$A77)*(Gastos!$D$2:$D$2500))</f>
        <v>0</v>
      </c>
      <c r="AE77" s="75">
        <f t="array" ref="AE77">SUM((YEAR(Gastos!$A$2:$A$2500)=AE$1)*(MONTH(Gastos!$A$2:$A$2500)=AE$3)*(Gastos!$B$2:$B$2500=$A77)*(Gastos!$D$2:$D$2500))</f>
        <v>0</v>
      </c>
      <c r="AF77" s="75">
        <f t="array" ref="AF77">SUM((YEAR(Gastos!$A$2:$A$2500)=AF$1)*(MONTH(Gastos!$A$2:$A$2500)=AF$3)*(Gastos!$B$2:$B$2500=$A77)*(Gastos!$D$2:$D$2500))</f>
        <v>0</v>
      </c>
      <c r="AG77" s="75">
        <f t="array" ref="AG77">SUM((YEAR(Gastos!$A$2:$A$2500)=AG$1)*(MONTH(Gastos!$A$2:$A$2500)=AG$3)*(Gastos!$B$2:$B$2500=$A77)*(Gastos!$D$2:$D$2500))</f>
        <v>0</v>
      </c>
      <c r="AH77" s="75">
        <f t="array" ref="AH77">SUM((YEAR(Gastos!$A$2:$A$2500)=AH$1)*(MONTH(Gastos!$A$2:$A$2500)=AH$3)*(Gastos!$B$2:$B$2500=$A77)*(Gastos!$D$2:$D$2500))</f>
        <v>0</v>
      </c>
      <c r="AI77" s="75">
        <f t="array" ref="AI77">SUM((YEAR(Gastos!$A$2:$A$2500)=AI$1)*(MONTH(Gastos!$A$2:$A$2500)=AI$3)*(Gastos!$B$2:$B$2500=$A77)*(Gastos!$D$2:$D$2500))</f>
        <v>0</v>
      </c>
      <c r="AJ77" s="75">
        <f t="array" ref="AJ77">SUM((YEAR(Gastos!$A$2:$A$2500)=AJ$1)*(MONTH(Gastos!$A$2:$A$2500)=AJ$3)*(Gastos!$B$2:$B$2500=$A77)*(Gastos!$D$2:$D$2500))</f>
        <v>0</v>
      </c>
      <c r="AK77" s="75">
        <f t="array" ref="AK77">SUM((YEAR(Gastos!$A$2:$A$2500)=AK$1)*(MONTH(Gastos!$A$2:$A$2500)=AK$3)*(Gastos!$B$2:$B$2500=$A77)*(Gastos!$D$2:$D$2500))</f>
        <v>0</v>
      </c>
      <c r="AL77" s="75">
        <f t="array" ref="AL77">SUM((YEAR(Gastos!$A$2:$A$2500)=AL$1)*(MONTH(Gastos!$A$2:$A$2500)=AL$3)*(Gastos!$B$2:$B$2500=$A77)*(Gastos!$D$2:$D$2500))</f>
        <v>0</v>
      </c>
      <c r="AM77" s="75">
        <f t="array" ref="AM77">SUM((YEAR(Gastos!$A$2:$A$2500)=AM$1)*(MONTH(Gastos!$A$2:$A$2500)=AM$3)*(Gastos!$B$2:$B$2500=$A77)*(Gastos!$D$2:$D$2500))</f>
        <v>0</v>
      </c>
      <c r="AN77" s="75">
        <f t="array" ref="AN77">SUM((YEAR(Gastos!$A$2:$A$2500)=AN$1)*(MONTH(Gastos!$A$2:$A$2500)=AN$3)*(Gastos!$B$2:$B$2500=$A77)*(Gastos!$D$2:$D$2500))</f>
        <v>0</v>
      </c>
      <c r="AO77" s="75">
        <f t="array" ref="AO77">SUM((YEAR(Gastos!$A$2:$A$2500)=AO$1)*(MONTH(Gastos!$A$2:$A$2500)=AO$3)*(Gastos!$B$2:$B$2500=$A77)*(Gastos!$D$2:$D$2500))</f>
        <v>0</v>
      </c>
      <c r="AP77" s="75">
        <f t="array" ref="AP77">SUM((YEAR(Gastos!$A$2:$A$2500)=AP$1)*(MONTH(Gastos!$A$2:$A$2500)=AP$3)*(Gastos!$B$2:$B$2500=$A77)*(Gastos!$D$2:$D$2500))</f>
        <v>0</v>
      </c>
      <c r="AQ77" s="75">
        <f t="array" ref="AQ77">SUM((YEAR(Gastos!$A$2:$A$2500)=AQ$1)*(MONTH(Gastos!$A$2:$A$2500)=AQ$3)*(Gastos!$B$2:$B$2500=$A77)*(Gastos!$D$2:$D$2500))</f>
        <v>0</v>
      </c>
      <c r="AR77" s="75">
        <f t="array" ref="AR77">SUM((YEAR(Gastos!$A$2:$A$2500)=AR$1)*(MONTH(Gastos!$A$2:$A$2500)=AR$3)*(Gastos!$B$2:$B$2500=$A77)*(Gastos!$D$2:$D$2500))</f>
        <v>0</v>
      </c>
      <c r="AS77" s="75">
        <f t="array" ref="AS77">SUM((YEAR(Gastos!$A$2:$A$2500)=AS$1)*(MONTH(Gastos!$A$2:$A$2500)=AS$3)*(Gastos!$B$2:$B$2500=$A77)*(Gastos!$D$2:$D$2500))</f>
        <v>0</v>
      </c>
      <c r="AT77" s="75">
        <f t="array" ref="AT77">SUM((YEAR(Gastos!$A$2:$A$2500)=AT$1)*(MONTH(Gastos!$A$2:$A$2500)=AT$3)*(Gastos!$B$2:$B$2500=$A77)*(Gastos!$D$2:$D$2500))</f>
        <v>0</v>
      </c>
      <c r="AU77" s="75">
        <f t="array" ref="AU77">SUM((YEAR(Gastos!$A$2:$A$2500)=AU$1)*(MONTH(Gastos!$A$2:$A$2500)=AU$3)*(Gastos!$B$2:$B$2500=$A77)*(Gastos!$D$2:$D$2500))</f>
        <v>0</v>
      </c>
      <c r="AV77" s="75">
        <f t="array" ref="AV77">SUM((YEAR(Gastos!$A$2:$A$2500)=AV$1)*(MONTH(Gastos!$A$2:$A$2500)=AV$3)*(Gastos!$B$2:$B$2500=$A77)*(Gastos!$D$2:$D$2500))</f>
        <v>0</v>
      </c>
      <c r="AW77" s="75">
        <f t="array" ref="AW77">SUM((YEAR(Gastos!$A$2:$A$2500)=AW$1)*(MONTH(Gastos!$A$2:$A$2500)=AW$3)*(Gastos!$B$2:$B$2500=$A77)*(Gastos!$D$2:$D$2500))</f>
        <v>0</v>
      </c>
      <c r="AX77" s="75">
        <f t="array" ref="AX77">SUM((YEAR(Gastos!$A$2:$A$2500)=AX$1)*(MONTH(Gastos!$A$2:$A$2500)=AX$3)*(Gastos!$B$2:$B$2500=$A77)*(Gastos!$D$2:$D$2500))</f>
        <v>0</v>
      </c>
      <c r="AY77" s="75">
        <f t="array" ref="AY77">SUM((YEAR(Gastos!$A$2:$A$2500)=AY$1)*(MONTH(Gastos!$A$2:$A$2500)=AY$3)*(Gastos!$B$2:$B$2500=$A77)*(Gastos!$D$2:$D$2500))</f>
        <v>0</v>
      </c>
      <c r="AZ77" s="75">
        <f t="array" ref="AZ77">SUM((YEAR(Gastos!$A$2:$A$2500)=AZ$1)*(MONTH(Gastos!$A$2:$A$2500)=AZ$3)*(Gastos!$B$2:$B$2500=$A77)*(Gastos!$D$2:$D$2500))</f>
        <v>0</v>
      </c>
      <c r="BA77" s="75">
        <f t="array" ref="BA77">SUM((YEAR(Gastos!$A$2:$A$2500)=BA$1)*(MONTH(Gastos!$A$2:$A$2500)=BA$3)*(Gastos!$B$2:$B$2500=$A77)*(Gastos!$D$2:$D$2500))</f>
        <v>0</v>
      </c>
      <c r="BB77" s="75">
        <f t="array" ref="BB77">SUM((YEAR(Gastos!$A$2:$A$2500)=BB$1)*(MONTH(Gastos!$A$2:$A$2500)=BB$3)*(Gastos!$B$2:$B$2500=$A77)*(Gastos!$D$2:$D$2500))</f>
        <v>0</v>
      </c>
      <c r="BC77" s="75">
        <f t="array" ref="BC77">SUM((YEAR(Gastos!$A$2:$A$2500)=BC$1)*(MONTH(Gastos!$A$2:$A$2500)=BC$3)*(Gastos!$B$2:$B$2500=$A77)*(Gastos!$D$2:$D$2500))</f>
        <v>0</v>
      </c>
      <c r="BD77" s="75">
        <f t="array" ref="BD77">SUM((YEAR(Gastos!$A$2:$A$2500)=BD$1)*(MONTH(Gastos!$A$2:$A$2500)=BD$3)*(Gastos!$B$2:$B$2500=$A77)*(Gastos!$D$2:$D$2500))</f>
        <v>0</v>
      </c>
      <c r="BE77" s="75">
        <f t="array" ref="BE77">SUM((YEAR(Gastos!$A$2:$A$2500)=BE$1)*(MONTH(Gastos!$A$2:$A$2500)=BE$3)*(Gastos!$B$2:$B$2500=$A77)*(Gastos!$D$2:$D$2500))</f>
        <v>0</v>
      </c>
      <c r="BF77" s="75">
        <f t="array" ref="BF77">SUM((YEAR(Gastos!$A$2:$A$2500)=BF$1)*(MONTH(Gastos!$A$2:$A$2500)=BF$3)*(Gastos!$B$2:$B$2500=$A77)*(Gastos!$D$2:$D$2500))</f>
        <v>0</v>
      </c>
      <c r="BG77" s="75">
        <f t="array" ref="BG77">SUM((YEAR(Gastos!$A$2:$A$2500)=BG$1)*(MONTH(Gastos!$A$2:$A$2500)=BG$3)*(Gastos!$B$2:$B$2500=$A77)*(Gastos!$D$2:$D$2500))</f>
        <v>0</v>
      </c>
      <c r="BH77" s="75">
        <f t="array" ref="BH77">SUM((YEAR(Gastos!$A$2:$A$2500)=BH$1)*(MONTH(Gastos!$A$2:$A$2500)=BH$3)*(Gastos!$B$2:$B$2500=$A77)*(Gastos!$D$2:$D$2500))</f>
        <v>0</v>
      </c>
      <c r="BI77" s="75">
        <f t="array" ref="BI77">SUM((YEAR(Gastos!$A$2:$A$2500)=BI$1)*(MONTH(Gastos!$A$2:$A$2500)=BI$3)*(Gastos!$B$2:$B$2500=$A77)*(Gastos!$D$2:$D$2500))</f>
        <v>0</v>
      </c>
      <c r="BJ77" s="75">
        <f t="array" ref="BJ77">SUM((YEAR(Gastos!$A$2:$A$2500)=BJ$1)*(MONTH(Gastos!$A$2:$A$2500)=BJ$3)*(Gastos!$B$2:$B$2500=$A77)*(Gastos!$D$2:$D$2500))</f>
        <v>0</v>
      </c>
      <c r="BK77" s="75">
        <f t="array" ref="BK77">SUM((YEAR(Gastos!$A$2:$A$2500)=BK$1)*(MONTH(Gastos!$A$2:$A$2500)=BK$3)*(Gastos!$B$2:$B$2500=$A77)*(Gastos!$D$2:$D$2500))</f>
        <v>0</v>
      </c>
      <c r="BL77" s="75">
        <f t="array" ref="BL77">SUM((YEAR(Gastos!$A$2:$A$2500)=BL$1)*(MONTH(Gastos!$A$2:$A$2500)=BL$3)*(Gastos!$B$2:$B$2500=$A77)*(Gastos!$D$2:$D$2500))</f>
        <v>0</v>
      </c>
      <c r="BM77" s="75">
        <f t="array" ref="BM77">SUM((YEAR(Gastos!$A$2:$A$2500)=BM$1)*(MONTH(Gastos!$A$2:$A$2500)=BM$3)*(Gastos!$B$2:$B$2500=$A77)*(Gastos!$D$2:$D$2500))</f>
        <v>0</v>
      </c>
      <c r="BN77" s="75">
        <f t="array" ref="BN77">SUM((YEAR(Gastos!$A$2:$A$2500)=BN$1)*(MONTH(Gastos!$A$2:$A$2500)=BN$3)*(Gastos!$B$2:$B$2500=$A77)*(Gastos!$D$2:$D$2500))</f>
        <v>0</v>
      </c>
      <c r="BO77" s="75">
        <f t="array" ref="BO77">SUM((YEAR(Gastos!$A$2:$A$2500)=BO$1)*(MONTH(Gastos!$A$2:$A$2500)=BO$3)*(Gastos!$B$2:$B$2500=$A77)*(Gastos!$D$2:$D$2500))</f>
        <v>0</v>
      </c>
      <c r="BP77" s="75">
        <f t="array" ref="BP77">SUM((YEAR(Gastos!$A$2:$A$2500)=BP$1)*(MONTH(Gastos!$A$2:$A$2500)=BP$3)*(Gastos!$B$2:$B$2500=$A77)*(Gastos!$D$2:$D$2500))</f>
        <v>0</v>
      </c>
      <c r="BQ77" s="75">
        <f t="array" ref="BQ77">SUM((YEAR(Gastos!$A$2:$A$2500)=BQ$1)*(MONTH(Gastos!$A$2:$A$2500)=BQ$3)*(Gastos!$B$2:$B$2500=$A77)*(Gastos!$D$2:$D$2500))</f>
        <v>0</v>
      </c>
      <c r="BR77" s="75">
        <f t="array" ref="BR77">SUM((YEAR(Gastos!$A$2:$A$2500)=BR$1)*(MONTH(Gastos!$A$2:$A$2500)=BR$3)*(Gastos!$B$2:$B$2500=$A77)*(Gastos!$D$2:$D$2500))</f>
        <v>0</v>
      </c>
      <c r="BS77" s="75">
        <f t="array" ref="BS77">SUM((YEAR(Gastos!$A$2:$A$2500)=BS$1)*(MONTH(Gastos!$A$2:$A$2500)=BS$3)*(Gastos!$B$2:$B$2500=$A77)*(Gastos!$D$2:$D$2500))</f>
        <v>0</v>
      </c>
      <c r="BT77" s="75">
        <f t="array" ref="BT77">SUM((YEAR(Gastos!$A$2:$A$2500)=BT$1)*(MONTH(Gastos!$A$2:$A$2500)=BT$3)*(Gastos!$B$2:$B$2500=$A77)*(Gastos!$D$2:$D$2500))</f>
        <v>0</v>
      </c>
      <c r="BU77" s="75">
        <f t="array" ref="BU77">SUM((YEAR(Gastos!$A$2:$A$2500)=BU$1)*(MONTH(Gastos!$A$2:$A$2500)=BU$3)*(Gastos!$B$2:$B$2500=$A77)*(Gastos!$D$2:$D$2500))</f>
        <v>0</v>
      </c>
      <c r="BV77" s="75">
        <f t="array" ref="BV77">SUM((YEAR(Gastos!$A$2:$A$2500)=BV$1)*(MONTH(Gastos!$A$2:$A$2500)=BV$3)*(Gastos!$B$2:$B$2500=$A77)*(Gastos!$D$2:$D$2500))</f>
        <v>0</v>
      </c>
      <c r="BW77" s="75">
        <f t="array" ref="BW77">SUM((YEAR(Gastos!$A$2:$A$2500)=BW$1)*(MONTH(Gastos!$A$2:$A$2500)=BW$3)*(Gastos!$B$2:$B$2500=$A77)*(Gastos!$D$2:$D$2500))</f>
        <v>0</v>
      </c>
      <c r="BX77" s="75">
        <f t="array" ref="BX77">SUM((YEAR(Gastos!$A$2:$A$2500)=BX$1)*(MONTH(Gastos!$A$2:$A$2500)=BX$3)*(Gastos!$B$2:$B$2500=$A77)*(Gastos!$D$2:$D$2500))</f>
        <v>0</v>
      </c>
      <c r="BY77" s="75">
        <f t="array" ref="BY77">SUM((YEAR(Gastos!$A$2:$A$2500)=BY$1)*(MONTH(Gastos!$A$2:$A$2500)=BY$3)*(Gastos!$B$2:$B$2500=$A77)*(Gastos!$D$2:$D$2500))</f>
        <v>0</v>
      </c>
      <c r="BZ77" s="75">
        <f t="array" ref="BZ77">SUM((YEAR(Gastos!$A$2:$A$2500)=BZ$1)*(MONTH(Gastos!$A$2:$A$2500)=BZ$3)*(Gastos!$B$2:$B$2500=$A77)*(Gastos!$D$2:$D$2500))</f>
        <v>0</v>
      </c>
      <c r="CA77" s="75">
        <f t="array" ref="CA77">SUM((YEAR(Gastos!$A$2:$A$2500)=CA$1)*(MONTH(Gastos!$A$2:$A$2500)=CA$3)*(Gastos!$B$2:$B$2500=$A77)*(Gastos!$D$2:$D$2500))</f>
        <v>0</v>
      </c>
      <c r="CB77" s="75">
        <f t="array" ref="CB77">SUM((YEAR(Gastos!$A$2:$A$2500)=CB$1)*(MONTH(Gastos!$A$2:$A$2500)=CB$3)*(Gastos!$B$2:$B$2500=$A77)*(Gastos!$D$2:$D$2500))</f>
        <v>0</v>
      </c>
      <c r="CC77" s="75">
        <f t="array" ref="CC77">SUM((YEAR(Gastos!$A$2:$A$2500)=CC$1)*(MONTH(Gastos!$A$2:$A$2500)=CC$3)*(Gastos!$B$2:$B$2500=$A77)*(Gastos!$D$2:$D$2500))</f>
        <v>0</v>
      </c>
      <c r="CD77" s="75">
        <f t="array" ref="CD77">SUM((YEAR(Gastos!$A$2:$A$2500)=CD$1)*(MONTH(Gastos!$A$2:$A$2500)=CD$3)*(Gastos!$B$2:$B$2500=$A77)*(Gastos!$D$2:$D$2500))</f>
        <v>0</v>
      </c>
      <c r="CE77" s="75">
        <f t="array" ref="CE77">SUM((YEAR(Gastos!$A$2:$A$2500)=CE$1)*(MONTH(Gastos!$A$2:$A$2500)=CE$3)*(Gastos!$B$2:$B$2500=$A77)*(Gastos!$D$2:$D$2500))</f>
        <v>0</v>
      </c>
      <c r="CF77" s="75">
        <f t="array" ref="CF77">SUM((YEAR(Gastos!$A$2:$A$2500)=CF$1)*(MONTH(Gastos!$A$2:$A$2500)=CF$3)*(Gastos!$B$2:$B$2500=$A77)*(Gastos!$D$2:$D$2500))</f>
        <v>0</v>
      </c>
      <c r="CG77" s="75">
        <f t="array" ref="CG77">SUM((YEAR(Gastos!$A$2:$A$2500)=CG$1)*(MONTH(Gastos!$A$2:$A$2500)=CG$3)*(Gastos!$B$2:$B$2500=$A77)*(Gastos!$D$2:$D$2500))</f>
        <v>0</v>
      </c>
      <c r="CH77" s="75">
        <f t="array" ref="CH77">SUM((YEAR(Gastos!$A$2:$A$2500)=CH$1)*(MONTH(Gastos!$A$2:$A$2500)=CH$3)*(Gastos!$B$2:$B$2500=$A77)*(Gastos!$D$2:$D$2500))</f>
        <v>0</v>
      </c>
      <c r="CI77" s="75">
        <f t="array" ref="CI77">SUM((YEAR(Gastos!$A$2:$A$2500)=CI$1)*(MONTH(Gastos!$A$2:$A$2500)=CI$3)*(Gastos!$B$2:$B$2500=$A77)*(Gastos!$D$2:$D$2500))</f>
        <v>0</v>
      </c>
      <c r="CJ77" s="75">
        <f t="array" ref="CJ77">SUM((YEAR(Gastos!$A$2:$A$2500)=CJ$1)*(MONTH(Gastos!$A$2:$A$2500)=CJ$3)*(Gastos!$B$2:$B$2500=$A77)*(Gastos!$D$2:$D$2500))</f>
        <v>0</v>
      </c>
      <c r="CK77" s="75">
        <f t="array" ref="CK77">SUM((YEAR(Gastos!$A$2:$A$2500)=CK$1)*(MONTH(Gastos!$A$2:$A$2500)=CK$3)*(Gastos!$B$2:$B$2500=$A77)*(Gastos!$D$2:$D$2500))</f>
        <v>0</v>
      </c>
      <c r="CL77" s="75">
        <f t="array" ref="CL77">SUM((YEAR(Gastos!$A$2:$A$2500)=CL$1)*(MONTH(Gastos!$A$2:$A$2500)=CL$3)*(Gastos!$B$2:$B$2500=$A77)*(Gastos!$D$2:$D$2500))</f>
        <v>0</v>
      </c>
      <c r="CM77" s="75">
        <f t="array" ref="CM77">SUM((YEAR(Gastos!$A$2:$A$2500)=CM$1)*(MONTH(Gastos!$A$2:$A$2500)=CM$3)*(Gastos!$B$2:$B$2500=$A77)*(Gastos!$D$2:$D$2500))</f>
        <v>0</v>
      </c>
      <c r="CN77" s="75">
        <f t="array" ref="CN77">SUM((YEAR(Gastos!$A$2:$A$2500)=CN$1)*(MONTH(Gastos!$A$2:$A$2500)=CN$3)*(Gastos!$B$2:$B$2500=$A77)*(Gastos!$D$2:$D$2500))</f>
        <v>0</v>
      </c>
      <c r="CO77" s="75">
        <f t="array" ref="CO77">SUM((YEAR(Gastos!$A$2:$A$2500)=CO$1)*(MONTH(Gastos!$A$2:$A$2500)=CO$3)*(Gastos!$B$2:$B$2500=$A77)*(Gastos!$D$2:$D$2500))</f>
        <v>0</v>
      </c>
      <c r="CP77" s="75">
        <f t="array" ref="CP77">SUM((YEAR(Gastos!$A$2:$A$2500)=CP$1)*(MONTH(Gastos!$A$2:$A$2500)=CP$3)*(Gastos!$B$2:$B$2500=$A77)*(Gastos!$D$2:$D$2500))</f>
        <v>0</v>
      </c>
      <c r="CQ77" s="75">
        <f t="array" ref="CQ77">SUM((YEAR(Gastos!$A$2:$A$2500)=CQ$1)*(MONTH(Gastos!$A$2:$A$2500)=CQ$3)*(Gastos!$B$2:$B$2500=$A77)*(Gastos!$D$2:$D$2500))</f>
        <v>0</v>
      </c>
      <c r="CR77" s="75">
        <f t="array" ref="CR77">SUM((YEAR(Gastos!$A$2:$A$2500)=CR$1)*(MONTH(Gastos!$A$2:$A$2500)=CR$3)*(Gastos!$B$2:$B$2500=$A77)*(Gastos!$D$2:$D$2500))</f>
        <v>0</v>
      </c>
      <c r="CS77" s="75">
        <f t="array" ref="CS77">SUM((YEAR(Gastos!$A$2:$A$2500)=CS$1)*(MONTH(Gastos!$A$2:$A$2500)=CS$3)*(Gastos!$B$2:$B$2500=$A77)*(Gastos!$D$2:$D$2500))</f>
        <v>0</v>
      </c>
      <c r="CT77" s="75">
        <f t="array" ref="CT77">SUM((YEAR(Gastos!$A$2:$A$2500)=CT$1)*(MONTH(Gastos!$A$2:$A$2500)=CT$3)*(Gastos!$B$2:$B$2500=$A77)*(Gastos!$D$2:$D$2500))</f>
        <v>0</v>
      </c>
      <c r="CU77" s="75">
        <f t="array" ref="CU77">SUM((YEAR(Gastos!$A$2:$A$2500)=CU$1)*(MONTH(Gastos!$A$2:$A$2500)=CU$3)*(Gastos!$B$2:$B$2500=$A77)*(Gastos!$D$2:$D$2500))</f>
        <v>0</v>
      </c>
      <c r="CV77" s="75">
        <f t="array" ref="CV77">SUM((YEAR(Gastos!$A$2:$A$2500)=CV$1)*(MONTH(Gastos!$A$2:$A$2500)=CV$3)*(Gastos!$B$2:$B$2500=$A77)*(Gastos!$D$2:$D$2500))</f>
        <v>0</v>
      </c>
      <c r="CW77" s="75">
        <f t="array" ref="CW77">SUM((YEAR(Gastos!$A$2:$A$2500)=CW$1)*(MONTH(Gastos!$A$2:$A$2500)=CW$3)*(Gastos!$B$2:$B$2500=$A77)*(Gastos!$D$2:$D$2500))</f>
        <v>0</v>
      </c>
      <c r="CX77" s="75">
        <f t="array" ref="CX77">SUM((YEAR(Gastos!$A$2:$A$2500)=CX$1)*(MONTH(Gastos!$A$2:$A$2500)=CX$3)*(Gastos!$B$2:$B$2500=$A77)*(Gastos!$D$2:$D$2500))</f>
        <v>0</v>
      </c>
      <c r="CY77" s="75">
        <f t="array" ref="CY77">SUM((YEAR(Gastos!$A$2:$A$2500)=CY$1)*(MONTH(Gastos!$A$2:$A$2500)=CY$3)*(Gastos!$B$2:$B$2500=$A77)*(Gastos!$D$2:$D$2500))</f>
        <v>0</v>
      </c>
      <c r="CZ77" s="75">
        <f t="array" ref="CZ77">SUM((YEAR(Gastos!$A$2:$A$2500)=CZ$1)*(MONTH(Gastos!$A$2:$A$2500)=CZ$3)*(Gastos!$B$2:$B$2500=$A77)*(Gastos!$D$2:$D$2500))</f>
        <v>0</v>
      </c>
      <c r="DA77" s="75">
        <f t="array" ref="DA77">SUM((YEAR(Gastos!$A$2:$A$2500)=DA$1)*(MONTH(Gastos!$A$2:$A$2500)=DA$3)*(Gastos!$B$2:$B$2500=$A77)*(Gastos!$D$2:$D$2500))</f>
        <v>0</v>
      </c>
      <c r="DB77" s="75">
        <f t="array" ref="DB77">SUM((YEAR(Gastos!$A$2:$A$2500)=DB$1)*(MONTH(Gastos!$A$2:$A$2500)=DB$3)*(Gastos!$B$2:$B$2500=$A77)*(Gastos!$D$2:$D$2500))</f>
        <v>0</v>
      </c>
      <c r="DC77" s="75">
        <f t="array" ref="DC77">SUM((YEAR(Gastos!$A$2:$A$2500)=DC$1)*(MONTH(Gastos!$A$2:$A$2500)=DC$3)*(Gastos!$B$2:$B$2500=$A77)*(Gastos!$D$2:$D$2500))</f>
        <v>0</v>
      </c>
      <c r="DD77" s="75">
        <f t="array" ref="DD77">SUM((YEAR(Gastos!$A$2:$A$2500)=DD$1)*(MONTH(Gastos!$A$2:$A$2500)=DD$3)*(Gastos!$B$2:$B$2500=$A77)*(Gastos!$D$2:$D$2500))</f>
        <v>0</v>
      </c>
      <c r="DE77" s="75">
        <f t="array" ref="DE77">SUM((YEAR(Gastos!$A$2:$A$2500)=DE$1)*(MONTH(Gastos!$A$2:$A$2500)=DE$3)*(Gastos!$B$2:$B$2500=$A77)*(Gastos!$D$2:$D$2500))</f>
        <v>0</v>
      </c>
      <c r="DF77" s="75">
        <f t="array" ref="DF77">SUM((YEAR(Gastos!$A$2:$A$2500)=DF$1)*(MONTH(Gastos!$A$2:$A$2500)=DF$3)*(Gastos!$B$2:$B$2500=$A77)*(Gastos!$D$2:$D$2500))</f>
        <v>0</v>
      </c>
      <c r="DG77" s="75">
        <f t="array" ref="DG77">SUM((YEAR(Gastos!$A$2:$A$2500)=DG$1)*(MONTH(Gastos!$A$2:$A$2500)=DG$3)*(Gastos!$B$2:$B$2500=$A77)*(Gastos!$D$2:$D$2500))</f>
        <v>0</v>
      </c>
      <c r="DH77" s="75">
        <f t="array" ref="DH77">SUM((YEAR(Gastos!$A$2:$A$2500)=DH$1)*(MONTH(Gastos!$A$2:$A$2500)=DH$3)*(Gastos!$B$2:$B$2500=$A77)*(Gastos!$D$2:$D$2500))</f>
        <v>0</v>
      </c>
      <c r="DI77" s="75">
        <f t="array" ref="DI77">SUM((YEAR(Gastos!$A$2:$A$2500)=DI$1)*(MONTH(Gastos!$A$2:$A$2500)=DI$3)*(Gastos!$B$2:$B$2500=$A77)*(Gastos!$D$2:$D$2500))</f>
        <v>0</v>
      </c>
      <c r="DJ77" s="75">
        <f t="array" ref="DJ77">SUM((YEAR(Gastos!$A$2:$A$2500)=DJ$1)*(MONTH(Gastos!$A$2:$A$2500)=DJ$3)*(Gastos!$B$2:$B$2500=$A77)*(Gastos!$D$2:$D$2500))</f>
        <v>0</v>
      </c>
      <c r="DK77" s="75">
        <f t="array" ref="DK77">SUM((YEAR(Gastos!$A$2:$A$2500)=DK$1)*(MONTH(Gastos!$A$2:$A$2500)=DK$3)*(Gastos!$B$2:$B$2500=$A77)*(Gastos!$D$2:$D$2500))</f>
        <v>0</v>
      </c>
      <c r="DL77" s="75">
        <f t="array" ref="DL77">SUM((YEAR(Gastos!$A$2:$A$2500)=DL$1)*(MONTH(Gastos!$A$2:$A$2500)=DL$3)*(Gastos!$B$2:$B$2500=$A77)*(Gastos!$D$2:$D$2500))</f>
        <v>0</v>
      </c>
      <c r="DM77" s="75">
        <f t="array" ref="DM77">SUM((YEAR(Gastos!$A$2:$A$2500)=DM$1)*(MONTH(Gastos!$A$2:$A$2500)=DM$3)*(Gastos!$B$2:$B$2500=$A77)*(Gastos!$D$2:$D$2500))</f>
        <v>0</v>
      </c>
      <c r="DN77" s="75">
        <f t="array" ref="DN77">SUM((YEAR(Gastos!$A$2:$A$2500)=DN$1)*(MONTH(Gastos!$A$2:$A$2500)=DN$3)*(Gastos!$B$2:$B$2500=$A77)*(Gastos!$D$2:$D$2500))</f>
        <v>0</v>
      </c>
      <c r="DO77" s="75">
        <f t="array" ref="DO77">SUM((YEAR(Gastos!$A$2:$A$2500)=DO$1)*(MONTH(Gastos!$A$2:$A$2500)=DO$3)*(Gastos!$B$2:$B$2500=$A77)*(Gastos!$D$2:$D$2500))</f>
        <v>0</v>
      </c>
      <c r="DP77" s="75">
        <f t="array" ref="DP77">SUM((YEAR(Gastos!$A$2:$A$2500)=DP$1)*(MONTH(Gastos!$A$2:$A$2500)=DP$3)*(Gastos!$B$2:$B$2500=$A77)*(Gastos!$D$2:$D$2500))</f>
        <v>0</v>
      </c>
      <c r="DQ77" s="75">
        <f t="array" ref="DQ77">SUM((YEAR(Gastos!$A$2:$A$2500)=DQ$1)*(MONTH(Gastos!$A$2:$A$2500)=DQ$3)*(Gastos!$B$2:$B$2500=$A77)*(Gastos!$D$2:$D$2500))</f>
        <v>0</v>
      </c>
      <c r="DR77" s="75">
        <f t="array" ref="DR77">SUM((YEAR(Gastos!$A$2:$A$2500)=DR$1)*(MONTH(Gastos!$A$2:$A$2500)=DR$3)*(Gastos!$B$2:$B$2500=$A77)*(Gastos!$D$2:$D$2500))</f>
        <v>0</v>
      </c>
      <c r="DS77" s="75">
        <f t="array" ref="DS77">SUM((YEAR(Gastos!$A$2:$A$2500)=DS$1)*(MONTH(Gastos!$A$2:$A$2500)=DS$3)*(Gastos!$B$2:$B$2500=$A77)*(Gastos!$D$2:$D$2500))</f>
        <v>0</v>
      </c>
      <c r="DT77" s="75">
        <f t="array" ref="DT77">SUM((YEAR(Gastos!$A$2:$A$2500)=DT$1)*(MONTH(Gastos!$A$2:$A$2500)=DT$3)*(Gastos!$B$2:$B$2500=$A77)*(Gastos!$D$2:$D$2500))</f>
        <v>0</v>
      </c>
      <c r="DU77" s="75">
        <f t="array" ref="DU77">SUM((YEAR(Gastos!$A$2:$A$2500)=DU$1)*(MONTH(Gastos!$A$2:$A$2500)=DU$3)*(Gastos!$B$2:$B$2500=$A77)*(Gastos!$D$2:$D$2500))</f>
        <v>0</v>
      </c>
      <c r="DV77" s="75">
        <f t="array" ref="DV77">SUM((YEAR(Gastos!$A$2:$A$2500)=DV$1)*(MONTH(Gastos!$A$2:$A$2500)=DV$3)*(Gastos!$B$2:$B$2500=$A77)*(Gastos!$D$2:$D$2500))</f>
        <v>0</v>
      </c>
      <c r="DW77" s="75">
        <f t="array" ref="DW77">SUM((YEAR(Gastos!$A$2:$A$2500)=DW$1)*(MONTH(Gastos!$A$2:$A$2500)=DW$3)*(Gastos!$B$2:$B$2500=$A77)*(Gastos!$D$2:$D$2500))</f>
        <v>0</v>
      </c>
      <c r="DX77" s="75">
        <f t="array" ref="DX77">SUM((YEAR(Gastos!$A$2:$A$2500)=DX$1)*(MONTH(Gastos!$A$2:$A$2500)=DX$3)*(Gastos!$B$2:$B$2500=$A77)*(Gastos!$D$2:$D$2500))</f>
        <v>0</v>
      </c>
      <c r="DY77" s="75">
        <f t="array" ref="DY77">SUM((YEAR(Gastos!$A$2:$A$2500)=DY$1)*(MONTH(Gastos!$A$2:$A$2500)=DY$3)*(Gastos!$B$2:$B$2500=$A77)*(Gastos!$D$2:$D$2500))</f>
        <v>0</v>
      </c>
      <c r="DZ77" s="75">
        <f t="array" ref="DZ77">SUM((YEAR(Gastos!$A$2:$A$2500)=DZ$1)*(MONTH(Gastos!$A$2:$A$2500)=DZ$3)*(Gastos!$B$2:$B$2500=$A77)*(Gastos!$D$2:$D$2500))</f>
        <v>0</v>
      </c>
      <c r="EA77" s="75">
        <f t="array" ref="EA77">SUM((YEAR(Gastos!$A$2:$A$2500)=EA$1)*(MONTH(Gastos!$A$2:$A$2500)=EA$3)*(Gastos!$B$2:$B$2500=$A77)*(Gastos!$D$2:$D$2500))</f>
        <v>0</v>
      </c>
      <c r="EB77" s="75">
        <f t="array" ref="EB77">SUM((YEAR(Gastos!$A$2:$A$2500)=EB$1)*(MONTH(Gastos!$A$2:$A$2500)=EB$3)*(Gastos!$B$2:$B$2500=$A77)*(Gastos!$D$2:$D$2500))</f>
        <v>0</v>
      </c>
      <c r="EC77" s="75">
        <f t="array" ref="EC77">SUM((YEAR(Gastos!$A$2:$A$2500)=EC$1)*(MONTH(Gastos!$A$2:$A$2500)=EC$3)*(Gastos!$B$2:$B$2500=$A77)*(Gastos!$D$2:$D$2500))</f>
        <v>0</v>
      </c>
      <c r="ED77" s="75">
        <f t="array" ref="ED77">SUM((YEAR(Gastos!$A$2:$A$2500)=ED$1)*(MONTH(Gastos!$A$2:$A$2500)=ED$3)*(Gastos!$B$2:$B$2500=$A77)*(Gastos!$D$2:$D$2500))</f>
        <v>0</v>
      </c>
      <c r="EE77" s="75">
        <f t="array" ref="EE77">SUM((YEAR(Gastos!$A$2:$A$2500)=EE$1)*(MONTH(Gastos!$A$2:$A$2500)=EE$3)*(Gastos!$B$2:$B$2500=$A77)*(Gastos!$D$2:$D$2500))</f>
        <v>0</v>
      </c>
      <c r="EF77" s="75">
        <f t="array" ref="EF77">SUM((YEAR(Gastos!$A$2:$A$2500)=EF$1)*(MONTH(Gastos!$A$2:$A$2500)=EF$3)*(Gastos!$B$2:$B$2500=$A77)*(Gastos!$D$2:$D$2500))</f>
        <v>0</v>
      </c>
      <c r="EG77" s="75">
        <f t="array" ref="EG77">SUM((YEAR(Gastos!$A$2:$A$2500)=EG$1)*(MONTH(Gastos!$A$2:$A$2500)=EG$3)*(Gastos!$B$2:$B$2500=$A77)*(Gastos!$D$2:$D$2500))</f>
        <v>0</v>
      </c>
      <c r="EH77" s="75">
        <f t="array" ref="EH77">SUM((YEAR(Gastos!$A$2:$A$2500)=EH$1)*(MONTH(Gastos!$A$2:$A$2500)=EH$3)*(Gastos!$B$2:$B$2500=$A77)*(Gastos!$D$2:$D$2500))</f>
        <v>0</v>
      </c>
      <c r="EI77" s="75">
        <f t="array" ref="EI77">SUM((YEAR(Gastos!$A$2:$A$2500)=EI$1)*(MONTH(Gastos!$A$2:$A$2500)=EI$3)*(Gastos!$B$2:$B$2500=$A77)*(Gastos!$D$2:$D$2500))</f>
        <v>0</v>
      </c>
      <c r="EJ77" s="75">
        <f t="array" ref="EJ77">SUM((YEAR(Gastos!$A$2:$A$2500)=EJ$1)*(MONTH(Gastos!$A$2:$A$2500)=EJ$3)*(Gastos!$B$2:$B$2500=$A77)*(Gastos!$D$2:$D$2500))</f>
        <v>0</v>
      </c>
      <c r="EK77" s="75">
        <f t="array" ref="EK77">SUM((YEAR(Gastos!$A$2:$A$2500)=EK$1)*(MONTH(Gastos!$A$2:$A$2500)=EK$3)*(Gastos!$B$2:$B$2500=$A77)*(Gastos!$D$2:$D$2500))</f>
        <v>0</v>
      </c>
      <c r="EL77" s="75">
        <f t="array" ref="EL77">SUM((YEAR(Gastos!$A$2:$A$2500)=EL$1)*(MONTH(Gastos!$A$2:$A$2500)=EL$3)*(Gastos!$B$2:$B$2500=$A77)*(Gastos!$D$2:$D$2500))</f>
        <v>0</v>
      </c>
      <c r="EM77" s="75">
        <f t="array" ref="EM77">SUM((YEAR(Gastos!$A$2:$A$2500)=EM$1)*(MONTH(Gastos!$A$2:$A$2500)=EM$3)*(Gastos!$B$2:$B$2500=$A77)*(Gastos!$D$2:$D$2500))</f>
        <v>0</v>
      </c>
      <c r="EN77" s="75">
        <f t="array" ref="EN77">SUM((YEAR(Gastos!$A$2:$A$2500)=EN$1)*(MONTH(Gastos!$A$2:$A$2500)=EN$3)*(Gastos!$B$2:$B$2500=$A77)*(Gastos!$D$2:$D$2500))</f>
        <v>0</v>
      </c>
      <c r="EO77" s="75">
        <f t="array" ref="EO77">SUM((YEAR(Gastos!$A$2:$A$2500)=EO$1)*(MONTH(Gastos!$A$2:$A$2500)=EO$3)*(Gastos!$B$2:$B$2500=$A77)*(Gastos!$D$2:$D$2500))</f>
        <v>0</v>
      </c>
      <c r="EP77" s="75">
        <f t="array" ref="EP77">SUM((YEAR(Gastos!$A$2:$A$2500)=EP$1)*(MONTH(Gastos!$A$2:$A$2500)=EP$3)*(Gastos!$B$2:$B$2500=$A77)*(Gastos!$D$2:$D$2500))</f>
        <v>0</v>
      </c>
      <c r="EQ77" s="75">
        <f t="array" ref="EQ77">SUM((YEAR(Gastos!$A$2:$A$2500)=EQ$1)*(MONTH(Gastos!$A$2:$A$2500)=EQ$3)*(Gastos!$B$2:$B$2500=$A77)*(Gastos!$D$2:$D$2500))</f>
        <v>0</v>
      </c>
      <c r="ER77" s="75">
        <f t="array" ref="ER77">SUM((YEAR(Gastos!$A$2:$A$2500)=ER$1)*(MONTH(Gastos!$A$2:$A$2500)=ER$3)*(Gastos!$B$2:$B$2500=$A77)*(Gastos!$D$2:$D$2500))</f>
        <v>0</v>
      </c>
      <c r="ES77" s="75">
        <f t="array" ref="ES77">SUM((YEAR(Gastos!$A$2:$A$2500)=ES$1)*(MONTH(Gastos!$A$2:$A$2500)=ES$3)*(Gastos!$B$2:$B$2500=$A77)*(Gastos!$D$2:$D$2500))</f>
        <v>0</v>
      </c>
      <c r="ET77" s="75">
        <f t="array" ref="ET77">SUM((YEAR(Gastos!$A$2:$A$2500)=ET$1)*(MONTH(Gastos!$A$2:$A$2500)=ET$3)*(Gastos!$B$2:$B$2500=$A77)*(Gastos!$D$2:$D$2500))</f>
        <v>0</v>
      </c>
      <c r="EU77" s="75">
        <f t="array" ref="EU77">SUM((YEAR(Gastos!$A$2:$A$2500)=EU$1)*(MONTH(Gastos!$A$2:$A$2500)=EU$3)*(Gastos!$B$2:$B$2500=$A77)*(Gastos!$D$2:$D$2500))</f>
        <v>0</v>
      </c>
      <c r="EV77" s="75">
        <f t="array" ref="EV77">SUM((YEAR(Gastos!$A$2:$A$2500)=EV$1)*(MONTH(Gastos!$A$2:$A$2500)=EV$3)*(Gastos!$B$2:$B$2500=$A77)*(Gastos!$D$2:$D$2500))</f>
        <v>0</v>
      </c>
      <c r="EW77" s="75">
        <f t="array" ref="EW77">SUM((YEAR(Gastos!$A$2:$A$2500)=EW$1)*(MONTH(Gastos!$A$2:$A$2500)=EW$3)*(Gastos!$B$2:$B$2500=$A77)*(Gastos!$D$2:$D$2500))</f>
        <v>0</v>
      </c>
      <c r="EX77" s="75">
        <f t="array" ref="EX77">SUM((YEAR(Gastos!$A$2:$A$2500)=EX$1)*(MONTH(Gastos!$A$2:$A$2500)=EX$3)*(Gastos!$B$2:$B$2500=$A77)*(Gastos!$D$2:$D$2500))</f>
        <v>0</v>
      </c>
      <c r="EY77" s="75">
        <f t="array" ref="EY77">SUM((YEAR(Gastos!$A$2:$A$2500)=EY$1)*(MONTH(Gastos!$A$2:$A$2500)=EY$3)*(Gastos!$B$2:$B$2500=$A77)*(Gastos!$D$2:$D$2500))</f>
        <v>0</v>
      </c>
      <c r="EZ77" s="75">
        <f t="array" ref="EZ77">SUM((YEAR(Gastos!$A$2:$A$2500)=EZ$1)*(MONTH(Gastos!$A$2:$A$2500)=EZ$3)*(Gastos!$B$2:$B$2500=$A77)*(Gastos!$D$2:$D$2500))</f>
        <v>0</v>
      </c>
      <c r="FA77" s="75">
        <f t="array" ref="FA77">SUM((YEAR(Gastos!$A$2:$A$2500)=FA$1)*(MONTH(Gastos!$A$2:$A$2500)=FA$3)*(Gastos!$B$2:$B$2500=$A77)*(Gastos!$D$2:$D$2500))</f>
        <v>0</v>
      </c>
      <c r="FB77" s="75">
        <f t="array" ref="FB77">SUM((YEAR(Gastos!$A$2:$A$2500)=FB$1)*(MONTH(Gastos!$A$2:$A$2500)=FB$3)*(Gastos!$B$2:$B$2500=$A77)*(Gastos!$D$2:$D$2500))</f>
        <v>0</v>
      </c>
      <c r="FC77" s="75">
        <f t="array" ref="FC77">SUM((YEAR(Gastos!$A$2:$A$2500)=FC$1)*(MONTH(Gastos!$A$2:$A$2500)=FC$3)*(Gastos!$B$2:$B$2500=$A77)*(Gastos!$D$2:$D$2500))</f>
        <v>0</v>
      </c>
      <c r="FD77" s="75">
        <f t="array" ref="FD77">SUM((YEAR(Gastos!$A$2:$A$2500)=FD$1)*(MONTH(Gastos!$A$2:$A$2500)=FD$3)*(Gastos!$B$2:$B$2500=$A77)*(Gastos!$D$2:$D$2500))</f>
        <v>0</v>
      </c>
      <c r="FE77" s="75">
        <f t="array" ref="FE77">SUM((YEAR(Gastos!$A$2:$A$2500)=FE$1)*(MONTH(Gastos!$A$2:$A$2500)=FE$3)*(Gastos!$B$2:$B$2500=$A77)*(Gastos!$D$2:$D$2500))</f>
        <v>0</v>
      </c>
      <c r="FF77" s="75">
        <f t="array" ref="FF77">SUM((YEAR(Gastos!$A$2:$A$2500)=FF$1)*(MONTH(Gastos!$A$2:$A$2500)=FF$3)*(Gastos!$B$2:$B$2500=$A77)*(Gastos!$D$2:$D$2500))</f>
        <v>0</v>
      </c>
      <c r="FG77" s="75">
        <f t="array" ref="FG77">SUM((YEAR(Gastos!$A$2:$A$2500)=FG$1)*(MONTH(Gastos!$A$2:$A$2500)=FG$3)*(Gastos!$B$2:$B$2500=$A77)*(Gastos!$D$2:$D$2500))</f>
        <v>0</v>
      </c>
      <c r="FH77" s="75">
        <f t="array" ref="FH77">SUM((YEAR(Gastos!$A$2:$A$2500)=FH$1)*(MONTH(Gastos!$A$2:$A$2500)=FH$3)*(Gastos!$B$2:$B$2500=$A77)*(Gastos!$D$2:$D$2500))</f>
        <v>0</v>
      </c>
      <c r="FI77" s="75">
        <f t="array" ref="FI77">SUM((YEAR(Gastos!$A$2:$A$2500)=FI$1)*(MONTH(Gastos!$A$2:$A$2500)=FI$3)*(Gastos!$B$2:$B$2500=$A77)*(Gastos!$D$2:$D$2500))</f>
        <v>0</v>
      </c>
      <c r="FJ77" s="75">
        <f t="array" ref="FJ77">SUM((YEAR(Gastos!$A$2:$A$2500)=FJ$1)*(MONTH(Gastos!$A$2:$A$2500)=FJ$3)*(Gastos!$B$2:$B$2500=$A77)*(Gastos!$D$2:$D$2500))</f>
        <v>0</v>
      </c>
      <c r="FK77" s="75">
        <f t="array" ref="FK77">SUM((YEAR(Gastos!$A$2:$A$2500)=FK$1)*(MONTH(Gastos!$A$2:$A$2500)=FK$3)*(Gastos!$B$2:$B$2500=$A77)*(Gastos!$D$2:$D$2500))</f>
        <v>0</v>
      </c>
      <c r="FL77" s="75">
        <f t="array" ref="FL77">SUM((YEAR(Gastos!$A$2:$A$2500)=FL$1)*(MONTH(Gastos!$A$2:$A$2500)=FL$3)*(Gastos!$B$2:$B$2500=$A77)*(Gastos!$D$2:$D$2500))</f>
        <v>0</v>
      </c>
      <c r="FM77" s="75">
        <f t="array" ref="FM77">SUM((YEAR(Gastos!$A$2:$A$2500)=FM$1)*(MONTH(Gastos!$A$2:$A$2500)=FM$3)*(Gastos!$B$2:$B$2500=$A77)*(Gastos!$D$2:$D$2500))</f>
        <v>0</v>
      </c>
      <c r="FN77" s="75">
        <f t="array" ref="FN77">SUM((YEAR(Gastos!$A$2:$A$2500)=FN$1)*(MONTH(Gastos!$A$2:$A$2500)=FN$3)*(Gastos!$B$2:$B$2500=$A77)*(Gastos!$D$2:$D$2500))</f>
        <v>0</v>
      </c>
      <c r="FO77" s="75">
        <f t="array" ref="FO77">SUM((YEAR(Gastos!$A$2:$A$2500)=FO$1)*(MONTH(Gastos!$A$2:$A$2500)=FO$3)*(Gastos!$B$2:$B$2500=$A77)*(Gastos!$D$2:$D$2500))</f>
        <v>0</v>
      </c>
      <c r="FP77" s="75">
        <f t="array" ref="FP77">SUM((YEAR(Gastos!$A$2:$A$2500)=FP$1)*(MONTH(Gastos!$A$2:$A$2500)=FP$3)*(Gastos!$B$2:$B$2500=$A77)*(Gastos!$D$2:$D$2500))</f>
        <v>0</v>
      </c>
      <c r="FQ77" s="75">
        <f t="array" ref="FQ77">SUM((YEAR(Gastos!$A$2:$A$2500)=FQ$1)*(MONTH(Gastos!$A$2:$A$2500)=FQ$3)*(Gastos!$B$2:$B$2500=$A77)*(Gastos!$D$2:$D$2500))</f>
        <v>0</v>
      </c>
      <c r="FR77" s="75">
        <f t="array" ref="FR77">SUM((YEAR(Gastos!$A$2:$A$2500)=FR$1)*(MONTH(Gastos!$A$2:$A$2500)=FR$3)*(Gastos!$B$2:$B$2500=$A77)*(Gastos!$D$2:$D$2500))</f>
        <v>0</v>
      </c>
      <c r="FS77" s="75">
        <f t="array" ref="FS77">SUM((YEAR(Gastos!$A$2:$A$2500)=FS$1)*(MONTH(Gastos!$A$2:$A$2500)=FS$3)*(Gastos!$B$2:$B$2500=$A77)*(Gastos!$D$2:$D$2500))</f>
        <v>0</v>
      </c>
      <c r="FT77" s="75">
        <f t="array" ref="FT77">SUM((YEAR(Gastos!$A$2:$A$2500)=FT$1)*(MONTH(Gastos!$A$2:$A$2500)=FT$3)*(Gastos!$B$2:$B$2500=$A77)*(Gastos!$D$2:$D$2500))</f>
        <v>0</v>
      </c>
      <c r="FU77" s="75">
        <f t="array" ref="FU77">SUM((YEAR(Gastos!$A$2:$A$2500)=FU$1)*(MONTH(Gastos!$A$2:$A$2500)=FU$3)*(Gastos!$B$2:$B$2500=$A77)*(Gastos!$D$2:$D$2500))</f>
        <v>0</v>
      </c>
      <c r="FV77" s="75">
        <f t="array" ref="FV77">SUM((YEAR(Gastos!$A$2:$A$2500)=FV$1)*(MONTH(Gastos!$A$2:$A$2500)=FV$3)*(Gastos!$B$2:$B$2500=$A77)*(Gastos!$D$2:$D$2500))</f>
        <v>0</v>
      </c>
      <c r="FW77" s="75">
        <f t="array" ref="FW77">SUM((YEAR(Gastos!$A$2:$A$2500)=FW$1)*(MONTH(Gastos!$A$2:$A$2500)=FW$3)*(Gastos!$B$2:$B$2500=$A77)*(Gastos!$D$2:$D$2500))</f>
        <v>0</v>
      </c>
      <c r="FX77" s="75">
        <f t="array" ref="FX77">SUM((YEAR(Gastos!$A$2:$A$2500)=FX$1)*(MONTH(Gastos!$A$2:$A$2500)=FX$3)*(Gastos!$B$2:$B$2500=$A77)*(Gastos!$D$2:$D$2500))</f>
        <v>0</v>
      </c>
      <c r="FY77" s="75">
        <f t="array" ref="FY77">SUM((YEAR(Gastos!$A$2:$A$2500)=FY$1)*(MONTH(Gastos!$A$2:$A$2500)=FY$3)*(Gastos!$B$2:$B$2500=$A77)*(Gastos!$D$2:$D$2500))</f>
        <v>0</v>
      </c>
      <c r="FZ77" s="76">
        <f t="shared" si="68"/>
        <v>0</v>
      </c>
      <c r="GA77" s="80"/>
      <c r="GB77" s="82"/>
    </row>
    <row r="78" spans="1:184" ht="15" thickBot="1" x14ac:dyDescent="0.4">
      <c r="A78" s="74" t="str">
        <f>Gastos!AA76</f>
        <v>X</v>
      </c>
      <c r="B78" s="75">
        <f t="array" ref="B78">SUM((YEAR(Gastos!$A$2:$A$2500)=B$1)*(MONTH(Gastos!$A$2:$A$2500)=B$3)*(Gastos!$B$2:$B$2500=$A78)*(Gastos!$D$2:$D$2500))</f>
        <v>0</v>
      </c>
      <c r="C78" s="75">
        <f t="array" ref="C78">SUM((YEAR(Gastos!$A$2:$A$2500)=C$1)*(MONTH(Gastos!$A$2:$A$2500)=C$3)*(Gastos!$B$2:$B$2500=$A78)*(Gastos!$D$2:$D$2500))</f>
        <v>0</v>
      </c>
      <c r="D78" s="75">
        <f t="array" ref="D78">SUM((YEAR(Gastos!$A$2:$A$2500)=D$1)*(MONTH(Gastos!$A$2:$A$2500)=D$3)*(Gastos!$B$2:$B$2500=$A78)*(Gastos!$D$2:$D$2500))</f>
        <v>0</v>
      </c>
      <c r="E78" s="75">
        <f t="array" ref="E78">SUM((YEAR(Gastos!$A$2:$A$2500)=E$1)*(MONTH(Gastos!$A$2:$A$2500)=E$3)*(Gastos!$B$2:$B$2500=$A78)*(Gastos!$D$2:$D$2500))</f>
        <v>0</v>
      </c>
      <c r="F78" s="75">
        <f t="array" ref="F78">SUM((YEAR(Gastos!$A$2:$A$2500)=F$1)*(MONTH(Gastos!$A$2:$A$2500)=F$3)*(Gastos!$B$2:$B$2500=$A78)*(Gastos!$D$2:$D$2500))</f>
        <v>0</v>
      </c>
      <c r="G78" s="75">
        <f t="array" ref="G78">SUM((YEAR(Gastos!$A$2:$A$2500)=G$1)*(MONTH(Gastos!$A$2:$A$2500)=G$3)*(Gastos!$B$2:$B$2500=$A78)*(Gastos!$D$2:$D$2500))</f>
        <v>0</v>
      </c>
      <c r="H78" s="75">
        <f t="array" ref="H78">SUM((YEAR(Gastos!$A$2:$A$2500)=H$1)*(MONTH(Gastos!$A$2:$A$2500)=H$3)*(Gastos!$B$2:$B$2500=$A78)*(Gastos!$D$2:$D$2500))</f>
        <v>0</v>
      </c>
      <c r="I78" s="75">
        <f t="array" ref="I78">SUM((YEAR(Gastos!$A$2:$A$2500)=I$1)*(MONTH(Gastos!$A$2:$A$2500)=I$3)*(Gastos!$B$2:$B$2500=$A78)*(Gastos!$D$2:$D$2500))</f>
        <v>0</v>
      </c>
      <c r="J78" s="75">
        <f t="array" ref="J78">SUM((YEAR(Gastos!$A$2:$A$2500)=J$1)*(MONTH(Gastos!$A$2:$A$2500)=J$3)*(Gastos!$B$2:$B$2500=$A78)*(Gastos!$D$2:$D$2500))</f>
        <v>0</v>
      </c>
      <c r="K78" s="75">
        <f t="array" ref="K78">SUM((YEAR(Gastos!$A$2:$A$2500)=K$1)*(MONTH(Gastos!$A$2:$A$2500)=K$3)*(Gastos!$B$2:$B$2500=$A78)*(Gastos!$D$2:$D$2500))</f>
        <v>0</v>
      </c>
      <c r="L78" s="75">
        <f t="array" ref="L78">SUM((YEAR(Gastos!$A$2:$A$2500)=L$1)*(MONTH(Gastos!$A$2:$A$2500)=L$3)*(Gastos!$B$2:$B$2500=$A78)*(Gastos!$D$2:$D$2500))</f>
        <v>0</v>
      </c>
      <c r="M78" s="75">
        <f t="array" ref="M78">SUM((YEAR(Gastos!$A$2:$A$2500)=M$1)*(MONTH(Gastos!$A$2:$A$2500)=M$3)*(Gastos!$B$2:$B$2500=$A78)*(Gastos!$D$2:$D$2500))</f>
        <v>0</v>
      </c>
      <c r="N78" s="75">
        <f t="array" ref="N78">SUM((YEAR(Gastos!$A$2:$A$2500)=N$1)*(MONTH(Gastos!$A$2:$A$2500)=N$3)*(Gastos!$B$2:$B$2500=$A78)*(Gastos!$D$2:$D$2500))</f>
        <v>0</v>
      </c>
      <c r="O78" s="75">
        <f t="array" ref="O78">SUM((YEAR(Gastos!$A$2:$A$2500)=O$1)*(MONTH(Gastos!$A$2:$A$2500)=O$3)*(Gastos!$B$2:$B$2500=$A78)*(Gastos!$D$2:$D$2500))</f>
        <v>0</v>
      </c>
      <c r="P78" s="75">
        <f t="array" ref="P78">SUM((YEAR(Gastos!$A$2:$A$2500)=P$1)*(MONTH(Gastos!$A$2:$A$2500)=P$3)*(Gastos!$B$2:$B$2500=$A78)*(Gastos!$D$2:$D$2500))</f>
        <v>0</v>
      </c>
      <c r="Q78" s="75">
        <f t="array" ref="Q78">SUM((YEAR(Gastos!$A$2:$A$2500)=Q$1)*(MONTH(Gastos!$A$2:$A$2500)=Q$3)*(Gastos!$B$2:$B$2500=$A78)*(Gastos!$D$2:$D$2500))</f>
        <v>0</v>
      </c>
      <c r="R78" s="75">
        <f t="array" ref="R78">SUM((YEAR(Gastos!$A$2:$A$2500)=R$1)*(MONTH(Gastos!$A$2:$A$2500)=R$3)*(Gastos!$B$2:$B$2500=$A78)*(Gastos!$D$2:$D$2500))</f>
        <v>0</v>
      </c>
      <c r="S78" s="75">
        <f t="array" ref="S78">SUM((YEAR(Gastos!$A$2:$A$2500)=S$1)*(MONTH(Gastos!$A$2:$A$2500)=S$3)*(Gastos!$B$2:$B$2500=$A78)*(Gastos!$D$2:$D$2500))</f>
        <v>0</v>
      </c>
      <c r="T78" s="75">
        <f t="array" ref="T78">SUM((YEAR(Gastos!$A$2:$A$2500)=T$1)*(MONTH(Gastos!$A$2:$A$2500)=T$3)*(Gastos!$B$2:$B$2500=$A78)*(Gastos!$D$2:$D$2500))</f>
        <v>0</v>
      </c>
      <c r="U78" s="75">
        <f t="array" ref="U78">SUM((YEAR(Gastos!$A$2:$A$2500)=U$1)*(MONTH(Gastos!$A$2:$A$2500)=U$3)*(Gastos!$B$2:$B$2500=$A78)*(Gastos!$D$2:$D$2500))</f>
        <v>0</v>
      </c>
      <c r="V78" s="75">
        <f t="array" ref="V78">SUM((YEAR(Gastos!$A$2:$A$2500)=V$1)*(MONTH(Gastos!$A$2:$A$2500)=V$3)*(Gastos!$B$2:$B$2500=$A78)*(Gastos!$D$2:$D$2500))</f>
        <v>0</v>
      </c>
      <c r="W78" s="75">
        <f t="array" ref="W78">SUM((YEAR(Gastos!$A$2:$A$2500)=W$1)*(MONTH(Gastos!$A$2:$A$2500)=W$3)*(Gastos!$B$2:$B$2500=$A78)*(Gastos!$D$2:$D$2500))</f>
        <v>0</v>
      </c>
      <c r="X78" s="75">
        <f t="array" ref="X78">SUM((YEAR(Gastos!$A$2:$A$2500)=X$1)*(MONTH(Gastos!$A$2:$A$2500)=X$3)*(Gastos!$B$2:$B$2500=$A78)*(Gastos!$D$2:$D$2500))</f>
        <v>0</v>
      </c>
      <c r="Y78" s="75">
        <f t="array" ref="Y78">SUM((YEAR(Gastos!$A$2:$A$2500)=Y$1)*(MONTH(Gastos!$A$2:$A$2500)=Y$3)*(Gastos!$B$2:$B$2500=$A78)*(Gastos!$D$2:$D$2500))</f>
        <v>0</v>
      </c>
      <c r="Z78" s="75">
        <f t="array" ref="Z78">SUM((YEAR(Gastos!$A$2:$A$2500)=Z$1)*(MONTH(Gastos!$A$2:$A$2500)=Z$3)*(Gastos!$B$2:$B$2500=$A78)*(Gastos!$D$2:$D$2500))</f>
        <v>0</v>
      </c>
      <c r="AA78" s="75">
        <f t="array" ref="AA78">SUM((YEAR(Gastos!$A$2:$A$2500)=AA$1)*(MONTH(Gastos!$A$2:$A$2500)=AA$3)*(Gastos!$B$2:$B$2500=$A78)*(Gastos!$D$2:$D$2500))</f>
        <v>0</v>
      </c>
      <c r="AB78" s="75">
        <f t="array" ref="AB78">SUM((YEAR(Gastos!$A$2:$A$2500)=AB$1)*(MONTH(Gastos!$A$2:$A$2500)=AB$3)*(Gastos!$B$2:$B$2500=$A78)*(Gastos!$D$2:$D$2500))</f>
        <v>0</v>
      </c>
      <c r="AC78" s="75">
        <f t="array" ref="AC78">SUM((YEAR(Gastos!$A$2:$A$2500)=AC$1)*(MONTH(Gastos!$A$2:$A$2500)=AC$3)*(Gastos!$B$2:$B$2500=$A78)*(Gastos!$D$2:$D$2500))</f>
        <v>0</v>
      </c>
      <c r="AD78" s="75">
        <f t="array" ref="AD78">SUM((YEAR(Gastos!$A$2:$A$2500)=AD$1)*(MONTH(Gastos!$A$2:$A$2500)=AD$3)*(Gastos!$B$2:$B$2500=$A78)*(Gastos!$D$2:$D$2500))</f>
        <v>0</v>
      </c>
      <c r="AE78" s="75">
        <f t="array" ref="AE78">SUM((YEAR(Gastos!$A$2:$A$2500)=AE$1)*(MONTH(Gastos!$A$2:$A$2500)=AE$3)*(Gastos!$B$2:$B$2500=$A78)*(Gastos!$D$2:$D$2500))</f>
        <v>0</v>
      </c>
      <c r="AF78" s="75">
        <f t="array" ref="AF78">SUM((YEAR(Gastos!$A$2:$A$2500)=AF$1)*(MONTH(Gastos!$A$2:$A$2500)=AF$3)*(Gastos!$B$2:$B$2500=$A78)*(Gastos!$D$2:$D$2500))</f>
        <v>0</v>
      </c>
      <c r="AG78" s="75">
        <f t="array" ref="AG78">SUM((YEAR(Gastos!$A$2:$A$2500)=AG$1)*(MONTH(Gastos!$A$2:$A$2500)=AG$3)*(Gastos!$B$2:$B$2500=$A78)*(Gastos!$D$2:$D$2500))</f>
        <v>0</v>
      </c>
      <c r="AH78" s="75">
        <f t="array" ref="AH78">SUM((YEAR(Gastos!$A$2:$A$2500)=AH$1)*(MONTH(Gastos!$A$2:$A$2500)=AH$3)*(Gastos!$B$2:$B$2500=$A78)*(Gastos!$D$2:$D$2500))</f>
        <v>0</v>
      </c>
      <c r="AI78" s="75">
        <f t="array" ref="AI78">SUM((YEAR(Gastos!$A$2:$A$2500)=AI$1)*(MONTH(Gastos!$A$2:$A$2500)=AI$3)*(Gastos!$B$2:$B$2500=$A78)*(Gastos!$D$2:$D$2500))</f>
        <v>0</v>
      </c>
      <c r="AJ78" s="75">
        <f t="array" ref="AJ78">SUM((YEAR(Gastos!$A$2:$A$2500)=AJ$1)*(MONTH(Gastos!$A$2:$A$2500)=AJ$3)*(Gastos!$B$2:$B$2500=$A78)*(Gastos!$D$2:$D$2500))</f>
        <v>0</v>
      </c>
      <c r="AK78" s="75">
        <f t="array" ref="AK78">SUM((YEAR(Gastos!$A$2:$A$2500)=AK$1)*(MONTH(Gastos!$A$2:$A$2500)=AK$3)*(Gastos!$B$2:$B$2500=$A78)*(Gastos!$D$2:$D$2500))</f>
        <v>0</v>
      </c>
      <c r="AL78" s="75">
        <f t="array" ref="AL78">SUM((YEAR(Gastos!$A$2:$A$2500)=AL$1)*(MONTH(Gastos!$A$2:$A$2500)=AL$3)*(Gastos!$B$2:$B$2500=$A78)*(Gastos!$D$2:$D$2500))</f>
        <v>0</v>
      </c>
      <c r="AM78" s="75">
        <f t="array" ref="AM78">SUM((YEAR(Gastos!$A$2:$A$2500)=AM$1)*(MONTH(Gastos!$A$2:$A$2500)=AM$3)*(Gastos!$B$2:$B$2500=$A78)*(Gastos!$D$2:$D$2500))</f>
        <v>0</v>
      </c>
      <c r="AN78" s="75">
        <f t="array" ref="AN78">SUM((YEAR(Gastos!$A$2:$A$2500)=AN$1)*(MONTH(Gastos!$A$2:$A$2500)=AN$3)*(Gastos!$B$2:$B$2500=$A78)*(Gastos!$D$2:$D$2500))</f>
        <v>0</v>
      </c>
      <c r="AO78" s="75">
        <f t="array" ref="AO78">SUM((YEAR(Gastos!$A$2:$A$2500)=AO$1)*(MONTH(Gastos!$A$2:$A$2500)=AO$3)*(Gastos!$B$2:$B$2500=$A78)*(Gastos!$D$2:$D$2500))</f>
        <v>0</v>
      </c>
      <c r="AP78" s="75">
        <f t="array" ref="AP78">SUM((YEAR(Gastos!$A$2:$A$2500)=AP$1)*(MONTH(Gastos!$A$2:$A$2500)=AP$3)*(Gastos!$B$2:$B$2500=$A78)*(Gastos!$D$2:$D$2500))</f>
        <v>0</v>
      </c>
      <c r="AQ78" s="75">
        <f t="array" ref="AQ78">SUM((YEAR(Gastos!$A$2:$A$2500)=AQ$1)*(MONTH(Gastos!$A$2:$A$2500)=AQ$3)*(Gastos!$B$2:$B$2500=$A78)*(Gastos!$D$2:$D$2500))</f>
        <v>0</v>
      </c>
      <c r="AR78" s="75">
        <f t="array" ref="AR78">SUM((YEAR(Gastos!$A$2:$A$2500)=AR$1)*(MONTH(Gastos!$A$2:$A$2500)=AR$3)*(Gastos!$B$2:$B$2500=$A78)*(Gastos!$D$2:$D$2500))</f>
        <v>0</v>
      </c>
      <c r="AS78" s="75">
        <f t="array" ref="AS78">SUM((YEAR(Gastos!$A$2:$A$2500)=AS$1)*(MONTH(Gastos!$A$2:$A$2500)=AS$3)*(Gastos!$B$2:$B$2500=$A78)*(Gastos!$D$2:$D$2500))</f>
        <v>0</v>
      </c>
      <c r="AT78" s="75">
        <f t="array" ref="AT78">SUM((YEAR(Gastos!$A$2:$A$2500)=AT$1)*(MONTH(Gastos!$A$2:$A$2500)=AT$3)*(Gastos!$B$2:$B$2500=$A78)*(Gastos!$D$2:$D$2500))</f>
        <v>0</v>
      </c>
      <c r="AU78" s="75">
        <f t="array" ref="AU78">SUM((YEAR(Gastos!$A$2:$A$2500)=AU$1)*(MONTH(Gastos!$A$2:$A$2500)=AU$3)*(Gastos!$B$2:$B$2500=$A78)*(Gastos!$D$2:$D$2500))</f>
        <v>0</v>
      </c>
      <c r="AV78" s="75">
        <f t="array" ref="AV78">SUM((YEAR(Gastos!$A$2:$A$2500)=AV$1)*(MONTH(Gastos!$A$2:$A$2500)=AV$3)*(Gastos!$B$2:$B$2500=$A78)*(Gastos!$D$2:$D$2500))</f>
        <v>0</v>
      </c>
      <c r="AW78" s="75">
        <f t="array" ref="AW78">SUM((YEAR(Gastos!$A$2:$A$2500)=AW$1)*(MONTH(Gastos!$A$2:$A$2500)=AW$3)*(Gastos!$B$2:$B$2500=$A78)*(Gastos!$D$2:$D$2500))</f>
        <v>0</v>
      </c>
      <c r="AX78" s="75">
        <f t="array" ref="AX78">SUM((YEAR(Gastos!$A$2:$A$2500)=AX$1)*(MONTH(Gastos!$A$2:$A$2500)=AX$3)*(Gastos!$B$2:$B$2500=$A78)*(Gastos!$D$2:$D$2500))</f>
        <v>0</v>
      </c>
      <c r="AY78" s="75">
        <f t="array" ref="AY78">SUM((YEAR(Gastos!$A$2:$A$2500)=AY$1)*(MONTH(Gastos!$A$2:$A$2500)=AY$3)*(Gastos!$B$2:$B$2500=$A78)*(Gastos!$D$2:$D$2500))</f>
        <v>0</v>
      </c>
      <c r="AZ78" s="75">
        <f t="array" ref="AZ78">SUM((YEAR(Gastos!$A$2:$A$2500)=AZ$1)*(MONTH(Gastos!$A$2:$A$2500)=AZ$3)*(Gastos!$B$2:$B$2500=$A78)*(Gastos!$D$2:$D$2500))</f>
        <v>0</v>
      </c>
      <c r="BA78" s="75">
        <f t="array" ref="BA78">SUM((YEAR(Gastos!$A$2:$A$2500)=BA$1)*(MONTH(Gastos!$A$2:$A$2500)=BA$3)*(Gastos!$B$2:$B$2500=$A78)*(Gastos!$D$2:$D$2500))</f>
        <v>0</v>
      </c>
      <c r="BB78" s="75">
        <f t="array" ref="BB78">SUM((YEAR(Gastos!$A$2:$A$2500)=BB$1)*(MONTH(Gastos!$A$2:$A$2500)=BB$3)*(Gastos!$B$2:$B$2500=$A78)*(Gastos!$D$2:$D$2500))</f>
        <v>0</v>
      </c>
      <c r="BC78" s="75">
        <f t="array" ref="BC78">SUM((YEAR(Gastos!$A$2:$A$2500)=BC$1)*(MONTH(Gastos!$A$2:$A$2500)=BC$3)*(Gastos!$B$2:$B$2500=$A78)*(Gastos!$D$2:$D$2500))</f>
        <v>0</v>
      </c>
      <c r="BD78" s="75">
        <f t="array" ref="BD78">SUM((YEAR(Gastos!$A$2:$A$2500)=BD$1)*(MONTH(Gastos!$A$2:$A$2500)=BD$3)*(Gastos!$B$2:$B$2500=$A78)*(Gastos!$D$2:$D$2500))</f>
        <v>0</v>
      </c>
      <c r="BE78" s="75">
        <f t="array" ref="BE78">SUM((YEAR(Gastos!$A$2:$A$2500)=BE$1)*(MONTH(Gastos!$A$2:$A$2500)=BE$3)*(Gastos!$B$2:$B$2500=$A78)*(Gastos!$D$2:$D$2500))</f>
        <v>0</v>
      </c>
      <c r="BF78" s="75">
        <f t="array" ref="BF78">SUM((YEAR(Gastos!$A$2:$A$2500)=BF$1)*(MONTH(Gastos!$A$2:$A$2500)=BF$3)*(Gastos!$B$2:$B$2500=$A78)*(Gastos!$D$2:$D$2500))</f>
        <v>0</v>
      </c>
      <c r="BG78" s="75">
        <f t="array" ref="BG78">SUM((YEAR(Gastos!$A$2:$A$2500)=BG$1)*(MONTH(Gastos!$A$2:$A$2500)=BG$3)*(Gastos!$B$2:$B$2500=$A78)*(Gastos!$D$2:$D$2500))</f>
        <v>0</v>
      </c>
      <c r="BH78" s="75">
        <f t="array" ref="BH78">SUM((YEAR(Gastos!$A$2:$A$2500)=BH$1)*(MONTH(Gastos!$A$2:$A$2500)=BH$3)*(Gastos!$B$2:$B$2500=$A78)*(Gastos!$D$2:$D$2500))</f>
        <v>0</v>
      </c>
      <c r="BI78" s="75">
        <f t="array" ref="BI78">SUM((YEAR(Gastos!$A$2:$A$2500)=BI$1)*(MONTH(Gastos!$A$2:$A$2500)=BI$3)*(Gastos!$B$2:$B$2500=$A78)*(Gastos!$D$2:$D$2500))</f>
        <v>0</v>
      </c>
      <c r="BJ78" s="75">
        <f t="array" ref="BJ78">SUM((YEAR(Gastos!$A$2:$A$2500)=BJ$1)*(MONTH(Gastos!$A$2:$A$2500)=BJ$3)*(Gastos!$B$2:$B$2500=$A78)*(Gastos!$D$2:$D$2500))</f>
        <v>0</v>
      </c>
      <c r="BK78" s="75">
        <f t="array" ref="BK78">SUM((YEAR(Gastos!$A$2:$A$2500)=BK$1)*(MONTH(Gastos!$A$2:$A$2500)=BK$3)*(Gastos!$B$2:$B$2500=$A78)*(Gastos!$D$2:$D$2500))</f>
        <v>0</v>
      </c>
      <c r="BL78" s="75">
        <f t="array" ref="BL78">SUM((YEAR(Gastos!$A$2:$A$2500)=BL$1)*(MONTH(Gastos!$A$2:$A$2500)=BL$3)*(Gastos!$B$2:$B$2500=$A78)*(Gastos!$D$2:$D$2500))</f>
        <v>0</v>
      </c>
      <c r="BM78" s="75">
        <f t="array" ref="BM78">SUM((YEAR(Gastos!$A$2:$A$2500)=BM$1)*(MONTH(Gastos!$A$2:$A$2500)=BM$3)*(Gastos!$B$2:$B$2500=$A78)*(Gastos!$D$2:$D$2500))</f>
        <v>0</v>
      </c>
      <c r="BN78" s="75">
        <f t="array" ref="BN78">SUM((YEAR(Gastos!$A$2:$A$2500)=BN$1)*(MONTH(Gastos!$A$2:$A$2500)=BN$3)*(Gastos!$B$2:$B$2500=$A78)*(Gastos!$D$2:$D$2500))</f>
        <v>0</v>
      </c>
      <c r="BO78" s="75">
        <f t="array" ref="BO78">SUM((YEAR(Gastos!$A$2:$A$2500)=BO$1)*(MONTH(Gastos!$A$2:$A$2500)=BO$3)*(Gastos!$B$2:$B$2500=$A78)*(Gastos!$D$2:$D$2500))</f>
        <v>0</v>
      </c>
      <c r="BP78" s="75">
        <f t="array" ref="BP78">SUM((YEAR(Gastos!$A$2:$A$2500)=BP$1)*(MONTH(Gastos!$A$2:$A$2500)=BP$3)*(Gastos!$B$2:$B$2500=$A78)*(Gastos!$D$2:$D$2500))</f>
        <v>0</v>
      </c>
      <c r="BQ78" s="75">
        <f t="array" ref="BQ78">SUM((YEAR(Gastos!$A$2:$A$2500)=BQ$1)*(MONTH(Gastos!$A$2:$A$2500)=BQ$3)*(Gastos!$B$2:$B$2500=$A78)*(Gastos!$D$2:$D$2500))</f>
        <v>0</v>
      </c>
      <c r="BR78" s="75">
        <f t="array" ref="BR78">SUM((YEAR(Gastos!$A$2:$A$2500)=BR$1)*(MONTH(Gastos!$A$2:$A$2500)=BR$3)*(Gastos!$B$2:$B$2500=$A78)*(Gastos!$D$2:$D$2500))</f>
        <v>0</v>
      </c>
      <c r="BS78" s="75">
        <f t="array" ref="BS78">SUM((YEAR(Gastos!$A$2:$A$2500)=BS$1)*(MONTH(Gastos!$A$2:$A$2500)=BS$3)*(Gastos!$B$2:$B$2500=$A78)*(Gastos!$D$2:$D$2500))</f>
        <v>0</v>
      </c>
      <c r="BT78" s="75">
        <f t="array" ref="BT78">SUM((YEAR(Gastos!$A$2:$A$2500)=BT$1)*(MONTH(Gastos!$A$2:$A$2500)=BT$3)*(Gastos!$B$2:$B$2500=$A78)*(Gastos!$D$2:$D$2500))</f>
        <v>0</v>
      </c>
      <c r="BU78" s="75">
        <f t="array" ref="BU78">SUM((YEAR(Gastos!$A$2:$A$2500)=BU$1)*(MONTH(Gastos!$A$2:$A$2500)=BU$3)*(Gastos!$B$2:$B$2500=$A78)*(Gastos!$D$2:$D$2500))</f>
        <v>0</v>
      </c>
      <c r="BV78" s="75">
        <f t="array" ref="BV78">SUM((YEAR(Gastos!$A$2:$A$2500)=BV$1)*(MONTH(Gastos!$A$2:$A$2500)=BV$3)*(Gastos!$B$2:$B$2500=$A78)*(Gastos!$D$2:$D$2500))</f>
        <v>0</v>
      </c>
      <c r="BW78" s="75">
        <f t="array" ref="BW78">SUM((YEAR(Gastos!$A$2:$A$2500)=BW$1)*(MONTH(Gastos!$A$2:$A$2500)=BW$3)*(Gastos!$B$2:$B$2500=$A78)*(Gastos!$D$2:$D$2500))</f>
        <v>0</v>
      </c>
      <c r="BX78" s="75">
        <f t="array" ref="BX78">SUM((YEAR(Gastos!$A$2:$A$2500)=BX$1)*(MONTH(Gastos!$A$2:$A$2500)=BX$3)*(Gastos!$B$2:$B$2500=$A78)*(Gastos!$D$2:$D$2500))</f>
        <v>0</v>
      </c>
      <c r="BY78" s="75">
        <f t="array" ref="BY78">SUM((YEAR(Gastos!$A$2:$A$2500)=BY$1)*(MONTH(Gastos!$A$2:$A$2500)=BY$3)*(Gastos!$B$2:$B$2500=$A78)*(Gastos!$D$2:$D$2500))</f>
        <v>0</v>
      </c>
      <c r="BZ78" s="75">
        <f t="array" ref="BZ78">SUM((YEAR(Gastos!$A$2:$A$2500)=BZ$1)*(MONTH(Gastos!$A$2:$A$2500)=BZ$3)*(Gastos!$B$2:$B$2500=$A78)*(Gastos!$D$2:$D$2500))</f>
        <v>0</v>
      </c>
      <c r="CA78" s="75">
        <f t="array" ref="CA78">SUM((YEAR(Gastos!$A$2:$A$2500)=CA$1)*(MONTH(Gastos!$A$2:$A$2500)=CA$3)*(Gastos!$B$2:$B$2500=$A78)*(Gastos!$D$2:$D$2500))</f>
        <v>0</v>
      </c>
      <c r="CB78" s="75">
        <f t="array" ref="CB78">SUM((YEAR(Gastos!$A$2:$A$2500)=CB$1)*(MONTH(Gastos!$A$2:$A$2500)=CB$3)*(Gastos!$B$2:$B$2500=$A78)*(Gastos!$D$2:$D$2500))</f>
        <v>0</v>
      </c>
      <c r="CC78" s="75">
        <f t="array" ref="CC78">SUM((YEAR(Gastos!$A$2:$A$2500)=CC$1)*(MONTH(Gastos!$A$2:$A$2500)=CC$3)*(Gastos!$B$2:$B$2500=$A78)*(Gastos!$D$2:$D$2500))</f>
        <v>0</v>
      </c>
      <c r="CD78" s="75">
        <f t="array" ref="CD78">SUM((YEAR(Gastos!$A$2:$A$2500)=CD$1)*(MONTH(Gastos!$A$2:$A$2500)=CD$3)*(Gastos!$B$2:$B$2500=$A78)*(Gastos!$D$2:$D$2500))</f>
        <v>0</v>
      </c>
      <c r="CE78" s="75">
        <f t="array" ref="CE78">SUM((YEAR(Gastos!$A$2:$A$2500)=CE$1)*(MONTH(Gastos!$A$2:$A$2500)=CE$3)*(Gastos!$B$2:$B$2500=$A78)*(Gastos!$D$2:$D$2500))</f>
        <v>0</v>
      </c>
      <c r="CF78" s="75">
        <f t="array" ref="CF78">SUM((YEAR(Gastos!$A$2:$A$2500)=CF$1)*(MONTH(Gastos!$A$2:$A$2500)=CF$3)*(Gastos!$B$2:$B$2500=$A78)*(Gastos!$D$2:$D$2500))</f>
        <v>0</v>
      </c>
      <c r="CG78" s="75">
        <f t="array" ref="CG78">SUM((YEAR(Gastos!$A$2:$A$2500)=CG$1)*(MONTH(Gastos!$A$2:$A$2500)=CG$3)*(Gastos!$B$2:$B$2500=$A78)*(Gastos!$D$2:$D$2500))</f>
        <v>0</v>
      </c>
      <c r="CH78" s="75">
        <f t="array" ref="CH78">SUM((YEAR(Gastos!$A$2:$A$2500)=CH$1)*(MONTH(Gastos!$A$2:$A$2500)=CH$3)*(Gastos!$B$2:$B$2500=$A78)*(Gastos!$D$2:$D$2500))</f>
        <v>0</v>
      </c>
      <c r="CI78" s="75">
        <f t="array" ref="CI78">SUM((YEAR(Gastos!$A$2:$A$2500)=CI$1)*(MONTH(Gastos!$A$2:$A$2500)=CI$3)*(Gastos!$B$2:$B$2500=$A78)*(Gastos!$D$2:$D$2500))</f>
        <v>0</v>
      </c>
      <c r="CJ78" s="75">
        <f t="array" ref="CJ78">SUM((YEAR(Gastos!$A$2:$A$2500)=CJ$1)*(MONTH(Gastos!$A$2:$A$2500)=CJ$3)*(Gastos!$B$2:$B$2500=$A78)*(Gastos!$D$2:$D$2500))</f>
        <v>0</v>
      </c>
      <c r="CK78" s="75">
        <f t="array" ref="CK78">SUM((YEAR(Gastos!$A$2:$A$2500)=CK$1)*(MONTH(Gastos!$A$2:$A$2500)=CK$3)*(Gastos!$B$2:$B$2500=$A78)*(Gastos!$D$2:$D$2500))</f>
        <v>0</v>
      </c>
      <c r="CL78" s="75">
        <f t="array" ref="CL78">SUM((YEAR(Gastos!$A$2:$A$2500)=CL$1)*(MONTH(Gastos!$A$2:$A$2500)=CL$3)*(Gastos!$B$2:$B$2500=$A78)*(Gastos!$D$2:$D$2500))</f>
        <v>0</v>
      </c>
      <c r="CM78" s="75">
        <f t="array" ref="CM78">SUM((YEAR(Gastos!$A$2:$A$2500)=CM$1)*(MONTH(Gastos!$A$2:$A$2500)=CM$3)*(Gastos!$B$2:$B$2500=$A78)*(Gastos!$D$2:$D$2500))</f>
        <v>0</v>
      </c>
      <c r="CN78" s="75">
        <f t="array" ref="CN78">SUM((YEAR(Gastos!$A$2:$A$2500)=CN$1)*(MONTH(Gastos!$A$2:$A$2500)=CN$3)*(Gastos!$B$2:$B$2500=$A78)*(Gastos!$D$2:$D$2500))</f>
        <v>0</v>
      </c>
      <c r="CO78" s="75">
        <f t="array" ref="CO78">SUM((YEAR(Gastos!$A$2:$A$2500)=CO$1)*(MONTH(Gastos!$A$2:$A$2500)=CO$3)*(Gastos!$B$2:$B$2500=$A78)*(Gastos!$D$2:$D$2500))</f>
        <v>0</v>
      </c>
      <c r="CP78" s="75">
        <f t="array" ref="CP78">SUM((YEAR(Gastos!$A$2:$A$2500)=CP$1)*(MONTH(Gastos!$A$2:$A$2500)=CP$3)*(Gastos!$B$2:$B$2500=$A78)*(Gastos!$D$2:$D$2500))</f>
        <v>0</v>
      </c>
      <c r="CQ78" s="75">
        <f t="array" ref="CQ78">SUM((YEAR(Gastos!$A$2:$A$2500)=CQ$1)*(MONTH(Gastos!$A$2:$A$2500)=CQ$3)*(Gastos!$B$2:$B$2500=$A78)*(Gastos!$D$2:$D$2500))</f>
        <v>0</v>
      </c>
      <c r="CR78" s="75">
        <f t="array" ref="CR78">SUM((YEAR(Gastos!$A$2:$A$2500)=CR$1)*(MONTH(Gastos!$A$2:$A$2500)=CR$3)*(Gastos!$B$2:$B$2500=$A78)*(Gastos!$D$2:$D$2500))</f>
        <v>0</v>
      </c>
      <c r="CS78" s="75">
        <f t="array" ref="CS78">SUM((YEAR(Gastos!$A$2:$A$2500)=CS$1)*(MONTH(Gastos!$A$2:$A$2500)=CS$3)*(Gastos!$B$2:$B$2500=$A78)*(Gastos!$D$2:$D$2500))</f>
        <v>0</v>
      </c>
      <c r="CT78" s="75">
        <f t="array" ref="CT78">SUM((YEAR(Gastos!$A$2:$A$2500)=CT$1)*(MONTH(Gastos!$A$2:$A$2500)=CT$3)*(Gastos!$B$2:$B$2500=$A78)*(Gastos!$D$2:$D$2500))</f>
        <v>0</v>
      </c>
      <c r="CU78" s="75">
        <f t="array" ref="CU78">SUM((YEAR(Gastos!$A$2:$A$2500)=CU$1)*(MONTH(Gastos!$A$2:$A$2500)=CU$3)*(Gastos!$B$2:$B$2500=$A78)*(Gastos!$D$2:$D$2500))</f>
        <v>0</v>
      </c>
      <c r="CV78" s="75">
        <f t="array" ref="CV78">SUM((YEAR(Gastos!$A$2:$A$2500)=CV$1)*(MONTH(Gastos!$A$2:$A$2500)=CV$3)*(Gastos!$B$2:$B$2500=$A78)*(Gastos!$D$2:$D$2500))</f>
        <v>0</v>
      </c>
      <c r="CW78" s="75">
        <f t="array" ref="CW78">SUM((YEAR(Gastos!$A$2:$A$2500)=CW$1)*(MONTH(Gastos!$A$2:$A$2500)=CW$3)*(Gastos!$B$2:$B$2500=$A78)*(Gastos!$D$2:$D$2500))</f>
        <v>0</v>
      </c>
      <c r="CX78" s="75">
        <f t="array" ref="CX78">SUM((YEAR(Gastos!$A$2:$A$2500)=CX$1)*(MONTH(Gastos!$A$2:$A$2500)=CX$3)*(Gastos!$B$2:$B$2500=$A78)*(Gastos!$D$2:$D$2500))</f>
        <v>0</v>
      </c>
      <c r="CY78" s="75">
        <f t="array" ref="CY78">SUM((YEAR(Gastos!$A$2:$A$2500)=CY$1)*(MONTH(Gastos!$A$2:$A$2500)=CY$3)*(Gastos!$B$2:$B$2500=$A78)*(Gastos!$D$2:$D$2500))</f>
        <v>0</v>
      </c>
      <c r="CZ78" s="75">
        <f t="array" ref="CZ78">SUM((YEAR(Gastos!$A$2:$A$2500)=CZ$1)*(MONTH(Gastos!$A$2:$A$2500)=CZ$3)*(Gastos!$B$2:$B$2500=$A78)*(Gastos!$D$2:$D$2500))</f>
        <v>0</v>
      </c>
      <c r="DA78" s="75">
        <f t="array" ref="DA78">SUM((YEAR(Gastos!$A$2:$A$2500)=DA$1)*(MONTH(Gastos!$A$2:$A$2500)=DA$3)*(Gastos!$B$2:$B$2500=$A78)*(Gastos!$D$2:$D$2500))</f>
        <v>0</v>
      </c>
      <c r="DB78" s="75">
        <f t="array" ref="DB78">SUM((YEAR(Gastos!$A$2:$A$2500)=DB$1)*(MONTH(Gastos!$A$2:$A$2500)=DB$3)*(Gastos!$B$2:$B$2500=$A78)*(Gastos!$D$2:$D$2500))</f>
        <v>0</v>
      </c>
      <c r="DC78" s="75">
        <f t="array" ref="DC78">SUM((YEAR(Gastos!$A$2:$A$2500)=DC$1)*(MONTH(Gastos!$A$2:$A$2500)=DC$3)*(Gastos!$B$2:$B$2500=$A78)*(Gastos!$D$2:$D$2500))</f>
        <v>0</v>
      </c>
      <c r="DD78" s="75">
        <f t="array" ref="DD78">SUM((YEAR(Gastos!$A$2:$A$2500)=DD$1)*(MONTH(Gastos!$A$2:$A$2500)=DD$3)*(Gastos!$B$2:$B$2500=$A78)*(Gastos!$D$2:$D$2500))</f>
        <v>0</v>
      </c>
      <c r="DE78" s="75">
        <f t="array" ref="DE78">SUM((YEAR(Gastos!$A$2:$A$2500)=DE$1)*(MONTH(Gastos!$A$2:$A$2500)=DE$3)*(Gastos!$B$2:$B$2500=$A78)*(Gastos!$D$2:$D$2500))</f>
        <v>0</v>
      </c>
      <c r="DF78" s="75">
        <f t="array" ref="DF78">SUM((YEAR(Gastos!$A$2:$A$2500)=DF$1)*(MONTH(Gastos!$A$2:$A$2500)=DF$3)*(Gastos!$B$2:$B$2500=$A78)*(Gastos!$D$2:$D$2500))</f>
        <v>0</v>
      </c>
      <c r="DG78" s="75">
        <f t="array" ref="DG78">SUM((YEAR(Gastos!$A$2:$A$2500)=DG$1)*(MONTH(Gastos!$A$2:$A$2500)=DG$3)*(Gastos!$B$2:$B$2500=$A78)*(Gastos!$D$2:$D$2500))</f>
        <v>0</v>
      </c>
      <c r="DH78" s="75">
        <f t="array" ref="DH78">SUM((YEAR(Gastos!$A$2:$A$2500)=DH$1)*(MONTH(Gastos!$A$2:$A$2500)=DH$3)*(Gastos!$B$2:$B$2500=$A78)*(Gastos!$D$2:$D$2500))</f>
        <v>0</v>
      </c>
      <c r="DI78" s="75">
        <f t="array" ref="DI78">SUM((YEAR(Gastos!$A$2:$A$2500)=DI$1)*(MONTH(Gastos!$A$2:$A$2500)=DI$3)*(Gastos!$B$2:$B$2500=$A78)*(Gastos!$D$2:$D$2500))</f>
        <v>0</v>
      </c>
      <c r="DJ78" s="75">
        <f t="array" ref="DJ78">SUM((YEAR(Gastos!$A$2:$A$2500)=DJ$1)*(MONTH(Gastos!$A$2:$A$2500)=DJ$3)*(Gastos!$B$2:$B$2500=$A78)*(Gastos!$D$2:$D$2500))</f>
        <v>0</v>
      </c>
      <c r="DK78" s="75">
        <f t="array" ref="DK78">SUM((YEAR(Gastos!$A$2:$A$2500)=DK$1)*(MONTH(Gastos!$A$2:$A$2500)=DK$3)*(Gastos!$B$2:$B$2500=$A78)*(Gastos!$D$2:$D$2500))</f>
        <v>0</v>
      </c>
      <c r="DL78" s="75">
        <f t="array" ref="DL78">SUM((YEAR(Gastos!$A$2:$A$2500)=DL$1)*(MONTH(Gastos!$A$2:$A$2500)=DL$3)*(Gastos!$B$2:$B$2500=$A78)*(Gastos!$D$2:$D$2500))</f>
        <v>0</v>
      </c>
      <c r="DM78" s="75">
        <f t="array" ref="DM78">SUM((YEAR(Gastos!$A$2:$A$2500)=DM$1)*(MONTH(Gastos!$A$2:$A$2500)=DM$3)*(Gastos!$B$2:$B$2500=$A78)*(Gastos!$D$2:$D$2500))</f>
        <v>0</v>
      </c>
      <c r="DN78" s="75">
        <f t="array" ref="DN78">SUM((YEAR(Gastos!$A$2:$A$2500)=DN$1)*(MONTH(Gastos!$A$2:$A$2500)=DN$3)*(Gastos!$B$2:$B$2500=$A78)*(Gastos!$D$2:$D$2500))</f>
        <v>0</v>
      </c>
      <c r="DO78" s="75">
        <f t="array" ref="DO78">SUM((YEAR(Gastos!$A$2:$A$2500)=DO$1)*(MONTH(Gastos!$A$2:$A$2500)=DO$3)*(Gastos!$B$2:$B$2500=$A78)*(Gastos!$D$2:$D$2500))</f>
        <v>0</v>
      </c>
      <c r="DP78" s="75">
        <f t="array" ref="DP78">SUM((YEAR(Gastos!$A$2:$A$2500)=DP$1)*(MONTH(Gastos!$A$2:$A$2500)=DP$3)*(Gastos!$B$2:$B$2500=$A78)*(Gastos!$D$2:$D$2500))</f>
        <v>0</v>
      </c>
      <c r="DQ78" s="75">
        <f t="array" ref="DQ78">SUM((YEAR(Gastos!$A$2:$A$2500)=DQ$1)*(MONTH(Gastos!$A$2:$A$2500)=DQ$3)*(Gastos!$B$2:$B$2500=$A78)*(Gastos!$D$2:$D$2500))</f>
        <v>0</v>
      </c>
      <c r="DR78" s="75">
        <f t="array" ref="DR78">SUM((YEAR(Gastos!$A$2:$A$2500)=DR$1)*(MONTH(Gastos!$A$2:$A$2500)=DR$3)*(Gastos!$B$2:$B$2500=$A78)*(Gastos!$D$2:$D$2500))</f>
        <v>0</v>
      </c>
      <c r="DS78" s="75">
        <f t="array" ref="DS78">SUM((YEAR(Gastos!$A$2:$A$2500)=DS$1)*(MONTH(Gastos!$A$2:$A$2500)=DS$3)*(Gastos!$B$2:$B$2500=$A78)*(Gastos!$D$2:$D$2500))</f>
        <v>0</v>
      </c>
      <c r="DT78" s="75">
        <f t="array" ref="DT78">SUM((YEAR(Gastos!$A$2:$A$2500)=DT$1)*(MONTH(Gastos!$A$2:$A$2500)=DT$3)*(Gastos!$B$2:$B$2500=$A78)*(Gastos!$D$2:$D$2500))</f>
        <v>0</v>
      </c>
      <c r="DU78" s="75">
        <f t="array" ref="DU78">SUM((YEAR(Gastos!$A$2:$A$2500)=DU$1)*(MONTH(Gastos!$A$2:$A$2500)=DU$3)*(Gastos!$B$2:$B$2500=$A78)*(Gastos!$D$2:$D$2500))</f>
        <v>0</v>
      </c>
      <c r="DV78" s="75">
        <f t="array" ref="DV78">SUM((YEAR(Gastos!$A$2:$A$2500)=DV$1)*(MONTH(Gastos!$A$2:$A$2500)=DV$3)*(Gastos!$B$2:$B$2500=$A78)*(Gastos!$D$2:$D$2500))</f>
        <v>0</v>
      </c>
      <c r="DW78" s="75">
        <f t="array" ref="DW78">SUM((YEAR(Gastos!$A$2:$A$2500)=DW$1)*(MONTH(Gastos!$A$2:$A$2500)=DW$3)*(Gastos!$B$2:$B$2500=$A78)*(Gastos!$D$2:$D$2500))</f>
        <v>0</v>
      </c>
      <c r="DX78" s="75">
        <f t="array" ref="DX78">SUM((YEAR(Gastos!$A$2:$A$2500)=DX$1)*(MONTH(Gastos!$A$2:$A$2500)=DX$3)*(Gastos!$B$2:$B$2500=$A78)*(Gastos!$D$2:$D$2500))</f>
        <v>0</v>
      </c>
      <c r="DY78" s="75">
        <f t="array" ref="DY78">SUM((YEAR(Gastos!$A$2:$A$2500)=DY$1)*(MONTH(Gastos!$A$2:$A$2500)=DY$3)*(Gastos!$B$2:$B$2500=$A78)*(Gastos!$D$2:$D$2500))</f>
        <v>0</v>
      </c>
      <c r="DZ78" s="75">
        <f t="array" ref="DZ78">SUM((YEAR(Gastos!$A$2:$A$2500)=DZ$1)*(MONTH(Gastos!$A$2:$A$2500)=DZ$3)*(Gastos!$B$2:$B$2500=$A78)*(Gastos!$D$2:$D$2500))</f>
        <v>0</v>
      </c>
      <c r="EA78" s="75">
        <f t="array" ref="EA78">SUM((YEAR(Gastos!$A$2:$A$2500)=EA$1)*(MONTH(Gastos!$A$2:$A$2500)=EA$3)*(Gastos!$B$2:$B$2500=$A78)*(Gastos!$D$2:$D$2500))</f>
        <v>0</v>
      </c>
      <c r="EB78" s="75">
        <f t="array" ref="EB78">SUM((YEAR(Gastos!$A$2:$A$2500)=EB$1)*(MONTH(Gastos!$A$2:$A$2500)=EB$3)*(Gastos!$B$2:$B$2500=$A78)*(Gastos!$D$2:$D$2500))</f>
        <v>0</v>
      </c>
      <c r="EC78" s="75">
        <f t="array" ref="EC78">SUM((YEAR(Gastos!$A$2:$A$2500)=EC$1)*(MONTH(Gastos!$A$2:$A$2500)=EC$3)*(Gastos!$B$2:$B$2500=$A78)*(Gastos!$D$2:$D$2500))</f>
        <v>0</v>
      </c>
      <c r="ED78" s="75">
        <f t="array" ref="ED78">SUM((YEAR(Gastos!$A$2:$A$2500)=ED$1)*(MONTH(Gastos!$A$2:$A$2500)=ED$3)*(Gastos!$B$2:$B$2500=$A78)*(Gastos!$D$2:$D$2500))</f>
        <v>0</v>
      </c>
      <c r="EE78" s="75">
        <f t="array" ref="EE78">SUM((YEAR(Gastos!$A$2:$A$2500)=EE$1)*(MONTH(Gastos!$A$2:$A$2500)=EE$3)*(Gastos!$B$2:$B$2500=$A78)*(Gastos!$D$2:$D$2500))</f>
        <v>0</v>
      </c>
      <c r="EF78" s="75">
        <f t="array" ref="EF78">SUM((YEAR(Gastos!$A$2:$A$2500)=EF$1)*(MONTH(Gastos!$A$2:$A$2500)=EF$3)*(Gastos!$B$2:$B$2500=$A78)*(Gastos!$D$2:$D$2500))</f>
        <v>0</v>
      </c>
      <c r="EG78" s="75">
        <f t="array" ref="EG78">SUM((YEAR(Gastos!$A$2:$A$2500)=EG$1)*(MONTH(Gastos!$A$2:$A$2500)=EG$3)*(Gastos!$B$2:$B$2500=$A78)*(Gastos!$D$2:$D$2500))</f>
        <v>0</v>
      </c>
      <c r="EH78" s="75">
        <f t="array" ref="EH78">SUM((YEAR(Gastos!$A$2:$A$2500)=EH$1)*(MONTH(Gastos!$A$2:$A$2500)=EH$3)*(Gastos!$B$2:$B$2500=$A78)*(Gastos!$D$2:$D$2500))</f>
        <v>0</v>
      </c>
      <c r="EI78" s="75">
        <f t="array" ref="EI78">SUM((YEAR(Gastos!$A$2:$A$2500)=EI$1)*(MONTH(Gastos!$A$2:$A$2500)=EI$3)*(Gastos!$B$2:$B$2500=$A78)*(Gastos!$D$2:$D$2500))</f>
        <v>0</v>
      </c>
      <c r="EJ78" s="75">
        <f t="array" ref="EJ78">SUM((YEAR(Gastos!$A$2:$A$2500)=EJ$1)*(MONTH(Gastos!$A$2:$A$2500)=EJ$3)*(Gastos!$B$2:$B$2500=$A78)*(Gastos!$D$2:$D$2500))</f>
        <v>0</v>
      </c>
      <c r="EK78" s="75">
        <f t="array" ref="EK78">SUM((YEAR(Gastos!$A$2:$A$2500)=EK$1)*(MONTH(Gastos!$A$2:$A$2500)=EK$3)*(Gastos!$B$2:$B$2500=$A78)*(Gastos!$D$2:$D$2500))</f>
        <v>0</v>
      </c>
      <c r="EL78" s="75">
        <f t="array" ref="EL78">SUM((YEAR(Gastos!$A$2:$A$2500)=EL$1)*(MONTH(Gastos!$A$2:$A$2500)=EL$3)*(Gastos!$B$2:$B$2500=$A78)*(Gastos!$D$2:$D$2500))</f>
        <v>0</v>
      </c>
      <c r="EM78" s="75">
        <f t="array" ref="EM78">SUM((YEAR(Gastos!$A$2:$A$2500)=EM$1)*(MONTH(Gastos!$A$2:$A$2500)=EM$3)*(Gastos!$B$2:$B$2500=$A78)*(Gastos!$D$2:$D$2500))</f>
        <v>0</v>
      </c>
      <c r="EN78" s="75">
        <f t="array" ref="EN78">SUM((YEAR(Gastos!$A$2:$A$2500)=EN$1)*(MONTH(Gastos!$A$2:$A$2500)=EN$3)*(Gastos!$B$2:$B$2500=$A78)*(Gastos!$D$2:$D$2500))</f>
        <v>0</v>
      </c>
      <c r="EO78" s="75">
        <f t="array" ref="EO78">SUM((YEAR(Gastos!$A$2:$A$2500)=EO$1)*(MONTH(Gastos!$A$2:$A$2500)=EO$3)*(Gastos!$B$2:$B$2500=$A78)*(Gastos!$D$2:$D$2500))</f>
        <v>0</v>
      </c>
      <c r="EP78" s="75">
        <f t="array" ref="EP78">SUM((YEAR(Gastos!$A$2:$A$2500)=EP$1)*(MONTH(Gastos!$A$2:$A$2500)=EP$3)*(Gastos!$B$2:$B$2500=$A78)*(Gastos!$D$2:$D$2500))</f>
        <v>0</v>
      </c>
      <c r="EQ78" s="75">
        <f t="array" ref="EQ78">SUM((YEAR(Gastos!$A$2:$A$2500)=EQ$1)*(MONTH(Gastos!$A$2:$A$2500)=EQ$3)*(Gastos!$B$2:$B$2500=$A78)*(Gastos!$D$2:$D$2500))</f>
        <v>0</v>
      </c>
      <c r="ER78" s="75">
        <f t="array" ref="ER78">SUM((YEAR(Gastos!$A$2:$A$2500)=ER$1)*(MONTH(Gastos!$A$2:$A$2500)=ER$3)*(Gastos!$B$2:$B$2500=$A78)*(Gastos!$D$2:$D$2500))</f>
        <v>0</v>
      </c>
      <c r="ES78" s="75">
        <f t="array" ref="ES78">SUM((YEAR(Gastos!$A$2:$A$2500)=ES$1)*(MONTH(Gastos!$A$2:$A$2500)=ES$3)*(Gastos!$B$2:$B$2500=$A78)*(Gastos!$D$2:$D$2500))</f>
        <v>0</v>
      </c>
      <c r="ET78" s="75">
        <f t="array" ref="ET78">SUM((YEAR(Gastos!$A$2:$A$2500)=ET$1)*(MONTH(Gastos!$A$2:$A$2500)=ET$3)*(Gastos!$B$2:$B$2500=$A78)*(Gastos!$D$2:$D$2500))</f>
        <v>0</v>
      </c>
      <c r="EU78" s="75">
        <f t="array" ref="EU78">SUM((YEAR(Gastos!$A$2:$A$2500)=EU$1)*(MONTH(Gastos!$A$2:$A$2500)=EU$3)*(Gastos!$B$2:$B$2500=$A78)*(Gastos!$D$2:$D$2500))</f>
        <v>0</v>
      </c>
      <c r="EV78" s="75">
        <f t="array" ref="EV78">SUM((YEAR(Gastos!$A$2:$A$2500)=EV$1)*(MONTH(Gastos!$A$2:$A$2500)=EV$3)*(Gastos!$B$2:$B$2500=$A78)*(Gastos!$D$2:$D$2500))</f>
        <v>0</v>
      </c>
      <c r="EW78" s="75">
        <f t="array" ref="EW78">SUM((YEAR(Gastos!$A$2:$A$2500)=EW$1)*(MONTH(Gastos!$A$2:$A$2500)=EW$3)*(Gastos!$B$2:$B$2500=$A78)*(Gastos!$D$2:$D$2500))</f>
        <v>0</v>
      </c>
      <c r="EX78" s="75">
        <f t="array" ref="EX78">SUM((YEAR(Gastos!$A$2:$A$2500)=EX$1)*(MONTH(Gastos!$A$2:$A$2500)=EX$3)*(Gastos!$B$2:$B$2500=$A78)*(Gastos!$D$2:$D$2500))</f>
        <v>0</v>
      </c>
      <c r="EY78" s="75">
        <f t="array" ref="EY78">SUM((YEAR(Gastos!$A$2:$A$2500)=EY$1)*(MONTH(Gastos!$A$2:$A$2500)=EY$3)*(Gastos!$B$2:$B$2500=$A78)*(Gastos!$D$2:$D$2500))</f>
        <v>0</v>
      </c>
      <c r="EZ78" s="75">
        <f t="array" ref="EZ78">SUM((YEAR(Gastos!$A$2:$A$2500)=EZ$1)*(MONTH(Gastos!$A$2:$A$2500)=EZ$3)*(Gastos!$B$2:$B$2500=$A78)*(Gastos!$D$2:$D$2500))</f>
        <v>0</v>
      </c>
      <c r="FA78" s="75">
        <f t="array" ref="FA78">SUM((YEAR(Gastos!$A$2:$A$2500)=FA$1)*(MONTH(Gastos!$A$2:$A$2500)=FA$3)*(Gastos!$B$2:$B$2500=$A78)*(Gastos!$D$2:$D$2500))</f>
        <v>0</v>
      </c>
      <c r="FB78" s="75">
        <f t="array" ref="FB78">SUM((YEAR(Gastos!$A$2:$A$2500)=FB$1)*(MONTH(Gastos!$A$2:$A$2500)=FB$3)*(Gastos!$B$2:$B$2500=$A78)*(Gastos!$D$2:$D$2500))</f>
        <v>0</v>
      </c>
      <c r="FC78" s="75">
        <f t="array" ref="FC78">SUM((YEAR(Gastos!$A$2:$A$2500)=FC$1)*(MONTH(Gastos!$A$2:$A$2500)=FC$3)*(Gastos!$B$2:$B$2500=$A78)*(Gastos!$D$2:$D$2500))</f>
        <v>0</v>
      </c>
      <c r="FD78" s="75">
        <f t="array" ref="FD78">SUM((YEAR(Gastos!$A$2:$A$2500)=FD$1)*(MONTH(Gastos!$A$2:$A$2500)=FD$3)*(Gastos!$B$2:$B$2500=$A78)*(Gastos!$D$2:$D$2500))</f>
        <v>0</v>
      </c>
      <c r="FE78" s="75">
        <f t="array" ref="FE78">SUM((YEAR(Gastos!$A$2:$A$2500)=FE$1)*(MONTH(Gastos!$A$2:$A$2500)=FE$3)*(Gastos!$B$2:$B$2500=$A78)*(Gastos!$D$2:$D$2500))</f>
        <v>0</v>
      </c>
      <c r="FF78" s="75">
        <f t="array" ref="FF78">SUM((YEAR(Gastos!$A$2:$A$2500)=FF$1)*(MONTH(Gastos!$A$2:$A$2500)=FF$3)*(Gastos!$B$2:$B$2500=$A78)*(Gastos!$D$2:$D$2500))</f>
        <v>0</v>
      </c>
      <c r="FG78" s="75">
        <f t="array" ref="FG78">SUM((YEAR(Gastos!$A$2:$A$2500)=FG$1)*(MONTH(Gastos!$A$2:$A$2500)=FG$3)*(Gastos!$B$2:$B$2500=$A78)*(Gastos!$D$2:$D$2500))</f>
        <v>0</v>
      </c>
      <c r="FH78" s="75">
        <f t="array" ref="FH78">SUM((YEAR(Gastos!$A$2:$A$2500)=FH$1)*(MONTH(Gastos!$A$2:$A$2500)=FH$3)*(Gastos!$B$2:$B$2500=$A78)*(Gastos!$D$2:$D$2500))</f>
        <v>0</v>
      </c>
      <c r="FI78" s="75">
        <f t="array" ref="FI78">SUM((YEAR(Gastos!$A$2:$A$2500)=FI$1)*(MONTH(Gastos!$A$2:$A$2500)=FI$3)*(Gastos!$B$2:$B$2500=$A78)*(Gastos!$D$2:$D$2500))</f>
        <v>0</v>
      </c>
      <c r="FJ78" s="75">
        <f t="array" ref="FJ78">SUM((YEAR(Gastos!$A$2:$A$2500)=FJ$1)*(MONTH(Gastos!$A$2:$A$2500)=FJ$3)*(Gastos!$B$2:$B$2500=$A78)*(Gastos!$D$2:$D$2500))</f>
        <v>0</v>
      </c>
      <c r="FK78" s="75">
        <f t="array" ref="FK78">SUM((YEAR(Gastos!$A$2:$A$2500)=FK$1)*(MONTH(Gastos!$A$2:$A$2500)=FK$3)*(Gastos!$B$2:$B$2500=$A78)*(Gastos!$D$2:$D$2500))</f>
        <v>0</v>
      </c>
      <c r="FL78" s="75">
        <f t="array" ref="FL78">SUM((YEAR(Gastos!$A$2:$A$2500)=FL$1)*(MONTH(Gastos!$A$2:$A$2500)=FL$3)*(Gastos!$B$2:$B$2500=$A78)*(Gastos!$D$2:$D$2500))</f>
        <v>0</v>
      </c>
      <c r="FM78" s="75">
        <f t="array" ref="FM78">SUM((YEAR(Gastos!$A$2:$A$2500)=FM$1)*(MONTH(Gastos!$A$2:$A$2500)=FM$3)*(Gastos!$B$2:$B$2500=$A78)*(Gastos!$D$2:$D$2500))</f>
        <v>0</v>
      </c>
      <c r="FN78" s="75">
        <f t="array" ref="FN78">SUM((YEAR(Gastos!$A$2:$A$2500)=FN$1)*(MONTH(Gastos!$A$2:$A$2500)=FN$3)*(Gastos!$B$2:$B$2500=$A78)*(Gastos!$D$2:$D$2500))</f>
        <v>0</v>
      </c>
      <c r="FO78" s="75">
        <f t="array" ref="FO78">SUM((YEAR(Gastos!$A$2:$A$2500)=FO$1)*(MONTH(Gastos!$A$2:$A$2500)=FO$3)*(Gastos!$B$2:$B$2500=$A78)*(Gastos!$D$2:$D$2500))</f>
        <v>0</v>
      </c>
      <c r="FP78" s="75">
        <f t="array" ref="FP78">SUM((YEAR(Gastos!$A$2:$A$2500)=FP$1)*(MONTH(Gastos!$A$2:$A$2500)=FP$3)*(Gastos!$B$2:$B$2500=$A78)*(Gastos!$D$2:$D$2500))</f>
        <v>0</v>
      </c>
      <c r="FQ78" s="75">
        <f t="array" ref="FQ78">SUM((YEAR(Gastos!$A$2:$A$2500)=FQ$1)*(MONTH(Gastos!$A$2:$A$2500)=FQ$3)*(Gastos!$B$2:$B$2500=$A78)*(Gastos!$D$2:$D$2500))</f>
        <v>0</v>
      </c>
      <c r="FR78" s="75">
        <f t="array" ref="FR78">SUM((YEAR(Gastos!$A$2:$A$2500)=FR$1)*(MONTH(Gastos!$A$2:$A$2500)=FR$3)*(Gastos!$B$2:$B$2500=$A78)*(Gastos!$D$2:$D$2500))</f>
        <v>0</v>
      </c>
      <c r="FS78" s="75">
        <f t="array" ref="FS78">SUM((YEAR(Gastos!$A$2:$A$2500)=FS$1)*(MONTH(Gastos!$A$2:$A$2500)=FS$3)*(Gastos!$B$2:$B$2500=$A78)*(Gastos!$D$2:$D$2500))</f>
        <v>0</v>
      </c>
      <c r="FT78" s="75">
        <f t="array" ref="FT78">SUM((YEAR(Gastos!$A$2:$A$2500)=FT$1)*(MONTH(Gastos!$A$2:$A$2500)=FT$3)*(Gastos!$B$2:$B$2500=$A78)*(Gastos!$D$2:$D$2500))</f>
        <v>0</v>
      </c>
      <c r="FU78" s="75">
        <f t="array" ref="FU78">SUM((YEAR(Gastos!$A$2:$A$2500)=FU$1)*(MONTH(Gastos!$A$2:$A$2500)=FU$3)*(Gastos!$B$2:$B$2500=$A78)*(Gastos!$D$2:$D$2500))</f>
        <v>0</v>
      </c>
      <c r="FV78" s="75">
        <f t="array" ref="FV78">SUM((YEAR(Gastos!$A$2:$A$2500)=FV$1)*(MONTH(Gastos!$A$2:$A$2500)=FV$3)*(Gastos!$B$2:$B$2500=$A78)*(Gastos!$D$2:$D$2500))</f>
        <v>0</v>
      </c>
      <c r="FW78" s="75">
        <f t="array" ref="FW78">SUM((YEAR(Gastos!$A$2:$A$2500)=FW$1)*(MONTH(Gastos!$A$2:$A$2500)=FW$3)*(Gastos!$B$2:$B$2500=$A78)*(Gastos!$D$2:$D$2500))</f>
        <v>0</v>
      </c>
      <c r="FX78" s="75">
        <f t="array" ref="FX78">SUM((YEAR(Gastos!$A$2:$A$2500)=FX$1)*(MONTH(Gastos!$A$2:$A$2500)=FX$3)*(Gastos!$B$2:$B$2500=$A78)*(Gastos!$D$2:$D$2500))</f>
        <v>0</v>
      </c>
      <c r="FY78" s="75">
        <f t="array" ref="FY78">SUM((YEAR(Gastos!$A$2:$A$2500)=FY$1)*(MONTH(Gastos!$A$2:$A$2500)=FY$3)*(Gastos!$B$2:$B$2500=$A78)*(Gastos!$D$2:$D$2500))</f>
        <v>0</v>
      </c>
      <c r="FZ78" s="76">
        <f t="shared" si="68"/>
        <v>0</v>
      </c>
      <c r="GA78" s="80"/>
      <c r="GB78" s="82"/>
    </row>
    <row r="79" spans="1:184" ht="15" thickBot="1" x14ac:dyDescent="0.4">
      <c r="A79" s="74" t="str">
        <f>Gastos!AA77</f>
        <v>X</v>
      </c>
      <c r="B79" s="75">
        <f t="array" ref="B79">SUM((YEAR(Gastos!$A$2:$A$2500)=B$1)*(MONTH(Gastos!$A$2:$A$2500)=B$3)*(Gastos!$B$2:$B$2500=$A79)*(Gastos!$D$2:$D$2500))</f>
        <v>0</v>
      </c>
      <c r="C79" s="75">
        <f t="array" ref="C79">SUM((YEAR(Gastos!$A$2:$A$2500)=C$1)*(MONTH(Gastos!$A$2:$A$2500)=C$3)*(Gastos!$B$2:$B$2500=$A79)*(Gastos!$D$2:$D$2500))</f>
        <v>0</v>
      </c>
      <c r="D79" s="75">
        <f t="array" ref="D79">SUM((YEAR(Gastos!$A$2:$A$2500)=D$1)*(MONTH(Gastos!$A$2:$A$2500)=D$3)*(Gastos!$B$2:$B$2500=$A79)*(Gastos!$D$2:$D$2500))</f>
        <v>0</v>
      </c>
      <c r="E79" s="75">
        <f t="array" ref="E79">SUM((YEAR(Gastos!$A$2:$A$2500)=E$1)*(MONTH(Gastos!$A$2:$A$2500)=E$3)*(Gastos!$B$2:$B$2500=$A79)*(Gastos!$D$2:$D$2500))</f>
        <v>0</v>
      </c>
      <c r="F79" s="75">
        <f t="array" ref="F79">SUM((YEAR(Gastos!$A$2:$A$2500)=F$1)*(MONTH(Gastos!$A$2:$A$2500)=F$3)*(Gastos!$B$2:$B$2500=$A79)*(Gastos!$D$2:$D$2500))</f>
        <v>0</v>
      </c>
      <c r="G79" s="75">
        <f t="array" ref="G79">SUM((YEAR(Gastos!$A$2:$A$2500)=G$1)*(MONTH(Gastos!$A$2:$A$2500)=G$3)*(Gastos!$B$2:$B$2500=$A79)*(Gastos!$D$2:$D$2500))</f>
        <v>0</v>
      </c>
      <c r="H79" s="75">
        <f t="array" ref="H79">SUM((YEAR(Gastos!$A$2:$A$2500)=H$1)*(MONTH(Gastos!$A$2:$A$2500)=H$3)*(Gastos!$B$2:$B$2500=$A79)*(Gastos!$D$2:$D$2500))</f>
        <v>0</v>
      </c>
      <c r="I79" s="75">
        <f t="array" ref="I79">SUM((YEAR(Gastos!$A$2:$A$2500)=I$1)*(MONTH(Gastos!$A$2:$A$2500)=I$3)*(Gastos!$B$2:$B$2500=$A79)*(Gastos!$D$2:$D$2500))</f>
        <v>0</v>
      </c>
      <c r="J79" s="75">
        <f t="array" ref="J79">SUM((YEAR(Gastos!$A$2:$A$2500)=J$1)*(MONTH(Gastos!$A$2:$A$2500)=J$3)*(Gastos!$B$2:$B$2500=$A79)*(Gastos!$D$2:$D$2500))</f>
        <v>0</v>
      </c>
      <c r="K79" s="75">
        <f t="array" ref="K79">SUM((YEAR(Gastos!$A$2:$A$2500)=K$1)*(MONTH(Gastos!$A$2:$A$2500)=K$3)*(Gastos!$B$2:$B$2500=$A79)*(Gastos!$D$2:$D$2500))</f>
        <v>0</v>
      </c>
      <c r="L79" s="75">
        <f t="array" ref="L79">SUM((YEAR(Gastos!$A$2:$A$2500)=L$1)*(MONTH(Gastos!$A$2:$A$2500)=L$3)*(Gastos!$B$2:$B$2500=$A79)*(Gastos!$D$2:$D$2500))</f>
        <v>0</v>
      </c>
      <c r="M79" s="75">
        <f t="array" ref="M79">SUM((YEAR(Gastos!$A$2:$A$2500)=M$1)*(MONTH(Gastos!$A$2:$A$2500)=M$3)*(Gastos!$B$2:$B$2500=$A79)*(Gastos!$D$2:$D$2500))</f>
        <v>0</v>
      </c>
      <c r="N79" s="75">
        <f t="array" ref="N79">SUM((YEAR(Gastos!$A$2:$A$2500)=N$1)*(MONTH(Gastos!$A$2:$A$2500)=N$3)*(Gastos!$B$2:$B$2500=$A79)*(Gastos!$D$2:$D$2500))</f>
        <v>0</v>
      </c>
      <c r="O79" s="75">
        <f t="array" ref="O79">SUM((YEAR(Gastos!$A$2:$A$2500)=O$1)*(MONTH(Gastos!$A$2:$A$2500)=O$3)*(Gastos!$B$2:$B$2500=$A79)*(Gastos!$D$2:$D$2500))</f>
        <v>0</v>
      </c>
      <c r="P79" s="75">
        <f t="array" ref="P79">SUM((YEAR(Gastos!$A$2:$A$2500)=P$1)*(MONTH(Gastos!$A$2:$A$2500)=P$3)*(Gastos!$B$2:$B$2500=$A79)*(Gastos!$D$2:$D$2500))</f>
        <v>0</v>
      </c>
      <c r="Q79" s="75">
        <f t="array" ref="Q79">SUM((YEAR(Gastos!$A$2:$A$2500)=Q$1)*(MONTH(Gastos!$A$2:$A$2500)=Q$3)*(Gastos!$B$2:$B$2500=$A79)*(Gastos!$D$2:$D$2500))</f>
        <v>0</v>
      </c>
      <c r="R79" s="75">
        <f t="array" ref="R79">SUM((YEAR(Gastos!$A$2:$A$2500)=R$1)*(MONTH(Gastos!$A$2:$A$2500)=R$3)*(Gastos!$B$2:$B$2500=$A79)*(Gastos!$D$2:$D$2500))</f>
        <v>0</v>
      </c>
      <c r="S79" s="75">
        <f t="array" ref="S79">SUM((YEAR(Gastos!$A$2:$A$2500)=S$1)*(MONTH(Gastos!$A$2:$A$2500)=S$3)*(Gastos!$B$2:$B$2500=$A79)*(Gastos!$D$2:$D$2500))</f>
        <v>0</v>
      </c>
      <c r="T79" s="75">
        <f t="array" ref="T79">SUM((YEAR(Gastos!$A$2:$A$2500)=T$1)*(MONTH(Gastos!$A$2:$A$2500)=T$3)*(Gastos!$B$2:$B$2500=$A79)*(Gastos!$D$2:$D$2500))</f>
        <v>0</v>
      </c>
      <c r="U79" s="75">
        <f t="array" ref="U79">SUM((YEAR(Gastos!$A$2:$A$2500)=U$1)*(MONTH(Gastos!$A$2:$A$2500)=U$3)*(Gastos!$B$2:$B$2500=$A79)*(Gastos!$D$2:$D$2500))</f>
        <v>0</v>
      </c>
      <c r="V79" s="75">
        <f t="array" ref="V79">SUM((YEAR(Gastos!$A$2:$A$2500)=V$1)*(MONTH(Gastos!$A$2:$A$2500)=V$3)*(Gastos!$B$2:$B$2500=$A79)*(Gastos!$D$2:$D$2500))</f>
        <v>0</v>
      </c>
      <c r="W79" s="75">
        <f t="array" ref="W79">SUM((YEAR(Gastos!$A$2:$A$2500)=W$1)*(MONTH(Gastos!$A$2:$A$2500)=W$3)*(Gastos!$B$2:$B$2500=$A79)*(Gastos!$D$2:$D$2500))</f>
        <v>0</v>
      </c>
      <c r="X79" s="75">
        <f t="array" ref="X79">SUM((YEAR(Gastos!$A$2:$A$2500)=X$1)*(MONTH(Gastos!$A$2:$A$2500)=X$3)*(Gastos!$B$2:$B$2500=$A79)*(Gastos!$D$2:$D$2500))</f>
        <v>0</v>
      </c>
      <c r="Y79" s="75">
        <f t="array" ref="Y79">SUM((YEAR(Gastos!$A$2:$A$2500)=Y$1)*(MONTH(Gastos!$A$2:$A$2500)=Y$3)*(Gastos!$B$2:$B$2500=$A79)*(Gastos!$D$2:$D$2500))</f>
        <v>0</v>
      </c>
      <c r="Z79" s="75">
        <f t="array" ref="Z79">SUM((YEAR(Gastos!$A$2:$A$2500)=Z$1)*(MONTH(Gastos!$A$2:$A$2500)=Z$3)*(Gastos!$B$2:$B$2500=$A79)*(Gastos!$D$2:$D$2500))</f>
        <v>0</v>
      </c>
      <c r="AA79" s="75">
        <f t="array" ref="AA79">SUM((YEAR(Gastos!$A$2:$A$2500)=AA$1)*(MONTH(Gastos!$A$2:$A$2500)=AA$3)*(Gastos!$B$2:$B$2500=$A79)*(Gastos!$D$2:$D$2500))</f>
        <v>0</v>
      </c>
      <c r="AB79" s="75">
        <f t="array" ref="AB79">SUM((YEAR(Gastos!$A$2:$A$2500)=AB$1)*(MONTH(Gastos!$A$2:$A$2500)=AB$3)*(Gastos!$B$2:$B$2500=$A79)*(Gastos!$D$2:$D$2500))</f>
        <v>0</v>
      </c>
      <c r="AC79" s="75">
        <f t="array" ref="AC79">SUM((YEAR(Gastos!$A$2:$A$2500)=AC$1)*(MONTH(Gastos!$A$2:$A$2500)=AC$3)*(Gastos!$B$2:$B$2500=$A79)*(Gastos!$D$2:$D$2500))</f>
        <v>0</v>
      </c>
      <c r="AD79" s="75">
        <f t="array" ref="AD79">SUM((YEAR(Gastos!$A$2:$A$2500)=AD$1)*(MONTH(Gastos!$A$2:$A$2500)=AD$3)*(Gastos!$B$2:$B$2500=$A79)*(Gastos!$D$2:$D$2500))</f>
        <v>0</v>
      </c>
      <c r="AE79" s="75">
        <f t="array" ref="AE79">SUM((YEAR(Gastos!$A$2:$A$2500)=AE$1)*(MONTH(Gastos!$A$2:$A$2500)=AE$3)*(Gastos!$B$2:$B$2500=$A79)*(Gastos!$D$2:$D$2500))</f>
        <v>0</v>
      </c>
      <c r="AF79" s="75">
        <f t="array" ref="AF79">SUM((YEAR(Gastos!$A$2:$A$2500)=AF$1)*(MONTH(Gastos!$A$2:$A$2500)=AF$3)*(Gastos!$B$2:$B$2500=$A79)*(Gastos!$D$2:$D$2500))</f>
        <v>0</v>
      </c>
      <c r="AG79" s="75">
        <f t="array" ref="AG79">SUM((YEAR(Gastos!$A$2:$A$2500)=AG$1)*(MONTH(Gastos!$A$2:$A$2500)=AG$3)*(Gastos!$B$2:$B$2500=$A79)*(Gastos!$D$2:$D$2500))</f>
        <v>0</v>
      </c>
      <c r="AH79" s="75">
        <f t="array" ref="AH79">SUM((YEAR(Gastos!$A$2:$A$2500)=AH$1)*(MONTH(Gastos!$A$2:$A$2500)=AH$3)*(Gastos!$B$2:$B$2500=$A79)*(Gastos!$D$2:$D$2500))</f>
        <v>0</v>
      </c>
      <c r="AI79" s="75">
        <f t="array" ref="AI79">SUM((YEAR(Gastos!$A$2:$A$2500)=AI$1)*(MONTH(Gastos!$A$2:$A$2500)=AI$3)*(Gastos!$B$2:$B$2500=$A79)*(Gastos!$D$2:$D$2500))</f>
        <v>0</v>
      </c>
      <c r="AJ79" s="75">
        <f t="array" ref="AJ79">SUM((YEAR(Gastos!$A$2:$A$2500)=AJ$1)*(MONTH(Gastos!$A$2:$A$2500)=AJ$3)*(Gastos!$B$2:$B$2500=$A79)*(Gastos!$D$2:$D$2500))</f>
        <v>0</v>
      </c>
      <c r="AK79" s="75">
        <f t="array" ref="AK79">SUM((YEAR(Gastos!$A$2:$A$2500)=AK$1)*(MONTH(Gastos!$A$2:$A$2500)=AK$3)*(Gastos!$B$2:$B$2500=$A79)*(Gastos!$D$2:$D$2500))</f>
        <v>0</v>
      </c>
      <c r="AL79" s="75">
        <f t="array" ref="AL79">SUM((YEAR(Gastos!$A$2:$A$2500)=AL$1)*(MONTH(Gastos!$A$2:$A$2500)=AL$3)*(Gastos!$B$2:$B$2500=$A79)*(Gastos!$D$2:$D$2500))</f>
        <v>0</v>
      </c>
      <c r="AM79" s="75">
        <f t="array" ref="AM79">SUM((YEAR(Gastos!$A$2:$A$2500)=AM$1)*(MONTH(Gastos!$A$2:$A$2500)=AM$3)*(Gastos!$B$2:$B$2500=$A79)*(Gastos!$D$2:$D$2500))</f>
        <v>0</v>
      </c>
      <c r="AN79" s="75">
        <f t="array" ref="AN79">SUM((YEAR(Gastos!$A$2:$A$2500)=AN$1)*(MONTH(Gastos!$A$2:$A$2500)=AN$3)*(Gastos!$B$2:$B$2500=$A79)*(Gastos!$D$2:$D$2500))</f>
        <v>0</v>
      </c>
      <c r="AO79" s="75">
        <f t="array" ref="AO79">SUM((YEAR(Gastos!$A$2:$A$2500)=AO$1)*(MONTH(Gastos!$A$2:$A$2500)=AO$3)*(Gastos!$B$2:$B$2500=$A79)*(Gastos!$D$2:$D$2500))</f>
        <v>0</v>
      </c>
      <c r="AP79" s="75">
        <f t="array" ref="AP79">SUM((YEAR(Gastos!$A$2:$A$2500)=AP$1)*(MONTH(Gastos!$A$2:$A$2500)=AP$3)*(Gastos!$B$2:$B$2500=$A79)*(Gastos!$D$2:$D$2500))</f>
        <v>0</v>
      </c>
      <c r="AQ79" s="75">
        <f t="array" ref="AQ79">SUM((YEAR(Gastos!$A$2:$A$2500)=AQ$1)*(MONTH(Gastos!$A$2:$A$2500)=AQ$3)*(Gastos!$B$2:$B$2500=$A79)*(Gastos!$D$2:$D$2500))</f>
        <v>0</v>
      </c>
      <c r="AR79" s="75">
        <f t="array" ref="AR79">SUM((YEAR(Gastos!$A$2:$A$2500)=AR$1)*(MONTH(Gastos!$A$2:$A$2500)=AR$3)*(Gastos!$B$2:$B$2500=$A79)*(Gastos!$D$2:$D$2500))</f>
        <v>0</v>
      </c>
      <c r="AS79" s="75">
        <f t="array" ref="AS79">SUM((YEAR(Gastos!$A$2:$A$2500)=AS$1)*(MONTH(Gastos!$A$2:$A$2500)=AS$3)*(Gastos!$B$2:$B$2500=$A79)*(Gastos!$D$2:$D$2500))</f>
        <v>0</v>
      </c>
      <c r="AT79" s="75">
        <f t="array" ref="AT79">SUM((YEAR(Gastos!$A$2:$A$2500)=AT$1)*(MONTH(Gastos!$A$2:$A$2500)=AT$3)*(Gastos!$B$2:$B$2500=$A79)*(Gastos!$D$2:$D$2500))</f>
        <v>0</v>
      </c>
      <c r="AU79" s="75">
        <f t="array" ref="AU79">SUM((YEAR(Gastos!$A$2:$A$2500)=AU$1)*(MONTH(Gastos!$A$2:$A$2500)=AU$3)*(Gastos!$B$2:$B$2500=$A79)*(Gastos!$D$2:$D$2500))</f>
        <v>0</v>
      </c>
      <c r="AV79" s="75">
        <f t="array" ref="AV79">SUM((YEAR(Gastos!$A$2:$A$2500)=AV$1)*(MONTH(Gastos!$A$2:$A$2500)=AV$3)*(Gastos!$B$2:$B$2500=$A79)*(Gastos!$D$2:$D$2500))</f>
        <v>0</v>
      </c>
      <c r="AW79" s="75">
        <f t="array" ref="AW79">SUM((YEAR(Gastos!$A$2:$A$2500)=AW$1)*(MONTH(Gastos!$A$2:$A$2500)=AW$3)*(Gastos!$B$2:$B$2500=$A79)*(Gastos!$D$2:$D$2500))</f>
        <v>0</v>
      </c>
      <c r="AX79" s="75">
        <f t="array" ref="AX79">SUM((YEAR(Gastos!$A$2:$A$2500)=AX$1)*(MONTH(Gastos!$A$2:$A$2500)=AX$3)*(Gastos!$B$2:$B$2500=$A79)*(Gastos!$D$2:$D$2500))</f>
        <v>0</v>
      </c>
      <c r="AY79" s="75">
        <f t="array" ref="AY79">SUM((YEAR(Gastos!$A$2:$A$2500)=AY$1)*(MONTH(Gastos!$A$2:$A$2500)=AY$3)*(Gastos!$B$2:$B$2500=$A79)*(Gastos!$D$2:$D$2500))</f>
        <v>0</v>
      </c>
      <c r="AZ79" s="75">
        <f t="array" ref="AZ79">SUM((YEAR(Gastos!$A$2:$A$2500)=AZ$1)*(MONTH(Gastos!$A$2:$A$2500)=AZ$3)*(Gastos!$B$2:$B$2500=$A79)*(Gastos!$D$2:$D$2500))</f>
        <v>0</v>
      </c>
      <c r="BA79" s="75">
        <f t="array" ref="BA79">SUM((YEAR(Gastos!$A$2:$A$2500)=BA$1)*(MONTH(Gastos!$A$2:$A$2500)=BA$3)*(Gastos!$B$2:$B$2500=$A79)*(Gastos!$D$2:$D$2500))</f>
        <v>0</v>
      </c>
      <c r="BB79" s="75">
        <f t="array" ref="BB79">SUM((YEAR(Gastos!$A$2:$A$2500)=BB$1)*(MONTH(Gastos!$A$2:$A$2500)=BB$3)*(Gastos!$B$2:$B$2500=$A79)*(Gastos!$D$2:$D$2500))</f>
        <v>0</v>
      </c>
      <c r="BC79" s="75">
        <f t="array" ref="BC79">SUM((YEAR(Gastos!$A$2:$A$2500)=BC$1)*(MONTH(Gastos!$A$2:$A$2500)=BC$3)*(Gastos!$B$2:$B$2500=$A79)*(Gastos!$D$2:$D$2500))</f>
        <v>0</v>
      </c>
      <c r="BD79" s="75">
        <f t="array" ref="BD79">SUM((YEAR(Gastos!$A$2:$A$2500)=BD$1)*(MONTH(Gastos!$A$2:$A$2500)=BD$3)*(Gastos!$B$2:$B$2500=$A79)*(Gastos!$D$2:$D$2500))</f>
        <v>0</v>
      </c>
      <c r="BE79" s="75">
        <f t="array" ref="BE79">SUM((YEAR(Gastos!$A$2:$A$2500)=BE$1)*(MONTH(Gastos!$A$2:$A$2500)=BE$3)*(Gastos!$B$2:$B$2500=$A79)*(Gastos!$D$2:$D$2500))</f>
        <v>0</v>
      </c>
      <c r="BF79" s="75">
        <f t="array" ref="BF79">SUM((YEAR(Gastos!$A$2:$A$2500)=BF$1)*(MONTH(Gastos!$A$2:$A$2500)=BF$3)*(Gastos!$B$2:$B$2500=$A79)*(Gastos!$D$2:$D$2500))</f>
        <v>0</v>
      </c>
      <c r="BG79" s="75">
        <f t="array" ref="BG79">SUM((YEAR(Gastos!$A$2:$A$2500)=BG$1)*(MONTH(Gastos!$A$2:$A$2500)=BG$3)*(Gastos!$B$2:$B$2500=$A79)*(Gastos!$D$2:$D$2500))</f>
        <v>0</v>
      </c>
      <c r="BH79" s="75">
        <f t="array" ref="BH79">SUM((YEAR(Gastos!$A$2:$A$2500)=BH$1)*(MONTH(Gastos!$A$2:$A$2500)=BH$3)*(Gastos!$B$2:$B$2500=$A79)*(Gastos!$D$2:$D$2500))</f>
        <v>0</v>
      </c>
      <c r="BI79" s="75">
        <f t="array" ref="BI79">SUM((YEAR(Gastos!$A$2:$A$2500)=BI$1)*(MONTH(Gastos!$A$2:$A$2500)=BI$3)*(Gastos!$B$2:$B$2500=$A79)*(Gastos!$D$2:$D$2500))</f>
        <v>0</v>
      </c>
      <c r="BJ79" s="75">
        <f t="array" ref="BJ79">SUM((YEAR(Gastos!$A$2:$A$2500)=BJ$1)*(MONTH(Gastos!$A$2:$A$2500)=BJ$3)*(Gastos!$B$2:$B$2500=$A79)*(Gastos!$D$2:$D$2500))</f>
        <v>0</v>
      </c>
      <c r="BK79" s="75">
        <f t="array" ref="BK79">SUM((YEAR(Gastos!$A$2:$A$2500)=BK$1)*(MONTH(Gastos!$A$2:$A$2500)=BK$3)*(Gastos!$B$2:$B$2500=$A79)*(Gastos!$D$2:$D$2500))</f>
        <v>0</v>
      </c>
      <c r="BL79" s="75">
        <f t="array" ref="BL79">SUM((YEAR(Gastos!$A$2:$A$2500)=BL$1)*(MONTH(Gastos!$A$2:$A$2500)=BL$3)*(Gastos!$B$2:$B$2500=$A79)*(Gastos!$D$2:$D$2500))</f>
        <v>0</v>
      </c>
      <c r="BM79" s="75">
        <f t="array" ref="BM79">SUM((YEAR(Gastos!$A$2:$A$2500)=BM$1)*(MONTH(Gastos!$A$2:$A$2500)=BM$3)*(Gastos!$B$2:$B$2500=$A79)*(Gastos!$D$2:$D$2500))</f>
        <v>0</v>
      </c>
      <c r="BN79" s="75">
        <f t="array" ref="BN79">SUM((YEAR(Gastos!$A$2:$A$2500)=BN$1)*(MONTH(Gastos!$A$2:$A$2500)=BN$3)*(Gastos!$B$2:$B$2500=$A79)*(Gastos!$D$2:$D$2500))</f>
        <v>0</v>
      </c>
      <c r="BO79" s="75">
        <f t="array" ref="BO79">SUM((YEAR(Gastos!$A$2:$A$2500)=BO$1)*(MONTH(Gastos!$A$2:$A$2500)=BO$3)*(Gastos!$B$2:$B$2500=$A79)*(Gastos!$D$2:$D$2500))</f>
        <v>0</v>
      </c>
      <c r="BP79" s="75">
        <f t="array" ref="BP79">SUM((YEAR(Gastos!$A$2:$A$2500)=BP$1)*(MONTH(Gastos!$A$2:$A$2500)=BP$3)*(Gastos!$B$2:$B$2500=$A79)*(Gastos!$D$2:$D$2500))</f>
        <v>0</v>
      </c>
      <c r="BQ79" s="75">
        <f t="array" ref="BQ79">SUM((YEAR(Gastos!$A$2:$A$2500)=BQ$1)*(MONTH(Gastos!$A$2:$A$2500)=BQ$3)*(Gastos!$B$2:$B$2500=$A79)*(Gastos!$D$2:$D$2500))</f>
        <v>0</v>
      </c>
      <c r="BR79" s="75">
        <f t="array" ref="BR79">SUM((YEAR(Gastos!$A$2:$A$2500)=BR$1)*(MONTH(Gastos!$A$2:$A$2500)=BR$3)*(Gastos!$B$2:$B$2500=$A79)*(Gastos!$D$2:$D$2500))</f>
        <v>0</v>
      </c>
      <c r="BS79" s="75">
        <f t="array" ref="BS79">SUM((YEAR(Gastos!$A$2:$A$2500)=BS$1)*(MONTH(Gastos!$A$2:$A$2500)=BS$3)*(Gastos!$B$2:$B$2500=$A79)*(Gastos!$D$2:$D$2500))</f>
        <v>0</v>
      </c>
      <c r="BT79" s="75">
        <f t="array" ref="BT79">SUM((YEAR(Gastos!$A$2:$A$2500)=BT$1)*(MONTH(Gastos!$A$2:$A$2500)=BT$3)*(Gastos!$B$2:$B$2500=$A79)*(Gastos!$D$2:$D$2500))</f>
        <v>0</v>
      </c>
      <c r="BU79" s="75">
        <f t="array" ref="BU79">SUM((YEAR(Gastos!$A$2:$A$2500)=BU$1)*(MONTH(Gastos!$A$2:$A$2500)=BU$3)*(Gastos!$B$2:$B$2500=$A79)*(Gastos!$D$2:$D$2500))</f>
        <v>0</v>
      </c>
      <c r="BV79" s="75">
        <f t="array" ref="BV79">SUM((YEAR(Gastos!$A$2:$A$2500)=BV$1)*(MONTH(Gastos!$A$2:$A$2500)=BV$3)*(Gastos!$B$2:$B$2500=$A79)*(Gastos!$D$2:$D$2500))</f>
        <v>0</v>
      </c>
      <c r="BW79" s="75">
        <f t="array" ref="BW79">SUM((YEAR(Gastos!$A$2:$A$2500)=BW$1)*(MONTH(Gastos!$A$2:$A$2500)=BW$3)*(Gastos!$B$2:$B$2500=$A79)*(Gastos!$D$2:$D$2500))</f>
        <v>0</v>
      </c>
      <c r="BX79" s="75">
        <f t="array" ref="BX79">SUM((YEAR(Gastos!$A$2:$A$2500)=BX$1)*(MONTH(Gastos!$A$2:$A$2500)=BX$3)*(Gastos!$B$2:$B$2500=$A79)*(Gastos!$D$2:$D$2500))</f>
        <v>0</v>
      </c>
      <c r="BY79" s="75">
        <f t="array" ref="BY79">SUM((YEAR(Gastos!$A$2:$A$2500)=BY$1)*(MONTH(Gastos!$A$2:$A$2500)=BY$3)*(Gastos!$B$2:$B$2500=$A79)*(Gastos!$D$2:$D$2500))</f>
        <v>0</v>
      </c>
      <c r="BZ79" s="75">
        <f t="array" ref="BZ79">SUM((YEAR(Gastos!$A$2:$A$2500)=BZ$1)*(MONTH(Gastos!$A$2:$A$2500)=BZ$3)*(Gastos!$B$2:$B$2500=$A79)*(Gastos!$D$2:$D$2500))</f>
        <v>0</v>
      </c>
      <c r="CA79" s="75">
        <f t="array" ref="CA79">SUM((YEAR(Gastos!$A$2:$A$2500)=CA$1)*(MONTH(Gastos!$A$2:$A$2500)=CA$3)*(Gastos!$B$2:$B$2500=$A79)*(Gastos!$D$2:$D$2500))</f>
        <v>0</v>
      </c>
      <c r="CB79" s="75">
        <f t="array" ref="CB79">SUM((YEAR(Gastos!$A$2:$A$2500)=CB$1)*(MONTH(Gastos!$A$2:$A$2500)=CB$3)*(Gastos!$B$2:$B$2500=$A79)*(Gastos!$D$2:$D$2500))</f>
        <v>0</v>
      </c>
      <c r="CC79" s="75">
        <f t="array" ref="CC79">SUM((YEAR(Gastos!$A$2:$A$2500)=CC$1)*(MONTH(Gastos!$A$2:$A$2500)=CC$3)*(Gastos!$B$2:$B$2500=$A79)*(Gastos!$D$2:$D$2500))</f>
        <v>0</v>
      </c>
      <c r="CD79" s="75">
        <f t="array" ref="CD79">SUM((YEAR(Gastos!$A$2:$A$2500)=CD$1)*(MONTH(Gastos!$A$2:$A$2500)=CD$3)*(Gastos!$B$2:$B$2500=$A79)*(Gastos!$D$2:$D$2500))</f>
        <v>0</v>
      </c>
      <c r="CE79" s="75">
        <f t="array" ref="CE79">SUM((YEAR(Gastos!$A$2:$A$2500)=CE$1)*(MONTH(Gastos!$A$2:$A$2500)=CE$3)*(Gastos!$B$2:$B$2500=$A79)*(Gastos!$D$2:$D$2500))</f>
        <v>0</v>
      </c>
      <c r="CF79" s="75">
        <f t="array" ref="CF79">SUM((YEAR(Gastos!$A$2:$A$2500)=CF$1)*(MONTH(Gastos!$A$2:$A$2500)=CF$3)*(Gastos!$B$2:$B$2500=$A79)*(Gastos!$D$2:$D$2500))</f>
        <v>0</v>
      </c>
      <c r="CG79" s="75">
        <f t="array" ref="CG79">SUM((YEAR(Gastos!$A$2:$A$2500)=CG$1)*(MONTH(Gastos!$A$2:$A$2500)=CG$3)*(Gastos!$B$2:$B$2500=$A79)*(Gastos!$D$2:$D$2500))</f>
        <v>0</v>
      </c>
      <c r="CH79" s="75">
        <f t="array" ref="CH79">SUM((YEAR(Gastos!$A$2:$A$2500)=CH$1)*(MONTH(Gastos!$A$2:$A$2500)=CH$3)*(Gastos!$B$2:$B$2500=$A79)*(Gastos!$D$2:$D$2500))</f>
        <v>0</v>
      </c>
      <c r="CI79" s="75">
        <f t="array" ref="CI79">SUM((YEAR(Gastos!$A$2:$A$2500)=CI$1)*(MONTH(Gastos!$A$2:$A$2500)=CI$3)*(Gastos!$B$2:$B$2500=$A79)*(Gastos!$D$2:$D$2500))</f>
        <v>0</v>
      </c>
      <c r="CJ79" s="75">
        <f t="array" ref="CJ79">SUM((YEAR(Gastos!$A$2:$A$2500)=CJ$1)*(MONTH(Gastos!$A$2:$A$2500)=CJ$3)*(Gastos!$B$2:$B$2500=$A79)*(Gastos!$D$2:$D$2500))</f>
        <v>0</v>
      </c>
      <c r="CK79" s="75">
        <f t="array" ref="CK79">SUM((YEAR(Gastos!$A$2:$A$2500)=CK$1)*(MONTH(Gastos!$A$2:$A$2500)=CK$3)*(Gastos!$B$2:$B$2500=$A79)*(Gastos!$D$2:$D$2500))</f>
        <v>0</v>
      </c>
      <c r="CL79" s="75">
        <f t="array" ref="CL79">SUM((YEAR(Gastos!$A$2:$A$2500)=CL$1)*(MONTH(Gastos!$A$2:$A$2500)=CL$3)*(Gastos!$B$2:$B$2500=$A79)*(Gastos!$D$2:$D$2500))</f>
        <v>0</v>
      </c>
      <c r="CM79" s="75">
        <f t="array" ref="CM79">SUM((YEAR(Gastos!$A$2:$A$2500)=CM$1)*(MONTH(Gastos!$A$2:$A$2500)=CM$3)*(Gastos!$B$2:$B$2500=$A79)*(Gastos!$D$2:$D$2500))</f>
        <v>0</v>
      </c>
      <c r="CN79" s="75">
        <f t="array" ref="CN79">SUM((YEAR(Gastos!$A$2:$A$2500)=CN$1)*(MONTH(Gastos!$A$2:$A$2500)=CN$3)*(Gastos!$B$2:$B$2500=$A79)*(Gastos!$D$2:$D$2500))</f>
        <v>0</v>
      </c>
      <c r="CO79" s="75">
        <f t="array" ref="CO79">SUM((YEAR(Gastos!$A$2:$A$2500)=CO$1)*(MONTH(Gastos!$A$2:$A$2500)=CO$3)*(Gastos!$B$2:$B$2500=$A79)*(Gastos!$D$2:$D$2500))</f>
        <v>0</v>
      </c>
      <c r="CP79" s="75">
        <f t="array" ref="CP79">SUM((YEAR(Gastos!$A$2:$A$2500)=CP$1)*(MONTH(Gastos!$A$2:$A$2500)=CP$3)*(Gastos!$B$2:$B$2500=$A79)*(Gastos!$D$2:$D$2500))</f>
        <v>0</v>
      </c>
      <c r="CQ79" s="75">
        <f t="array" ref="CQ79">SUM((YEAR(Gastos!$A$2:$A$2500)=CQ$1)*(MONTH(Gastos!$A$2:$A$2500)=CQ$3)*(Gastos!$B$2:$B$2500=$A79)*(Gastos!$D$2:$D$2500))</f>
        <v>0</v>
      </c>
      <c r="CR79" s="75">
        <f t="array" ref="CR79">SUM((YEAR(Gastos!$A$2:$A$2500)=CR$1)*(MONTH(Gastos!$A$2:$A$2500)=CR$3)*(Gastos!$B$2:$B$2500=$A79)*(Gastos!$D$2:$D$2500))</f>
        <v>0</v>
      </c>
      <c r="CS79" s="75">
        <f t="array" ref="CS79">SUM((YEAR(Gastos!$A$2:$A$2500)=CS$1)*(MONTH(Gastos!$A$2:$A$2500)=CS$3)*(Gastos!$B$2:$B$2500=$A79)*(Gastos!$D$2:$D$2500))</f>
        <v>0</v>
      </c>
      <c r="CT79" s="75">
        <f t="array" ref="CT79">SUM((YEAR(Gastos!$A$2:$A$2500)=CT$1)*(MONTH(Gastos!$A$2:$A$2500)=CT$3)*(Gastos!$B$2:$B$2500=$A79)*(Gastos!$D$2:$D$2500))</f>
        <v>0</v>
      </c>
      <c r="CU79" s="75">
        <f t="array" ref="CU79">SUM((YEAR(Gastos!$A$2:$A$2500)=CU$1)*(MONTH(Gastos!$A$2:$A$2500)=CU$3)*(Gastos!$B$2:$B$2500=$A79)*(Gastos!$D$2:$D$2500))</f>
        <v>0</v>
      </c>
      <c r="CV79" s="75">
        <f t="array" ref="CV79">SUM((YEAR(Gastos!$A$2:$A$2500)=CV$1)*(MONTH(Gastos!$A$2:$A$2500)=CV$3)*(Gastos!$B$2:$B$2500=$A79)*(Gastos!$D$2:$D$2500))</f>
        <v>0</v>
      </c>
      <c r="CW79" s="75">
        <f t="array" ref="CW79">SUM((YEAR(Gastos!$A$2:$A$2500)=CW$1)*(MONTH(Gastos!$A$2:$A$2500)=CW$3)*(Gastos!$B$2:$B$2500=$A79)*(Gastos!$D$2:$D$2500))</f>
        <v>0</v>
      </c>
      <c r="CX79" s="75">
        <f t="array" ref="CX79">SUM((YEAR(Gastos!$A$2:$A$2500)=CX$1)*(MONTH(Gastos!$A$2:$A$2500)=CX$3)*(Gastos!$B$2:$B$2500=$A79)*(Gastos!$D$2:$D$2500))</f>
        <v>0</v>
      </c>
      <c r="CY79" s="75">
        <f t="array" ref="CY79">SUM((YEAR(Gastos!$A$2:$A$2500)=CY$1)*(MONTH(Gastos!$A$2:$A$2500)=CY$3)*(Gastos!$B$2:$B$2500=$A79)*(Gastos!$D$2:$D$2500))</f>
        <v>0</v>
      </c>
      <c r="CZ79" s="75">
        <f t="array" ref="CZ79">SUM((YEAR(Gastos!$A$2:$A$2500)=CZ$1)*(MONTH(Gastos!$A$2:$A$2500)=CZ$3)*(Gastos!$B$2:$B$2500=$A79)*(Gastos!$D$2:$D$2500))</f>
        <v>0</v>
      </c>
      <c r="DA79" s="75">
        <f t="array" ref="DA79">SUM((YEAR(Gastos!$A$2:$A$2500)=DA$1)*(MONTH(Gastos!$A$2:$A$2500)=DA$3)*(Gastos!$B$2:$B$2500=$A79)*(Gastos!$D$2:$D$2500))</f>
        <v>0</v>
      </c>
      <c r="DB79" s="75">
        <f t="array" ref="DB79">SUM((YEAR(Gastos!$A$2:$A$2500)=DB$1)*(MONTH(Gastos!$A$2:$A$2500)=DB$3)*(Gastos!$B$2:$B$2500=$A79)*(Gastos!$D$2:$D$2500))</f>
        <v>0</v>
      </c>
      <c r="DC79" s="75">
        <f t="array" ref="DC79">SUM((YEAR(Gastos!$A$2:$A$2500)=DC$1)*(MONTH(Gastos!$A$2:$A$2500)=DC$3)*(Gastos!$B$2:$B$2500=$A79)*(Gastos!$D$2:$D$2500))</f>
        <v>0</v>
      </c>
      <c r="DD79" s="75">
        <f t="array" ref="DD79">SUM((YEAR(Gastos!$A$2:$A$2500)=DD$1)*(MONTH(Gastos!$A$2:$A$2500)=DD$3)*(Gastos!$B$2:$B$2500=$A79)*(Gastos!$D$2:$D$2500))</f>
        <v>0</v>
      </c>
      <c r="DE79" s="75">
        <f t="array" ref="DE79">SUM((YEAR(Gastos!$A$2:$A$2500)=DE$1)*(MONTH(Gastos!$A$2:$A$2500)=DE$3)*(Gastos!$B$2:$B$2500=$A79)*(Gastos!$D$2:$D$2500))</f>
        <v>0</v>
      </c>
      <c r="DF79" s="75">
        <f t="array" ref="DF79">SUM((YEAR(Gastos!$A$2:$A$2500)=DF$1)*(MONTH(Gastos!$A$2:$A$2500)=DF$3)*(Gastos!$B$2:$B$2500=$A79)*(Gastos!$D$2:$D$2500))</f>
        <v>0</v>
      </c>
      <c r="DG79" s="75">
        <f t="array" ref="DG79">SUM((YEAR(Gastos!$A$2:$A$2500)=DG$1)*(MONTH(Gastos!$A$2:$A$2500)=DG$3)*(Gastos!$B$2:$B$2500=$A79)*(Gastos!$D$2:$D$2500))</f>
        <v>0</v>
      </c>
      <c r="DH79" s="75">
        <f t="array" ref="DH79">SUM((YEAR(Gastos!$A$2:$A$2500)=DH$1)*(MONTH(Gastos!$A$2:$A$2500)=DH$3)*(Gastos!$B$2:$B$2500=$A79)*(Gastos!$D$2:$D$2500))</f>
        <v>0</v>
      </c>
      <c r="DI79" s="75">
        <f t="array" ref="DI79">SUM((YEAR(Gastos!$A$2:$A$2500)=DI$1)*(MONTH(Gastos!$A$2:$A$2500)=DI$3)*(Gastos!$B$2:$B$2500=$A79)*(Gastos!$D$2:$D$2500))</f>
        <v>0</v>
      </c>
      <c r="DJ79" s="75">
        <f t="array" ref="DJ79">SUM((YEAR(Gastos!$A$2:$A$2500)=DJ$1)*(MONTH(Gastos!$A$2:$A$2500)=DJ$3)*(Gastos!$B$2:$B$2500=$A79)*(Gastos!$D$2:$D$2500))</f>
        <v>0</v>
      </c>
      <c r="DK79" s="75">
        <f t="array" ref="DK79">SUM((YEAR(Gastos!$A$2:$A$2500)=DK$1)*(MONTH(Gastos!$A$2:$A$2500)=DK$3)*(Gastos!$B$2:$B$2500=$A79)*(Gastos!$D$2:$D$2500))</f>
        <v>0</v>
      </c>
      <c r="DL79" s="75">
        <f t="array" ref="DL79">SUM((YEAR(Gastos!$A$2:$A$2500)=DL$1)*(MONTH(Gastos!$A$2:$A$2500)=DL$3)*(Gastos!$B$2:$B$2500=$A79)*(Gastos!$D$2:$D$2500))</f>
        <v>0</v>
      </c>
      <c r="DM79" s="75">
        <f t="array" ref="DM79">SUM((YEAR(Gastos!$A$2:$A$2500)=DM$1)*(MONTH(Gastos!$A$2:$A$2500)=DM$3)*(Gastos!$B$2:$B$2500=$A79)*(Gastos!$D$2:$D$2500))</f>
        <v>0</v>
      </c>
      <c r="DN79" s="75">
        <f t="array" ref="DN79">SUM((YEAR(Gastos!$A$2:$A$2500)=DN$1)*(MONTH(Gastos!$A$2:$A$2500)=DN$3)*(Gastos!$B$2:$B$2500=$A79)*(Gastos!$D$2:$D$2500))</f>
        <v>0</v>
      </c>
      <c r="DO79" s="75">
        <f t="array" ref="DO79">SUM((YEAR(Gastos!$A$2:$A$2500)=DO$1)*(MONTH(Gastos!$A$2:$A$2500)=DO$3)*(Gastos!$B$2:$B$2500=$A79)*(Gastos!$D$2:$D$2500))</f>
        <v>0</v>
      </c>
      <c r="DP79" s="75">
        <f t="array" ref="DP79">SUM((YEAR(Gastos!$A$2:$A$2500)=DP$1)*(MONTH(Gastos!$A$2:$A$2500)=DP$3)*(Gastos!$B$2:$B$2500=$A79)*(Gastos!$D$2:$D$2500))</f>
        <v>0</v>
      </c>
      <c r="DQ79" s="75">
        <f t="array" ref="DQ79">SUM((YEAR(Gastos!$A$2:$A$2500)=DQ$1)*(MONTH(Gastos!$A$2:$A$2500)=DQ$3)*(Gastos!$B$2:$B$2500=$A79)*(Gastos!$D$2:$D$2500))</f>
        <v>0</v>
      </c>
      <c r="DR79" s="75">
        <f t="array" ref="DR79">SUM((YEAR(Gastos!$A$2:$A$2500)=DR$1)*(MONTH(Gastos!$A$2:$A$2500)=DR$3)*(Gastos!$B$2:$B$2500=$A79)*(Gastos!$D$2:$D$2500))</f>
        <v>0</v>
      </c>
      <c r="DS79" s="75">
        <f t="array" ref="DS79">SUM((YEAR(Gastos!$A$2:$A$2500)=DS$1)*(MONTH(Gastos!$A$2:$A$2500)=DS$3)*(Gastos!$B$2:$B$2500=$A79)*(Gastos!$D$2:$D$2500))</f>
        <v>0</v>
      </c>
      <c r="DT79" s="75">
        <f t="array" ref="DT79">SUM((YEAR(Gastos!$A$2:$A$2500)=DT$1)*(MONTH(Gastos!$A$2:$A$2500)=DT$3)*(Gastos!$B$2:$B$2500=$A79)*(Gastos!$D$2:$D$2500))</f>
        <v>0</v>
      </c>
      <c r="DU79" s="75">
        <f t="array" ref="DU79">SUM((YEAR(Gastos!$A$2:$A$2500)=DU$1)*(MONTH(Gastos!$A$2:$A$2500)=DU$3)*(Gastos!$B$2:$B$2500=$A79)*(Gastos!$D$2:$D$2500))</f>
        <v>0</v>
      </c>
      <c r="DV79" s="75">
        <f t="array" ref="DV79">SUM((YEAR(Gastos!$A$2:$A$2500)=DV$1)*(MONTH(Gastos!$A$2:$A$2500)=DV$3)*(Gastos!$B$2:$B$2500=$A79)*(Gastos!$D$2:$D$2500))</f>
        <v>0</v>
      </c>
      <c r="DW79" s="75">
        <f t="array" ref="DW79">SUM((YEAR(Gastos!$A$2:$A$2500)=DW$1)*(MONTH(Gastos!$A$2:$A$2500)=DW$3)*(Gastos!$B$2:$B$2500=$A79)*(Gastos!$D$2:$D$2500))</f>
        <v>0</v>
      </c>
      <c r="DX79" s="75">
        <f t="array" ref="DX79">SUM((YEAR(Gastos!$A$2:$A$2500)=DX$1)*(MONTH(Gastos!$A$2:$A$2500)=DX$3)*(Gastos!$B$2:$B$2500=$A79)*(Gastos!$D$2:$D$2500))</f>
        <v>0</v>
      </c>
      <c r="DY79" s="75">
        <f t="array" ref="DY79">SUM((YEAR(Gastos!$A$2:$A$2500)=DY$1)*(MONTH(Gastos!$A$2:$A$2500)=DY$3)*(Gastos!$B$2:$B$2500=$A79)*(Gastos!$D$2:$D$2500))</f>
        <v>0</v>
      </c>
      <c r="DZ79" s="75">
        <f t="array" ref="DZ79">SUM((YEAR(Gastos!$A$2:$A$2500)=DZ$1)*(MONTH(Gastos!$A$2:$A$2500)=DZ$3)*(Gastos!$B$2:$B$2500=$A79)*(Gastos!$D$2:$D$2500))</f>
        <v>0</v>
      </c>
      <c r="EA79" s="75">
        <f t="array" ref="EA79">SUM((YEAR(Gastos!$A$2:$A$2500)=EA$1)*(MONTH(Gastos!$A$2:$A$2500)=EA$3)*(Gastos!$B$2:$B$2500=$A79)*(Gastos!$D$2:$D$2500))</f>
        <v>0</v>
      </c>
      <c r="EB79" s="75">
        <f t="array" ref="EB79">SUM((YEAR(Gastos!$A$2:$A$2500)=EB$1)*(MONTH(Gastos!$A$2:$A$2500)=EB$3)*(Gastos!$B$2:$B$2500=$A79)*(Gastos!$D$2:$D$2500))</f>
        <v>0</v>
      </c>
      <c r="EC79" s="75">
        <f t="array" ref="EC79">SUM((YEAR(Gastos!$A$2:$A$2500)=EC$1)*(MONTH(Gastos!$A$2:$A$2500)=EC$3)*(Gastos!$B$2:$B$2500=$A79)*(Gastos!$D$2:$D$2500))</f>
        <v>0</v>
      </c>
      <c r="ED79" s="75">
        <f t="array" ref="ED79">SUM((YEAR(Gastos!$A$2:$A$2500)=ED$1)*(MONTH(Gastos!$A$2:$A$2500)=ED$3)*(Gastos!$B$2:$B$2500=$A79)*(Gastos!$D$2:$D$2500))</f>
        <v>0</v>
      </c>
      <c r="EE79" s="75">
        <f t="array" ref="EE79">SUM((YEAR(Gastos!$A$2:$A$2500)=EE$1)*(MONTH(Gastos!$A$2:$A$2500)=EE$3)*(Gastos!$B$2:$B$2500=$A79)*(Gastos!$D$2:$D$2500))</f>
        <v>0</v>
      </c>
      <c r="EF79" s="75">
        <f t="array" ref="EF79">SUM((YEAR(Gastos!$A$2:$A$2500)=EF$1)*(MONTH(Gastos!$A$2:$A$2500)=EF$3)*(Gastos!$B$2:$B$2500=$A79)*(Gastos!$D$2:$D$2500))</f>
        <v>0</v>
      </c>
      <c r="EG79" s="75">
        <f t="array" ref="EG79">SUM((YEAR(Gastos!$A$2:$A$2500)=EG$1)*(MONTH(Gastos!$A$2:$A$2500)=EG$3)*(Gastos!$B$2:$B$2500=$A79)*(Gastos!$D$2:$D$2500))</f>
        <v>0</v>
      </c>
      <c r="EH79" s="75">
        <f t="array" ref="EH79">SUM((YEAR(Gastos!$A$2:$A$2500)=EH$1)*(MONTH(Gastos!$A$2:$A$2500)=EH$3)*(Gastos!$B$2:$B$2500=$A79)*(Gastos!$D$2:$D$2500))</f>
        <v>0</v>
      </c>
      <c r="EI79" s="75">
        <f t="array" ref="EI79">SUM((YEAR(Gastos!$A$2:$A$2500)=EI$1)*(MONTH(Gastos!$A$2:$A$2500)=EI$3)*(Gastos!$B$2:$B$2500=$A79)*(Gastos!$D$2:$D$2500))</f>
        <v>0</v>
      </c>
      <c r="EJ79" s="75">
        <f t="array" ref="EJ79">SUM((YEAR(Gastos!$A$2:$A$2500)=EJ$1)*(MONTH(Gastos!$A$2:$A$2500)=EJ$3)*(Gastos!$B$2:$B$2500=$A79)*(Gastos!$D$2:$D$2500))</f>
        <v>0</v>
      </c>
      <c r="EK79" s="75">
        <f t="array" ref="EK79">SUM((YEAR(Gastos!$A$2:$A$2500)=EK$1)*(MONTH(Gastos!$A$2:$A$2500)=EK$3)*(Gastos!$B$2:$B$2500=$A79)*(Gastos!$D$2:$D$2500))</f>
        <v>0</v>
      </c>
      <c r="EL79" s="75">
        <f t="array" ref="EL79">SUM((YEAR(Gastos!$A$2:$A$2500)=EL$1)*(MONTH(Gastos!$A$2:$A$2500)=EL$3)*(Gastos!$B$2:$B$2500=$A79)*(Gastos!$D$2:$D$2500))</f>
        <v>0</v>
      </c>
      <c r="EM79" s="75">
        <f t="array" ref="EM79">SUM((YEAR(Gastos!$A$2:$A$2500)=EM$1)*(MONTH(Gastos!$A$2:$A$2500)=EM$3)*(Gastos!$B$2:$B$2500=$A79)*(Gastos!$D$2:$D$2500))</f>
        <v>0</v>
      </c>
      <c r="EN79" s="75">
        <f t="array" ref="EN79">SUM((YEAR(Gastos!$A$2:$A$2500)=EN$1)*(MONTH(Gastos!$A$2:$A$2500)=EN$3)*(Gastos!$B$2:$B$2500=$A79)*(Gastos!$D$2:$D$2500))</f>
        <v>0</v>
      </c>
      <c r="EO79" s="75">
        <f t="array" ref="EO79">SUM((YEAR(Gastos!$A$2:$A$2500)=EO$1)*(MONTH(Gastos!$A$2:$A$2500)=EO$3)*(Gastos!$B$2:$B$2500=$A79)*(Gastos!$D$2:$D$2500))</f>
        <v>0</v>
      </c>
      <c r="EP79" s="75">
        <f t="array" ref="EP79">SUM((YEAR(Gastos!$A$2:$A$2500)=EP$1)*(MONTH(Gastos!$A$2:$A$2500)=EP$3)*(Gastos!$B$2:$B$2500=$A79)*(Gastos!$D$2:$D$2500))</f>
        <v>0</v>
      </c>
      <c r="EQ79" s="75">
        <f t="array" ref="EQ79">SUM((YEAR(Gastos!$A$2:$A$2500)=EQ$1)*(MONTH(Gastos!$A$2:$A$2500)=EQ$3)*(Gastos!$B$2:$B$2500=$A79)*(Gastos!$D$2:$D$2500))</f>
        <v>0</v>
      </c>
      <c r="ER79" s="75">
        <f t="array" ref="ER79">SUM((YEAR(Gastos!$A$2:$A$2500)=ER$1)*(MONTH(Gastos!$A$2:$A$2500)=ER$3)*(Gastos!$B$2:$B$2500=$A79)*(Gastos!$D$2:$D$2500))</f>
        <v>0</v>
      </c>
      <c r="ES79" s="75">
        <f t="array" ref="ES79">SUM((YEAR(Gastos!$A$2:$A$2500)=ES$1)*(MONTH(Gastos!$A$2:$A$2500)=ES$3)*(Gastos!$B$2:$B$2500=$A79)*(Gastos!$D$2:$D$2500))</f>
        <v>0</v>
      </c>
      <c r="ET79" s="75">
        <f t="array" ref="ET79">SUM((YEAR(Gastos!$A$2:$A$2500)=ET$1)*(MONTH(Gastos!$A$2:$A$2500)=ET$3)*(Gastos!$B$2:$B$2500=$A79)*(Gastos!$D$2:$D$2500))</f>
        <v>0</v>
      </c>
      <c r="EU79" s="75">
        <f t="array" ref="EU79">SUM((YEAR(Gastos!$A$2:$A$2500)=EU$1)*(MONTH(Gastos!$A$2:$A$2500)=EU$3)*(Gastos!$B$2:$B$2500=$A79)*(Gastos!$D$2:$D$2500))</f>
        <v>0</v>
      </c>
      <c r="EV79" s="75">
        <f t="array" ref="EV79">SUM((YEAR(Gastos!$A$2:$A$2500)=EV$1)*(MONTH(Gastos!$A$2:$A$2500)=EV$3)*(Gastos!$B$2:$B$2500=$A79)*(Gastos!$D$2:$D$2500))</f>
        <v>0</v>
      </c>
      <c r="EW79" s="75">
        <f t="array" ref="EW79">SUM((YEAR(Gastos!$A$2:$A$2500)=EW$1)*(MONTH(Gastos!$A$2:$A$2500)=EW$3)*(Gastos!$B$2:$B$2500=$A79)*(Gastos!$D$2:$D$2500))</f>
        <v>0</v>
      </c>
      <c r="EX79" s="75">
        <f t="array" ref="EX79">SUM((YEAR(Gastos!$A$2:$A$2500)=EX$1)*(MONTH(Gastos!$A$2:$A$2500)=EX$3)*(Gastos!$B$2:$B$2500=$A79)*(Gastos!$D$2:$D$2500))</f>
        <v>0</v>
      </c>
      <c r="EY79" s="75">
        <f t="array" ref="EY79">SUM((YEAR(Gastos!$A$2:$A$2500)=EY$1)*(MONTH(Gastos!$A$2:$A$2500)=EY$3)*(Gastos!$B$2:$B$2500=$A79)*(Gastos!$D$2:$D$2500))</f>
        <v>0</v>
      </c>
      <c r="EZ79" s="75">
        <f t="array" ref="EZ79">SUM((YEAR(Gastos!$A$2:$A$2500)=EZ$1)*(MONTH(Gastos!$A$2:$A$2500)=EZ$3)*(Gastos!$B$2:$B$2500=$A79)*(Gastos!$D$2:$D$2500))</f>
        <v>0</v>
      </c>
      <c r="FA79" s="75">
        <f t="array" ref="FA79">SUM((YEAR(Gastos!$A$2:$A$2500)=FA$1)*(MONTH(Gastos!$A$2:$A$2500)=FA$3)*(Gastos!$B$2:$B$2500=$A79)*(Gastos!$D$2:$D$2500))</f>
        <v>0</v>
      </c>
      <c r="FB79" s="75">
        <f t="array" ref="FB79">SUM((YEAR(Gastos!$A$2:$A$2500)=FB$1)*(MONTH(Gastos!$A$2:$A$2500)=FB$3)*(Gastos!$B$2:$B$2500=$A79)*(Gastos!$D$2:$D$2500))</f>
        <v>0</v>
      </c>
      <c r="FC79" s="75">
        <f t="array" ref="FC79">SUM((YEAR(Gastos!$A$2:$A$2500)=FC$1)*(MONTH(Gastos!$A$2:$A$2500)=FC$3)*(Gastos!$B$2:$B$2500=$A79)*(Gastos!$D$2:$D$2500))</f>
        <v>0</v>
      </c>
      <c r="FD79" s="75">
        <f t="array" ref="FD79">SUM((YEAR(Gastos!$A$2:$A$2500)=FD$1)*(MONTH(Gastos!$A$2:$A$2500)=FD$3)*(Gastos!$B$2:$B$2500=$A79)*(Gastos!$D$2:$D$2500))</f>
        <v>0</v>
      </c>
      <c r="FE79" s="75">
        <f t="array" ref="FE79">SUM((YEAR(Gastos!$A$2:$A$2500)=FE$1)*(MONTH(Gastos!$A$2:$A$2500)=FE$3)*(Gastos!$B$2:$B$2500=$A79)*(Gastos!$D$2:$D$2500))</f>
        <v>0</v>
      </c>
      <c r="FF79" s="75">
        <f t="array" ref="FF79">SUM((YEAR(Gastos!$A$2:$A$2500)=FF$1)*(MONTH(Gastos!$A$2:$A$2500)=FF$3)*(Gastos!$B$2:$B$2500=$A79)*(Gastos!$D$2:$D$2500))</f>
        <v>0</v>
      </c>
      <c r="FG79" s="75">
        <f t="array" ref="FG79">SUM((YEAR(Gastos!$A$2:$A$2500)=FG$1)*(MONTH(Gastos!$A$2:$A$2500)=FG$3)*(Gastos!$B$2:$B$2500=$A79)*(Gastos!$D$2:$D$2500))</f>
        <v>0</v>
      </c>
      <c r="FH79" s="75">
        <f t="array" ref="FH79">SUM((YEAR(Gastos!$A$2:$A$2500)=FH$1)*(MONTH(Gastos!$A$2:$A$2500)=FH$3)*(Gastos!$B$2:$B$2500=$A79)*(Gastos!$D$2:$D$2500))</f>
        <v>0</v>
      </c>
      <c r="FI79" s="75">
        <f t="array" ref="FI79">SUM((YEAR(Gastos!$A$2:$A$2500)=FI$1)*(MONTH(Gastos!$A$2:$A$2500)=FI$3)*(Gastos!$B$2:$B$2500=$A79)*(Gastos!$D$2:$D$2500))</f>
        <v>0</v>
      </c>
      <c r="FJ79" s="75">
        <f t="array" ref="FJ79">SUM((YEAR(Gastos!$A$2:$A$2500)=FJ$1)*(MONTH(Gastos!$A$2:$A$2500)=FJ$3)*(Gastos!$B$2:$B$2500=$A79)*(Gastos!$D$2:$D$2500))</f>
        <v>0</v>
      </c>
      <c r="FK79" s="75">
        <f t="array" ref="FK79">SUM((YEAR(Gastos!$A$2:$A$2500)=FK$1)*(MONTH(Gastos!$A$2:$A$2500)=FK$3)*(Gastos!$B$2:$B$2500=$A79)*(Gastos!$D$2:$D$2500))</f>
        <v>0</v>
      </c>
      <c r="FL79" s="75">
        <f t="array" ref="FL79">SUM((YEAR(Gastos!$A$2:$A$2500)=FL$1)*(MONTH(Gastos!$A$2:$A$2500)=FL$3)*(Gastos!$B$2:$B$2500=$A79)*(Gastos!$D$2:$D$2500))</f>
        <v>0</v>
      </c>
      <c r="FM79" s="75">
        <f t="array" ref="FM79">SUM((YEAR(Gastos!$A$2:$A$2500)=FM$1)*(MONTH(Gastos!$A$2:$A$2500)=FM$3)*(Gastos!$B$2:$B$2500=$A79)*(Gastos!$D$2:$D$2500))</f>
        <v>0</v>
      </c>
      <c r="FN79" s="75">
        <f t="array" ref="FN79">SUM((YEAR(Gastos!$A$2:$A$2500)=FN$1)*(MONTH(Gastos!$A$2:$A$2500)=FN$3)*(Gastos!$B$2:$B$2500=$A79)*(Gastos!$D$2:$D$2500))</f>
        <v>0</v>
      </c>
      <c r="FO79" s="75">
        <f t="array" ref="FO79">SUM((YEAR(Gastos!$A$2:$A$2500)=FO$1)*(MONTH(Gastos!$A$2:$A$2500)=FO$3)*(Gastos!$B$2:$B$2500=$A79)*(Gastos!$D$2:$D$2500))</f>
        <v>0</v>
      </c>
      <c r="FP79" s="75">
        <f t="array" ref="FP79">SUM((YEAR(Gastos!$A$2:$A$2500)=FP$1)*(MONTH(Gastos!$A$2:$A$2500)=FP$3)*(Gastos!$B$2:$B$2500=$A79)*(Gastos!$D$2:$D$2500))</f>
        <v>0</v>
      </c>
      <c r="FQ79" s="75">
        <f t="array" ref="FQ79">SUM((YEAR(Gastos!$A$2:$A$2500)=FQ$1)*(MONTH(Gastos!$A$2:$A$2500)=FQ$3)*(Gastos!$B$2:$B$2500=$A79)*(Gastos!$D$2:$D$2500))</f>
        <v>0</v>
      </c>
      <c r="FR79" s="75">
        <f t="array" ref="FR79">SUM((YEAR(Gastos!$A$2:$A$2500)=FR$1)*(MONTH(Gastos!$A$2:$A$2500)=FR$3)*(Gastos!$B$2:$B$2500=$A79)*(Gastos!$D$2:$D$2500))</f>
        <v>0</v>
      </c>
      <c r="FS79" s="75">
        <f t="array" ref="FS79">SUM((YEAR(Gastos!$A$2:$A$2500)=FS$1)*(MONTH(Gastos!$A$2:$A$2500)=FS$3)*(Gastos!$B$2:$B$2500=$A79)*(Gastos!$D$2:$D$2500))</f>
        <v>0</v>
      </c>
      <c r="FT79" s="75">
        <f t="array" ref="FT79">SUM((YEAR(Gastos!$A$2:$A$2500)=FT$1)*(MONTH(Gastos!$A$2:$A$2500)=FT$3)*(Gastos!$B$2:$B$2500=$A79)*(Gastos!$D$2:$D$2500))</f>
        <v>0</v>
      </c>
      <c r="FU79" s="75">
        <f t="array" ref="FU79">SUM((YEAR(Gastos!$A$2:$A$2500)=FU$1)*(MONTH(Gastos!$A$2:$A$2500)=FU$3)*(Gastos!$B$2:$B$2500=$A79)*(Gastos!$D$2:$D$2500))</f>
        <v>0</v>
      </c>
      <c r="FV79" s="75">
        <f t="array" ref="FV79">SUM((YEAR(Gastos!$A$2:$A$2500)=FV$1)*(MONTH(Gastos!$A$2:$A$2500)=FV$3)*(Gastos!$B$2:$B$2500=$A79)*(Gastos!$D$2:$D$2500))</f>
        <v>0</v>
      </c>
      <c r="FW79" s="75">
        <f t="array" ref="FW79">SUM((YEAR(Gastos!$A$2:$A$2500)=FW$1)*(MONTH(Gastos!$A$2:$A$2500)=FW$3)*(Gastos!$B$2:$B$2500=$A79)*(Gastos!$D$2:$D$2500))</f>
        <v>0</v>
      </c>
      <c r="FX79" s="75">
        <f t="array" ref="FX79">SUM((YEAR(Gastos!$A$2:$A$2500)=FX$1)*(MONTH(Gastos!$A$2:$A$2500)=FX$3)*(Gastos!$B$2:$B$2500=$A79)*(Gastos!$D$2:$D$2500))</f>
        <v>0</v>
      </c>
      <c r="FY79" s="75">
        <f t="array" ref="FY79">SUM((YEAR(Gastos!$A$2:$A$2500)=FY$1)*(MONTH(Gastos!$A$2:$A$2500)=FY$3)*(Gastos!$B$2:$B$2500=$A79)*(Gastos!$D$2:$D$2500))</f>
        <v>0</v>
      </c>
      <c r="FZ79" s="76">
        <f t="shared" si="68"/>
        <v>0</v>
      </c>
      <c r="GA79" s="80"/>
      <c r="GB79" s="82"/>
    </row>
    <row r="80" spans="1:184" ht="15" thickBot="1" x14ac:dyDescent="0.4">
      <c r="A80" s="74" t="str">
        <f>Gastos!AA78</f>
        <v>X</v>
      </c>
      <c r="B80" s="75">
        <f t="array" ref="B80">SUM((YEAR(Gastos!$A$2:$A$2500)=B$1)*(MONTH(Gastos!$A$2:$A$2500)=B$3)*(Gastos!$B$2:$B$2500=$A80)*(Gastos!$D$2:$D$2500))</f>
        <v>0</v>
      </c>
      <c r="C80" s="75">
        <f t="array" ref="C80">SUM((YEAR(Gastos!$A$2:$A$2500)=C$1)*(MONTH(Gastos!$A$2:$A$2500)=C$3)*(Gastos!$B$2:$B$2500=$A80)*(Gastos!$D$2:$D$2500))</f>
        <v>0</v>
      </c>
      <c r="D80" s="75">
        <f t="array" ref="D80">SUM((YEAR(Gastos!$A$2:$A$2500)=D$1)*(MONTH(Gastos!$A$2:$A$2500)=D$3)*(Gastos!$B$2:$B$2500=$A80)*(Gastos!$D$2:$D$2500))</f>
        <v>0</v>
      </c>
      <c r="E80" s="75">
        <f t="array" ref="E80">SUM((YEAR(Gastos!$A$2:$A$2500)=E$1)*(MONTH(Gastos!$A$2:$A$2500)=E$3)*(Gastos!$B$2:$B$2500=$A80)*(Gastos!$D$2:$D$2500))</f>
        <v>0</v>
      </c>
      <c r="F80" s="75">
        <f t="array" ref="F80">SUM((YEAR(Gastos!$A$2:$A$2500)=F$1)*(MONTH(Gastos!$A$2:$A$2500)=F$3)*(Gastos!$B$2:$B$2500=$A80)*(Gastos!$D$2:$D$2500))</f>
        <v>0</v>
      </c>
      <c r="G80" s="75">
        <f t="array" ref="G80">SUM((YEAR(Gastos!$A$2:$A$2500)=G$1)*(MONTH(Gastos!$A$2:$A$2500)=G$3)*(Gastos!$B$2:$B$2500=$A80)*(Gastos!$D$2:$D$2500))</f>
        <v>0</v>
      </c>
      <c r="H80" s="75">
        <f t="array" ref="H80">SUM((YEAR(Gastos!$A$2:$A$2500)=H$1)*(MONTH(Gastos!$A$2:$A$2500)=H$3)*(Gastos!$B$2:$B$2500=$A80)*(Gastos!$D$2:$D$2500))</f>
        <v>0</v>
      </c>
      <c r="I80" s="75">
        <f t="array" ref="I80">SUM((YEAR(Gastos!$A$2:$A$2500)=I$1)*(MONTH(Gastos!$A$2:$A$2500)=I$3)*(Gastos!$B$2:$B$2500=$A80)*(Gastos!$D$2:$D$2500))</f>
        <v>0</v>
      </c>
      <c r="J80" s="75">
        <f t="array" ref="J80">SUM((YEAR(Gastos!$A$2:$A$2500)=J$1)*(MONTH(Gastos!$A$2:$A$2500)=J$3)*(Gastos!$B$2:$B$2500=$A80)*(Gastos!$D$2:$D$2500))</f>
        <v>0</v>
      </c>
      <c r="K80" s="75">
        <f t="array" ref="K80">SUM((YEAR(Gastos!$A$2:$A$2500)=K$1)*(MONTH(Gastos!$A$2:$A$2500)=K$3)*(Gastos!$B$2:$B$2500=$A80)*(Gastos!$D$2:$D$2500))</f>
        <v>0</v>
      </c>
      <c r="L80" s="75">
        <f t="array" ref="L80">SUM((YEAR(Gastos!$A$2:$A$2500)=L$1)*(MONTH(Gastos!$A$2:$A$2500)=L$3)*(Gastos!$B$2:$B$2500=$A80)*(Gastos!$D$2:$D$2500))</f>
        <v>0</v>
      </c>
      <c r="M80" s="75">
        <f t="array" ref="M80">SUM((YEAR(Gastos!$A$2:$A$2500)=M$1)*(MONTH(Gastos!$A$2:$A$2500)=M$3)*(Gastos!$B$2:$B$2500=$A80)*(Gastos!$D$2:$D$2500))</f>
        <v>0</v>
      </c>
      <c r="N80" s="75">
        <f t="array" ref="N80">SUM((YEAR(Gastos!$A$2:$A$2500)=N$1)*(MONTH(Gastos!$A$2:$A$2500)=N$3)*(Gastos!$B$2:$B$2500=$A80)*(Gastos!$D$2:$D$2500))</f>
        <v>0</v>
      </c>
      <c r="O80" s="75">
        <f t="array" ref="O80">SUM((YEAR(Gastos!$A$2:$A$2500)=O$1)*(MONTH(Gastos!$A$2:$A$2500)=O$3)*(Gastos!$B$2:$B$2500=$A80)*(Gastos!$D$2:$D$2500))</f>
        <v>0</v>
      </c>
      <c r="P80" s="75">
        <f t="array" ref="P80">SUM((YEAR(Gastos!$A$2:$A$2500)=P$1)*(MONTH(Gastos!$A$2:$A$2500)=P$3)*(Gastos!$B$2:$B$2500=$A80)*(Gastos!$D$2:$D$2500))</f>
        <v>0</v>
      </c>
      <c r="Q80" s="75">
        <f t="array" ref="Q80">SUM((YEAR(Gastos!$A$2:$A$2500)=Q$1)*(MONTH(Gastos!$A$2:$A$2500)=Q$3)*(Gastos!$B$2:$B$2500=$A80)*(Gastos!$D$2:$D$2500))</f>
        <v>0</v>
      </c>
      <c r="R80" s="75">
        <f t="array" ref="R80">SUM((YEAR(Gastos!$A$2:$A$2500)=R$1)*(MONTH(Gastos!$A$2:$A$2500)=R$3)*(Gastos!$B$2:$B$2500=$A80)*(Gastos!$D$2:$D$2500))</f>
        <v>0</v>
      </c>
      <c r="S80" s="75">
        <f t="array" ref="S80">SUM((YEAR(Gastos!$A$2:$A$2500)=S$1)*(MONTH(Gastos!$A$2:$A$2500)=S$3)*(Gastos!$B$2:$B$2500=$A80)*(Gastos!$D$2:$D$2500))</f>
        <v>0</v>
      </c>
      <c r="T80" s="75">
        <f t="array" ref="T80">SUM((YEAR(Gastos!$A$2:$A$2500)=T$1)*(MONTH(Gastos!$A$2:$A$2500)=T$3)*(Gastos!$B$2:$B$2500=$A80)*(Gastos!$D$2:$D$2500))</f>
        <v>0</v>
      </c>
      <c r="U80" s="75">
        <f t="array" ref="U80">SUM((YEAR(Gastos!$A$2:$A$2500)=U$1)*(MONTH(Gastos!$A$2:$A$2500)=U$3)*(Gastos!$B$2:$B$2500=$A80)*(Gastos!$D$2:$D$2500))</f>
        <v>0</v>
      </c>
      <c r="V80" s="75">
        <f t="array" ref="V80">SUM((YEAR(Gastos!$A$2:$A$2500)=V$1)*(MONTH(Gastos!$A$2:$A$2500)=V$3)*(Gastos!$B$2:$B$2500=$A80)*(Gastos!$D$2:$D$2500))</f>
        <v>0</v>
      </c>
      <c r="W80" s="75">
        <f t="array" ref="W80">SUM((YEAR(Gastos!$A$2:$A$2500)=W$1)*(MONTH(Gastos!$A$2:$A$2500)=W$3)*(Gastos!$B$2:$B$2500=$A80)*(Gastos!$D$2:$D$2500))</f>
        <v>0</v>
      </c>
      <c r="X80" s="75">
        <f t="array" ref="X80">SUM((YEAR(Gastos!$A$2:$A$2500)=X$1)*(MONTH(Gastos!$A$2:$A$2500)=X$3)*(Gastos!$B$2:$B$2500=$A80)*(Gastos!$D$2:$D$2500))</f>
        <v>0</v>
      </c>
      <c r="Y80" s="75">
        <f t="array" ref="Y80">SUM((YEAR(Gastos!$A$2:$A$2500)=Y$1)*(MONTH(Gastos!$A$2:$A$2500)=Y$3)*(Gastos!$B$2:$B$2500=$A80)*(Gastos!$D$2:$D$2500))</f>
        <v>0</v>
      </c>
      <c r="Z80" s="75">
        <f t="array" ref="Z80">SUM((YEAR(Gastos!$A$2:$A$2500)=Z$1)*(MONTH(Gastos!$A$2:$A$2500)=Z$3)*(Gastos!$B$2:$B$2500=$A80)*(Gastos!$D$2:$D$2500))</f>
        <v>0</v>
      </c>
      <c r="AA80" s="75">
        <f t="array" ref="AA80">SUM((YEAR(Gastos!$A$2:$A$2500)=AA$1)*(MONTH(Gastos!$A$2:$A$2500)=AA$3)*(Gastos!$B$2:$B$2500=$A80)*(Gastos!$D$2:$D$2500))</f>
        <v>0</v>
      </c>
      <c r="AB80" s="75">
        <f t="array" ref="AB80">SUM((YEAR(Gastos!$A$2:$A$2500)=AB$1)*(MONTH(Gastos!$A$2:$A$2500)=AB$3)*(Gastos!$B$2:$B$2500=$A80)*(Gastos!$D$2:$D$2500))</f>
        <v>0</v>
      </c>
      <c r="AC80" s="75">
        <f t="array" ref="AC80">SUM((YEAR(Gastos!$A$2:$A$2500)=AC$1)*(MONTH(Gastos!$A$2:$A$2500)=AC$3)*(Gastos!$B$2:$B$2500=$A80)*(Gastos!$D$2:$D$2500))</f>
        <v>0</v>
      </c>
      <c r="AD80" s="75">
        <f t="array" ref="AD80">SUM((YEAR(Gastos!$A$2:$A$2500)=AD$1)*(MONTH(Gastos!$A$2:$A$2500)=AD$3)*(Gastos!$B$2:$B$2500=$A80)*(Gastos!$D$2:$D$2500))</f>
        <v>0</v>
      </c>
      <c r="AE80" s="75">
        <f t="array" ref="AE80">SUM((YEAR(Gastos!$A$2:$A$2500)=AE$1)*(MONTH(Gastos!$A$2:$A$2500)=AE$3)*(Gastos!$B$2:$B$2500=$A80)*(Gastos!$D$2:$D$2500))</f>
        <v>0</v>
      </c>
      <c r="AF80" s="75">
        <f t="array" ref="AF80">SUM((YEAR(Gastos!$A$2:$A$2500)=AF$1)*(MONTH(Gastos!$A$2:$A$2500)=AF$3)*(Gastos!$B$2:$B$2500=$A80)*(Gastos!$D$2:$D$2500))</f>
        <v>0</v>
      </c>
      <c r="AG80" s="75">
        <f t="array" ref="AG80">SUM((YEAR(Gastos!$A$2:$A$2500)=AG$1)*(MONTH(Gastos!$A$2:$A$2500)=AG$3)*(Gastos!$B$2:$B$2500=$A80)*(Gastos!$D$2:$D$2500))</f>
        <v>0</v>
      </c>
      <c r="AH80" s="75">
        <f t="array" ref="AH80">SUM((YEAR(Gastos!$A$2:$A$2500)=AH$1)*(MONTH(Gastos!$A$2:$A$2500)=AH$3)*(Gastos!$B$2:$B$2500=$A80)*(Gastos!$D$2:$D$2500))</f>
        <v>0</v>
      </c>
      <c r="AI80" s="75">
        <f t="array" ref="AI80">SUM((YEAR(Gastos!$A$2:$A$2500)=AI$1)*(MONTH(Gastos!$A$2:$A$2500)=AI$3)*(Gastos!$B$2:$B$2500=$A80)*(Gastos!$D$2:$D$2500))</f>
        <v>0</v>
      </c>
      <c r="AJ80" s="75">
        <f t="array" ref="AJ80">SUM((YEAR(Gastos!$A$2:$A$2500)=AJ$1)*(MONTH(Gastos!$A$2:$A$2500)=AJ$3)*(Gastos!$B$2:$B$2500=$A80)*(Gastos!$D$2:$D$2500))</f>
        <v>0</v>
      </c>
      <c r="AK80" s="75">
        <f t="array" ref="AK80">SUM((YEAR(Gastos!$A$2:$A$2500)=AK$1)*(MONTH(Gastos!$A$2:$A$2500)=AK$3)*(Gastos!$B$2:$B$2500=$A80)*(Gastos!$D$2:$D$2500))</f>
        <v>0</v>
      </c>
      <c r="AL80" s="75">
        <f t="array" ref="AL80">SUM((YEAR(Gastos!$A$2:$A$2500)=AL$1)*(MONTH(Gastos!$A$2:$A$2500)=AL$3)*(Gastos!$B$2:$B$2500=$A80)*(Gastos!$D$2:$D$2500))</f>
        <v>0</v>
      </c>
      <c r="AM80" s="75">
        <f t="array" ref="AM80">SUM((YEAR(Gastos!$A$2:$A$2500)=AM$1)*(MONTH(Gastos!$A$2:$A$2500)=AM$3)*(Gastos!$B$2:$B$2500=$A80)*(Gastos!$D$2:$D$2500))</f>
        <v>0</v>
      </c>
      <c r="AN80" s="75">
        <f t="array" ref="AN80">SUM((YEAR(Gastos!$A$2:$A$2500)=AN$1)*(MONTH(Gastos!$A$2:$A$2500)=AN$3)*(Gastos!$B$2:$B$2500=$A80)*(Gastos!$D$2:$D$2500))</f>
        <v>0</v>
      </c>
      <c r="AO80" s="75">
        <f t="array" ref="AO80">SUM((YEAR(Gastos!$A$2:$A$2500)=AO$1)*(MONTH(Gastos!$A$2:$A$2500)=AO$3)*(Gastos!$B$2:$B$2500=$A80)*(Gastos!$D$2:$D$2500))</f>
        <v>0</v>
      </c>
      <c r="AP80" s="75">
        <f t="array" ref="AP80">SUM((YEAR(Gastos!$A$2:$A$2500)=AP$1)*(MONTH(Gastos!$A$2:$A$2500)=AP$3)*(Gastos!$B$2:$B$2500=$A80)*(Gastos!$D$2:$D$2500))</f>
        <v>0</v>
      </c>
      <c r="AQ80" s="75">
        <f t="array" ref="AQ80">SUM((YEAR(Gastos!$A$2:$A$2500)=AQ$1)*(MONTH(Gastos!$A$2:$A$2500)=AQ$3)*(Gastos!$B$2:$B$2500=$A80)*(Gastos!$D$2:$D$2500))</f>
        <v>0</v>
      </c>
      <c r="AR80" s="75">
        <f t="array" ref="AR80">SUM((YEAR(Gastos!$A$2:$A$2500)=AR$1)*(MONTH(Gastos!$A$2:$A$2500)=AR$3)*(Gastos!$B$2:$B$2500=$A80)*(Gastos!$D$2:$D$2500))</f>
        <v>0</v>
      </c>
      <c r="AS80" s="75">
        <f t="array" ref="AS80">SUM((YEAR(Gastos!$A$2:$A$2500)=AS$1)*(MONTH(Gastos!$A$2:$A$2500)=AS$3)*(Gastos!$B$2:$B$2500=$A80)*(Gastos!$D$2:$D$2500))</f>
        <v>0</v>
      </c>
      <c r="AT80" s="75">
        <f t="array" ref="AT80">SUM((YEAR(Gastos!$A$2:$A$2500)=AT$1)*(MONTH(Gastos!$A$2:$A$2500)=AT$3)*(Gastos!$B$2:$B$2500=$A80)*(Gastos!$D$2:$D$2500))</f>
        <v>0</v>
      </c>
      <c r="AU80" s="75">
        <f t="array" ref="AU80">SUM((YEAR(Gastos!$A$2:$A$2500)=AU$1)*(MONTH(Gastos!$A$2:$A$2500)=AU$3)*(Gastos!$B$2:$B$2500=$A80)*(Gastos!$D$2:$D$2500))</f>
        <v>0</v>
      </c>
      <c r="AV80" s="75">
        <f t="array" ref="AV80">SUM((YEAR(Gastos!$A$2:$A$2500)=AV$1)*(MONTH(Gastos!$A$2:$A$2500)=AV$3)*(Gastos!$B$2:$B$2500=$A80)*(Gastos!$D$2:$D$2500))</f>
        <v>0</v>
      </c>
      <c r="AW80" s="75">
        <f t="array" ref="AW80">SUM((YEAR(Gastos!$A$2:$A$2500)=AW$1)*(MONTH(Gastos!$A$2:$A$2500)=AW$3)*(Gastos!$B$2:$B$2500=$A80)*(Gastos!$D$2:$D$2500))</f>
        <v>0</v>
      </c>
      <c r="AX80" s="75">
        <f t="array" ref="AX80">SUM((YEAR(Gastos!$A$2:$A$2500)=AX$1)*(MONTH(Gastos!$A$2:$A$2500)=AX$3)*(Gastos!$B$2:$B$2500=$A80)*(Gastos!$D$2:$D$2500))</f>
        <v>0</v>
      </c>
      <c r="AY80" s="75">
        <f t="array" ref="AY80">SUM((YEAR(Gastos!$A$2:$A$2500)=AY$1)*(MONTH(Gastos!$A$2:$A$2500)=AY$3)*(Gastos!$B$2:$B$2500=$A80)*(Gastos!$D$2:$D$2500))</f>
        <v>0</v>
      </c>
      <c r="AZ80" s="75">
        <f t="array" ref="AZ80">SUM((YEAR(Gastos!$A$2:$A$2500)=AZ$1)*(MONTH(Gastos!$A$2:$A$2500)=AZ$3)*(Gastos!$B$2:$B$2500=$A80)*(Gastos!$D$2:$D$2500))</f>
        <v>0</v>
      </c>
      <c r="BA80" s="75">
        <f t="array" ref="BA80">SUM((YEAR(Gastos!$A$2:$A$2500)=BA$1)*(MONTH(Gastos!$A$2:$A$2500)=BA$3)*(Gastos!$B$2:$B$2500=$A80)*(Gastos!$D$2:$D$2500))</f>
        <v>0</v>
      </c>
      <c r="BB80" s="75">
        <f t="array" ref="BB80">SUM((YEAR(Gastos!$A$2:$A$2500)=BB$1)*(MONTH(Gastos!$A$2:$A$2500)=BB$3)*(Gastos!$B$2:$B$2500=$A80)*(Gastos!$D$2:$D$2500))</f>
        <v>0</v>
      </c>
      <c r="BC80" s="75">
        <f t="array" ref="BC80">SUM((YEAR(Gastos!$A$2:$A$2500)=BC$1)*(MONTH(Gastos!$A$2:$A$2500)=BC$3)*(Gastos!$B$2:$B$2500=$A80)*(Gastos!$D$2:$D$2500))</f>
        <v>0</v>
      </c>
      <c r="BD80" s="75">
        <f t="array" ref="BD80">SUM((YEAR(Gastos!$A$2:$A$2500)=BD$1)*(MONTH(Gastos!$A$2:$A$2500)=BD$3)*(Gastos!$B$2:$B$2500=$A80)*(Gastos!$D$2:$D$2500))</f>
        <v>0</v>
      </c>
      <c r="BE80" s="75">
        <f t="array" ref="BE80">SUM((YEAR(Gastos!$A$2:$A$2500)=BE$1)*(MONTH(Gastos!$A$2:$A$2500)=BE$3)*(Gastos!$B$2:$B$2500=$A80)*(Gastos!$D$2:$D$2500))</f>
        <v>0</v>
      </c>
      <c r="BF80" s="75">
        <f t="array" ref="BF80">SUM((YEAR(Gastos!$A$2:$A$2500)=BF$1)*(MONTH(Gastos!$A$2:$A$2500)=BF$3)*(Gastos!$B$2:$B$2500=$A80)*(Gastos!$D$2:$D$2500))</f>
        <v>0</v>
      </c>
      <c r="BG80" s="75">
        <f t="array" ref="BG80">SUM((YEAR(Gastos!$A$2:$A$2500)=BG$1)*(MONTH(Gastos!$A$2:$A$2500)=BG$3)*(Gastos!$B$2:$B$2500=$A80)*(Gastos!$D$2:$D$2500))</f>
        <v>0</v>
      </c>
      <c r="BH80" s="75">
        <f t="array" ref="BH80">SUM((YEAR(Gastos!$A$2:$A$2500)=BH$1)*(MONTH(Gastos!$A$2:$A$2500)=BH$3)*(Gastos!$B$2:$B$2500=$A80)*(Gastos!$D$2:$D$2500))</f>
        <v>0</v>
      </c>
      <c r="BI80" s="75">
        <f t="array" ref="BI80">SUM((YEAR(Gastos!$A$2:$A$2500)=BI$1)*(MONTH(Gastos!$A$2:$A$2500)=BI$3)*(Gastos!$B$2:$B$2500=$A80)*(Gastos!$D$2:$D$2500))</f>
        <v>0</v>
      </c>
      <c r="BJ80" s="75">
        <f t="array" ref="BJ80">SUM((YEAR(Gastos!$A$2:$A$2500)=BJ$1)*(MONTH(Gastos!$A$2:$A$2500)=BJ$3)*(Gastos!$B$2:$B$2500=$A80)*(Gastos!$D$2:$D$2500))</f>
        <v>0</v>
      </c>
      <c r="BK80" s="75">
        <f t="array" ref="BK80">SUM((YEAR(Gastos!$A$2:$A$2500)=BK$1)*(MONTH(Gastos!$A$2:$A$2500)=BK$3)*(Gastos!$B$2:$B$2500=$A80)*(Gastos!$D$2:$D$2500))</f>
        <v>0</v>
      </c>
      <c r="BL80" s="75">
        <f t="array" ref="BL80">SUM((YEAR(Gastos!$A$2:$A$2500)=BL$1)*(MONTH(Gastos!$A$2:$A$2500)=BL$3)*(Gastos!$B$2:$B$2500=$A80)*(Gastos!$D$2:$D$2500))</f>
        <v>0</v>
      </c>
      <c r="BM80" s="75">
        <f t="array" ref="BM80">SUM((YEAR(Gastos!$A$2:$A$2500)=BM$1)*(MONTH(Gastos!$A$2:$A$2500)=BM$3)*(Gastos!$B$2:$B$2500=$A80)*(Gastos!$D$2:$D$2500))</f>
        <v>0</v>
      </c>
      <c r="BN80" s="75">
        <f t="array" ref="BN80">SUM((YEAR(Gastos!$A$2:$A$2500)=BN$1)*(MONTH(Gastos!$A$2:$A$2500)=BN$3)*(Gastos!$B$2:$B$2500=$A80)*(Gastos!$D$2:$D$2500))</f>
        <v>0</v>
      </c>
      <c r="BO80" s="75">
        <f t="array" ref="BO80">SUM((YEAR(Gastos!$A$2:$A$2500)=BO$1)*(MONTH(Gastos!$A$2:$A$2500)=BO$3)*(Gastos!$B$2:$B$2500=$A80)*(Gastos!$D$2:$D$2500))</f>
        <v>0</v>
      </c>
      <c r="BP80" s="75">
        <f t="array" ref="BP80">SUM((YEAR(Gastos!$A$2:$A$2500)=BP$1)*(MONTH(Gastos!$A$2:$A$2500)=BP$3)*(Gastos!$B$2:$B$2500=$A80)*(Gastos!$D$2:$D$2500))</f>
        <v>0</v>
      </c>
      <c r="BQ80" s="75">
        <f t="array" ref="BQ80">SUM((YEAR(Gastos!$A$2:$A$2500)=BQ$1)*(MONTH(Gastos!$A$2:$A$2500)=BQ$3)*(Gastos!$B$2:$B$2500=$A80)*(Gastos!$D$2:$D$2500))</f>
        <v>0</v>
      </c>
      <c r="BR80" s="75">
        <f t="array" ref="BR80">SUM((YEAR(Gastos!$A$2:$A$2500)=BR$1)*(MONTH(Gastos!$A$2:$A$2500)=BR$3)*(Gastos!$B$2:$B$2500=$A80)*(Gastos!$D$2:$D$2500))</f>
        <v>0</v>
      </c>
      <c r="BS80" s="75">
        <f t="array" ref="BS80">SUM((YEAR(Gastos!$A$2:$A$2500)=BS$1)*(MONTH(Gastos!$A$2:$A$2500)=BS$3)*(Gastos!$B$2:$B$2500=$A80)*(Gastos!$D$2:$D$2500))</f>
        <v>0</v>
      </c>
      <c r="BT80" s="75">
        <f t="array" ref="BT80">SUM((YEAR(Gastos!$A$2:$A$2500)=BT$1)*(MONTH(Gastos!$A$2:$A$2500)=BT$3)*(Gastos!$B$2:$B$2500=$A80)*(Gastos!$D$2:$D$2500))</f>
        <v>0</v>
      </c>
      <c r="BU80" s="75">
        <f t="array" ref="BU80">SUM((YEAR(Gastos!$A$2:$A$2500)=BU$1)*(MONTH(Gastos!$A$2:$A$2500)=BU$3)*(Gastos!$B$2:$B$2500=$A80)*(Gastos!$D$2:$D$2500))</f>
        <v>0</v>
      </c>
      <c r="BV80" s="75">
        <f t="array" ref="BV80">SUM((YEAR(Gastos!$A$2:$A$2500)=BV$1)*(MONTH(Gastos!$A$2:$A$2500)=BV$3)*(Gastos!$B$2:$B$2500=$A80)*(Gastos!$D$2:$D$2500))</f>
        <v>0</v>
      </c>
      <c r="BW80" s="75">
        <f t="array" ref="BW80">SUM((YEAR(Gastos!$A$2:$A$2500)=BW$1)*(MONTH(Gastos!$A$2:$A$2500)=BW$3)*(Gastos!$B$2:$B$2500=$A80)*(Gastos!$D$2:$D$2500))</f>
        <v>0</v>
      </c>
      <c r="BX80" s="75">
        <f t="array" ref="BX80">SUM((YEAR(Gastos!$A$2:$A$2500)=BX$1)*(MONTH(Gastos!$A$2:$A$2500)=BX$3)*(Gastos!$B$2:$B$2500=$A80)*(Gastos!$D$2:$D$2500))</f>
        <v>0</v>
      </c>
      <c r="BY80" s="75">
        <f t="array" ref="BY80">SUM((YEAR(Gastos!$A$2:$A$2500)=BY$1)*(MONTH(Gastos!$A$2:$A$2500)=BY$3)*(Gastos!$B$2:$B$2500=$A80)*(Gastos!$D$2:$D$2500))</f>
        <v>0</v>
      </c>
      <c r="BZ80" s="75">
        <f t="array" ref="BZ80">SUM((YEAR(Gastos!$A$2:$A$2500)=BZ$1)*(MONTH(Gastos!$A$2:$A$2500)=BZ$3)*(Gastos!$B$2:$B$2500=$A80)*(Gastos!$D$2:$D$2500))</f>
        <v>0</v>
      </c>
      <c r="CA80" s="75">
        <f t="array" ref="CA80">SUM((YEAR(Gastos!$A$2:$A$2500)=CA$1)*(MONTH(Gastos!$A$2:$A$2500)=CA$3)*(Gastos!$B$2:$B$2500=$A80)*(Gastos!$D$2:$D$2500))</f>
        <v>0</v>
      </c>
      <c r="CB80" s="75">
        <f t="array" ref="CB80">SUM((YEAR(Gastos!$A$2:$A$2500)=CB$1)*(MONTH(Gastos!$A$2:$A$2500)=CB$3)*(Gastos!$B$2:$B$2500=$A80)*(Gastos!$D$2:$D$2500))</f>
        <v>0</v>
      </c>
      <c r="CC80" s="75">
        <f t="array" ref="CC80">SUM((YEAR(Gastos!$A$2:$A$2500)=CC$1)*(MONTH(Gastos!$A$2:$A$2500)=CC$3)*(Gastos!$B$2:$B$2500=$A80)*(Gastos!$D$2:$D$2500))</f>
        <v>0</v>
      </c>
      <c r="CD80" s="75">
        <f t="array" ref="CD80">SUM((YEAR(Gastos!$A$2:$A$2500)=CD$1)*(MONTH(Gastos!$A$2:$A$2500)=CD$3)*(Gastos!$B$2:$B$2500=$A80)*(Gastos!$D$2:$D$2500))</f>
        <v>0</v>
      </c>
      <c r="CE80" s="75">
        <f t="array" ref="CE80">SUM((YEAR(Gastos!$A$2:$A$2500)=CE$1)*(MONTH(Gastos!$A$2:$A$2500)=CE$3)*(Gastos!$B$2:$B$2500=$A80)*(Gastos!$D$2:$D$2500))</f>
        <v>0</v>
      </c>
      <c r="CF80" s="75">
        <f t="array" ref="CF80">SUM((YEAR(Gastos!$A$2:$A$2500)=CF$1)*(MONTH(Gastos!$A$2:$A$2500)=CF$3)*(Gastos!$B$2:$B$2500=$A80)*(Gastos!$D$2:$D$2500))</f>
        <v>0</v>
      </c>
      <c r="CG80" s="75">
        <f t="array" ref="CG80">SUM((YEAR(Gastos!$A$2:$A$2500)=CG$1)*(MONTH(Gastos!$A$2:$A$2500)=CG$3)*(Gastos!$B$2:$B$2500=$A80)*(Gastos!$D$2:$D$2500))</f>
        <v>0</v>
      </c>
      <c r="CH80" s="75">
        <f t="array" ref="CH80">SUM((YEAR(Gastos!$A$2:$A$2500)=CH$1)*(MONTH(Gastos!$A$2:$A$2500)=CH$3)*(Gastos!$B$2:$B$2500=$A80)*(Gastos!$D$2:$D$2500))</f>
        <v>0</v>
      </c>
      <c r="CI80" s="75">
        <f t="array" ref="CI80">SUM((YEAR(Gastos!$A$2:$A$2500)=CI$1)*(MONTH(Gastos!$A$2:$A$2500)=CI$3)*(Gastos!$B$2:$B$2500=$A80)*(Gastos!$D$2:$D$2500))</f>
        <v>0</v>
      </c>
      <c r="CJ80" s="75">
        <f t="array" ref="CJ80">SUM((YEAR(Gastos!$A$2:$A$2500)=CJ$1)*(MONTH(Gastos!$A$2:$A$2500)=CJ$3)*(Gastos!$B$2:$B$2500=$A80)*(Gastos!$D$2:$D$2500))</f>
        <v>0</v>
      </c>
      <c r="CK80" s="75">
        <f t="array" ref="CK80">SUM((YEAR(Gastos!$A$2:$A$2500)=CK$1)*(MONTH(Gastos!$A$2:$A$2500)=CK$3)*(Gastos!$B$2:$B$2500=$A80)*(Gastos!$D$2:$D$2500))</f>
        <v>0</v>
      </c>
      <c r="CL80" s="75">
        <f t="array" ref="CL80">SUM((YEAR(Gastos!$A$2:$A$2500)=CL$1)*(MONTH(Gastos!$A$2:$A$2500)=CL$3)*(Gastos!$B$2:$B$2500=$A80)*(Gastos!$D$2:$D$2500))</f>
        <v>0</v>
      </c>
      <c r="CM80" s="75">
        <f t="array" ref="CM80">SUM((YEAR(Gastos!$A$2:$A$2500)=CM$1)*(MONTH(Gastos!$A$2:$A$2500)=CM$3)*(Gastos!$B$2:$B$2500=$A80)*(Gastos!$D$2:$D$2500))</f>
        <v>0</v>
      </c>
      <c r="CN80" s="75">
        <f t="array" ref="CN80">SUM((YEAR(Gastos!$A$2:$A$2500)=CN$1)*(MONTH(Gastos!$A$2:$A$2500)=CN$3)*(Gastos!$B$2:$B$2500=$A80)*(Gastos!$D$2:$D$2500))</f>
        <v>0</v>
      </c>
      <c r="CO80" s="75">
        <f t="array" ref="CO80">SUM((YEAR(Gastos!$A$2:$A$2500)=CO$1)*(MONTH(Gastos!$A$2:$A$2500)=CO$3)*(Gastos!$B$2:$B$2500=$A80)*(Gastos!$D$2:$D$2500))</f>
        <v>0</v>
      </c>
      <c r="CP80" s="75">
        <f t="array" ref="CP80">SUM((YEAR(Gastos!$A$2:$A$2500)=CP$1)*(MONTH(Gastos!$A$2:$A$2500)=CP$3)*(Gastos!$B$2:$B$2500=$A80)*(Gastos!$D$2:$D$2500))</f>
        <v>0</v>
      </c>
      <c r="CQ80" s="75">
        <f t="array" ref="CQ80">SUM((YEAR(Gastos!$A$2:$A$2500)=CQ$1)*(MONTH(Gastos!$A$2:$A$2500)=CQ$3)*(Gastos!$B$2:$B$2500=$A80)*(Gastos!$D$2:$D$2500))</f>
        <v>0</v>
      </c>
      <c r="CR80" s="75">
        <f t="array" ref="CR80">SUM((YEAR(Gastos!$A$2:$A$2500)=CR$1)*(MONTH(Gastos!$A$2:$A$2500)=CR$3)*(Gastos!$B$2:$B$2500=$A80)*(Gastos!$D$2:$D$2500))</f>
        <v>0</v>
      </c>
      <c r="CS80" s="75">
        <f t="array" ref="CS80">SUM((YEAR(Gastos!$A$2:$A$2500)=CS$1)*(MONTH(Gastos!$A$2:$A$2500)=CS$3)*(Gastos!$B$2:$B$2500=$A80)*(Gastos!$D$2:$D$2500))</f>
        <v>0</v>
      </c>
      <c r="CT80" s="75">
        <f t="array" ref="CT80">SUM((YEAR(Gastos!$A$2:$A$2500)=CT$1)*(MONTH(Gastos!$A$2:$A$2500)=CT$3)*(Gastos!$B$2:$B$2500=$A80)*(Gastos!$D$2:$D$2500))</f>
        <v>0</v>
      </c>
      <c r="CU80" s="75">
        <f t="array" ref="CU80">SUM((YEAR(Gastos!$A$2:$A$2500)=CU$1)*(MONTH(Gastos!$A$2:$A$2500)=CU$3)*(Gastos!$B$2:$B$2500=$A80)*(Gastos!$D$2:$D$2500))</f>
        <v>0</v>
      </c>
      <c r="CV80" s="75">
        <f t="array" ref="CV80">SUM((YEAR(Gastos!$A$2:$A$2500)=CV$1)*(MONTH(Gastos!$A$2:$A$2500)=CV$3)*(Gastos!$B$2:$B$2500=$A80)*(Gastos!$D$2:$D$2500))</f>
        <v>0</v>
      </c>
      <c r="CW80" s="75">
        <f t="array" ref="CW80">SUM((YEAR(Gastos!$A$2:$A$2500)=CW$1)*(MONTH(Gastos!$A$2:$A$2500)=CW$3)*(Gastos!$B$2:$B$2500=$A80)*(Gastos!$D$2:$D$2500))</f>
        <v>0</v>
      </c>
      <c r="CX80" s="75">
        <f t="array" ref="CX80">SUM((YEAR(Gastos!$A$2:$A$2500)=CX$1)*(MONTH(Gastos!$A$2:$A$2500)=CX$3)*(Gastos!$B$2:$B$2500=$A80)*(Gastos!$D$2:$D$2500))</f>
        <v>0</v>
      </c>
      <c r="CY80" s="75">
        <f t="array" ref="CY80">SUM((YEAR(Gastos!$A$2:$A$2500)=CY$1)*(MONTH(Gastos!$A$2:$A$2500)=CY$3)*(Gastos!$B$2:$B$2500=$A80)*(Gastos!$D$2:$D$2500))</f>
        <v>0</v>
      </c>
      <c r="CZ80" s="75">
        <f t="array" ref="CZ80">SUM((YEAR(Gastos!$A$2:$A$2500)=CZ$1)*(MONTH(Gastos!$A$2:$A$2500)=CZ$3)*(Gastos!$B$2:$B$2500=$A80)*(Gastos!$D$2:$D$2500))</f>
        <v>0</v>
      </c>
      <c r="DA80" s="75">
        <f t="array" ref="DA80">SUM((YEAR(Gastos!$A$2:$A$2500)=DA$1)*(MONTH(Gastos!$A$2:$A$2500)=DA$3)*(Gastos!$B$2:$B$2500=$A80)*(Gastos!$D$2:$D$2500))</f>
        <v>0</v>
      </c>
      <c r="DB80" s="75">
        <f t="array" ref="DB80">SUM((YEAR(Gastos!$A$2:$A$2500)=DB$1)*(MONTH(Gastos!$A$2:$A$2500)=DB$3)*(Gastos!$B$2:$B$2500=$A80)*(Gastos!$D$2:$D$2500))</f>
        <v>0</v>
      </c>
      <c r="DC80" s="75">
        <f t="array" ref="DC80">SUM((YEAR(Gastos!$A$2:$A$2500)=DC$1)*(MONTH(Gastos!$A$2:$A$2500)=DC$3)*(Gastos!$B$2:$B$2500=$A80)*(Gastos!$D$2:$D$2500))</f>
        <v>0</v>
      </c>
      <c r="DD80" s="75">
        <f t="array" ref="DD80">SUM((YEAR(Gastos!$A$2:$A$2500)=DD$1)*(MONTH(Gastos!$A$2:$A$2500)=DD$3)*(Gastos!$B$2:$B$2500=$A80)*(Gastos!$D$2:$D$2500))</f>
        <v>0</v>
      </c>
      <c r="DE80" s="75">
        <f t="array" ref="DE80">SUM((YEAR(Gastos!$A$2:$A$2500)=DE$1)*(MONTH(Gastos!$A$2:$A$2500)=DE$3)*(Gastos!$B$2:$B$2500=$A80)*(Gastos!$D$2:$D$2500))</f>
        <v>0</v>
      </c>
      <c r="DF80" s="75">
        <f t="array" ref="DF80">SUM((YEAR(Gastos!$A$2:$A$2500)=DF$1)*(MONTH(Gastos!$A$2:$A$2500)=DF$3)*(Gastos!$B$2:$B$2500=$A80)*(Gastos!$D$2:$D$2500))</f>
        <v>0</v>
      </c>
      <c r="DG80" s="75">
        <f t="array" ref="DG80">SUM((YEAR(Gastos!$A$2:$A$2500)=DG$1)*(MONTH(Gastos!$A$2:$A$2500)=DG$3)*(Gastos!$B$2:$B$2500=$A80)*(Gastos!$D$2:$D$2500))</f>
        <v>0</v>
      </c>
      <c r="DH80" s="75">
        <f t="array" ref="DH80">SUM((YEAR(Gastos!$A$2:$A$2500)=DH$1)*(MONTH(Gastos!$A$2:$A$2500)=DH$3)*(Gastos!$B$2:$B$2500=$A80)*(Gastos!$D$2:$D$2500))</f>
        <v>0</v>
      </c>
      <c r="DI80" s="75">
        <f t="array" ref="DI80">SUM((YEAR(Gastos!$A$2:$A$2500)=DI$1)*(MONTH(Gastos!$A$2:$A$2500)=DI$3)*(Gastos!$B$2:$B$2500=$A80)*(Gastos!$D$2:$D$2500))</f>
        <v>0</v>
      </c>
      <c r="DJ80" s="75">
        <f t="array" ref="DJ80">SUM((YEAR(Gastos!$A$2:$A$2500)=DJ$1)*(MONTH(Gastos!$A$2:$A$2500)=DJ$3)*(Gastos!$B$2:$B$2500=$A80)*(Gastos!$D$2:$D$2500))</f>
        <v>0</v>
      </c>
      <c r="DK80" s="75">
        <f t="array" ref="DK80">SUM((YEAR(Gastos!$A$2:$A$2500)=DK$1)*(MONTH(Gastos!$A$2:$A$2500)=DK$3)*(Gastos!$B$2:$B$2500=$A80)*(Gastos!$D$2:$D$2500))</f>
        <v>0</v>
      </c>
      <c r="DL80" s="75">
        <f t="array" ref="DL80">SUM((YEAR(Gastos!$A$2:$A$2500)=DL$1)*(MONTH(Gastos!$A$2:$A$2500)=DL$3)*(Gastos!$B$2:$B$2500=$A80)*(Gastos!$D$2:$D$2500))</f>
        <v>0</v>
      </c>
      <c r="DM80" s="75">
        <f t="array" ref="DM80">SUM((YEAR(Gastos!$A$2:$A$2500)=DM$1)*(MONTH(Gastos!$A$2:$A$2500)=DM$3)*(Gastos!$B$2:$B$2500=$A80)*(Gastos!$D$2:$D$2500))</f>
        <v>0</v>
      </c>
      <c r="DN80" s="75">
        <f t="array" ref="DN80">SUM((YEAR(Gastos!$A$2:$A$2500)=DN$1)*(MONTH(Gastos!$A$2:$A$2500)=DN$3)*(Gastos!$B$2:$B$2500=$A80)*(Gastos!$D$2:$D$2500))</f>
        <v>0</v>
      </c>
      <c r="DO80" s="75">
        <f t="array" ref="DO80">SUM((YEAR(Gastos!$A$2:$A$2500)=DO$1)*(MONTH(Gastos!$A$2:$A$2500)=DO$3)*(Gastos!$B$2:$B$2500=$A80)*(Gastos!$D$2:$D$2500))</f>
        <v>0</v>
      </c>
      <c r="DP80" s="75">
        <f t="array" ref="DP80">SUM((YEAR(Gastos!$A$2:$A$2500)=DP$1)*(MONTH(Gastos!$A$2:$A$2500)=DP$3)*(Gastos!$B$2:$B$2500=$A80)*(Gastos!$D$2:$D$2500))</f>
        <v>0</v>
      </c>
      <c r="DQ80" s="75">
        <f t="array" ref="DQ80">SUM((YEAR(Gastos!$A$2:$A$2500)=DQ$1)*(MONTH(Gastos!$A$2:$A$2500)=DQ$3)*(Gastos!$B$2:$B$2500=$A80)*(Gastos!$D$2:$D$2500))</f>
        <v>0</v>
      </c>
      <c r="DR80" s="75">
        <f t="array" ref="DR80">SUM((YEAR(Gastos!$A$2:$A$2500)=DR$1)*(MONTH(Gastos!$A$2:$A$2500)=DR$3)*(Gastos!$B$2:$B$2500=$A80)*(Gastos!$D$2:$D$2500))</f>
        <v>0</v>
      </c>
      <c r="DS80" s="75">
        <f t="array" ref="DS80">SUM((YEAR(Gastos!$A$2:$A$2500)=DS$1)*(MONTH(Gastos!$A$2:$A$2500)=DS$3)*(Gastos!$B$2:$B$2500=$A80)*(Gastos!$D$2:$D$2500))</f>
        <v>0</v>
      </c>
      <c r="DT80" s="75">
        <f t="array" ref="DT80">SUM((YEAR(Gastos!$A$2:$A$2500)=DT$1)*(MONTH(Gastos!$A$2:$A$2500)=DT$3)*(Gastos!$B$2:$B$2500=$A80)*(Gastos!$D$2:$D$2500))</f>
        <v>0</v>
      </c>
      <c r="DU80" s="75">
        <f t="array" ref="DU80">SUM((YEAR(Gastos!$A$2:$A$2500)=DU$1)*(MONTH(Gastos!$A$2:$A$2500)=DU$3)*(Gastos!$B$2:$B$2500=$A80)*(Gastos!$D$2:$D$2500))</f>
        <v>0</v>
      </c>
      <c r="DV80" s="75">
        <f t="array" ref="DV80">SUM((YEAR(Gastos!$A$2:$A$2500)=DV$1)*(MONTH(Gastos!$A$2:$A$2500)=DV$3)*(Gastos!$B$2:$B$2500=$A80)*(Gastos!$D$2:$D$2500))</f>
        <v>0</v>
      </c>
      <c r="DW80" s="75">
        <f t="array" ref="DW80">SUM((YEAR(Gastos!$A$2:$A$2500)=DW$1)*(MONTH(Gastos!$A$2:$A$2500)=DW$3)*(Gastos!$B$2:$B$2500=$A80)*(Gastos!$D$2:$D$2500))</f>
        <v>0</v>
      </c>
      <c r="DX80" s="75">
        <f t="array" ref="DX80">SUM((YEAR(Gastos!$A$2:$A$2500)=DX$1)*(MONTH(Gastos!$A$2:$A$2500)=DX$3)*(Gastos!$B$2:$B$2500=$A80)*(Gastos!$D$2:$D$2500))</f>
        <v>0</v>
      </c>
      <c r="DY80" s="75">
        <f t="array" ref="DY80">SUM((YEAR(Gastos!$A$2:$A$2500)=DY$1)*(MONTH(Gastos!$A$2:$A$2500)=DY$3)*(Gastos!$B$2:$B$2500=$A80)*(Gastos!$D$2:$D$2500))</f>
        <v>0</v>
      </c>
      <c r="DZ80" s="75">
        <f t="array" ref="DZ80">SUM((YEAR(Gastos!$A$2:$A$2500)=DZ$1)*(MONTH(Gastos!$A$2:$A$2500)=DZ$3)*(Gastos!$B$2:$B$2500=$A80)*(Gastos!$D$2:$D$2500))</f>
        <v>0</v>
      </c>
      <c r="EA80" s="75">
        <f t="array" ref="EA80">SUM((YEAR(Gastos!$A$2:$A$2500)=EA$1)*(MONTH(Gastos!$A$2:$A$2500)=EA$3)*(Gastos!$B$2:$B$2500=$A80)*(Gastos!$D$2:$D$2500))</f>
        <v>0</v>
      </c>
      <c r="EB80" s="75">
        <f t="array" ref="EB80">SUM((YEAR(Gastos!$A$2:$A$2500)=EB$1)*(MONTH(Gastos!$A$2:$A$2500)=EB$3)*(Gastos!$B$2:$B$2500=$A80)*(Gastos!$D$2:$D$2500))</f>
        <v>0</v>
      </c>
      <c r="EC80" s="75">
        <f t="array" ref="EC80">SUM((YEAR(Gastos!$A$2:$A$2500)=EC$1)*(MONTH(Gastos!$A$2:$A$2500)=EC$3)*(Gastos!$B$2:$B$2500=$A80)*(Gastos!$D$2:$D$2500))</f>
        <v>0</v>
      </c>
      <c r="ED80" s="75">
        <f t="array" ref="ED80">SUM((YEAR(Gastos!$A$2:$A$2500)=ED$1)*(MONTH(Gastos!$A$2:$A$2500)=ED$3)*(Gastos!$B$2:$B$2500=$A80)*(Gastos!$D$2:$D$2500))</f>
        <v>0</v>
      </c>
      <c r="EE80" s="75">
        <f t="array" ref="EE80">SUM((YEAR(Gastos!$A$2:$A$2500)=EE$1)*(MONTH(Gastos!$A$2:$A$2500)=EE$3)*(Gastos!$B$2:$B$2500=$A80)*(Gastos!$D$2:$D$2500))</f>
        <v>0</v>
      </c>
      <c r="EF80" s="75">
        <f t="array" ref="EF80">SUM((YEAR(Gastos!$A$2:$A$2500)=EF$1)*(MONTH(Gastos!$A$2:$A$2500)=EF$3)*(Gastos!$B$2:$B$2500=$A80)*(Gastos!$D$2:$D$2500))</f>
        <v>0</v>
      </c>
      <c r="EG80" s="75">
        <f t="array" ref="EG80">SUM((YEAR(Gastos!$A$2:$A$2500)=EG$1)*(MONTH(Gastos!$A$2:$A$2500)=EG$3)*(Gastos!$B$2:$B$2500=$A80)*(Gastos!$D$2:$D$2500))</f>
        <v>0</v>
      </c>
      <c r="EH80" s="75">
        <f t="array" ref="EH80">SUM((YEAR(Gastos!$A$2:$A$2500)=EH$1)*(MONTH(Gastos!$A$2:$A$2500)=EH$3)*(Gastos!$B$2:$B$2500=$A80)*(Gastos!$D$2:$D$2500))</f>
        <v>0</v>
      </c>
      <c r="EI80" s="75">
        <f t="array" ref="EI80">SUM((YEAR(Gastos!$A$2:$A$2500)=EI$1)*(MONTH(Gastos!$A$2:$A$2500)=EI$3)*(Gastos!$B$2:$B$2500=$A80)*(Gastos!$D$2:$D$2500))</f>
        <v>0</v>
      </c>
      <c r="EJ80" s="75">
        <f t="array" ref="EJ80">SUM((YEAR(Gastos!$A$2:$A$2500)=EJ$1)*(MONTH(Gastos!$A$2:$A$2500)=EJ$3)*(Gastos!$B$2:$B$2500=$A80)*(Gastos!$D$2:$D$2500))</f>
        <v>0</v>
      </c>
      <c r="EK80" s="75">
        <f t="array" ref="EK80">SUM((YEAR(Gastos!$A$2:$A$2500)=EK$1)*(MONTH(Gastos!$A$2:$A$2500)=EK$3)*(Gastos!$B$2:$B$2500=$A80)*(Gastos!$D$2:$D$2500))</f>
        <v>0</v>
      </c>
      <c r="EL80" s="75">
        <f t="array" ref="EL80">SUM((YEAR(Gastos!$A$2:$A$2500)=EL$1)*(MONTH(Gastos!$A$2:$A$2500)=EL$3)*(Gastos!$B$2:$B$2500=$A80)*(Gastos!$D$2:$D$2500))</f>
        <v>0</v>
      </c>
      <c r="EM80" s="75">
        <f t="array" ref="EM80">SUM((YEAR(Gastos!$A$2:$A$2500)=EM$1)*(MONTH(Gastos!$A$2:$A$2500)=EM$3)*(Gastos!$B$2:$B$2500=$A80)*(Gastos!$D$2:$D$2500))</f>
        <v>0</v>
      </c>
      <c r="EN80" s="75">
        <f t="array" ref="EN80">SUM((YEAR(Gastos!$A$2:$A$2500)=EN$1)*(MONTH(Gastos!$A$2:$A$2500)=EN$3)*(Gastos!$B$2:$B$2500=$A80)*(Gastos!$D$2:$D$2500))</f>
        <v>0</v>
      </c>
      <c r="EO80" s="75">
        <f t="array" ref="EO80">SUM((YEAR(Gastos!$A$2:$A$2500)=EO$1)*(MONTH(Gastos!$A$2:$A$2500)=EO$3)*(Gastos!$B$2:$B$2500=$A80)*(Gastos!$D$2:$D$2500))</f>
        <v>0</v>
      </c>
      <c r="EP80" s="75">
        <f t="array" ref="EP80">SUM((YEAR(Gastos!$A$2:$A$2500)=EP$1)*(MONTH(Gastos!$A$2:$A$2500)=EP$3)*(Gastos!$B$2:$B$2500=$A80)*(Gastos!$D$2:$D$2500))</f>
        <v>0</v>
      </c>
      <c r="EQ80" s="75">
        <f t="array" ref="EQ80">SUM((YEAR(Gastos!$A$2:$A$2500)=EQ$1)*(MONTH(Gastos!$A$2:$A$2500)=EQ$3)*(Gastos!$B$2:$B$2500=$A80)*(Gastos!$D$2:$D$2500))</f>
        <v>0</v>
      </c>
      <c r="ER80" s="75">
        <f t="array" ref="ER80">SUM((YEAR(Gastos!$A$2:$A$2500)=ER$1)*(MONTH(Gastos!$A$2:$A$2500)=ER$3)*(Gastos!$B$2:$B$2500=$A80)*(Gastos!$D$2:$D$2500))</f>
        <v>0</v>
      </c>
      <c r="ES80" s="75">
        <f t="array" ref="ES80">SUM((YEAR(Gastos!$A$2:$A$2500)=ES$1)*(MONTH(Gastos!$A$2:$A$2500)=ES$3)*(Gastos!$B$2:$B$2500=$A80)*(Gastos!$D$2:$D$2500))</f>
        <v>0</v>
      </c>
      <c r="ET80" s="75">
        <f t="array" ref="ET80">SUM((YEAR(Gastos!$A$2:$A$2500)=ET$1)*(MONTH(Gastos!$A$2:$A$2500)=ET$3)*(Gastos!$B$2:$B$2500=$A80)*(Gastos!$D$2:$D$2500))</f>
        <v>0</v>
      </c>
      <c r="EU80" s="75">
        <f t="array" ref="EU80">SUM((YEAR(Gastos!$A$2:$A$2500)=EU$1)*(MONTH(Gastos!$A$2:$A$2500)=EU$3)*(Gastos!$B$2:$B$2500=$A80)*(Gastos!$D$2:$D$2500))</f>
        <v>0</v>
      </c>
      <c r="EV80" s="75">
        <f t="array" ref="EV80">SUM((YEAR(Gastos!$A$2:$A$2500)=EV$1)*(MONTH(Gastos!$A$2:$A$2500)=EV$3)*(Gastos!$B$2:$B$2500=$A80)*(Gastos!$D$2:$D$2500))</f>
        <v>0</v>
      </c>
      <c r="EW80" s="75">
        <f t="array" ref="EW80">SUM((YEAR(Gastos!$A$2:$A$2500)=EW$1)*(MONTH(Gastos!$A$2:$A$2500)=EW$3)*(Gastos!$B$2:$B$2500=$A80)*(Gastos!$D$2:$D$2500))</f>
        <v>0</v>
      </c>
      <c r="EX80" s="75">
        <f t="array" ref="EX80">SUM((YEAR(Gastos!$A$2:$A$2500)=EX$1)*(MONTH(Gastos!$A$2:$A$2500)=EX$3)*(Gastos!$B$2:$B$2500=$A80)*(Gastos!$D$2:$D$2500))</f>
        <v>0</v>
      </c>
      <c r="EY80" s="75">
        <f t="array" ref="EY80">SUM((YEAR(Gastos!$A$2:$A$2500)=EY$1)*(MONTH(Gastos!$A$2:$A$2500)=EY$3)*(Gastos!$B$2:$B$2500=$A80)*(Gastos!$D$2:$D$2500))</f>
        <v>0</v>
      </c>
      <c r="EZ80" s="75">
        <f t="array" ref="EZ80">SUM((YEAR(Gastos!$A$2:$A$2500)=EZ$1)*(MONTH(Gastos!$A$2:$A$2500)=EZ$3)*(Gastos!$B$2:$B$2500=$A80)*(Gastos!$D$2:$D$2500))</f>
        <v>0</v>
      </c>
      <c r="FA80" s="75">
        <f t="array" ref="FA80">SUM((YEAR(Gastos!$A$2:$A$2500)=FA$1)*(MONTH(Gastos!$A$2:$A$2500)=FA$3)*(Gastos!$B$2:$B$2500=$A80)*(Gastos!$D$2:$D$2500))</f>
        <v>0</v>
      </c>
      <c r="FB80" s="75">
        <f t="array" ref="FB80">SUM((YEAR(Gastos!$A$2:$A$2500)=FB$1)*(MONTH(Gastos!$A$2:$A$2500)=FB$3)*(Gastos!$B$2:$B$2500=$A80)*(Gastos!$D$2:$D$2500))</f>
        <v>0</v>
      </c>
      <c r="FC80" s="75">
        <f t="array" ref="FC80">SUM((YEAR(Gastos!$A$2:$A$2500)=FC$1)*(MONTH(Gastos!$A$2:$A$2500)=FC$3)*(Gastos!$B$2:$B$2500=$A80)*(Gastos!$D$2:$D$2500))</f>
        <v>0</v>
      </c>
      <c r="FD80" s="75">
        <f t="array" ref="FD80">SUM((YEAR(Gastos!$A$2:$A$2500)=FD$1)*(MONTH(Gastos!$A$2:$A$2500)=FD$3)*(Gastos!$B$2:$B$2500=$A80)*(Gastos!$D$2:$D$2500))</f>
        <v>0</v>
      </c>
      <c r="FE80" s="75">
        <f t="array" ref="FE80">SUM((YEAR(Gastos!$A$2:$A$2500)=FE$1)*(MONTH(Gastos!$A$2:$A$2500)=FE$3)*(Gastos!$B$2:$B$2500=$A80)*(Gastos!$D$2:$D$2500))</f>
        <v>0</v>
      </c>
      <c r="FF80" s="75">
        <f t="array" ref="FF80">SUM((YEAR(Gastos!$A$2:$A$2500)=FF$1)*(MONTH(Gastos!$A$2:$A$2500)=FF$3)*(Gastos!$B$2:$B$2500=$A80)*(Gastos!$D$2:$D$2500))</f>
        <v>0</v>
      </c>
      <c r="FG80" s="75">
        <f t="array" ref="FG80">SUM((YEAR(Gastos!$A$2:$A$2500)=FG$1)*(MONTH(Gastos!$A$2:$A$2500)=FG$3)*(Gastos!$B$2:$B$2500=$A80)*(Gastos!$D$2:$D$2500))</f>
        <v>0</v>
      </c>
      <c r="FH80" s="75">
        <f t="array" ref="FH80">SUM((YEAR(Gastos!$A$2:$A$2500)=FH$1)*(MONTH(Gastos!$A$2:$A$2500)=FH$3)*(Gastos!$B$2:$B$2500=$A80)*(Gastos!$D$2:$D$2500))</f>
        <v>0</v>
      </c>
      <c r="FI80" s="75">
        <f t="array" ref="FI80">SUM((YEAR(Gastos!$A$2:$A$2500)=FI$1)*(MONTH(Gastos!$A$2:$A$2500)=FI$3)*(Gastos!$B$2:$B$2500=$A80)*(Gastos!$D$2:$D$2500))</f>
        <v>0</v>
      </c>
      <c r="FJ80" s="75">
        <f t="array" ref="FJ80">SUM((YEAR(Gastos!$A$2:$A$2500)=FJ$1)*(MONTH(Gastos!$A$2:$A$2500)=FJ$3)*(Gastos!$B$2:$B$2500=$A80)*(Gastos!$D$2:$D$2500))</f>
        <v>0</v>
      </c>
      <c r="FK80" s="75">
        <f t="array" ref="FK80">SUM((YEAR(Gastos!$A$2:$A$2500)=FK$1)*(MONTH(Gastos!$A$2:$A$2500)=FK$3)*(Gastos!$B$2:$B$2500=$A80)*(Gastos!$D$2:$D$2500))</f>
        <v>0</v>
      </c>
      <c r="FL80" s="75">
        <f t="array" ref="FL80">SUM((YEAR(Gastos!$A$2:$A$2500)=FL$1)*(MONTH(Gastos!$A$2:$A$2500)=FL$3)*(Gastos!$B$2:$B$2500=$A80)*(Gastos!$D$2:$D$2500))</f>
        <v>0</v>
      </c>
      <c r="FM80" s="75">
        <f t="array" ref="FM80">SUM((YEAR(Gastos!$A$2:$A$2500)=FM$1)*(MONTH(Gastos!$A$2:$A$2500)=FM$3)*(Gastos!$B$2:$B$2500=$A80)*(Gastos!$D$2:$D$2500))</f>
        <v>0</v>
      </c>
      <c r="FN80" s="75">
        <f t="array" ref="FN80">SUM((YEAR(Gastos!$A$2:$A$2500)=FN$1)*(MONTH(Gastos!$A$2:$A$2500)=FN$3)*(Gastos!$B$2:$B$2500=$A80)*(Gastos!$D$2:$D$2500))</f>
        <v>0</v>
      </c>
      <c r="FO80" s="75">
        <f t="array" ref="FO80">SUM((YEAR(Gastos!$A$2:$A$2500)=FO$1)*(MONTH(Gastos!$A$2:$A$2500)=FO$3)*(Gastos!$B$2:$B$2500=$A80)*(Gastos!$D$2:$D$2500))</f>
        <v>0</v>
      </c>
      <c r="FP80" s="75">
        <f t="array" ref="FP80">SUM((YEAR(Gastos!$A$2:$A$2500)=FP$1)*(MONTH(Gastos!$A$2:$A$2500)=FP$3)*(Gastos!$B$2:$B$2500=$A80)*(Gastos!$D$2:$D$2500))</f>
        <v>0</v>
      </c>
      <c r="FQ80" s="75">
        <f t="array" ref="FQ80">SUM((YEAR(Gastos!$A$2:$A$2500)=FQ$1)*(MONTH(Gastos!$A$2:$A$2500)=FQ$3)*(Gastos!$B$2:$B$2500=$A80)*(Gastos!$D$2:$D$2500))</f>
        <v>0</v>
      </c>
      <c r="FR80" s="75">
        <f t="array" ref="FR80">SUM((YEAR(Gastos!$A$2:$A$2500)=FR$1)*(MONTH(Gastos!$A$2:$A$2500)=FR$3)*(Gastos!$B$2:$B$2500=$A80)*(Gastos!$D$2:$D$2500))</f>
        <v>0</v>
      </c>
      <c r="FS80" s="75">
        <f t="array" ref="FS80">SUM((YEAR(Gastos!$A$2:$A$2500)=FS$1)*(MONTH(Gastos!$A$2:$A$2500)=FS$3)*(Gastos!$B$2:$B$2500=$A80)*(Gastos!$D$2:$D$2500))</f>
        <v>0</v>
      </c>
      <c r="FT80" s="75">
        <f t="array" ref="FT80">SUM((YEAR(Gastos!$A$2:$A$2500)=FT$1)*(MONTH(Gastos!$A$2:$A$2500)=FT$3)*(Gastos!$B$2:$B$2500=$A80)*(Gastos!$D$2:$D$2500))</f>
        <v>0</v>
      </c>
      <c r="FU80" s="75">
        <f t="array" ref="FU80">SUM((YEAR(Gastos!$A$2:$A$2500)=FU$1)*(MONTH(Gastos!$A$2:$A$2500)=FU$3)*(Gastos!$B$2:$B$2500=$A80)*(Gastos!$D$2:$D$2500))</f>
        <v>0</v>
      </c>
      <c r="FV80" s="75">
        <f t="array" ref="FV80">SUM((YEAR(Gastos!$A$2:$A$2500)=FV$1)*(MONTH(Gastos!$A$2:$A$2500)=FV$3)*(Gastos!$B$2:$B$2500=$A80)*(Gastos!$D$2:$D$2500))</f>
        <v>0</v>
      </c>
      <c r="FW80" s="75">
        <f t="array" ref="FW80">SUM((YEAR(Gastos!$A$2:$A$2500)=FW$1)*(MONTH(Gastos!$A$2:$A$2500)=FW$3)*(Gastos!$B$2:$B$2500=$A80)*(Gastos!$D$2:$D$2500))</f>
        <v>0</v>
      </c>
      <c r="FX80" s="75">
        <f t="array" ref="FX80">SUM((YEAR(Gastos!$A$2:$A$2500)=FX$1)*(MONTH(Gastos!$A$2:$A$2500)=FX$3)*(Gastos!$B$2:$B$2500=$A80)*(Gastos!$D$2:$D$2500))</f>
        <v>0</v>
      </c>
      <c r="FY80" s="75">
        <f t="array" ref="FY80">SUM((YEAR(Gastos!$A$2:$A$2500)=FY$1)*(MONTH(Gastos!$A$2:$A$2500)=FY$3)*(Gastos!$B$2:$B$2500=$A80)*(Gastos!$D$2:$D$2500))</f>
        <v>0</v>
      </c>
      <c r="FZ80" s="76">
        <f t="shared" si="68"/>
        <v>0</v>
      </c>
      <c r="GA80" s="80"/>
      <c r="GB80" s="82"/>
    </row>
    <row r="81" spans="1:184" ht="15" thickBot="1" x14ac:dyDescent="0.4">
      <c r="A81" s="74" t="str">
        <f>Gastos!AA79</f>
        <v>X</v>
      </c>
      <c r="B81" s="75">
        <f t="array" ref="B81">SUM((YEAR(Gastos!$A$2:$A$2500)=B$1)*(MONTH(Gastos!$A$2:$A$2500)=B$3)*(Gastos!$B$2:$B$2500=$A81)*(Gastos!$D$2:$D$2500))</f>
        <v>0</v>
      </c>
      <c r="C81" s="75">
        <f t="array" ref="C81">SUM((YEAR(Gastos!$A$2:$A$2500)=C$1)*(MONTH(Gastos!$A$2:$A$2500)=C$3)*(Gastos!$B$2:$B$2500=$A81)*(Gastos!$D$2:$D$2500))</f>
        <v>0</v>
      </c>
      <c r="D81" s="75">
        <f t="array" ref="D81">SUM((YEAR(Gastos!$A$2:$A$2500)=D$1)*(MONTH(Gastos!$A$2:$A$2500)=D$3)*(Gastos!$B$2:$B$2500=$A81)*(Gastos!$D$2:$D$2500))</f>
        <v>0</v>
      </c>
      <c r="E81" s="75">
        <f t="array" ref="E81">SUM((YEAR(Gastos!$A$2:$A$2500)=E$1)*(MONTH(Gastos!$A$2:$A$2500)=E$3)*(Gastos!$B$2:$B$2500=$A81)*(Gastos!$D$2:$D$2500))</f>
        <v>0</v>
      </c>
      <c r="F81" s="75">
        <f t="array" ref="F81">SUM((YEAR(Gastos!$A$2:$A$2500)=F$1)*(MONTH(Gastos!$A$2:$A$2500)=F$3)*(Gastos!$B$2:$B$2500=$A81)*(Gastos!$D$2:$D$2500))</f>
        <v>0</v>
      </c>
      <c r="G81" s="75">
        <f t="array" ref="G81">SUM((YEAR(Gastos!$A$2:$A$2500)=G$1)*(MONTH(Gastos!$A$2:$A$2500)=G$3)*(Gastos!$B$2:$B$2500=$A81)*(Gastos!$D$2:$D$2500))</f>
        <v>0</v>
      </c>
      <c r="H81" s="75">
        <f t="array" ref="H81">SUM((YEAR(Gastos!$A$2:$A$2500)=H$1)*(MONTH(Gastos!$A$2:$A$2500)=H$3)*(Gastos!$B$2:$B$2500=$A81)*(Gastos!$D$2:$D$2500))</f>
        <v>0</v>
      </c>
      <c r="I81" s="75">
        <f t="array" ref="I81">SUM((YEAR(Gastos!$A$2:$A$2500)=I$1)*(MONTH(Gastos!$A$2:$A$2500)=I$3)*(Gastos!$B$2:$B$2500=$A81)*(Gastos!$D$2:$D$2500))</f>
        <v>0</v>
      </c>
      <c r="J81" s="75">
        <f t="array" ref="J81">SUM((YEAR(Gastos!$A$2:$A$2500)=J$1)*(MONTH(Gastos!$A$2:$A$2500)=J$3)*(Gastos!$B$2:$B$2500=$A81)*(Gastos!$D$2:$D$2500))</f>
        <v>0</v>
      </c>
      <c r="K81" s="75">
        <f t="array" ref="K81">SUM((YEAR(Gastos!$A$2:$A$2500)=K$1)*(MONTH(Gastos!$A$2:$A$2500)=K$3)*(Gastos!$B$2:$B$2500=$A81)*(Gastos!$D$2:$D$2500))</f>
        <v>0</v>
      </c>
      <c r="L81" s="75">
        <f t="array" ref="L81">SUM((YEAR(Gastos!$A$2:$A$2500)=L$1)*(MONTH(Gastos!$A$2:$A$2500)=L$3)*(Gastos!$B$2:$B$2500=$A81)*(Gastos!$D$2:$D$2500))</f>
        <v>0</v>
      </c>
      <c r="M81" s="75">
        <f t="array" ref="M81">SUM((YEAR(Gastos!$A$2:$A$2500)=M$1)*(MONTH(Gastos!$A$2:$A$2500)=M$3)*(Gastos!$B$2:$B$2500=$A81)*(Gastos!$D$2:$D$2500))</f>
        <v>0</v>
      </c>
      <c r="N81" s="75">
        <f t="array" ref="N81">SUM((YEAR(Gastos!$A$2:$A$2500)=N$1)*(MONTH(Gastos!$A$2:$A$2500)=N$3)*(Gastos!$B$2:$B$2500=$A81)*(Gastos!$D$2:$D$2500))</f>
        <v>0</v>
      </c>
      <c r="O81" s="75">
        <f t="array" ref="O81">SUM((YEAR(Gastos!$A$2:$A$2500)=O$1)*(MONTH(Gastos!$A$2:$A$2500)=O$3)*(Gastos!$B$2:$B$2500=$A81)*(Gastos!$D$2:$D$2500))</f>
        <v>0</v>
      </c>
      <c r="P81" s="75">
        <f t="array" ref="P81">SUM((YEAR(Gastos!$A$2:$A$2500)=P$1)*(MONTH(Gastos!$A$2:$A$2500)=P$3)*(Gastos!$B$2:$B$2500=$A81)*(Gastos!$D$2:$D$2500))</f>
        <v>0</v>
      </c>
      <c r="Q81" s="75">
        <f t="array" ref="Q81">SUM((YEAR(Gastos!$A$2:$A$2500)=Q$1)*(MONTH(Gastos!$A$2:$A$2500)=Q$3)*(Gastos!$B$2:$B$2500=$A81)*(Gastos!$D$2:$D$2500))</f>
        <v>0</v>
      </c>
      <c r="R81" s="75">
        <f t="array" ref="R81">SUM((YEAR(Gastos!$A$2:$A$2500)=R$1)*(MONTH(Gastos!$A$2:$A$2500)=R$3)*(Gastos!$B$2:$B$2500=$A81)*(Gastos!$D$2:$D$2500))</f>
        <v>0</v>
      </c>
      <c r="S81" s="75">
        <f t="array" ref="S81">SUM((YEAR(Gastos!$A$2:$A$2500)=S$1)*(MONTH(Gastos!$A$2:$A$2500)=S$3)*(Gastos!$B$2:$B$2500=$A81)*(Gastos!$D$2:$D$2500))</f>
        <v>0</v>
      </c>
      <c r="T81" s="75">
        <f t="array" ref="T81">SUM((YEAR(Gastos!$A$2:$A$2500)=T$1)*(MONTH(Gastos!$A$2:$A$2500)=T$3)*(Gastos!$B$2:$B$2500=$A81)*(Gastos!$D$2:$D$2500))</f>
        <v>0</v>
      </c>
      <c r="U81" s="75">
        <f t="array" ref="U81">SUM((YEAR(Gastos!$A$2:$A$2500)=U$1)*(MONTH(Gastos!$A$2:$A$2500)=U$3)*(Gastos!$B$2:$B$2500=$A81)*(Gastos!$D$2:$D$2500))</f>
        <v>0</v>
      </c>
      <c r="V81" s="75">
        <f t="array" ref="V81">SUM((YEAR(Gastos!$A$2:$A$2500)=V$1)*(MONTH(Gastos!$A$2:$A$2500)=V$3)*(Gastos!$B$2:$B$2500=$A81)*(Gastos!$D$2:$D$2500))</f>
        <v>0</v>
      </c>
      <c r="W81" s="75">
        <f t="array" ref="W81">SUM((YEAR(Gastos!$A$2:$A$2500)=W$1)*(MONTH(Gastos!$A$2:$A$2500)=W$3)*(Gastos!$B$2:$B$2500=$A81)*(Gastos!$D$2:$D$2500))</f>
        <v>0</v>
      </c>
      <c r="X81" s="75">
        <f t="array" ref="X81">SUM((YEAR(Gastos!$A$2:$A$2500)=X$1)*(MONTH(Gastos!$A$2:$A$2500)=X$3)*(Gastos!$B$2:$B$2500=$A81)*(Gastos!$D$2:$D$2500))</f>
        <v>0</v>
      </c>
      <c r="Y81" s="75">
        <f t="array" ref="Y81">SUM((YEAR(Gastos!$A$2:$A$2500)=Y$1)*(MONTH(Gastos!$A$2:$A$2500)=Y$3)*(Gastos!$B$2:$B$2500=$A81)*(Gastos!$D$2:$D$2500))</f>
        <v>0</v>
      </c>
      <c r="Z81" s="75">
        <f t="array" ref="Z81">SUM((YEAR(Gastos!$A$2:$A$2500)=Z$1)*(MONTH(Gastos!$A$2:$A$2500)=Z$3)*(Gastos!$B$2:$B$2500=$A81)*(Gastos!$D$2:$D$2500))</f>
        <v>0</v>
      </c>
      <c r="AA81" s="75">
        <f t="array" ref="AA81">SUM((YEAR(Gastos!$A$2:$A$2500)=AA$1)*(MONTH(Gastos!$A$2:$A$2500)=AA$3)*(Gastos!$B$2:$B$2500=$A81)*(Gastos!$D$2:$D$2500))</f>
        <v>0</v>
      </c>
      <c r="AB81" s="75">
        <f t="array" ref="AB81">SUM((YEAR(Gastos!$A$2:$A$2500)=AB$1)*(MONTH(Gastos!$A$2:$A$2500)=AB$3)*(Gastos!$B$2:$B$2500=$A81)*(Gastos!$D$2:$D$2500))</f>
        <v>0</v>
      </c>
      <c r="AC81" s="75">
        <f t="array" ref="AC81">SUM((YEAR(Gastos!$A$2:$A$2500)=AC$1)*(MONTH(Gastos!$A$2:$A$2500)=AC$3)*(Gastos!$B$2:$B$2500=$A81)*(Gastos!$D$2:$D$2500))</f>
        <v>0</v>
      </c>
      <c r="AD81" s="75">
        <f t="array" ref="AD81">SUM((YEAR(Gastos!$A$2:$A$2500)=AD$1)*(MONTH(Gastos!$A$2:$A$2500)=AD$3)*(Gastos!$B$2:$B$2500=$A81)*(Gastos!$D$2:$D$2500))</f>
        <v>0</v>
      </c>
      <c r="AE81" s="75">
        <f t="array" ref="AE81">SUM((YEAR(Gastos!$A$2:$A$2500)=AE$1)*(MONTH(Gastos!$A$2:$A$2500)=AE$3)*(Gastos!$B$2:$B$2500=$A81)*(Gastos!$D$2:$D$2500))</f>
        <v>0</v>
      </c>
      <c r="AF81" s="75">
        <f t="array" ref="AF81">SUM((YEAR(Gastos!$A$2:$A$2500)=AF$1)*(MONTH(Gastos!$A$2:$A$2500)=AF$3)*(Gastos!$B$2:$B$2500=$A81)*(Gastos!$D$2:$D$2500))</f>
        <v>0</v>
      </c>
      <c r="AG81" s="75">
        <f t="array" ref="AG81">SUM((YEAR(Gastos!$A$2:$A$2500)=AG$1)*(MONTH(Gastos!$A$2:$A$2500)=AG$3)*(Gastos!$B$2:$B$2500=$A81)*(Gastos!$D$2:$D$2500))</f>
        <v>0</v>
      </c>
      <c r="AH81" s="75">
        <f t="array" ref="AH81">SUM((YEAR(Gastos!$A$2:$A$2500)=AH$1)*(MONTH(Gastos!$A$2:$A$2500)=AH$3)*(Gastos!$B$2:$B$2500=$A81)*(Gastos!$D$2:$D$2500))</f>
        <v>0</v>
      </c>
      <c r="AI81" s="75">
        <f t="array" ref="AI81">SUM((YEAR(Gastos!$A$2:$A$2500)=AI$1)*(MONTH(Gastos!$A$2:$A$2500)=AI$3)*(Gastos!$B$2:$B$2500=$A81)*(Gastos!$D$2:$D$2500))</f>
        <v>0</v>
      </c>
      <c r="AJ81" s="75">
        <f t="array" ref="AJ81">SUM((YEAR(Gastos!$A$2:$A$2500)=AJ$1)*(MONTH(Gastos!$A$2:$A$2500)=AJ$3)*(Gastos!$B$2:$B$2500=$A81)*(Gastos!$D$2:$D$2500))</f>
        <v>0</v>
      </c>
      <c r="AK81" s="75">
        <f t="array" ref="AK81">SUM((YEAR(Gastos!$A$2:$A$2500)=AK$1)*(MONTH(Gastos!$A$2:$A$2500)=AK$3)*(Gastos!$B$2:$B$2500=$A81)*(Gastos!$D$2:$D$2500))</f>
        <v>0</v>
      </c>
      <c r="AL81" s="75">
        <f t="array" ref="AL81">SUM((YEAR(Gastos!$A$2:$A$2500)=AL$1)*(MONTH(Gastos!$A$2:$A$2500)=AL$3)*(Gastos!$B$2:$B$2500=$A81)*(Gastos!$D$2:$D$2500))</f>
        <v>0</v>
      </c>
      <c r="AM81" s="75">
        <f t="array" ref="AM81">SUM((YEAR(Gastos!$A$2:$A$2500)=AM$1)*(MONTH(Gastos!$A$2:$A$2500)=AM$3)*(Gastos!$B$2:$B$2500=$A81)*(Gastos!$D$2:$D$2500))</f>
        <v>0</v>
      </c>
      <c r="AN81" s="75">
        <f t="array" ref="AN81">SUM((YEAR(Gastos!$A$2:$A$2500)=AN$1)*(MONTH(Gastos!$A$2:$A$2500)=AN$3)*(Gastos!$B$2:$B$2500=$A81)*(Gastos!$D$2:$D$2500))</f>
        <v>0</v>
      </c>
      <c r="AO81" s="75">
        <f t="array" ref="AO81">SUM((YEAR(Gastos!$A$2:$A$2500)=AO$1)*(MONTH(Gastos!$A$2:$A$2500)=AO$3)*(Gastos!$B$2:$B$2500=$A81)*(Gastos!$D$2:$D$2500))</f>
        <v>0</v>
      </c>
      <c r="AP81" s="75">
        <f t="array" ref="AP81">SUM((YEAR(Gastos!$A$2:$A$2500)=AP$1)*(MONTH(Gastos!$A$2:$A$2500)=AP$3)*(Gastos!$B$2:$B$2500=$A81)*(Gastos!$D$2:$D$2500))</f>
        <v>0</v>
      </c>
      <c r="AQ81" s="75">
        <f t="array" ref="AQ81">SUM((YEAR(Gastos!$A$2:$A$2500)=AQ$1)*(MONTH(Gastos!$A$2:$A$2500)=AQ$3)*(Gastos!$B$2:$B$2500=$A81)*(Gastos!$D$2:$D$2500))</f>
        <v>0</v>
      </c>
      <c r="AR81" s="75">
        <f t="array" ref="AR81">SUM((YEAR(Gastos!$A$2:$A$2500)=AR$1)*(MONTH(Gastos!$A$2:$A$2500)=AR$3)*(Gastos!$B$2:$B$2500=$A81)*(Gastos!$D$2:$D$2500))</f>
        <v>0</v>
      </c>
      <c r="AS81" s="75">
        <f t="array" ref="AS81">SUM((YEAR(Gastos!$A$2:$A$2500)=AS$1)*(MONTH(Gastos!$A$2:$A$2500)=AS$3)*(Gastos!$B$2:$B$2500=$A81)*(Gastos!$D$2:$D$2500))</f>
        <v>0</v>
      </c>
      <c r="AT81" s="75">
        <f t="array" ref="AT81">SUM((YEAR(Gastos!$A$2:$A$2500)=AT$1)*(MONTH(Gastos!$A$2:$A$2500)=AT$3)*(Gastos!$B$2:$B$2500=$A81)*(Gastos!$D$2:$D$2500))</f>
        <v>0</v>
      </c>
      <c r="AU81" s="75">
        <f t="array" ref="AU81">SUM((YEAR(Gastos!$A$2:$A$2500)=AU$1)*(MONTH(Gastos!$A$2:$A$2500)=AU$3)*(Gastos!$B$2:$B$2500=$A81)*(Gastos!$D$2:$D$2500))</f>
        <v>0</v>
      </c>
      <c r="AV81" s="75">
        <f t="array" ref="AV81">SUM((YEAR(Gastos!$A$2:$A$2500)=AV$1)*(MONTH(Gastos!$A$2:$A$2500)=AV$3)*(Gastos!$B$2:$B$2500=$A81)*(Gastos!$D$2:$D$2500))</f>
        <v>0</v>
      </c>
      <c r="AW81" s="75">
        <f t="array" ref="AW81">SUM((YEAR(Gastos!$A$2:$A$2500)=AW$1)*(MONTH(Gastos!$A$2:$A$2500)=AW$3)*(Gastos!$B$2:$B$2500=$A81)*(Gastos!$D$2:$D$2500))</f>
        <v>0</v>
      </c>
      <c r="AX81" s="75">
        <f t="array" ref="AX81">SUM((YEAR(Gastos!$A$2:$A$2500)=AX$1)*(MONTH(Gastos!$A$2:$A$2500)=AX$3)*(Gastos!$B$2:$B$2500=$A81)*(Gastos!$D$2:$D$2500))</f>
        <v>0</v>
      </c>
      <c r="AY81" s="75">
        <f t="array" ref="AY81">SUM((YEAR(Gastos!$A$2:$A$2500)=AY$1)*(MONTH(Gastos!$A$2:$A$2500)=AY$3)*(Gastos!$B$2:$B$2500=$A81)*(Gastos!$D$2:$D$2500))</f>
        <v>0</v>
      </c>
      <c r="AZ81" s="75">
        <f t="array" ref="AZ81">SUM((YEAR(Gastos!$A$2:$A$2500)=AZ$1)*(MONTH(Gastos!$A$2:$A$2500)=AZ$3)*(Gastos!$B$2:$B$2500=$A81)*(Gastos!$D$2:$D$2500))</f>
        <v>0</v>
      </c>
      <c r="BA81" s="75">
        <f t="array" ref="BA81">SUM((YEAR(Gastos!$A$2:$A$2500)=BA$1)*(MONTH(Gastos!$A$2:$A$2500)=BA$3)*(Gastos!$B$2:$B$2500=$A81)*(Gastos!$D$2:$D$2500))</f>
        <v>0</v>
      </c>
      <c r="BB81" s="75">
        <f t="array" ref="BB81">SUM((YEAR(Gastos!$A$2:$A$2500)=BB$1)*(MONTH(Gastos!$A$2:$A$2500)=BB$3)*(Gastos!$B$2:$B$2500=$A81)*(Gastos!$D$2:$D$2500))</f>
        <v>0</v>
      </c>
      <c r="BC81" s="75">
        <f t="array" ref="BC81">SUM((YEAR(Gastos!$A$2:$A$2500)=BC$1)*(MONTH(Gastos!$A$2:$A$2500)=BC$3)*(Gastos!$B$2:$B$2500=$A81)*(Gastos!$D$2:$D$2500))</f>
        <v>0</v>
      </c>
      <c r="BD81" s="75">
        <f t="array" ref="BD81">SUM((YEAR(Gastos!$A$2:$A$2500)=BD$1)*(MONTH(Gastos!$A$2:$A$2500)=BD$3)*(Gastos!$B$2:$B$2500=$A81)*(Gastos!$D$2:$D$2500))</f>
        <v>0</v>
      </c>
      <c r="BE81" s="75">
        <f t="array" ref="BE81">SUM((YEAR(Gastos!$A$2:$A$2500)=BE$1)*(MONTH(Gastos!$A$2:$A$2500)=BE$3)*(Gastos!$B$2:$B$2500=$A81)*(Gastos!$D$2:$D$2500))</f>
        <v>0</v>
      </c>
      <c r="BF81" s="75">
        <f t="array" ref="BF81">SUM((YEAR(Gastos!$A$2:$A$2500)=BF$1)*(MONTH(Gastos!$A$2:$A$2500)=BF$3)*(Gastos!$B$2:$B$2500=$A81)*(Gastos!$D$2:$D$2500))</f>
        <v>0</v>
      </c>
      <c r="BG81" s="75">
        <f t="array" ref="BG81">SUM((YEAR(Gastos!$A$2:$A$2500)=BG$1)*(MONTH(Gastos!$A$2:$A$2500)=BG$3)*(Gastos!$B$2:$B$2500=$A81)*(Gastos!$D$2:$D$2500))</f>
        <v>0</v>
      </c>
      <c r="BH81" s="75">
        <f t="array" ref="BH81">SUM((YEAR(Gastos!$A$2:$A$2500)=BH$1)*(MONTH(Gastos!$A$2:$A$2500)=BH$3)*(Gastos!$B$2:$B$2500=$A81)*(Gastos!$D$2:$D$2500))</f>
        <v>0</v>
      </c>
      <c r="BI81" s="75">
        <f t="array" ref="BI81">SUM((YEAR(Gastos!$A$2:$A$2500)=BI$1)*(MONTH(Gastos!$A$2:$A$2500)=BI$3)*(Gastos!$B$2:$B$2500=$A81)*(Gastos!$D$2:$D$2500))</f>
        <v>0</v>
      </c>
      <c r="BJ81" s="75">
        <f t="array" ref="BJ81">SUM((YEAR(Gastos!$A$2:$A$2500)=BJ$1)*(MONTH(Gastos!$A$2:$A$2500)=BJ$3)*(Gastos!$B$2:$B$2500=$A81)*(Gastos!$D$2:$D$2500))</f>
        <v>0</v>
      </c>
      <c r="BK81" s="75">
        <f t="array" ref="BK81">SUM((YEAR(Gastos!$A$2:$A$2500)=BK$1)*(MONTH(Gastos!$A$2:$A$2500)=BK$3)*(Gastos!$B$2:$B$2500=$A81)*(Gastos!$D$2:$D$2500))</f>
        <v>0</v>
      </c>
      <c r="BL81" s="75">
        <f t="array" ref="BL81">SUM((YEAR(Gastos!$A$2:$A$2500)=BL$1)*(MONTH(Gastos!$A$2:$A$2500)=BL$3)*(Gastos!$B$2:$B$2500=$A81)*(Gastos!$D$2:$D$2500))</f>
        <v>0</v>
      </c>
      <c r="BM81" s="75">
        <f t="array" ref="BM81">SUM((YEAR(Gastos!$A$2:$A$2500)=BM$1)*(MONTH(Gastos!$A$2:$A$2500)=BM$3)*(Gastos!$B$2:$B$2500=$A81)*(Gastos!$D$2:$D$2500))</f>
        <v>0</v>
      </c>
      <c r="BN81" s="75">
        <f t="array" ref="BN81">SUM((YEAR(Gastos!$A$2:$A$2500)=BN$1)*(MONTH(Gastos!$A$2:$A$2500)=BN$3)*(Gastos!$B$2:$B$2500=$A81)*(Gastos!$D$2:$D$2500))</f>
        <v>0</v>
      </c>
      <c r="BO81" s="75">
        <f t="array" ref="BO81">SUM((YEAR(Gastos!$A$2:$A$2500)=BO$1)*(MONTH(Gastos!$A$2:$A$2500)=BO$3)*(Gastos!$B$2:$B$2500=$A81)*(Gastos!$D$2:$D$2500))</f>
        <v>0</v>
      </c>
      <c r="BP81" s="75">
        <f t="array" ref="BP81">SUM((YEAR(Gastos!$A$2:$A$2500)=BP$1)*(MONTH(Gastos!$A$2:$A$2500)=BP$3)*(Gastos!$B$2:$B$2500=$A81)*(Gastos!$D$2:$D$2500))</f>
        <v>0</v>
      </c>
      <c r="BQ81" s="75">
        <f t="array" ref="BQ81">SUM((YEAR(Gastos!$A$2:$A$2500)=BQ$1)*(MONTH(Gastos!$A$2:$A$2500)=BQ$3)*(Gastos!$B$2:$B$2500=$A81)*(Gastos!$D$2:$D$2500))</f>
        <v>0</v>
      </c>
      <c r="BR81" s="75">
        <f t="array" ref="BR81">SUM((YEAR(Gastos!$A$2:$A$2500)=BR$1)*(MONTH(Gastos!$A$2:$A$2500)=BR$3)*(Gastos!$B$2:$B$2500=$A81)*(Gastos!$D$2:$D$2500))</f>
        <v>0</v>
      </c>
      <c r="BS81" s="75">
        <f t="array" ref="BS81">SUM((YEAR(Gastos!$A$2:$A$2500)=BS$1)*(MONTH(Gastos!$A$2:$A$2500)=BS$3)*(Gastos!$B$2:$B$2500=$A81)*(Gastos!$D$2:$D$2500))</f>
        <v>0</v>
      </c>
      <c r="BT81" s="75">
        <f t="array" ref="BT81">SUM((YEAR(Gastos!$A$2:$A$2500)=BT$1)*(MONTH(Gastos!$A$2:$A$2500)=BT$3)*(Gastos!$B$2:$B$2500=$A81)*(Gastos!$D$2:$D$2500))</f>
        <v>0</v>
      </c>
      <c r="BU81" s="75">
        <f t="array" ref="BU81">SUM((YEAR(Gastos!$A$2:$A$2500)=BU$1)*(MONTH(Gastos!$A$2:$A$2500)=BU$3)*(Gastos!$B$2:$B$2500=$A81)*(Gastos!$D$2:$D$2500))</f>
        <v>0</v>
      </c>
      <c r="BV81" s="75">
        <f t="array" ref="BV81">SUM((YEAR(Gastos!$A$2:$A$2500)=BV$1)*(MONTH(Gastos!$A$2:$A$2500)=BV$3)*(Gastos!$B$2:$B$2500=$A81)*(Gastos!$D$2:$D$2500))</f>
        <v>0</v>
      </c>
      <c r="BW81" s="75">
        <f t="array" ref="BW81">SUM((YEAR(Gastos!$A$2:$A$2500)=BW$1)*(MONTH(Gastos!$A$2:$A$2500)=BW$3)*(Gastos!$B$2:$B$2500=$A81)*(Gastos!$D$2:$D$2500))</f>
        <v>0</v>
      </c>
      <c r="BX81" s="75">
        <f t="array" ref="BX81">SUM((YEAR(Gastos!$A$2:$A$2500)=BX$1)*(MONTH(Gastos!$A$2:$A$2500)=BX$3)*(Gastos!$B$2:$B$2500=$A81)*(Gastos!$D$2:$D$2500))</f>
        <v>0</v>
      </c>
      <c r="BY81" s="75">
        <f t="array" ref="BY81">SUM((YEAR(Gastos!$A$2:$A$2500)=BY$1)*(MONTH(Gastos!$A$2:$A$2500)=BY$3)*(Gastos!$B$2:$B$2500=$A81)*(Gastos!$D$2:$D$2500))</f>
        <v>0</v>
      </c>
      <c r="BZ81" s="75">
        <f t="array" ref="BZ81">SUM((YEAR(Gastos!$A$2:$A$2500)=BZ$1)*(MONTH(Gastos!$A$2:$A$2500)=BZ$3)*(Gastos!$B$2:$B$2500=$A81)*(Gastos!$D$2:$D$2500))</f>
        <v>0</v>
      </c>
      <c r="CA81" s="75">
        <f t="array" ref="CA81">SUM((YEAR(Gastos!$A$2:$A$2500)=CA$1)*(MONTH(Gastos!$A$2:$A$2500)=CA$3)*(Gastos!$B$2:$B$2500=$A81)*(Gastos!$D$2:$D$2500))</f>
        <v>0</v>
      </c>
      <c r="CB81" s="75">
        <f t="array" ref="CB81">SUM((YEAR(Gastos!$A$2:$A$2500)=CB$1)*(MONTH(Gastos!$A$2:$A$2500)=CB$3)*(Gastos!$B$2:$B$2500=$A81)*(Gastos!$D$2:$D$2500))</f>
        <v>0</v>
      </c>
      <c r="CC81" s="75">
        <f t="array" ref="CC81">SUM((YEAR(Gastos!$A$2:$A$2500)=CC$1)*(MONTH(Gastos!$A$2:$A$2500)=CC$3)*(Gastos!$B$2:$B$2500=$A81)*(Gastos!$D$2:$D$2500))</f>
        <v>0</v>
      </c>
      <c r="CD81" s="75">
        <f t="array" ref="CD81">SUM((YEAR(Gastos!$A$2:$A$2500)=CD$1)*(MONTH(Gastos!$A$2:$A$2500)=CD$3)*(Gastos!$B$2:$B$2500=$A81)*(Gastos!$D$2:$D$2500))</f>
        <v>0</v>
      </c>
      <c r="CE81" s="75">
        <f t="array" ref="CE81">SUM((YEAR(Gastos!$A$2:$A$2500)=CE$1)*(MONTH(Gastos!$A$2:$A$2500)=CE$3)*(Gastos!$B$2:$B$2500=$A81)*(Gastos!$D$2:$D$2500))</f>
        <v>0</v>
      </c>
      <c r="CF81" s="75">
        <f t="array" ref="CF81">SUM((YEAR(Gastos!$A$2:$A$2500)=CF$1)*(MONTH(Gastos!$A$2:$A$2500)=CF$3)*(Gastos!$B$2:$B$2500=$A81)*(Gastos!$D$2:$D$2500))</f>
        <v>0</v>
      </c>
      <c r="CG81" s="75">
        <f t="array" ref="CG81">SUM((YEAR(Gastos!$A$2:$A$2500)=CG$1)*(MONTH(Gastos!$A$2:$A$2500)=CG$3)*(Gastos!$B$2:$B$2500=$A81)*(Gastos!$D$2:$D$2500))</f>
        <v>0</v>
      </c>
      <c r="CH81" s="75">
        <f t="array" ref="CH81">SUM((YEAR(Gastos!$A$2:$A$2500)=CH$1)*(MONTH(Gastos!$A$2:$A$2500)=CH$3)*(Gastos!$B$2:$B$2500=$A81)*(Gastos!$D$2:$D$2500))</f>
        <v>0</v>
      </c>
      <c r="CI81" s="75">
        <f t="array" ref="CI81">SUM((YEAR(Gastos!$A$2:$A$2500)=CI$1)*(MONTH(Gastos!$A$2:$A$2500)=CI$3)*(Gastos!$B$2:$B$2500=$A81)*(Gastos!$D$2:$D$2500))</f>
        <v>0</v>
      </c>
      <c r="CJ81" s="75">
        <f t="array" ref="CJ81">SUM((YEAR(Gastos!$A$2:$A$2500)=CJ$1)*(MONTH(Gastos!$A$2:$A$2500)=CJ$3)*(Gastos!$B$2:$B$2500=$A81)*(Gastos!$D$2:$D$2500))</f>
        <v>0</v>
      </c>
      <c r="CK81" s="75">
        <f t="array" ref="CK81">SUM((YEAR(Gastos!$A$2:$A$2500)=CK$1)*(MONTH(Gastos!$A$2:$A$2500)=CK$3)*(Gastos!$B$2:$B$2500=$A81)*(Gastos!$D$2:$D$2500))</f>
        <v>0</v>
      </c>
      <c r="CL81" s="75">
        <f t="array" ref="CL81">SUM((YEAR(Gastos!$A$2:$A$2500)=CL$1)*(MONTH(Gastos!$A$2:$A$2500)=CL$3)*(Gastos!$B$2:$B$2500=$A81)*(Gastos!$D$2:$D$2500))</f>
        <v>0</v>
      </c>
      <c r="CM81" s="75">
        <f t="array" ref="CM81">SUM((YEAR(Gastos!$A$2:$A$2500)=CM$1)*(MONTH(Gastos!$A$2:$A$2500)=CM$3)*(Gastos!$B$2:$B$2500=$A81)*(Gastos!$D$2:$D$2500))</f>
        <v>0</v>
      </c>
      <c r="CN81" s="75">
        <f t="array" ref="CN81">SUM((YEAR(Gastos!$A$2:$A$2500)=CN$1)*(MONTH(Gastos!$A$2:$A$2500)=CN$3)*(Gastos!$B$2:$B$2500=$A81)*(Gastos!$D$2:$D$2500))</f>
        <v>0</v>
      </c>
      <c r="CO81" s="75">
        <f t="array" ref="CO81">SUM((YEAR(Gastos!$A$2:$A$2500)=CO$1)*(MONTH(Gastos!$A$2:$A$2500)=CO$3)*(Gastos!$B$2:$B$2500=$A81)*(Gastos!$D$2:$D$2500))</f>
        <v>0</v>
      </c>
      <c r="CP81" s="75">
        <f t="array" ref="CP81">SUM((YEAR(Gastos!$A$2:$A$2500)=CP$1)*(MONTH(Gastos!$A$2:$A$2500)=CP$3)*(Gastos!$B$2:$B$2500=$A81)*(Gastos!$D$2:$D$2500))</f>
        <v>0</v>
      </c>
      <c r="CQ81" s="75">
        <f t="array" ref="CQ81">SUM((YEAR(Gastos!$A$2:$A$2500)=CQ$1)*(MONTH(Gastos!$A$2:$A$2500)=CQ$3)*(Gastos!$B$2:$B$2500=$A81)*(Gastos!$D$2:$D$2500))</f>
        <v>0</v>
      </c>
      <c r="CR81" s="75">
        <f t="array" ref="CR81">SUM((YEAR(Gastos!$A$2:$A$2500)=CR$1)*(MONTH(Gastos!$A$2:$A$2500)=CR$3)*(Gastos!$B$2:$B$2500=$A81)*(Gastos!$D$2:$D$2500))</f>
        <v>0</v>
      </c>
      <c r="CS81" s="75">
        <f t="array" ref="CS81">SUM((YEAR(Gastos!$A$2:$A$2500)=CS$1)*(MONTH(Gastos!$A$2:$A$2500)=CS$3)*(Gastos!$B$2:$B$2500=$A81)*(Gastos!$D$2:$D$2500))</f>
        <v>0</v>
      </c>
      <c r="CT81" s="75">
        <f t="array" ref="CT81">SUM((YEAR(Gastos!$A$2:$A$2500)=CT$1)*(MONTH(Gastos!$A$2:$A$2500)=CT$3)*(Gastos!$B$2:$B$2500=$A81)*(Gastos!$D$2:$D$2500))</f>
        <v>0</v>
      </c>
      <c r="CU81" s="75">
        <f t="array" ref="CU81">SUM((YEAR(Gastos!$A$2:$A$2500)=CU$1)*(MONTH(Gastos!$A$2:$A$2500)=CU$3)*(Gastos!$B$2:$B$2500=$A81)*(Gastos!$D$2:$D$2500))</f>
        <v>0</v>
      </c>
      <c r="CV81" s="75">
        <f t="array" ref="CV81">SUM((YEAR(Gastos!$A$2:$A$2500)=CV$1)*(MONTH(Gastos!$A$2:$A$2500)=CV$3)*(Gastos!$B$2:$B$2500=$A81)*(Gastos!$D$2:$D$2500))</f>
        <v>0</v>
      </c>
      <c r="CW81" s="75">
        <f t="array" ref="CW81">SUM((YEAR(Gastos!$A$2:$A$2500)=CW$1)*(MONTH(Gastos!$A$2:$A$2500)=CW$3)*(Gastos!$B$2:$B$2500=$A81)*(Gastos!$D$2:$D$2500))</f>
        <v>0</v>
      </c>
      <c r="CX81" s="75">
        <f t="array" ref="CX81">SUM((YEAR(Gastos!$A$2:$A$2500)=CX$1)*(MONTH(Gastos!$A$2:$A$2500)=CX$3)*(Gastos!$B$2:$B$2500=$A81)*(Gastos!$D$2:$D$2500))</f>
        <v>0</v>
      </c>
      <c r="CY81" s="75">
        <f t="array" ref="CY81">SUM((YEAR(Gastos!$A$2:$A$2500)=CY$1)*(MONTH(Gastos!$A$2:$A$2500)=CY$3)*(Gastos!$B$2:$B$2500=$A81)*(Gastos!$D$2:$D$2500))</f>
        <v>0</v>
      </c>
      <c r="CZ81" s="75">
        <f t="array" ref="CZ81">SUM((YEAR(Gastos!$A$2:$A$2500)=CZ$1)*(MONTH(Gastos!$A$2:$A$2500)=CZ$3)*(Gastos!$B$2:$B$2500=$A81)*(Gastos!$D$2:$D$2500))</f>
        <v>0</v>
      </c>
      <c r="DA81" s="75">
        <f t="array" ref="DA81">SUM((YEAR(Gastos!$A$2:$A$2500)=DA$1)*(MONTH(Gastos!$A$2:$A$2500)=DA$3)*(Gastos!$B$2:$B$2500=$A81)*(Gastos!$D$2:$D$2500))</f>
        <v>0</v>
      </c>
      <c r="DB81" s="75">
        <f t="array" ref="DB81">SUM((YEAR(Gastos!$A$2:$A$2500)=DB$1)*(MONTH(Gastos!$A$2:$A$2500)=DB$3)*(Gastos!$B$2:$B$2500=$A81)*(Gastos!$D$2:$D$2500))</f>
        <v>0</v>
      </c>
      <c r="DC81" s="75">
        <f t="array" ref="DC81">SUM((YEAR(Gastos!$A$2:$A$2500)=DC$1)*(MONTH(Gastos!$A$2:$A$2500)=DC$3)*(Gastos!$B$2:$B$2500=$A81)*(Gastos!$D$2:$D$2500))</f>
        <v>0</v>
      </c>
      <c r="DD81" s="75">
        <f t="array" ref="DD81">SUM((YEAR(Gastos!$A$2:$A$2500)=DD$1)*(MONTH(Gastos!$A$2:$A$2500)=DD$3)*(Gastos!$B$2:$B$2500=$A81)*(Gastos!$D$2:$D$2500))</f>
        <v>0</v>
      </c>
      <c r="DE81" s="75">
        <f t="array" ref="DE81">SUM((YEAR(Gastos!$A$2:$A$2500)=DE$1)*(MONTH(Gastos!$A$2:$A$2500)=DE$3)*(Gastos!$B$2:$B$2500=$A81)*(Gastos!$D$2:$D$2500))</f>
        <v>0</v>
      </c>
      <c r="DF81" s="75">
        <f t="array" ref="DF81">SUM((YEAR(Gastos!$A$2:$A$2500)=DF$1)*(MONTH(Gastos!$A$2:$A$2500)=DF$3)*(Gastos!$B$2:$B$2500=$A81)*(Gastos!$D$2:$D$2500))</f>
        <v>0</v>
      </c>
      <c r="DG81" s="75">
        <f t="array" ref="DG81">SUM((YEAR(Gastos!$A$2:$A$2500)=DG$1)*(MONTH(Gastos!$A$2:$A$2500)=DG$3)*(Gastos!$B$2:$B$2500=$A81)*(Gastos!$D$2:$D$2500))</f>
        <v>0</v>
      </c>
      <c r="DH81" s="75">
        <f t="array" ref="DH81">SUM((YEAR(Gastos!$A$2:$A$2500)=DH$1)*(MONTH(Gastos!$A$2:$A$2500)=DH$3)*(Gastos!$B$2:$B$2500=$A81)*(Gastos!$D$2:$D$2500))</f>
        <v>0</v>
      </c>
      <c r="DI81" s="75">
        <f t="array" ref="DI81">SUM((YEAR(Gastos!$A$2:$A$2500)=DI$1)*(MONTH(Gastos!$A$2:$A$2500)=DI$3)*(Gastos!$B$2:$B$2500=$A81)*(Gastos!$D$2:$D$2500))</f>
        <v>0</v>
      </c>
      <c r="DJ81" s="75">
        <f t="array" ref="DJ81">SUM((YEAR(Gastos!$A$2:$A$2500)=DJ$1)*(MONTH(Gastos!$A$2:$A$2500)=DJ$3)*(Gastos!$B$2:$B$2500=$A81)*(Gastos!$D$2:$D$2500))</f>
        <v>0</v>
      </c>
      <c r="DK81" s="75">
        <f t="array" ref="DK81">SUM((YEAR(Gastos!$A$2:$A$2500)=DK$1)*(MONTH(Gastos!$A$2:$A$2500)=DK$3)*(Gastos!$B$2:$B$2500=$A81)*(Gastos!$D$2:$D$2500))</f>
        <v>0</v>
      </c>
      <c r="DL81" s="75">
        <f t="array" ref="DL81">SUM((YEAR(Gastos!$A$2:$A$2500)=DL$1)*(MONTH(Gastos!$A$2:$A$2500)=DL$3)*(Gastos!$B$2:$B$2500=$A81)*(Gastos!$D$2:$D$2500))</f>
        <v>0</v>
      </c>
      <c r="DM81" s="75">
        <f t="array" ref="DM81">SUM((YEAR(Gastos!$A$2:$A$2500)=DM$1)*(MONTH(Gastos!$A$2:$A$2500)=DM$3)*(Gastos!$B$2:$B$2500=$A81)*(Gastos!$D$2:$D$2500))</f>
        <v>0</v>
      </c>
      <c r="DN81" s="75">
        <f t="array" ref="DN81">SUM((YEAR(Gastos!$A$2:$A$2500)=DN$1)*(MONTH(Gastos!$A$2:$A$2500)=DN$3)*(Gastos!$B$2:$B$2500=$A81)*(Gastos!$D$2:$D$2500))</f>
        <v>0</v>
      </c>
      <c r="DO81" s="75">
        <f t="array" ref="DO81">SUM((YEAR(Gastos!$A$2:$A$2500)=DO$1)*(MONTH(Gastos!$A$2:$A$2500)=DO$3)*(Gastos!$B$2:$B$2500=$A81)*(Gastos!$D$2:$D$2500))</f>
        <v>0</v>
      </c>
      <c r="DP81" s="75">
        <f t="array" ref="DP81">SUM((YEAR(Gastos!$A$2:$A$2500)=DP$1)*(MONTH(Gastos!$A$2:$A$2500)=DP$3)*(Gastos!$B$2:$B$2500=$A81)*(Gastos!$D$2:$D$2500))</f>
        <v>0</v>
      </c>
      <c r="DQ81" s="75">
        <f t="array" ref="DQ81">SUM((YEAR(Gastos!$A$2:$A$2500)=DQ$1)*(MONTH(Gastos!$A$2:$A$2500)=DQ$3)*(Gastos!$B$2:$B$2500=$A81)*(Gastos!$D$2:$D$2500))</f>
        <v>0</v>
      </c>
      <c r="DR81" s="75">
        <f t="array" ref="DR81">SUM((YEAR(Gastos!$A$2:$A$2500)=DR$1)*(MONTH(Gastos!$A$2:$A$2500)=DR$3)*(Gastos!$B$2:$B$2500=$A81)*(Gastos!$D$2:$D$2500))</f>
        <v>0</v>
      </c>
      <c r="DS81" s="75">
        <f t="array" ref="DS81">SUM((YEAR(Gastos!$A$2:$A$2500)=DS$1)*(MONTH(Gastos!$A$2:$A$2500)=DS$3)*(Gastos!$B$2:$B$2500=$A81)*(Gastos!$D$2:$D$2500))</f>
        <v>0</v>
      </c>
      <c r="DT81" s="75">
        <f t="array" ref="DT81">SUM((YEAR(Gastos!$A$2:$A$2500)=DT$1)*(MONTH(Gastos!$A$2:$A$2500)=DT$3)*(Gastos!$B$2:$B$2500=$A81)*(Gastos!$D$2:$D$2500))</f>
        <v>0</v>
      </c>
      <c r="DU81" s="75">
        <f t="array" ref="DU81">SUM((YEAR(Gastos!$A$2:$A$2500)=DU$1)*(MONTH(Gastos!$A$2:$A$2500)=DU$3)*(Gastos!$B$2:$B$2500=$A81)*(Gastos!$D$2:$D$2500))</f>
        <v>0</v>
      </c>
      <c r="DV81" s="75">
        <f t="array" ref="DV81">SUM((YEAR(Gastos!$A$2:$A$2500)=DV$1)*(MONTH(Gastos!$A$2:$A$2500)=DV$3)*(Gastos!$B$2:$B$2500=$A81)*(Gastos!$D$2:$D$2500))</f>
        <v>0</v>
      </c>
      <c r="DW81" s="75">
        <f t="array" ref="DW81">SUM((YEAR(Gastos!$A$2:$A$2500)=DW$1)*(MONTH(Gastos!$A$2:$A$2500)=DW$3)*(Gastos!$B$2:$B$2500=$A81)*(Gastos!$D$2:$D$2500))</f>
        <v>0</v>
      </c>
      <c r="DX81" s="75">
        <f t="array" ref="DX81">SUM((YEAR(Gastos!$A$2:$A$2500)=DX$1)*(MONTH(Gastos!$A$2:$A$2500)=DX$3)*(Gastos!$B$2:$B$2500=$A81)*(Gastos!$D$2:$D$2500))</f>
        <v>0</v>
      </c>
      <c r="DY81" s="75">
        <f t="array" ref="DY81">SUM((YEAR(Gastos!$A$2:$A$2500)=DY$1)*(MONTH(Gastos!$A$2:$A$2500)=DY$3)*(Gastos!$B$2:$B$2500=$A81)*(Gastos!$D$2:$D$2500))</f>
        <v>0</v>
      </c>
      <c r="DZ81" s="75">
        <f t="array" ref="DZ81">SUM((YEAR(Gastos!$A$2:$A$2500)=DZ$1)*(MONTH(Gastos!$A$2:$A$2500)=DZ$3)*(Gastos!$B$2:$B$2500=$A81)*(Gastos!$D$2:$D$2500))</f>
        <v>0</v>
      </c>
      <c r="EA81" s="75">
        <f t="array" ref="EA81">SUM((YEAR(Gastos!$A$2:$A$2500)=EA$1)*(MONTH(Gastos!$A$2:$A$2500)=EA$3)*(Gastos!$B$2:$B$2500=$A81)*(Gastos!$D$2:$D$2500))</f>
        <v>0</v>
      </c>
      <c r="EB81" s="75">
        <f t="array" ref="EB81">SUM((YEAR(Gastos!$A$2:$A$2500)=EB$1)*(MONTH(Gastos!$A$2:$A$2500)=EB$3)*(Gastos!$B$2:$B$2500=$A81)*(Gastos!$D$2:$D$2500))</f>
        <v>0</v>
      </c>
      <c r="EC81" s="75">
        <f t="array" ref="EC81">SUM((YEAR(Gastos!$A$2:$A$2500)=EC$1)*(MONTH(Gastos!$A$2:$A$2500)=EC$3)*(Gastos!$B$2:$B$2500=$A81)*(Gastos!$D$2:$D$2500))</f>
        <v>0</v>
      </c>
      <c r="ED81" s="75">
        <f t="array" ref="ED81">SUM((YEAR(Gastos!$A$2:$A$2500)=ED$1)*(MONTH(Gastos!$A$2:$A$2500)=ED$3)*(Gastos!$B$2:$B$2500=$A81)*(Gastos!$D$2:$D$2500))</f>
        <v>0</v>
      </c>
      <c r="EE81" s="75">
        <f t="array" ref="EE81">SUM((YEAR(Gastos!$A$2:$A$2500)=EE$1)*(MONTH(Gastos!$A$2:$A$2500)=EE$3)*(Gastos!$B$2:$B$2500=$A81)*(Gastos!$D$2:$D$2500))</f>
        <v>0</v>
      </c>
      <c r="EF81" s="75">
        <f t="array" ref="EF81">SUM((YEAR(Gastos!$A$2:$A$2500)=EF$1)*(MONTH(Gastos!$A$2:$A$2500)=EF$3)*(Gastos!$B$2:$B$2500=$A81)*(Gastos!$D$2:$D$2500))</f>
        <v>0</v>
      </c>
      <c r="EG81" s="75">
        <f t="array" ref="EG81">SUM((YEAR(Gastos!$A$2:$A$2500)=EG$1)*(MONTH(Gastos!$A$2:$A$2500)=EG$3)*(Gastos!$B$2:$B$2500=$A81)*(Gastos!$D$2:$D$2500))</f>
        <v>0</v>
      </c>
      <c r="EH81" s="75">
        <f t="array" ref="EH81">SUM((YEAR(Gastos!$A$2:$A$2500)=EH$1)*(MONTH(Gastos!$A$2:$A$2500)=EH$3)*(Gastos!$B$2:$B$2500=$A81)*(Gastos!$D$2:$D$2500))</f>
        <v>0</v>
      </c>
      <c r="EI81" s="75">
        <f t="array" ref="EI81">SUM((YEAR(Gastos!$A$2:$A$2500)=EI$1)*(MONTH(Gastos!$A$2:$A$2500)=EI$3)*(Gastos!$B$2:$B$2500=$A81)*(Gastos!$D$2:$D$2500))</f>
        <v>0</v>
      </c>
      <c r="EJ81" s="75">
        <f t="array" ref="EJ81">SUM((YEAR(Gastos!$A$2:$A$2500)=EJ$1)*(MONTH(Gastos!$A$2:$A$2500)=EJ$3)*(Gastos!$B$2:$B$2500=$A81)*(Gastos!$D$2:$D$2500))</f>
        <v>0</v>
      </c>
      <c r="EK81" s="75">
        <f t="array" ref="EK81">SUM((YEAR(Gastos!$A$2:$A$2500)=EK$1)*(MONTH(Gastos!$A$2:$A$2500)=EK$3)*(Gastos!$B$2:$B$2500=$A81)*(Gastos!$D$2:$D$2500))</f>
        <v>0</v>
      </c>
      <c r="EL81" s="75">
        <f t="array" ref="EL81">SUM((YEAR(Gastos!$A$2:$A$2500)=EL$1)*(MONTH(Gastos!$A$2:$A$2500)=EL$3)*(Gastos!$B$2:$B$2500=$A81)*(Gastos!$D$2:$D$2500))</f>
        <v>0</v>
      </c>
      <c r="EM81" s="75">
        <f t="array" ref="EM81">SUM((YEAR(Gastos!$A$2:$A$2500)=EM$1)*(MONTH(Gastos!$A$2:$A$2500)=EM$3)*(Gastos!$B$2:$B$2500=$A81)*(Gastos!$D$2:$D$2500))</f>
        <v>0</v>
      </c>
      <c r="EN81" s="75">
        <f t="array" ref="EN81">SUM((YEAR(Gastos!$A$2:$A$2500)=EN$1)*(MONTH(Gastos!$A$2:$A$2500)=EN$3)*(Gastos!$B$2:$B$2500=$A81)*(Gastos!$D$2:$D$2500))</f>
        <v>0</v>
      </c>
      <c r="EO81" s="75">
        <f t="array" ref="EO81">SUM((YEAR(Gastos!$A$2:$A$2500)=EO$1)*(MONTH(Gastos!$A$2:$A$2500)=EO$3)*(Gastos!$B$2:$B$2500=$A81)*(Gastos!$D$2:$D$2500))</f>
        <v>0</v>
      </c>
      <c r="EP81" s="75">
        <f t="array" ref="EP81">SUM((YEAR(Gastos!$A$2:$A$2500)=EP$1)*(MONTH(Gastos!$A$2:$A$2500)=EP$3)*(Gastos!$B$2:$B$2500=$A81)*(Gastos!$D$2:$D$2500))</f>
        <v>0</v>
      </c>
      <c r="EQ81" s="75">
        <f t="array" ref="EQ81">SUM((YEAR(Gastos!$A$2:$A$2500)=EQ$1)*(MONTH(Gastos!$A$2:$A$2500)=EQ$3)*(Gastos!$B$2:$B$2500=$A81)*(Gastos!$D$2:$D$2500))</f>
        <v>0</v>
      </c>
      <c r="ER81" s="75">
        <f t="array" ref="ER81">SUM((YEAR(Gastos!$A$2:$A$2500)=ER$1)*(MONTH(Gastos!$A$2:$A$2500)=ER$3)*(Gastos!$B$2:$B$2500=$A81)*(Gastos!$D$2:$D$2500))</f>
        <v>0</v>
      </c>
      <c r="ES81" s="75">
        <f t="array" ref="ES81">SUM((YEAR(Gastos!$A$2:$A$2500)=ES$1)*(MONTH(Gastos!$A$2:$A$2500)=ES$3)*(Gastos!$B$2:$B$2500=$A81)*(Gastos!$D$2:$D$2500))</f>
        <v>0</v>
      </c>
      <c r="ET81" s="75">
        <f t="array" ref="ET81">SUM((YEAR(Gastos!$A$2:$A$2500)=ET$1)*(MONTH(Gastos!$A$2:$A$2500)=ET$3)*(Gastos!$B$2:$B$2500=$A81)*(Gastos!$D$2:$D$2500))</f>
        <v>0</v>
      </c>
      <c r="EU81" s="75">
        <f t="array" ref="EU81">SUM((YEAR(Gastos!$A$2:$A$2500)=EU$1)*(MONTH(Gastos!$A$2:$A$2500)=EU$3)*(Gastos!$B$2:$B$2500=$A81)*(Gastos!$D$2:$D$2500))</f>
        <v>0</v>
      </c>
      <c r="EV81" s="75">
        <f t="array" ref="EV81">SUM((YEAR(Gastos!$A$2:$A$2500)=EV$1)*(MONTH(Gastos!$A$2:$A$2500)=EV$3)*(Gastos!$B$2:$B$2500=$A81)*(Gastos!$D$2:$D$2500))</f>
        <v>0</v>
      </c>
      <c r="EW81" s="75">
        <f t="array" ref="EW81">SUM((YEAR(Gastos!$A$2:$A$2500)=EW$1)*(MONTH(Gastos!$A$2:$A$2500)=EW$3)*(Gastos!$B$2:$B$2500=$A81)*(Gastos!$D$2:$D$2500))</f>
        <v>0</v>
      </c>
      <c r="EX81" s="75">
        <f t="array" ref="EX81">SUM((YEAR(Gastos!$A$2:$A$2500)=EX$1)*(MONTH(Gastos!$A$2:$A$2500)=EX$3)*(Gastos!$B$2:$B$2500=$A81)*(Gastos!$D$2:$D$2500))</f>
        <v>0</v>
      </c>
      <c r="EY81" s="75">
        <f t="array" ref="EY81">SUM((YEAR(Gastos!$A$2:$A$2500)=EY$1)*(MONTH(Gastos!$A$2:$A$2500)=EY$3)*(Gastos!$B$2:$B$2500=$A81)*(Gastos!$D$2:$D$2500))</f>
        <v>0</v>
      </c>
      <c r="EZ81" s="75">
        <f t="array" ref="EZ81">SUM((YEAR(Gastos!$A$2:$A$2500)=EZ$1)*(MONTH(Gastos!$A$2:$A$2500)=EZ$3)*(Gastos!$B$2:$B$2500=$A81)*(Gastos!$D$2:$D$2500))</f>
        <v>0</v>
      </c>
      <c r="FA81" s="75">
        <f t="array" ref="FA81">SUM((YEAR(Gastos!$A$2:$A$2500)=FA$1)*(MONTH(Gastos!$A$2:$A$2500)=FA$3)*(Gastos!$B$2:$B$2500=$A81)*(Gastos!$D$2:$D$2500))</f>
        <v>0</v>
      </c>
      <c r="FB81" s="75">
        <f t="array" ref="FB81">SUM((YEAR(Gastos!$A$2:$A$2500)=FB$1)*(MONTH(Gastos!$A$2:$A$2500)=FB$3)*(Gastos!$B$2:$B$2500=$A81)*(Gastos!$D$2:$D$2500))</f>
        <v>0</v>
      </c>
      <c r="FC81" s="75">
        <f t="array" ref="FC81">SUM((YEAR(Gastos!$A$2:$A$2500)=FC$1)*(MONTH(Gastos!$A$2:$A$2500)=FC$3)*(Gastos!$B$2:$B$2500=$A81)*(Gastos!$D$2:$D$2500))</f>
        <v>0</v>
      </c>
      <c r="FD81" s="75">
        <f t="array" ref="FD81">SUM((YEAR(Gastos!$A$2:$A$2500)=FD$1)*(MONTH(Gastos!$A$2:$A$2500)=FD$3)*(Gastos!$B$2:$B$2500=$A81)*(Gastos!$D$2:$D$2500))</f>
        <v>0</v>
      </c>
      <c r="FE81" s="75">
        <f t="array" ref="FE81">SUM((YEAR(Gastos!$A$2:$A$2500)=FE$1)*(MONTH(Gastos!$A$2:$A$2500)=FE$3)*(Gastos!$B$2:$B$2500=$A81)*(Gastos!$D$2:$D$2500))</f>
        <v>0</v>
      </c>
      <c r="FF81" s="75">
        <f t="array" ref="FF81">SUM((YEAR(Gastos!$A$2:$A$2500)=FF$1)*(MONTH(Gastos!$A$2:$A$2500)=FF$3)*(Gastos!$B$2:$B$2500=$A81)*(Gastos!$D$2:$D$2500))</f>
        <v>0</v>
      </c>
      <c r="FG81" s="75">
        <f t="array" ref="FG81">SUM((YEAR(Gastos!$A$2:$A$2500)=FG$1)*(MONTH(Gastos!$A$2:$A$2500)=FG$3)*(Gastos!$B$2:$B$2500=$A81)*(Gastos!$D$2:$D$2500))</f>
        <v>0</v>
      </c>
      <c r="FH81" s="75">
        <f t="array" ref="FH81">SUM((YEAR(Gastos!$A$2:$A$2500)=FH$1)*(MONTH(Gastos!$A$2:$A$2500)=FH$3)*(Gastos!$B$2:$B$2500=$A81)*(Gastos!$D$2:$D$2500))</f>
        <v>0</v>
      </c>
      <c r="FI81" s="75">
        <f t="array" ref="FI81">SUM((YEAR(Gastos!$A$2:$A$2500)=FI$1)*(MONTH(Gastos!$A$2:$A$2500)=FI$3)*(Gastos!$B$2:$B$2500=$A81)*(Gastos!$D$2:$D$2500))</f>
        <v>0</v>
      </c>
      <c r="FJ81" s="75">
        <f t="array" ref="FJ81">SUM((YEAR(Gastos!$A$2:$A$2500)=FJ$1)*(MONTH(Gastos!$A$2:$A$2500)=FJ$3)*(Gastos!$B$2:$B$2500=$A81)*(Gastos!$D$2:$D$2500))</f>
        <v>0</v>
      </c>
      <c r="FK81" s="75">
        <f t="array" ref="FK81">SUM((YEAR(Gastos!$A$2:$A$2500)=FK$1)*(MONTH(Gastos!$A$2:$A$2500)=FK$3)*(Gastos!$B$2:$B$2500=$A81)*(Gastos!$D$2:$D$2500))</f>
        <v>0</v>
      </c>
      <c r="FL81" s="75">
        <f t="array" ref="FL81">SUM((YEAR(Gastos!$A$2:$A$2500)=FL$1)*(MONTH(Gastos!$A$2:$A$2500)=FL$3)*(Gastos!$B$2:$B$2500=$A81)*(Gastos!$D$2:$D$2500))</f>
        <v>0</v>
      </c>
      <c r="FM81" s="75">
        <f t="array" ref="FM81">SUM((YEAR(Gastos!$A$2:$A$2500)=FM$1)*(MONTH(Gastos!$A$2:$A$2500)=FM$3)*(Gastos!$B$2:$B$2500=$A81)*(Gastos!$D$2:$D$2500))</f>
        <v>0</v>
      </c>
      <c r="FN81" s="75">
        <f t="array" ref="FN81">SUM((YEAR(Gastos!$A$2:$A$2500)=FN$1)*(MONTH(Gastos!$A$2:$A$2500)=FN$3)*(Gastos!$B$2:$B$2500=$A81)*(Gastos!$D$2:$D$2500))</f>
        <v>0</v>
      </c>
      <c r="FO81" s="75">
        <f t="array" ref="FO81">SUM((YEAR(Gastos!$A$2:$A$2500)=FO$1)*(MONTH(Gastos!$A$2:$A$2500)=FO$3)*(Gastos!$B$2:$B$2500=$A81)*(Gastos!$D$2:$D$2500))</f>
        <v>0</v>
      </c>
      <c r="FP81" s="75">
        <f t="array" ref="FP81">SUM((YEAR(Gastos!$A$2:$A$2500)=FP$1)*(MONTH(Gastos!$A$2:$A$2500)=FP$3)*(Gastos!$B$2:$B$2500=$A81)*(Gastos!$D$2:$D$2500))</f>
        <v>0</v>
      </c>
      <c r="FQ81" s="75">
        <f t="array" ref="FQ81">SUM((YEAR(Gastos!$A$2:$A$2500)=FQ$1)*(MONTH(Gastos!$A$2:$A$2500)=FQ$3)*(Gastos!$B$2:$B$2500=$A81)*(Gastos!$D$2:$D$2500))</f>
        <v>0</v>
      </c>
      <c r="FR81" s="75">
        <f t="array" ref="FR81">SUM((YEAR(Gastos!$A$2:$A$2500)=FR$1)*(MONTH(Gastos!$A$2:$A$2500)=FR$3)*(Gastos!$B$2:$B$2500=$A81)*(Gastos!$D$2:$D$2500))</f>
        <v>0</v>
      </c>
      <c r="FS81" s="75">
        <f t="array" ref="FS81">SUM((YEAR(Gastos!$A$2:$A$2500)=FS$1)*(MONTH(Gastos!$A$2:$A$2500)=FS$3)*(Gastos!$B$2:$B$2500=$A81)*(Gastos!$D$2:$D$2500))</f>
        <v>0</v>
      </c>
      <c r="FT81" s="75">
        <f t="array" ref="FT81">SUM((YEAR(Gastos!$A$2:$A$2500)=FT$1)*(MONTH(Gastos!$A$2:$A$2500)=FT$3)*(Gastos!$B$2:$B$2500=$A81)*(Gastos!$D$2:$D$2500))</f>
        <v>0</v>
      </c>
      <c r="FU81" s="75">
        <f t="array" ref="FU81">SUM((YEAR(Gastos!$A$2:$A$2500)=FU$1)*(MONTH(Gastos!$A$2:$A$2500)=FU$3)*(Gastos!$B$2:$B$2500=$A81)*(Gastos!$D$2:$D$2500))</f>
        <v>0</v>
      </c>
      <c r="FV81" s="75">
        <f t="array" ref="FV81">SUM((YEAR(Gastos!$A$2:$A$2500)=FV$1)*(MONTH(Gastos!$A$2:$A$2500)=FV$3)*(Gastos!$B$2:$B$2500=$A81)*(Gastos!$D$2:$D$2500))</f>
        <v>0</v>
      </c>
      <c r="FW81" s="75">
        <f t="array" ref="FW81">SUM((YEAR(Gastos!$A$2:$A$2500)=FW$1)*(MONTH(Gastos!$A$2:$A$2500)=FW$3)*(Gastos!$B$2:$B$2500=$A81)*(Gastos!$D$2:$D$2500))</f>
        <v>0</v>
      </c>
      <c r="FX81" s="75">
        <f t="array" ref="FX81">SUM((YEAR(Gastos!$A$2:$A$2500)=FX$1)*(MONTH(Gastos!$A$2:$A$2500)=FX$3)*(Gastos!$B$2:$B$2500=$A81)*(Gastos!$D$2:$D$2500))</f>
        <v>0</v>
      </c>
      <c r="FY81" s="75">
        <f t="array" ref="FY81">SUM((YEAR(Gastos!$A$2:$A$2500)=FY$1)*(MONTH(Gastos!$A$2:$A$2500)=FY$3)*(Gastos!$B$2:$B$2500=$A81)*(Gastos!$D$2:$D$2500))</f>
        <v>0</v>
      </c>
      <c r="FZ81" s="76">
        <f t="shared" si="68"/>
        <v>0</v>
      </c>
      <c r="GA81" s="80"/>
      <c r="GB81" s="82"/>
    </row>
    <row r="82" spans="1:184" ht="15" thickBot="1" x14ac:dyDescent="0.4">
      <c r="A82" s="74" t="str">
        <f>Gastos!AA80</f>
        <v>X</v>
      </c>
      <c r="B82" s="75">
        <f t="array" ref="B82">SUM((YEAR(Gastos!$A$2:$A$2500)=B$1)*(MONTH(Gastos!$A$2:$A$2500)=B$3)*(Gastos!$B$2:$B$2500=$A82)*(Gastos!$D$2:$D$2500))</f>
        <v>0</v>
      </c>
      <c r="C82" s="75">
        <f t="array" ref="C82">SUM((YEAR(Gastos!$A$2:$A$2500)=C$1)*(MONTH(Gastos!$A$2:$A$2500)=C$3)*(Gastos!$B$2:$B$2500=$A82)*(Gastos!$D$2:$D$2500))</f>
        <v>0</v>
      </c>
      <c r="D82" s="75">
        <f t="array" ref="D82">SUM((YEAR(Gastos!$A$2:$A$2500)=D$1)*(MONTH(Gastos!$A$2:$A$2500)=D$3)*(Gastos!$B$2:$B$2500=$A82)*(Gastos!$D$2:$D$2500))</f>
        <v>0</v>
      </c>
      <c r="E82" s="75">
        <f t="array" ref="E82">SUM((YEAR(Gastos!$A$2:$A$2500)=E$1)*(MONTH(Gastos!$A$2:$A$2500)=E$3)*(Gastos!$B$2:$B$2500=$A82)*(Gastos!$D$2:$D$2500))</f>
        <v>0</v>
      </c>
      <c r="F82" s="75">
        <f t="array" ref="F82">SUM((YEAR(Gastos!$A$2:$A$2500)=F$1)*(MONTH(Gastos!$A$2:$A$2500)=F$3)*(Gastos!$B$2:$B$2500=$A82)*(Gastos!$D$2:$D$2500))</f>
        <v>0</v>
      </c>
      <c r="G82" s="75">
        <f t="array" ref="G82">SUM((YEAR(Gastos!$A$2:$A$2500)=G$1)*(MONTH(Gastos!$A$2:$A$2500)=G$3)*(Gastos!$B$2:$B$2500=$A82)*(Gastos!$D$2:$D$2500))</f>
        <v>0</v>
      </c>
      <c r="H82" s="75">
        <f t="array" ref="H82">SUM((YEAR(Gastos!$A$2:$A$2500)=H$1)*(MONTH(Gastos!$A$2:$A$2500)=H$3)*(Gastos!$B$2:$B$2500=$A82)*(Gastos!$D$2:$D$2500))</f>
        <v>0</v>
      </c>
      <c r="I82" s="75">
        <f t="array" ref="I82">SUM((YEAR(Gastos!$A$2:$A$2500)=I$1)*(MONTH(Gastos!$A$2:$A$2500)=I$3)*(Gastos!$B$2:$B$2500=$A82)*(Gastos!$D$2:$D$2500))</f>
        <v>0</v>
      </c>
      <c r="J82" s="75">
        <f t="array" ref="J82">SUM((YEAR(Gastos!$A$2:$A$2500)=J$1)*(MONTH(Gastos!$A$2:$A$2500)=J$3)*(Gastos!$B$2:$B$2500=$A82)*(Gastos!$D$2:$D$2500))</f>
        <v>0</v>
      </c>
      <c r="K82" s="75">
        <f t="array" ref="K82">SUM((YEAR(Gastos!$A$2:$A$2500)=K$1)*(MONTH(Gastos!$A$2:$A$2500)=K$3)*(Gastos!$B$2:$B$2500=$A82)*(Gastos!$D$2:$D$2500))</f>
        <v>0</v>
      </c>
      <c r="L82" s="75">
        <f t="array" ref="L82">SUM((YEAR(Gastos!$A$2:$A$2500)=L$1)*(MONTH(Gastos!$A$2:$A$2500)=L$3)*(Gastos!$B$2:$B$2500=$A82)*(Gastos!$D$2:$D$2500))</f>
        <v>0</v>
      </c>
      <c r="M82" s="75">
        <f t="array" ref="M82">SUM((YEAR(Gastos!$A$2:$A$2500)=M$1)*(MONTH(Gastos!$A$2:$A$2500)=M$3)*(Gastos!$B$2:$B$2500=$A82)*(Gastos!$D$2:$D$2500))</f>
        <v>0</v>
      </c>
      <c r="N82" s="75">
        <f t="array" ref="N82">SUM((YEAR(Gastos!$A$2:$A$2500)=N$1)*(MONTH(Gastos!$A$2:$A$2500)=N$3)*(Gastos!$B$2:$B$2500=$A82)*(Gastos!$D$2:$D$2500))</f>
        <v>0</v>
      </c>
      <c r="O82" s="75">
        <f t="array" ref="O82">SUM((YEAR(Gastos!$A$2:$A$2500)=O$1)*(MONTH(Gastos!$A$2:$A$2500)=O$3)*(Gastos!$B$2:$B$2500=$A82)*(Gastos!$D$2:$D$2500))</f>
        <v>0</v>
      </c>
      <c r="P82" s="75">
        <f t="array" ref="P82">SUM((YEAR(Gastos!$A$2:$A$2500)=P$1)*(MONTH(Gastos!$A$2:$A$2500)=P$3)*(Gastos!$B$2:$B$2500=$A82)*(Gastos!$D$2:$D$2500))</f>
        <v>0</v>
      </c>
      <c r="Q82" s="75">
        <f t="array" ref="Q82">SUM((YEAR(Gastos!$A$2:$A$2500)=Q$1)*(MONTH(Gastos!$A$2:$A$2500)=Q$3)*(Gastos!$B$2:$B$2500=$A82)*(Gastos!$D$2:$D$2500))</f>
        <v>0</v>
      </c>
      <c r="R82" s="75">
        <f t="array" ref="R82">SUM((YEAR(Gastos!$A$2:$A$2500)=R$1)*(MONTH(Gastos!$A$2:$A$2500)=R$3)*(Gastos!$B$2:$B$2500=$A82)*(Gastos!$D$2:$D$2500))</f>
        <v>0</v>
      </c>
      <c r="S82" s="75">
        <f t="array" ref="S82">SUM((YEAR(Gastos!$A$2:$A$2500)=S$1)*(MONTH(Gastos!$A$2:$A$2500)=S$3)*(Gastos!$B$2:$B$2500=$A82)*(Gastos!$D$2:$D$2500))</f>
        <v>0</v>
      </c>
      <c r="T82" s="75">
        <f t="array" ref="T82">SUM((YEAR(Gastos!$A$2:$A$2500)=T$1)*(MONTH(Gastos!$A$2:$A$2500)=T$3)*(Gastos!$B$2:$B$2500=$A82)*(Gastos!$D$2:$D$2500))</f>
        <v>0</v>
      </c>
      <c r="U82" s="75">
        <f t="array" ref="U82">SUM((YEAR(Gastos!$A$2:$A$2500)=U$1)*(MONTH(Gastos!$A$2:$A$2500)=U$3)*(Gastos!$B$2:$B$2500=$A82)*(Gastos!$D$2:$D$2500))</f>
        <v>0</v>
      </c>
      <c r="V82" s="75">
        <f t="array" ref="V82">SUM((YEAR(Gastos!$A$2:$A$2500)=V$1)*(MONTH(Gastos!$A$2:$A$2500)=V$3)*(Gastos!$B$2:$B$2500=$A82)*(Gastos!$D$2:$D$2500))</f>
        <v>0</v>
      </c>
      <c r="W82" s="75">
        <f t="array" ref="W82">SUM((YEAR(Gastos!$A$2:$A$2500)=W$1)*(MONTH(Gastos!$A$2:$A$2500)=W$3)*(Gastos!$B$2:$B$2500=$A82)*(Gastos!$D$2:$D$2500))</f>
        <v>0</v>
      </c>
      <c r="X82" s="75">
        <f t="array" ref="X82">SUM((YEAR(Gastos!$A$2:$A$2500)=X$1)*(MONTH(Gastos!$A$2:$A$2500)=X$3)*(Gastos!$B$2:$B$2500=$A82)*(Gastos!$D$2:$D$2500))</f>
        <v>0</v>
      </c>
      <c r="Y82" s="75">
        <f t="array" ref="Y82">SUM((YEAR(Gastos!$A$2:$A$2500)=Y$1)*(MONTH(Gastos!$A$2:$A$2500)=Y$3)*(Gastos!$B$2:$B$2500=$A82)*(Gastos!$D$2:$D$2500))</f>
        <v>0</v>
      </c>
      <c r="Z82" s="75">
        <f t="array" ref="Z82">SUM((YEAR(Gastos!$A$2:$A$2500)=Z$1)*(MONTH(Gastos!$A$2:$A$2500)=Z$3)*(Gastos!$B$2:$B$2500=$A82)*(Gastos!$D$2:$D$2500))</f>
        <v>0</v>
      </c>
      <c r="AA82" s="75">
        <f t="array" ref="AA82">SUM((YEAR(Gastos!$A$2:$A$2500)=AA$1)*(MONTH(Gastos!$A$2:$A$2500)=AA$3)*(Gastos!$B$2:$B$2500=$A82)*(Gastos!$D$2:$D$2500))</f>
        <v>0</v>
      </c>
      <c r="AB82" s="75">
        <f t="array" ref="AB82">SUM((YEAR(Gastos!$A$2:$A$2500)=AB$1)*(MONTH(Gastos!$A$2:$A$2500)=AB$3)*(Gastos!$B$2:$B$2500=$A82)*(Gastos!$D$2:$D$2500))</f>
        <v>0</v>
      </c>
      <c r="AC82" s="75">
        <f t="array" ref="AC82">SUM((YEAR(Gastos!$A$2:$A$2500)=AC$1)*(MONTH(Gastos!$A$2:$A$2500)=AC$3)*(Gastos!$B$2:$B$2500=$A82)*(Gastos!$D$2:$D$2500))</f>
        <v>0</v>
      </c>
      <c r="AD82" s="75">
        <f t="array" ref="AD82">SUM((YEAR(Gastos!$A$2:$A$2500)=AD$1)*(MONTH(Gastos!$A$2:$A$2500)=AD$3)*(Gastos!$B$2:$B$2500=$A82)*(Gastos!$D$2:$D$2500))</f>
        <v>0</v>
      </c>
      <c r="AE82" s="75">
        <f t="array" ref="AE82">SUM((YEAR(Gastos!$A$2:$A$2500)=AE$1)*(MONTH(Gastos!$A$2:$A$2500)=AE$3)*(Gastos!$B$2:$B$2500=$A82)*(Gastos!$D$2:$D$2500))</f>
        <v>0</v>
      </c>
      <c r="AF82" s="75">
        <f t="array" ref="AF82">SUM((YEAR(Gastos!$A$2:$A$2500)=AF$1)*(MONTH(Gastos!$A$2:$A$2500)=AF$3)*(Gastos!$B$2:$B$2500=$A82)*(Gastos!$D$2:$D$2500))</f>
        <v>0</v>
      </c>
      <c r="AG82" s="75">
        <f t="array" ref="AG82">SUM((YEAR(Gastos!$A$2:$A$2500)=AG$1)*(MONTH(Gastos!$A$2:$A$2500)=AG$3)*(Gastos!$B$2:$B$2500=$A82)*(Gastos!$D$2:$D$2500))</f>
        <v>0</v>
      </c>
      <c r="AH82" s="75">
        <f t="array" ref="AH82">SUM((YEAR(Gastos!$A$2:$A$2500)=AH$1)*(MONTH(Gastos!$A$2:$A$2500)=AH$3)*(Gastos!$B$2:$B$2500=$A82)*(Gastos!$D$2:$D$2500))</f>
        <v>0</v>
      </c>
      <c r="AI82" s="75">
        <f t="array" ref="AI82">SUM((YEAR(Gastos!$A$2:$A$2500)=AI$1)*(MONTH(Gastos!$A$2:$A$2500)=AI$3)*(Gastos!$B$2:$B$2500=$A82)*(Gastos!$D$2:$D$2500))</f>
        <v>0</v>
      </c>
      <c r="AJ82" s="75">
        <f t="array" ref="AJ82">SUM((YEAR(Gastos!$A$2:$A$2500)=AJ$1)*(MONTH(Gastos!$A$2:$A$2500)=AJ$3)*(Gastos!$B$2:$B$2500=$A82)*(Gastos!$D$2:$D$2500))</f>
        <v>0</v>
      </c>
      <c r="AK82" s="75">
        <f t="array" ref="AK82">SUM((YEAR(Gastos!$A$2:$A$2500)=AK$1)*(MONTH(Gastos!$A$2:$A$2500)=AK$3)*(Gastos!$B$2:$B$2500=$A82)*(Gastos!$D$2:$D$2500))</f>
        <v>0</v>
      </c>
      <c r="AL82" s="75">
        <f t="array" ref="AL82">SUM((YEAR(Gastos!$A$2:$A$2500)=AL$1)*(MONTH(Gastos!$A$2:$A$2500)=AL$3)*(Gastos!$B$2:$B$2500=$A82)*(Gastos!$D$2:$D$2500))</f>
        <v>0</v>
      </c>
      <c r="AM82" s="75">
        <f t="array" ref="AM82">SUM((YEAR(Gastos!$A$2:$A$2500)=AM$1)*(MONTH(Gastos!$A$2:$A$2500)=AM$3)*(Gastos!$B$2:$B$2500=$A82)*(Gastos!$D$2:$D$2500))</f>
        <v>0</v>
      </c>
      <c r="AN82" s="75">
        <f t="array" ref="AN82">SUM((YEAR(Gastos!$A$2:$A$2500)=AN$1)*(MONTH(Gastos!$A$2:$A$2500)=AN$3)*(Gastos!$B$2:$B$2500=$A82)*(Gastos!$D$2:$D$2500))</f>
        <v>0</v>
      </c>
      <c r="AO82" s="75">
        <f t="array" ref="AO82">SUM((YEAR(Gastos!$A$2:$A$2500)=AO$1)*(MONTH(Gastos!$A$2:$A$2500)=AO$3)*(Gastos!$B$2:$B$2500=$A82)*(Gastos!$D$2:$D$2500))</f>
        <v>0</v>
      </c>
      <c r="AP82" s="75">
        <f t="array" ref="AP82">SUM((YEAR(Gastos!$A$2:$A$2500)=AP$1)*(MONTH(Gastos!$A$2:$A$2500)=AP$3)*(Gastos!$B$2:$B$2500=$A82)*(Gastos!$D$2:$D$2500))</f>
        <v>0</v>
      </c>
      <c r="AQ82" s="75">
        <f t="array" ref="AQ82">SUM((YEAR(Gastos!$A$2:$A$2500)=AQ$1)*(MONTH(Gastos!$A$2:$A$2500)=AQ$3)*(Gastos!$B$2:$B$2500=$A82)*(Gastos!$D$2:$D$2500))</f>
        <v>0</v>
      </c>
      <c r="AR82" s="75">
        <f t="array" ref="AR82">SUM((YEAR(Gastos!$A$2:$A$2500)=AR$1)*(MONTH(Gastos!$A$2:$A$2500)=AR$3)*(Gastos!$B$2:$B$2500=$A82)*(Gastos!$D$2:$D$2500))</f>
        <v>0</v>
      </c>
      <c r="AS82" s="75">
        <f t="array" ref="AS82">SUM((YEAR(Gastos!$A$2:$A$2500)=AS$1)*(MONTH(Gastos!$A$2:$A$2500)=AS$3)*(Gastos!$B$2:$B$2500=$A82)*(Gastos!$D$2:$D$2500))</f>
        <v>0</v>
      </c>
      <c r="AT82" s="75">
        <f t="array" ref="AT82">SUM((YEAR(Gastos!$A$2:$A$2500)=AT$1)*(MONTH(Gastos!$A$2:$A$2500)=AT$3)*(Gastos!$B$2:$B$2500=$A82)*(Gastos!$D$2:$D$2500))</f>
        <v>0</v>
      </c>
      <c r="AU82" s="75">
        <f t="array" ref="AU82">SUM((YEAR(Gastos!$A$2:$A$2500)=AU$1)*(MONTH(Gastos!$A$2:$A$2500)=AU$3)*(Gastos!$B$2:$B$2500=$A82)*(Gastos!$D$2:$D$2500))</f>
        <v>0</v>
      </c>
      <c r="AV82" s="75">
        <f t="array" ref="AV82">SUM((YEAR(Gastos!$A$2:$A$2500)=AV$1)*(MONTH(Gastos!$A$2:$A$2500)=AV$3)*(Gastos!$B$2:$B$2500=$A82)*(Gastos!$D$2:$D$2500))</f>
        <v>0</v>
      </c>
      <c r="AW82" s="75">
        <f t="array" ref="AW82">SUM((YEAR(Gastos!$A$2:$A$2500)=AW$1)*(MONTH(Gastos!$A$2:$A$2500)=AW$3)*(Gastos!$B$2:$B$2500=$A82)*(Gastos!$D$2:$D$2500))</f>
        <v>0</v>
      </c>
      <c r="AX82" s="75">
        <f t="array" ref="AX82">SUM((YEAR(Gastos!$A$2:$A$2500)=AX$1)*(MONTH(Gastos!$A$2:$A$2500)=AX$3)*(Gastos!$B$2:$B$2500=$A82)*(Gastos!$D$2:$D$2500))</f>
        <v>0</v>
      </c>
      <c r="AY82" s="75">
        <f t="array" ref="AY82">SUM((YEAR(Gastos!$A$2:$A$2500)=AY$1)*(MONTH(Gastos!$A$2:$A$2500)=AY$3)*(Gastos!$B$2:$B$2500=$A82)*(Gastos!$D$2:$D$2500))</f>
        <v>0</v>
      </c>
      <c r="AZ82" s="75">
        <f t="array" ref="AZ82">SUM((YEAR(Gastos!$A$2:$A$2500)=AZ$1)*(MONTH(Gastos!$A$2:$A$2500)=AZ$3)*(Gastos!$B$2:$B$2500=$A82)*(Gastos!$D$2:$D$2500))</f>
        <v>0</v>
      </c>
      <c r="BA82" s="75">
        <f t="array" ref="BA82">SUM((YEAR(Gastos!$A$2:$A$2500)=BA$1)*(MONTH(Gastos!$A$2:$A$2500)=BA$3)*(Gastos!$B$2:$B$2500=$A82)*(Gastos!$D$2:$D$2500))</f>
        <v>0</v>
      </c>
      <c r="BB82" s="75">
        <f t="array" ref="BB82">SUM((YEAR(Gastos!$A$2:$A$2500)=BB$1)*(MONTH(Gastos!$A$2:$A$2500)=BB$3)*(Gastos!$B$2:$B$2500=$A82)*(Gastos!$D$2:$D$2500))</f>
        <v>0</v>
      </c>
      <c r="BC82" s="75">
        <f t="array" ref="BC82">SUM((YEAR(Gastos!$A$2:$A$2500)=BC$1)*(MONTH(Gastos!$A$2:$A$2500)=BC$3)*(Gastos!$B$2:$B$2500=$A82)*(Gastos!$D$2:$D$2500))</f>
        <v>0</v>
      </c>
      <c r="BD82" s="75">
        <f t="array" ref="BD82">SUM((YEAR(Gastos!$A$2:$A$2500)=BD$1)*(MONTH(Gastos!$A$2:$A$2500)=BD$3)*(Gastos!$B$2:$B$2500=$A82)*(Gastos!$D$2:$D$2500))</f>
        <v>0</v>
      </c>
      <c r="BE82" s="75">
        <f t="array" ref="BE82">SUM((YEAR(Gastos!$A$2:$A$2500)=BE$1)*(MONTH(Gastos!$A$2:$A$2500)=BE$3)*(Gastos!$B$2:$B$2500=$A82)*(Gastos!$D$2:$D$2500))</f>
        <v>0</v>
      </c>
      <c r="BF82" s="75">
        <f t="array" ref="BF82">SUM((YEAR(Gastos!$A$2:$A$2500)=BF$1)*(MONTH(Gastos!$A$2:$A$2500)=BF$3)*(Gastos!$B$2:$B$2500=$A82)*(Gastos!$D$2:$D$2500))</f>
        <v>0</v>
      </c>
      <c r="BG82" s="75">
        <f t="array" ref="BG82">SUM((YEAR(Gastos!$A$2:$A$2500)=BG$1)*(MONTH(Gastos!$A$2:$A$2500)=BG$3)*(Gastos!$B$2:$B$2500=$A82)*(Gastos!$D$2:$D$2500))</f>
        <v>0</v>
      </c>
      <c r="BH82" s="75">
        <f t="array" ref="BH82">SUM((YEAR(Gastos!$A$2:$A$2500)=BH$1)*(MONTH(Gastos!$A$2:$A$2500)=BH$3)*(Gastos!$B$2:$B$2500=$A82)*(Gastos!$D$2:$D$2500))</f>
        <v>0</v>
      </c>
      <c r="BI82" s="75">
        <f t="array" ref="BI82">SUM((YEAR(Gastos!$A$2:$A$2500)=BI$1)*(MONTH(Gastos!$A$2:$A$2500)=BI$3)*(Gastos!$B$2:$B$2500=$A82)*(Gastos!$D$2:$D$2500))</f>
        <v>0</v>
      </c>
      <c r="BJ82" s="75">
        <f t="array" ref="BJ82">SUM((YEAR(Gastos!$A$2:$A$2500)=BJ$1)*(MONTH(Gastos!$A$2:$A$2500)=BJ$3)*(Gastos!$B$2:$B$2500=$A82)*(Gastos!$D$2:$D$2500))</f>
        <v>0</v>
      </c>
      <c r="BK82" s="75">
        <f t="array" ref="BK82">SUM((YEAR(Gastos!$A$2:$A$2500)=BK$1)*(MONTH(Gastos!$A$2:$A$2500)=BK$3)*(Gastos!$B$2:$B$2500=$A82)*(Gastos!$D$2:$D$2500))</f>
        <v>0</v>
      </c>
      <c r="BL82" s="75">
        <f t="array" ref="BL82">SUM((YEAR(Gastos!$A$2:$A$2500)=BL$1)*(MONTH(Gastos!$A$2:$A$2500)=BL$3)*(Gastos!$B$2:$B$2500=$A82)*(Gastos!$D$2:$D$2500))</f>
        <v>0</v>
      </c>
      <c r="BM82" s="75">
        <f t="array" ref="BM82">SUM((YEAR(Gastos!$A$2:$A$2500)=BM$1)*(MONTH(Gastos!$A$2:$A$2500)=BM$3)*(Gastos!$B$2:$B$2500=$A82)*(Gastos!$D$2:$D$2500))</f>
        <v>0</v>
      </c>
      <c r="BN82" s="75">
        <f t="array" ref="BN82">SUM((YEAR(Gastos!$A$2:$A$2500)=BN$1)*(MONTH(Gastos!$A$2:$A$2500)=BN$3)*(Gastos!$B$2:$B$2500=$A82)*(Gastos!$D$2:$D$2500))</f>
        <v>0</v>
      </c>
      <c r="BO82" s="75">
        <f t="array" ref="BO82">SUM((YEAR(Gastos!$A$2:$A$2500)=BO$1)*(MONTH(Gastos!$A$2:$A$2500)=BO$3)*(Gastos!$B$2:$B$2500=$A82)*(Gastos!$D$2:$D$2500))</f>
        <v>0</v>
      </c>
      <c r="BP82" s="75">
        <f t="array" ref="BP82">SUM((YEAR(Gastos!$A$2:$A$2500)=BP$1)*(MONTH(Gastos!$A$2:$A$2500)=BP$3)*(Gastos!$B$2:$B$2500=$A82)*(Gastos!$D$2:$D$2500))</f>
        <v>0</v>
      </c>
      <c r="BQ82" s="75">
        <f t="array" ref="BQ82">SUM((YEAR(Gastos!$A$2:$A$2500)=BQ$1)*(MONTH(Gastos!$A$2:$A$2500)=BQ$3)*(Gastos!$B$2:$B$2500=$A82)*(Gastos!$D$2:$D$2500))</f>
        <v>0</v>
      </c>
      <c r="BR82" s="75">
        <f t="array" ref="BR82">SUM((YEAR(Gastos!$A$2:$A$2500)=BR$1)*(MONTH(Gastos!$A$2:$A$2500)=BR$3)*(Gastos!$B$2:$B$2500=$A82)*(Gastos!$D$2:$D$2500))</f>
        <v>0</v>
      </c>
      <c r="BS82" s="75">
        <f t="array" ref="BS82">SUM((YEAR(Gastos!$A$2:$A$2500)=BS$1)*(MONTH(Gastos!$A$2:$A$2500)=BS$3)*(Gastos!$B$2:$B$2500=$A82)*(Gastos!$D$2:$D$2500))</f>
        <v>0</v>
      </c>
      <c r="BT82" s="75">
        <f t="array" ref="BT82">SUM((YEAR(Gastos!$A$2:$A$2500)=BT$1)*(MONTH(Gastos!$A$2:$A$2500)=BT$3)*(Gastos!$B$2:$B$2500=$A82)*(Gastos!$D$2:$D$2500))</f>
        <v>0</v>
      </c>
      <c r="BU82" s="75">
        <f t="array" ref="BU82">SUM((YEAR(Gastos!$A$2:$A$2500)=BU$1)*(MONTH(Gastos!$A$2:$A$2500)=BU$3)*(Gastos!$B$2:$B$2500=$A82)*(Gastos!$D$2:$D$2500))</f>
        <v>0</v>
      </c>
      <c r="BV82" s="75">
        <f t="array" ref="BV82">SUM((YEAR(Gastos!$A$2:$A$2500)=BV$1)*(MONTH(Gastos!$A$2:$A$2500)=BV$3)*(Gastos!$B$2:$B$2500=$A82)*(Gastos!$D$2:$D$2500))</f>
        <v>0</v>
      </c>
      <c r="BW82" s="75">
        <f t="array" ref="BW82">SUM((YEAR(Gastos!$A$2:$A$2500)=BW$1)*(MONTH(Gastos!$A$2:$A$2500)=BW$3)*(Gastos!$B$2:$B$2500=$A82)*(Gastos!$D$2:$D$2500))</f>
        <v>0</v>
      </c>
      <c r="BX82" s="75">
        <f t="array" ref="BX82">SUM((YEAR(Gastos!$A$2:$A$2500)=BX$1)*(MONTH(Gastos!$A$2:$A$2500)=BX$3)*(Gastos!$B$2:$B$2500=$A82)*(Gastos!$D$2:$D$2500))</f>
        <v>0</v>
      </c>
      <c r="BY82" s="75">
        <f t="array" ref="BY82">SUM((YEAR(Gastos!$A$2:$A$2500)=BY$1)*(MONTH(Gastos!$A$2:$A$2500)=BY$3)*(Gastos!$B$2:$B$2500=$A82)*(Gastos!$D$2:$D$2500))</f>
        <v>0</v>
      </c>
      <c r="BZ82" s="75">
        <f t="array" ref="BZ82">SUM((YEAR(Gastos!$A$2:$A$2500)=BZ$1)*(MONTH(Gastos!$A$2:$A$2500)=BZ$3)*(Gastos!$B$2:$B$2500=$A82)*(Gastos!$D$2:$D$2500))</f>
        <v>0</v>
      </c>
      <c r="CA82" s="75">
        <f t="array" ref="CA82">SUM((YEAR(Gastos!$A$2:$A$2500)=CA$1)*(MONTH(Gastos!$A$2:$A$2500)=CA$3)*(Gastos!$B$2:$B$2500=$A82)*(Gastos!$D$2:$D$2500))</f>
        <v>0</v>
      </c>
      <c r="CB82" s="75">
        <f t="array" ref="CB82">SUM((YEAR(Gastos!$A$2:$A$2500)=CB$1)*(MONTH(Gastos!$A$2:$A$2500)=CB$3)*(Gastos!$B$2:$B$2500=$A82)*(Gastos!$D$2:$D$2500))</f>
        <v>0</v>
      </c>
      <c r="CC82" s="75">
        <f t="array" ref="CC82">SUM((YEAR(Gastos!$A$2:$A$2500)=CC$1)*(MONTH(Gastos!$A$2:$A$2500)=CC$3)*(Gastos!$B$2:$B$2500=$A82)*(Gastos!$D$2:$D$2500))</f>
        <v>0</v>
      </c>
      <c r="CD82" s="75">
        <f t="array" ref="CD82">SUM((YEAR(Gastos!$A$2:$A$2500)=CD$1)*(MONTH(Gastos!$A$2:$A$2500)=CD$3)*(Gastos!$B$2:$B$2500=$A82)*(Gastos!$D$2:$D$2500))</f>
        <v>0</v>
      </c>
      <c r="CE82" s="75">
        <f t="array" ref="CE82">SUM((YEAR(Gastos!$A$2:$A$2500)=CE$1)*(MONTH(Gastos!$A$2:$A$2500)=CE$3)*(Gastos!$B$2:$B$2500=$A82)*(Gastos!$D$2:$D$2500))</f>
        <v>0</v>
      </c>
      <c r="CF82" s="75">
        <f t="array" ref="CF82">SUM((YEAR(Gastos!$A$2:$A$2500)=CF$1)*(MONTH(Gastos!$A$2:$A$2500)=CF$3)*(Gastos!$B$2:$B$2500=$A82)*(Gastos!$D$2:$D$2500))</f>
        <v>0</v>
      </c>
      <c r="CG82" s="75">
        <f t="array" ref="CG82">SUM((YEAR(Gastos!$A$2:$A$2500)=CG$1)*(MONTH(Gastos!$A$2:$A$2500)=CG$3)*(Gastos!$B$2:$B$2500=$A82)*(Gastos!$D$2:$D$2500))</f>
        <v>0</v>
      </c>
      <c r="CH82" s="75">
        <f t="array" ref="CH82">SUM((YEAR(Gastos!$A$2:$A$2500)=CH$1)*(MONTH(Gastos!$A$2:$A$2500)=CH$3)*(Gastos!$B$2:$B$2500=$A82)*(Gastos!$D$2:$D$2500))</f>
        <v>0</v>
      </c>
      <c r="CI82" s="75">
        <f t="array" ref="CI82">SUM((YEAR(Gastos!$A$2:$A$2500)=CI$1)*(MONTH(Gastos!$A$2:$A$2500)=CI$3)*(Gastos!$B$2:$B$2500=$A82)*(Gastos!$D$2:$D$2500))</f>
        <v>0</v>
      </c>
      <c r="CJ82" s="75">
        <f t="array" ref="CJ82">SUM((YEAR(Gastos!$A$2:$A$2500)=CJ$1)*(MONTH(Gastos!$A$2:$A$2500)=CJ$3)*(Gastos!$B$2:$B$2500=$A82)*(Gastos!$D$2:$D$2500))</f>
        <v>0</v>
      </c>
      <c r="CK82" s="75">
        <f t="array" ref="CK82">SUM((YEAR(Gastos!$A$2:$A$2500)=CK$1)*(MONTH(Gastos!$A$2:$A$2500)=CK$3)*(Gastos!$B$2:$B$2500=$A82)*(Gastos!$D$2:$D$2500))</f>
        <v>0</v>
      </c>
      <c r="CL82" s="75">
        <f t="array" ref="CL82">SUM((YEAR(Gastos!$A$2:$A$2500)=CL$1)*(MONTH(Gastos!$A$2:$A$2500)=CL$3)*(Gastos!$B$2:$B$2500=$A82)*(Gastos!$D$2:$D$2500))</f>
        <v>0</v>
      </c>
      <c r="CM82" s="75">
        <f t="array" ref="CM82">SUM((YEAR(Gastos!$A$2:$A$2500)=CM$1)*(MONTH(Gastos!$A$2:$A$2500)=CM$3)*(Gastos!$B$2:$B$2500=$A82)*(Gastos!$D$2:$D$2500))</f>
        <v>0</v>
      </c>
      <c r="CN82" s="75">
        <f t="array" ref="CN82">SUM((YEAR(Gastos!$A$2:$A$2500)=CN$1)*(MONTH(Gastos!$A$2:$A$2500)=CN$3)*(Gastos!$B$2:$B$2500=$A82)*(Gastos!$D$2:$D$2500))</f>
        <v>0</v>
      </c>
      <c r="CO82" s="75">
        <f t="array" ref="CO82">SUM((YEAR(Gastos!$A$2:$A$2500)=CO$1)*(MONTH(Gastos!$A$2:$A$2500)=CO$3)*(Gastos!$B$2:$B$2500=$A82)*(Gastos!$D$2:$D$2500))</f>
        <v>0</v>
      </c>
      <c r="CP82" s="75">
        <f t="array" ref="CP82">SUM((YEAR(Gastos!$A$2:$A$2500)=CP$1)*(MONTH(Gastos!$A$2:$A$2500)=CP$3)*(Gastos!$B$2:$B$2500=$A82)*(Gastos!$D$2:$D$2500))</f>
        <v>0</v>
      </c>
      <c r="CQ82" s="75">
        <f t="array" ref="CQ82">SUM((YEAR(Gastos!$A$2:$A$2500)=CQ$1)*(MONTH(Gastos!$A$2:$A$2500)=CQ$3)*(Gastos!$B$2:$B$2500=$A82)*(Gastos!$D$2:$D$2500))</f>
        <v>0</v>
      </c>
      <c r="CR82" s="75">
        <f t="array" ref="CR82">SUM((YEAR(Gastos!$A$2:$A$2500)=CR$1)*(MONTH(Gastos!$A$2:$A$2500)=CR$3)*(Gastos!$B$2:$B$2500=$A82)*(Gastos!$D$2:$D$2500))</f>
        <v>0</v>
      </c>
      <c r="CS82" s="75">
        <f t="array" ref="CS82">SUM((YEAR(Gastos!$A$2:$A$2500)=CS$1)*(MONTH(Gastos!$A$2:$A$2500)=CS$3)*(Gastos!$B$2:$B$2500=$A82)*(Gastos!$D$2:$D$2500))</f>
        <v>0</v>
      </c>
      <c r="CT82" s="75">
        <f t="array" ref="CT82">SUM((YEAR(Gastos!$A$2:$A$2500)=CT$1)*(MONTH(Gastos!$A$2:$A$2500)=CT$3)*(Gastos!$B$2:$B$2500=$A82)*(Gastos!$D$2:$D$2500))</f>
        <v>0</v>
      </c>
      <c r="CU82" s="75">
        <f t="array" ref="CU82">SUM((YEAR(Gastos!$A$2:$A$2500)=CU$1)*(MONTH(Gastos!$A$2:$A$2500)=CU$3)*(Gastos!$B$2:$B$2500=$A82)*(Gastos!$D$2:$D$2500))</f>
        <v>0</v>
      </c>
      <c r="CV82" s="75">
        <f t="array" ref="CV82">SUM((YEAR(Gastos!$A$2:$A$2500)=CV$1)*(MONTH(Gastos!$A$2:$A$2500)=CV$3)*(Gastos!$B$2:$B$2500=$A82)*(Gastos!$D$2:$D$2500))</f>
        <v>0</v>
      </c>
      <c r="CW82" s="75">
        <f t="array" ref="CW82">SUM((YEAR(Gastos!$A$2:$A$2500)=CW$1)*(MONTH(Gastos!$A$2:$A$2500)=CW$3)*(Gastos!$B$2:$B$2500=$A82)*(Gastos!$D$2:$D$2500))</f>
        <v>0</v>
      </c>
      <c r="CX82" s="75">
        <f t="array" ref="CX82">SUM((YEAR(Gastos!$A$2:$A$2500)=CX$1)*(MONTH(Gastos!$A$2:$A$2500)=CX$3)*(Gastos!$B$2:$B$2500=$A82)*(Gastos!$D$2:$D$2500))</f>
        <v>0</v>
      </c>
      <c r="CY82" s="75">
        <f t="array" ref="CY82">SUM((YEAR(Gastos!$A$2:$A$2500)=CY$1)*(MONTH(Gastos!$A$2:$A$2500)=CY$3)*(Gastos!$B$2:$B$2500=$A82)*(Gastos!$D$2:$D$2500))</f>
        <v>0</v>
      </c>
      <c r="CZ82" s="75">
        <f t="array" ref="CZ82">SUM((YEAR(Gastos!$A$2:$A$2500)=CZ$1)*(MONTH(Gastos!$A$2:$A$2500)=CZ$3)*(Gastos!$B$2:$B$2500=$A82)*(Gastos!$D$2:$D$2500))</f>
        <v>0</v>
      </c>
      <c r="DA82" s="75">
        <f t="array" ref="DA82">SUM((YEAR(Gastos!$A$2:$A$2500)=DA$1)*(MONTH(Gastos!$A$2:$A$2500)=DA$3)*(Gastos!$B$2:$B$2500=$A82)*(Gastos!$D$2:$D$2500))</f>
        <v>0</v>
      </c>
      <c r="DB82" s="75">
        <f t="array" ref="DB82">SUM((YEAR(Gastos!$A$2:$A$2500)=DB$1)*(MONTH(Gastos!$A$2:$A$2500)=DB$3)*(Gastos!$B$2:$B$2500=$A82)*(Gastos!$D$2:$D$2500))</f>
        <v>0</v>
      </c>
      <c r="DC82" s="75">
        <f t="array" ref="DC82">SUM((YEAR(Gastos!$A$2:$A$2500)=DC$1)*(MONTH(Gastos!$A$2:$A$2500)=DC$3)*(Gastos!$B$2:$B$2500=$A82)*(Gastos!$D$2:$D$2500))</f>
        <v>0</v>
      </c>
      <c r="DD82" s="75">
        <f t="array" ref="DD82">SUM((YEAR(Gastos!$A$2:$A$2500)=DD$1)*(MONTH(Gastos!$A$2:$A$2500)=DD$3)*(Gastos!$B$2:$B$2500=$A82)*(Gastos!$D$2:$D$2500))</f>
        <v>0</v>
      </c>
      <c r="DE82" s="75">
        <f t="array" ref="DE82">SUM((YEAR(Gastos!$A$2:$A$2500)=DE$1)*(MONTH(Gastos!$A$2:$A$2500)=DE$3)*(Gastos!$B$2:$B$2500=$A82)*(Gastos!$D$2:$D$2500))</f>
        <v>0</v>
      </c>
      <c r="DF82" s="75">
        <f t="array" ref="DF82">SUM((YEAR(Gastos!$A$2:$A$2500)=DF$1)*(MONTH(Gastos!$A$2:$A$2500)=DF$3)*(Gastos!$B$2:$B$2500=$A82)*(Gastos!$D$2:$D$2500))</f>
        <v>0</v>
      </c>
      <c r="DG82" s="75">
        <f t="array" ref="DG82">SUM((YEAR(Gastos!$A$2:$A$2500)=DG$1)*(MONTH(Gastos!$A$2:$A$2500)=DG$3)*(Gastos!$B$2:$B$2500=$A82)*(Gastos!$D$2:$D$2500))</f>
        <v>0</v>
      </c>
      <c r="DH82" s="75">
        <f t="array" ref="DH82">SUM((YEAR(Gastos!$A$2:$A$2500)=DH$1)*(MONTH(Gastos!$A$2:$A$2500)=DH$3)*(Gastos!$B$2:$B$2500=$A82)*(Gastos!$D$2:$D$2500))</f>
        <v>0</v>
      </c>
      <c r="DI82" s="75">
        <f t="array" ref="DI82">SUM((YEAR(Gastos!$A$2:$A$2500)=DI$1)*(MONTH(Gastos!$A$2:$A$2500)=DI$3)*(Gastos!$B$2:$B$2500=$A82)*(Gastos!$D$2:$D$2500))</f>
        <v>0</v>
      </c>
      <c r="DJ82" s="75">
        <f t="array" ref="DJ82">SUM((YEAR(Gastos!$A$2:$A$2500)=DJ$1)*(MONTH(Gastos!$A$2:$A$2500)=DJ$3)*(Gastos!$B$2:$B$2500=$A82)*(Gastos!$D$2:$D$2500))</f>
        <v>0</v>
      </c>
      <c r="DK82" s="75">
        <f t="array" ref="DK82">SUM((YEAR(Gastos!$A$2:$A$2500)=DK$1)*(MONTH(Gastos!$A$2:$A$2500)=DK$3)*(Gastos!$B$2:$B$2500=$A82)*(Gastos!$D$2:$D$2500))</f>
        <v>0</v>
      </c>
      <c r="DL82" s="75">
        <f t="array" ref="DL82">SUM((YEAR(Gastos!$A$2:$A$2500)=DL$1)*(MONTH(Gastos!$A$2:$A$2500)=DL$3)*(Gastos!$B$2:$B$2500=$A82)*(Gastos!$D$2:$D$2500))</f>
        <v>0</v>
      </c>
      <c r="DM82" s="75">
        <f t="array" ref="DM82">SUM((YEAR(Gastos!$A$2:$A$2500)=DM$1)*(MONTH(Gastos!$A$2:$A$2500)=DM$3)*(Gastos!$B$2:$B$2500=$A82)*(Gastos!$D$2:$D$2500))</f>
        <v>0</v>
      </c>
      <c r="DN82" s="75">
        <f t="array" ref="DN82">SUM((YEAR(Gastos!$A$2:$A$2500)=DN$1)*(MONTH(Gastos!$A$2:$A$2500)=DN$3)*(Gastos!$B$2:$B$2500=$A82)*(Gastos!$D$2:$D$2500))</f>
        <v>0</v>
      </c>
      <c r="DO82" s="75">
        <f t="array" ref="DO82">SUM((YEAR(Gastos!$A$2:$A$2500)=DO$1)*(MONTH(Gastos!$A$2:$A$2500)=DO$3)*(Gastos!$B$2:$B$2500=$A82)*(Gastos!$D$2:$D$2500))</f>
        <v>0</v>
      </c>
      <c r="DP82" s="75">
        <f t="array" ref="DP82">SUM((YEAR(Gastos!$A$2:$A$2500)=DP$1)*(MONTH(Gastos!$A$2:$A$2500)=DP$3)*(Gastos!$B$2:$B$2500=$A82)*(Gastos!$D$2:$D$2500))</f>
        <v>0</v>
      </c>
      <c r="DQ82" s="75">
        <f t="array" ref="DQ82">SUM((YEAR(Gastos!$A$2:$A$2500)=DQ$1)*(MONTH(Gastos!$A$2:$A$2500)=DQ$3)*(Gastos!$B$2:$B$2500=$A82)*(Gastos!$D$2:$D$2500))</f>
        <v>0</v>
      </c>
      <c r="DR82" s="75">
        <f t="array" ref="DR82">SUM((YEAR(Gastos!$A$2:$A$2500)=DR$1)*(MONTH(Gastos!$A$2:$A$2500)=DR$3)*(Gastos!$B$2:$B$2500=$A82)*(Gastos!$D$2:$D$2500))</f>
        <v>0</v>
      </c>
      <c r="DS82" s="75">
        <f t="array" ref="DS82">SUM((YEAR(Gastos!$A$2:$A$2500)=DS$1)*(MONTH(Gastos!$A$2:$A$2500)=DS$3)*(Gastos!$B$2:$B$2500=$A82)*(Gastos!$D$2:$D$2500))</f>
        <v>0</v>
      </c>
      <c r="DT82" s="75">
        <f t="array" ref="DT82">SUM((YEAR(Gastos!$A$2:$A$2500)=DT$1)*(MONTH(Gastos!$A$2:$A$2500)=DT$3)*(Gastos!$B$2:$B$2500=$A82)*(Gastos!$D$2:$D$2500))</f>
        <v>0</v>
      </c>
      <c r="DU82" s="75">
        <f t="array" ref="DU82">SUM((YEAR(Gastos!$A$2:$A$2500)=DU$1)*(MONTH(Gastos!$A$2:$A$2500)=DU$3)*(Gastos!$B$2:$B$2500=$A82)*(Gastos!$D$2:$D$2500))</f>
        <v>0</v>
      </c>
      <c r="DV82" s="75">
        <f t="array" ref="DV82">SUM((YEAR(Gastos!$A$2:$A$2500)=DV$1)*(MONTH(Gastos!$A$2:$A$2500)=DV$3)*(Gastos!$B$2:$B$2500=$A82)*(Gastos!$D$2:$D$2500))</f>
        <v>0</v>
      </c>
      <c r="DW82" s="75">
        <f t="array" ref="DW82">SUM((YEAR(Gastos!$A$2:$A$2500)=DW$1)*(MONTH(Gastos!$A$2:$A$2500)=DW$3)*(Gastos!$B$2:$B$2500=$A82)*(Gastos!$D$2:$D$2500))</f>
        <v>0</v>
      </c>
      <c r="DX82" s="75">
        <f t="array" ref="DX82">SUM((YEAR(Gastos!$A$2:$A$2500)=DX$1)*(MONTH(Gastos!$A$2:$A$2500)=DX$3)*(Gastos!$B$2:$B$2500=$A82)*(Gastos!$D$2:$D$2500))</f>
        <v>0</v>
      </c>
      <c r="DY82" s="75">
        <f t="array" ref="DY82">SUM((YEAR(Gastos!$A$2:$A$2500)=DY$1)*(MONTH(Gastos!$A$2:$A$2500)=DY$3)*(Gastos!$B$2:$B$2500=$A82)*(Gastos!$D$2:$D$2500))</f>
        <v>0</v>
      </c>
      <c r="DZ82" s="75">
        <f t="array" ref="DZ82">SUM((YEAR(Gastos!$A$2:$A$2500)=DZ$1)*(MONTH(Gastos!$A$2:$A$2500)=DZ$3)*(Gastos!$B$2:$B$2500=$A82)*(Gastos!$D$2:$D$2500))</f>
        <v>0</v>
      </c>
      <c r="EA82" s="75">
        <f t="array" ref="EA82">SUM((YEAR(Gastos!$A$2:$A$2500)=EA$1)*(MONTH(Gastos!$A$2:$A$2500)=EA$3)*(Gastos!$B$2:$B$2500=$A82)*(Gastos!$D$2:$D$2500))</f>
        <v>0</v>
      </c>
      <c r="EB82" s="75">
        <f t="array" ref="EB82">SUM((YEAR(Gastos!$A$2:$A$2500)=EB$1)*(MONTH(Gastos!$A$2:$A$2500)=EB$3)*(Gastos!$B$2:$B$2500=$A82)*(Gastos!$D$2:$D$2500))</f>
        <v>0</v>
      </c>
      <c r="EC82" s="75">
        <f t="array" ref="EC82">SUM((YEAR(Gastos!$A$2:$A$2500)=EC$1)*(MONTH(Gastos!$A$2:$A$2500)=EC$3)*(Gastos!$B$2:$B$2500=$A82)*(Gastos!$D$2:$D$2500))</f>
        <v>0</v>
      </c>
      <c r="ED82" s="75">
        <f t="array" ref="ED82">SUM((YEAR(Gastos!$A$2:$A$2500)=ED$1)*(MONTH(Gastos!$A$2:$A$2500)=ED$3)*(Gastos!$B$2:$B$2500=$A82)*(Gastos!$D$2:$D$2500))</f>
        <v>0</v>
      </c>
      <c r="EE82" s="75">
        <f t="array" ref="EE82">SUM((YEAR(Gastos!$A$2:$A$2500)=EE$1)*(MONTH(Gastos!$A$2:$A$2500)=EE$3)*(Gastos!$B$2:$B$2500=$A82)*(Gastos!$D$2:$D$2500))</f>
        <v>0</v>
      </c>
      <c r="EF82" s="75">
        <f t="array" ref="EF82">SUM((YEAR(Gastos!$A$2:$A$2500)=EF$1)*(MONTH(Gastos!$A$2:$A$2500)=EF$3)*(Gastos!$B$2:$B$2500=$A82)*(Gastos!$D$2:$D$2500))</f>
        <v>0</v>
      </c>
      <c r="EG82" s="75">
        <f t="array" ref="EG82">SUM((YEAR(Gastos!$A$2:$A$2500)=EG$1)*(MONTH(Gastos!$A$2:$A$2500)=EG$3)*(Gastos!$B$2:$B$2500=$A82)*(Gastos!$D$2:$D$2500))</f>
        <v>0</v>
      </c>
      <c r="EH82" s="75">
        <f t="array" ref="EH82">SUM((YEAR(Gastos!$A$2:$A$2500)=EH$1)*(MONTH(Gastos!$A$2:$A$2500)=EH$3)*(Gastos!$B$2:$B$2500=$A82)*(Gastos!$D$2:$D$2500))</f>
        <v>0</v>
      </c>
      <c r="EI82" s="75">
        <f t="array" ref="EI82">SUM((YEAR(Gastos!$A$2:$A$2500)=EI$1)*(MONTH(Gastos!$A$2:$A$2500)=EI$3)*(Gastos!$B$2:$B$2500=$A82)*(Gastos!$D$2:$D$2500))</f>
        <v>0</v>
      </c>
      <c r="EJ82" s="75">
        <f t="array" ref="EJ82">SUM((YEAR(Gastos!$A$2:$A$2500)=EJ$1)*(MONTH(Gastos!$A$2:$A$2500)=EJ$3)*(Gastos!$B$2:$B$2500=$A82)*(Gastos!$D$2:$D$2500))</f>
        <v>0</v>
      </c>
      <c r="EK82" s="75">
        <f t="array" ref="EK82">SUM((YEAR(Gastos!$A$2:$A$2500)=EK$1)*(MONTH(Gastos!$A$2:$A$2500)=EK$3)*(Gastos!$B$2:$B$2500=$A82)*(Gastos!$D$2:$D$2500))</f>
        <v>0</v>
      </c>
      <c r="EL82" s="75">
        <f t="array" ref="EL82">SUM((YEAR(Gastos!$A$2:$A$2500)=EL$1)*(MONTH(Gastos!$A$2:$A$2500)=EL$3)*(Gastos!$B$2:$B$2500=$A82)*(Gastos!$D$2:$D$2500))</f>
        <v>0</v>
      </c>
      <c r="EM82" s="75">
        <f t="array" ref="EM82">SUM((YEAR(Gastos!$A$2:$A$2500)=EM$1)*(MONTH(Gastos!$A$2:$A$2500)=EM$3)*(Gastos!$B$2:$B$2500=$A82)*(Gastos!$D$2:$D$2500))</f>
        <v>0</v>
      </c>
      <c r="EN82" s="75">
        <f t="array" ref="EN82">SUM((YEAR(Gastos!$A$2:$A$2500)=EN$1)*(MONTH(Gastos!$A$2:$A$2500)=EN$3)*(Gastos!$B$2:$B$2500=$A82)*(Gastos!$D$2:$D$2500))</f>
        <v>0</v>
      </c>
      <c r="EO82" s="75">
        <f t="array" ref="EO82">SUM((YEAR(Gastos!$A$2:$A$2500)=EO$1)*(MONTH(Gastos!$A$2:$A$2500)=EO$3)*(Gastos!$B$2:$B$2500=$A82)*(Gastos!$D$2:$D$2500))</f>
        <v>0</v>
      </c>
      <c r="EP82" s="75">
        <f t="array" ref="EP82">SUM((YEAR(Gastos!$A$2:$A$2500)=EP$1)*(MONTH(Gastos!$A$2:$A$2500)=EP$3)*(Gastos!$B$2:$B$2500=$A82)*(Gastos!$D$2:$D$2500))</f>
        <v>0</v>
      </c>
      <c r="EQ82" s="75">
        <f t="array" ref="EQ82">SUM((YEAR(Gastos!$A$2:$A$2500)=EQ$1)*(MONTH(Gastos!$A$2:$A$2500)=EQ$3)*(Gastos!$B$2:$B$2500=$A82)*(Gastos!$D$2:$D$2500))</f>
        <v>0</v>
      </c>
      <c r="ER82" s="75">
        <f t="array" ref="ER82">SUM((YEAR(Gastos!$A$2:$A$2500)=ER$1)*(MONTH(Gastos!$A$2:$A$2500)=ER$3)*(Gastos!$B$2:$B$2500=$A82)*(Gastos!$D$2:$D$2500))</f>
        <v>0</v>
      </c>
      <c r="ES82" s="75">
        <f t="array" ref="ES82">SUM((YEAR(Gastos!$A$2:$A$2500)=ES$1)*(MONTH(Gastos!$A$2:$A$2500)=ES$3)*(Gastos!$B$2:$B$2500=$A82)*(Gastos!$D$2:$D$2500))</f>
        <v>0</v>
      </c>
      <c r="ET82" s="75">
        <f t="array" ref="ET82">SUM((YEAR(Gastos!$A$2:$A$2500)=ET$1)*(MONTH(Gastos!$A$2:$A$2500)=ET$3)*(Gastos!$B$2:$B$2500=$A82)*(Gastos!$D$2:$D$2500))</f>
        <v>0</v>
      </c>
      <c r="EU82" s="75">
        <f t="array" ref="EU82">SUM((YEAR(Gastos!$A$2:$A$2500)=EU$1)*(MONTH(Gastos!$A$2:$A$2500)=EU$3)*(Gastos!$B$2:$B$2500=$A82)*(Gastos!$D$2:$D$2500))</f>
        <v>0</v>
      </c>
      <c r="EV82" s="75">
        <f t="array" ref="EV82">SUM((YEAR(Gastos!$A$2:$A$2500)=EV$1)*(MONTH(Gastos!$A$2:$A$2500)=EV$3)*(Gastos!$B$2:$B$2500=$A82)*(Gastos!$D$2:$D$2500))</f>
        <v>0</v>
      </c>
      <c r="EW82" s="75">
        <f t="array" ref="EW82">SUM((YEAR(Gastos!$A$2:$A$2500)=EW$1)*(MONTH(Gastos!$A$2:$A$2500)=EW$3)*(Gastos!$B$2:$B$2500=$A82)*(Gastos!$D$2:$D$2500))</f>
        <v>0</v>
      </c>
      <c r="EX82" s="75">
        <f t="array" ref="EX82">SUM((YEAR(Gastos!$A$2:$A$2500)=EX$1)*(MONTH(Gastos!$A$2:$A$2500)=EX$3)*(Gastos!$B$2:$B$2500=$A82)*(Gastos!$D$2:$D$2500))</f>
        <v>0</v>
      </c>
      <c r="EY82" s="75">
        <f t="array" ref="EY82">SUM((YEAR(Gastos!$A$2:$A$2500)=EY$1)*(MONTH(Gastos!$A$2:$A$2500)=EY$3)*(Gastos!$B$2:$B$2500=$A82)*(Gastos!$D$2:$D$2500))</f>
        <v>0</v>
      </c>
      <c r="EZ82" s="75">
        <f t="array" ref="EZ82">SUM((YEAR(Gastos!$A$2:$A$2500)=EZ$1)*(MONTH(Gastos!$A$2:$A$2500)=EZ$3)*(Gastos!$B$2:$B$2500=$A82)*(Gastos!$D$2:$D$2500))</f>
        <v>0</v>
      </c>
      <c r="FA82" s="75">
        <f t="array" ref="FA82">SUM((YEAR(Gastos!$A$2:$A$2500)=FA$1)*(MONTH(Gastos!$A$2:$A$2500)=FA$3)*(Gastos!$B$2:$B$2500=$A82)*(Gastos!$D$2:$D$2500))</f>
        <v>0</v>
      </c>
      <c r="FB82" s="75">
        <f t="array" ref="FB82">SUM((YEAR(Gastos!$A$2:$A$2500)=FB$1)*(MONTH(Gastos!$A$2:$A$2500)=FB$3)*(Gastos!$B$2:$B$2500=$A82)*(Gastos!$D$2:$D$2500))</f>
        <v>0</v>
      </c>
      <c r="FC82" s="75">
        <f t="array" ref="FC82">SUM((YEAR(Gastos!$A$2:$A$2500)=FC$1)*(MONTH(Gastos!$A$2:$A$2500)=FC$3)*(Gastos!$B$2:$B$2500=$A82)*(Gastos!$D$2:$D$2500))</f>
        <v>0</v>
      </c>
      <c r="FD82" s="75">
        <f t="array" ref="FD82">SUM((YEAR(Gastos!$A$2:$A$2500)=FD$1)*(MONTH(Gastos!$A$2:$A$2500)=FD$3)*(Gastos!$B$2:$B$2500=$A82)*(Gastos!$D$2:$D$2500))</f>
        <v>0</v>
      </c>
      <c r="FE82" s="75">
        <f t="array" ref="FE82">SUM((YEAR(Gastos!$A$2:$A$2500)=FE$1)*(MONTH(Gastos!$A$2:$A$2500)=FE$3)*(Gastos!$B$2:$B$2500=$A82)*(Gastos!$D$2:$D$2500))</f>
        <v>0</v>
      </c>
      <c r="FF82" s="75">
        <f t="array" ref="FF82">SUM((YEAR(Gastos!$A$2:$A$2500)=FF$1)*(MONTH(Gastos!$A$2:$A$2500)=FF$3)*(Gastos!$B$2:$B$2500=$A82)*(Gastos!$D$2:$D$2500))</f>
        <v>0</v>
      </c>
      <c r="FG82" s="75">
        <f t="array" ref="FG82">SUM((YEAR(Gastos!$A$2:$A$2500)=FG$1)*(MONTH(Gastos!$A$2:$A$2500)=FG$3)*(Gastos!$B$2:$B$2500=$A82)*(Gastos!$D$2:$D$2500))</f>
        <v>0</v>
      </c>
      <c r="FH82" s="75">
        <f t="array" ref="FH82">SUM((YEAR(Gastos!$A$2:$A$2500)=FH$1)*(MONTH(Gastos!$A$2:$A$2500)=FH$3)*(Gastos!$B$2:$B$2500=$A82)*(Gastos!$D$2:$D$2500))</f>
        <v>0</v>
      </c>
      <c r="FI82" s="75">
        <f t="array" ref="FI82">SUM((YEAR(Gastos!$A$2:$A$2500)=FI$1)*(MONTH(Gastos!$A$2:$A$2500)=FI$3)*(Gastos!$B$2:$B$2500=$A82)*(Gastos!$D$2:$D$2500))</f>
        <v>0</v>
      </c>
      <c r="FJ82" s="75">
        <f t="array" ref="FJ82">SUM((YEAR(Gastos!$A$2:$A$2500)=FJ$1)*(MONTH(Gastos!$A$2:$A$2500)=FJ$3)*(Gastos!$B$2:$B$2500=$A82)*(Gastos!$D$2:$D$2500))</f>
        <v>0</v>
      </c>
      <c r="FK82" s="75">
        <f t="array" ref="FK82">SUM((YEAR(Gastos!$A$2:$A$2500)=FK$1)*(MONTH(Gastos!$A$2:$A$2500)=FK$3)*(Gastos!$B$2:$B$2500=$A82)*(Gastos!$D$2:$D$2500))</f>
        <v>0</v>
      </c>
      <c r="FL82" s="75">
        <f t="array" ref="FL82">SUM((YEAR(Gastos!$A$2:$A$2500)=FL$1)*(MONTH(Gastos!$A$2:$A$2500)=FL$3)*(Gastos!$B$2:$B$2500=$A82)*(Gastos!$D$2:$D$2500))</f>
        <v>0</v>
      </c>
      <c r="FM82" s="75">
        <f t="array" ref="FM82">SUM((YEAR(Gastos!$A$2:$A$2500)=FM$1)*(MONTH(Gastos!$A$2:$A$2500)=FM$3)*(Gastos!$B$2:$B$2500=$A82)*(Gastos!$D$2:$D$2500))</f>
        <v>0</v>
      </c>
      <c r="FN82" s="75">
        <f t="array" ref="FN82">SUM((YEAR(Gastos!$A$2:$A$2500)=FN$1)*(MONTH(Gastos!$A$2:$A$2500)=FN$3)*(Gastos!$B$2:$B$2500=$A82)*(Gastos!$D$2:$D$2500))</f>
        <v>0</v>
      </c>
      <c r="FO82" s="75">
        <f t="array" ref="FO82">SUM((YEAR(Gastos!$A$2:$A$2500)=FO$1)*(MONTH(Gastos!$A$2:$A$2500)=FO$3)*(Gastos!$B$2:$B$2500=$A82)*(Gastos!$D$2:$D$2500))</f>
        <v>0</v>
      </c>
      <c r="FP82" s="75">
        <f t="array" ref="FP82">SUM((YEAR(Gastos!$A$2:$A$2500)=FP$1)*(MONTH(Gastos!$A$2:$A$2500)=FP$3)*(Gastos!$B$2:$B$2500=$A82)*(Gastos!$D$2:$D$2500))</f>
        <v>0</v>
      </c>
      <c r="FQ82" s="75">
        <f t="array" ref="FQ82">SUM((YEAR(Gastos!$A$2:$A$2500)=FQ$1)*(MONTH(Gastos!$A$2:$A$2500)=FQ$3)*(Gastos!$B$2:$B$2500=$A82)*(Gastos!$D$2:$D$2500))</f>
        <v>0</v>
      </c>
      <c r="FR82" s="75">
        <f t="array" ref="FR82">SUM((YEAR(Gastos!$A$2:$A$2500)=FR$1)*(MONTH(Gastos!$A$2:$A$2500)=FR$3)*(Gastos!$B$2:$B$2500=$A82)*(Gastos!$D$2:$D$2500))</f>
        <v>0</v>
      </c>
      <c r="FS82" s="75">
        <f t="array" ref="FS82">SUM((YEAR(Gastos!$A$2:$A$2500)=FS$1)*(MONTH(Gastos!$A$2:$A$2500)=FS$3)*(Gastos!$B$2:$B$2500=$A82)*(Gastos!$D$2:$D$2500))</f>
        <v>0</v>
      </c>
      <c r="FT82" s="75">
        <f t="array" ref="FT82">SUM((YEAR(Gastos!$A$2:$A$2500)=FT$1)*(MONTH(Gastos!$A$2:$A$2500)=FT$3)*(Gastos!$B$2:$B$2500=$A82)*(Gastos!$D$2:$D$2500))</f>
        <v>0</v>
      </c>
      <c r="FU82" s="75">
        <f t="array" ref="FU82">SUM((YEAR(Gastos!$A$2:$A$2500)=FU$1)*(MONTH(Gastos!$A$2:$A$2500)=FU$3)*(Gastos!$B$2:$B$2500=$A82)*(Gastos!$D$2:$D$2500))</f>
        <v>0</v>
      </c>
      <c r="FV82" s="75">
        <f t="array" ref="FV82">SUM((YEAR(Gastos!$A$2:$A$2500)=FV$1)*(MONTH(Gastos!$A$2:$A$2500)=FV$3)*(Gastos!$B$2:$B$2500=$A82)*(Gastos!$D$2:$D$2500))</f>
        <v>0</v>
      </c>
      <c r="FW82" s="75">
        <f t="array" ref="FW82">SUM((YEAR(Gastos!$A$2:$A$2500)=FW$1)*(MONTH(Gastos!$A$2:$A$2500)=FW$3)*(Gastos!$B$2:$B$2500=$A82)*(Gastos!$D$2:$D$2500))</f>
        <v>0</v>
      </c>
      <c r="FX82" s="75">
        <f t="array" ref="FX82">SUM((YEAR(Gastos!$A$2:$A$2500)=FX$1)*(MONTH(Gastos!$A$2:$A$2500)=FX$3)*(Gastos!$B$2:$B$2500=$A82)*(Gastos!$D$2:$D$2500))</f>
        <v>0</v>
      </c>
      <c r="FY82" s="75">
        <f t="array" ref="FY82">SUM((YEAR(Gastos!$A$2:$A$2500)=FY$1)*(MONTH(Gastos!$A$2:$A$2500)=FY$3)*(Gastos!$B$2:$B$2500=$A82)*(Gastos!$D$2:$D$2500))</f>
        <v>0</v>
      </c>
      <c r="FZ82" s="76">
        <f t="shared" si="68"/>
        <v>0</v>
      </c>
      <c r="GA82" s="80"/>
      <c r="GB82" s="82"/>
    </row>
    <row r="83" spans="1:184" ht="15" thickBot="1" x14ac:dyDescent="0.4">
      <c r="A83" s="74" t="str">
        <f>Gastos!AA81</f>
        <v>X</v>
      </c>
      <c r="B83" s="75">
        <f t="array" ref="B83">SUM((YEAR(Gastos!$A$2:$A$2500)=B$1)*(MONTH(Gastos!$A$2:$A$2500)=B$3)*(Gastos!$B$2:$B$2500=$A83)*(Gastos!$D$2:$D$2500))</f>
        <v>0</v>
      </c>
      <c r="C83" s="75">
        <f t="array" ref="C83">SUM((YEAR(Gastos!$A$2:$A$2500)=C$1)*(MONTH(Gastos!$A$2:$A$2500)=C$3)*(Gastos!$B$2:$B$2500=$A83)*(Gastos!$D$2:$D$2500))</f>
        <v>0</v>
      </c>
      <c r="D83" s="75">
        <f t="array" ref="D83">SUM((YEAR(Gastos!$A$2:$A$2500)=D$1)*(MONTH(Gastos!$A$2:$A$2500)=D$3)*(Gastos!$B$2:$B$2500=$A83)*(Gastos!$D$2:$D$2500))</f>
        <v>0</v>
      </c>
      <c r="E83" s="75">
        <f t="array" ref="E83">SUM((YEAR(Gastos!$A$2:$A$2500)=E$1)*(MONTH(Gastos!$A$2:$A$2500)=E$3)*(Gastos!$B$2:$B$2500=$A83)*(Gastos!$D$2:$D$2500))</f>
        <v>0</v>
      </c>
      <c r="F83" s="75">
        <f t="array" ref="F83">SUM((YEAR(Gastos!$A$2:$A$2500)=F$1)*(MONTH(Gastos!$A$2:$A$2500)=F$3)*(Gastos!$B$2:$B$2500=$A83)*(Gastos!$D$2:$D$2500))</f>
        <v>0</v>
      </c>
      <c r="G83" s="75">
        <f t="array" ref="G83">SUM((YEAR(Gastos!$A$2:$A$2500)=G$1)*(MONTH(Gastos!$A$2:$A$2500)=G$3)*(Gastos!$B$2:$B$2500=$A83)*(Gastos!$D$2:$D$2500))</f>
        <v>0</v>
      </c>
      <c r="H83" s="75">
        <f t="array" ref="H83">SUM((YEAR(Gastos!$A$2:$A$2500)=H$1)*(MONTH(Gastos!$A$2:$A$2500)=H$3)*(Gastos!$B$2:$B$2500=$A83)*(Gastos!$D$2:$D$2500))</f>
        <v>0</v>
      </c>
      <c r="I83" s="75">
        <f t="array" ref="I83">SUM((YEAR(Gastos!$A$2:$A$2500)=I$1)*(MONTH(Gastos!$A$2:$A$2500)=I$3)*(Gastos!$B$2:$B$2500=$A83)*(Gastos!$D$2:$D$2500))</f>
        <v>0</v>
      </c>
      <c r="J83" s="75">
        <f t="array" ref="J83">SUM((YEAR(Gastos!$A$2:$A$2500)=J$1)*(MONTH(Gastos!$A$2:$A$2500)=J$3)*(Gastos!$B$2:$B$2500=$A83)*(Gastos!$D$2:$D$2500))</f>
        <v>0</v>
      </c>
      <c r="K83" s="75">
        <f t="array" ref="K83">SUM((YEAR(Gastos!$A$2:$A$2500)=K$1)*(MONTH(Gastos!$A$2:$A$2500)=K$3)*(Gastos!$B$2:$B$2500=$A83)*(Gastos!$D$2:$D$2500))</f>
        <v>0</v>
      </c>
      <c r="L83" s="75">
        <f t="array" ref="L83">SUM((YEAR(Gastos!$A$2:$A$2500)=L$1)*(MONTH(Gastos!$A$2:$A$2500)=L$3)*(Gastos!$B$2:$B$2500=$A83)*(Gastos!$D$2:$D$2500))</f>
        <v>0</v>
      </c>
      <c r="M83" s="75">
        <f t="array" ref="M83">SUM((YEAR(Gastos!$A$2:$A$2500)=M$1)*(MONTH(Gastos!$A$2:$A$2500)=M$3)*(Gastos!$B$2:$B$2500=$A83)*(Gastos!$D$2:$D$2500))</f>
        <v>0</v>
      </c>
      <c r="N83" s="75">
        <f t="array" ref="N83">SUM((YEAR(Gastos!$A$2:$A$2500)=N$1)*(MONTH(Gastos!$A$2:$A$2500)=N$3)*(Gastos!$B$2:$B$2500=$A83)*(Gastos!$D$2:$D$2500))</f>
        <v>0</v>
      </c>
      <c r="O83" s="75">
        <f t="array" ref="O83">SUM((YEAR(Gastos!$A$2:$A$2500)=O$1)*(MONTH(Gastos!$A$2:$A$2500)=O$3)*(Gastos!$B$2:$B$2500=$A83)*(Gastos!$D$2:$D$2500))</f>
        <v>0</v>
      </c>
      <c r="P83" s="75">
        <f t="array" ref="P83">SUM((YEAR(Gastos!$A$2:$A$2500)=P$1)*(MONTH(Gastos!$A$2:$A$2500)=P$3)*(Gastos!$B$2:$B$2500=$A83)*(Gastos!$D$2:$D$2500))</f>
        <v>0</v>
      </c>
      <c r="Q83" s="75">
        <f t="array" ref="Q83">SUM((YEAR(Gastos!$A$2:$A$2500)=Q$1)*(MONTH(Gastos!$A$2:$A$2500)=Q$3)*(Gastos!$B$2:$B$2500=$A83)*(Gastos!$D$2:$D$2500))</f>
        <v>0</v>
      </c>
      <c r="R83" s="75">
        <f t="array" ref="R83">SUM((YEAR(Gastos!$A$2:$A$2500)=R$1)*(MONTH(Gastos!$A$2:$A$2500)=R$3)*(Gastos!$B$2:$B$2500=$A83)*(Gastos!$D$2:$D$2500))</f>
        <v>0</v>
      </c>
      <c r="S83" s="75">
        <f t="array" ref="S83">SUM((YEAR(Gastos!$A$2:$A$2500)=S$1)*(MONTH(Gastos!$A$2:$A$2500)=S$3)*(Gastos!$B$2:$B$2500=$A83)*(Gastos!$D$2:$D$2500))</f>
        <v>0</v>
      </c>
      <c r="T83" s="75">
        <f t="array" ref="T83">SUM((YEAR(Gastos!$A$2:$A$2500)=T$1)*(MONTH(Gastos!$A$2:$A$2500)=T$3)*(Gastos!$B$2:$B$2500=$A83)*(Gastos!$D$2:$D$2500))</f>
        <v>0</v>
      </c>
      <c r="U83" s="75">
        <f t="array" ref="U83">SUM((YEAR(Gastos!$A$2:$A$2500)=U$1)*(MONTH(Gastos!$A$2:$A$2500)=U$3)*(Gastos!$B$2:$B$2500=$A83)*(Gastos!$D$2:$D$2500))</f>
        <v>0</v>
      </c>
      <c r="V83" s="75">
        <f t="array" ref="V83">SUM((YEAR(Gastos!$A$2:$A$2500)=V$1)*(MONTH(Gastos!$A$2:$A$2500)=V$3)*(Gastos!$B$2:$B$2500=$A83)*(Gastos!$D$2:$D$2500))</f>
        <v>0</v>
      </c>
      <c r="W83" s="75">
        <f t="array" ref="W83">SUM((YEAR(Gastos!$A$2:$A$2500)=W$1)*(MONTH(Gastos!$A$2:$A$2500)=W$3)*(Gastos!$B$2:$B$2500=$A83)*(Gastos!$D$2:$D$2500))</f>
        <v>0</v>
      </c>
      <c r="X83" s="75">
        <f t="array" ref="X83">SUM((YEAR(Gastos!$A$2:$A$2500)=X$1)*(MONTH(Gastos!$A$2:$A$2500)=X$3)*(Gastos!$B$2:$B$2500=$A83)*(Gastos!$D$2:$D$2500))</f>
        <v>0</v>
      </c>
      <c r="Y83" s="75">
        <f t="array" ref="Y83">SUM((YEAR(Gastos!$A$2:$A$2500)=Y$1)*(MONTH(Gastos!$A$2:$A$2500)=Y$3)*(Gastos!$B$2:$B$2500=$A83)*(Gastos!$D$2:$D$2500))</f>
        <v>0</v>
      </c>
      <c r="Z83" s="75">
        <f t="array" ref="Z83">SUM((YEAR(Gastos!$A$2:$A$2500)=Z$1)*(MONTH(Gastos!$A$2:$A$2500)=Z$3)*(Gastos!$B$2:$B$2500=$A83)*(Gastos!$D$2:$D$2500))</f>
        <v>0</v>
      </c>
      <c r="AA83" s="75">
        <f t="array" ref="AA83">SUM((YEAR(Gastos!$A$2:$A$2500)=AA$1)*(MONTH(Gastos!$A$2:$A$2500)=AA$3)*(Gastos!$B$2:$B$2500=$A83)*(Gastos!$D$2:$D$2500))</f>
        <v>0</v>
      </c>
      <c r="AB83" s="75">
        <f t="array" ref="AB83">SUM((YEAR(Gastos!$A$2:$A$2500)=AB$1)*(MONTH(Gastos!$A$2:$A$2500)=AB$3)*(Gastos!$B$2:$B$2500=$A83)*(Gastos!$D$2:$D$2500))</f>
        <v>0</v>
      </c>
      <c r="AC83" s="75">
        <f t="array" ref="AC83">SUM((YEAR(Gastos!$A$2:$A$2500)=AC$1)*(MONTH(Gastos!$A$2:$A$2500)=AC$3)*(Gastos!$B$2:$B$2500=$A83)*(Gastos!$D$2:$D$2500))</f>
        <v>0</v>
      </c>
      <c r="AD83" s="75">
        <f t="array" ref="AD83">SUM((YEAR(Gastos!$A$2:$A$2500)=AD$1)*(MONTH(Gastos!$A$2:$A$2500)=AD$3)*(Gastos!$B$2:$B$2500=$A83)*(Gastos!$D$2:$D$2500))</f>
        <v>0</v>
      </c>
      <c r="AE83" s="75">
        <f t="array" ref="AE83">SUM((YEAR(Gastos!$A$2:$A$2500)=AE$1)*(MONTH(Gastos!$A$2:$A$2500)=AE$3)*(Gastos!$B$2:$B$2500=$A83)*(Gastos!$D$2:$D$2500))</f>
        <v>0</v>
      </c>
      <c r="AF83" s="75">
        <f t="array" ref="AF83">SUM((YEAR(Gastos!$A$2:$A$2500)=AF$1)*(MONTH(Gastos!$A$2:$A$2500)=AF$3)*(Gastos!$B$2:$B$2500=$A83)*(Gastos!$D$2:$D$2500))</f>
        <v>0</v>
      </c>
      <c r="AG83" s="75">
        <f t="array" ref="AG83">SUM((YEAR(Gastos!$A$2:$A$2500)=AG$1)*(MONTH(Gastos!$A$2:$A$2500)=AG$3)*(Gastos!$B$2:$B$2500=$A83)*(Gastos!$D$2:$D$2500))</f>
        <v>0</v>
      </c>
      <c r="AH83" s="75">
        <f t="array" ref="AH83">SUM((YEAR(Gastos!$A$2:$A$2500)=AH$1)*(MONTH(Gastos!$A$2:$A$2500)=AH$3)*(Gastos!$B$2:$B$2500=$A83)*(Gastos!$D$2:$D$2500))</f>
        <v>0</v>
      </c>
      <c r="AI83" s="75">
        <f t="array" ref="AI83">SUM((YEAR(Gastos!$A$2:$A$2500)=AI$1)*(MONTH(Gastos!$A$2:$A$2500)=AI$3)*(Gastos!$B$2:$B$2500=$A83)*(Gastos!$D$2:$D$2500))</f>
        <v>0</v>
      </c>
      <c r="AJ83" s="75">
        <f t="array" ref="AJ83">SUM((YEAR(Gastos!$A$2:$A$2500)=AJ$1)*(MONTH(Gastos!$A$2:$A$2500)=AJ$3)*(Gastos!$B$2:$B$2500=$A83)*(Gastos!$D$2:$D$2500))</f>
        <v>0</v>
      </c>
      <c r="AK83" s="75">
        <f t="array" ref="AK83">SUM((YEAR(Gastos!$A$2:$A$2500)=AK$1)*(MONTH(Gastos!$A$2:$A$2500)=AK$3)*(Gastos!$B$2:$B$2500=$A83)*(Gastos!$D$2:$D$2500))</f>
        <v>0</v>
      </c>
      <c r="AL83" s="75">
        <f t="array" ref="AL83">SUM((YEAR(Gastos!$A$2:$A$2500)=AL$1)*(MONTH(Gastos!$A$2:$A$2500)=AL$3)*(Gastos!$B$2:$B$2500=$A83)*(Gastos!$D$2:$D$2500))</f>
        <v>0</v>
      </c>
      <c r="AM83" s="75">
        <f t="array" ref="AM83">SUM((YEAR(Gastos!$A$2:$A$2500)=AM$1)*(MONTH(Gastos!$A$2:$A$2500)=AM$3)*(Gastos!$B$2:$B$2500=$A83)*(Gastos!$D$2:$D$2500))</f>
        <v>0</v>
      </c>
      <c r="AN83" s="75">
        <f t="array" ref="AN83">SUM((YEAR(Gastos!$A$2:$A$2500)=AN$1)*(MONTH(Gastos!$A$2:$A$2500)=AN$3)*(Gastos!$B$2:$B$2500=$A83)*(Gastos!$D$2:$D$2500))</f>
        <v>0</v>
      </c>
      <c r="AO83" s="75">
        <f t="array" ref="AO83">SUM((YEAR(Gastos!$A$2:$A$2500)=AO$1)*(MONTH(Gastos!$A$2:$A$2500)=AO$3)*(Gastos!$B$2:$B$2500=$A83)*(Gastos!$D$2:$D$2500))</f>
        <v>0</v>
      </c>
      <c r="AP83" s="75">
        <f t="array" ref="AP83">SUM((YEAR(Gastos!$A$2:$A$2500)=AP$1)*(MONTH(Gastos!$A$2:$A$2500)=AP$3)*(Gastos!$B$2:$B$2500=$A83)*(Gastos!$D$2:$D$2500))</f>
        <v>0</v>
      </c>
      <c r="AQ83" s="75">
        <f t="array" ref="AQ83">SUM((YEAR(Gastos!$A$2:$A$2500)=AQ$1)*(MONTH(Gastos!$A$2:$A$2500)=AQ$3)*(Gastos!$B$2:$B$2500=$A83)*(Gastos!$D$2:$D$2500))</f>
        <v>0</v>
      </c>
      <c r="AR83" s="75">
        <f t="array" ref="AR83">SUM((YEAR(Gastos!$A$2:$A$2500)=AR$1)*(MONTH(Gastos!$A$2:$A$2500)=AR$3)*(Gastos!$B$2:$B$2500=$A83)*(Gastos!$D$2:$D$2500))</f>
        <v>0</v>
      </c>
      <c r="AS83" s="75">
        <f t="array" ref="AS83">SUM((YEAR(Gastos!$A$2:$A$2500)=AS$1)*(MONTH(Gastos!$A$2:$A$2500)=AS$3)*(Gastos!$B$2:$B$2500=$A83)*(Gastos!$D$2:$D$2500))</f>
        <v>0</v>
      </c>
      <c r="AT83" s="75">
        <f t="array" ref="AT83">SUM((YEAR(Gastos!$A$2:$A$2500)=AT$1)*(MONTH(Gastos!$A$2:$A$2500)=AT$3)*(Gastos!$B$2:$B$2500=$A83)*(Gastos!$D$2:$D$2500))</f>
        <v>0</v>
      </c>
      <c r="AU83" s="75">
        <f t="array" ref="AU83">SUM((YEAR(Gastos!$A$2:$A$2500)=AU$1)*(MONTH(Gastos!$A$2:$A$2500)=AU$3)*(Gastos!$B$2:$B$2500=$A83)*(Gastos!$D$2:$D$2500))</f>
        <v>0</v>
      </c>
      <c r="AV83" s="75">
        <f t="array" ref="AV83">SUM((YEAR(Gastos!$A$2:$A$2500)=AV$1)*(MONTH(Gastos!$A$2:$A$2500)=AV$3)*(Gastos!$B$2:$B$2500=$A83)*(Gastos!$D$2:$D$2500))</f>
        <v>0</v>
      </c>
      <c r="AW83" s="75">
        <f t="array" ref="AW83">SUM((YEAR(Gastos!$A$2:$A$2500)=AW$1)*(MONTH(Gastos!$A$2:$A$2500)=AW$3)*(Gastos!$B$2:$B$2500=$A83)*(Gastos!$D$2:$D$2500))</f>
        <v>0</v>
      </c>
      <c r="AX83" s="75">
        <f t="array" ref="AX83">SUM((YEAR(Gastos!$A$2:$A$2500)=AX$1)*(MONTH(Gastos!$A$2:$A$2500)=AX$3)*(Gastos!$B$2:$B$2500=$A83)*(Gastos!$D$2:$D$2500))</f>
        <v>0</v>
      </c>
      <c r="AY83" s="75">
        <f t="array" ref="AY83">SUM((YEAR(Gastos!$A$2:$A$2500)=AY$1)*(MONTH(Gastos!$A$2:$A$2500)=AY$3)*(Gastos!$B$2:$B$2500=$A83)*(Gastos!$D$2:$D$2500))</f>
        <v>0</v>
      </c>
      <c r="AZ83" s="75">
        <f t="array" ref="AZ83">SUM((YEAR(Gastos!$A$2:$A$2500)=AZ$1)*(MONTH(Gastos!$A$2:$A$2500)=AZ$3)*(Gastos!$B$2:$B$2500=$A83)*(Gastos!$D$2:$D$2500))</f>
        <v>0</v>
      </c>
      <c r="BA83" s="75">
        <f t="array" ref="BA83">SUM((YEAR(Gastos!$A$2:$A$2500)=BA$1)*(MONTH(Gastos!$A$2:$A$2500)=BA$3)*(Gastos!$B$2:$B$2500=$A83)*(Gastos!$D$2:$D$2500))</f>
        <v>0</v>
      </c>
      <c r="BB83" s="75">
        <f t="array" ref="BB83">SUM((YEAR(Gastos!$A$2:$A$2500)=BB$1)*(MONTH(Gastos!$A$2:$A$2500)=BB$3)*(Gastos!$B$2:$B$2500=$A83)*(Gastos!$D$2:$D$2500))</f>
        <v>0</v>
      </c>
      <c r="BC83" s="75">
        <f t="array" ref="BC83">SUM((YEAR(Gastos!$A$2:$A$2500)=BC$1)*(MONTH(Gastos!$A$2:$A$2500)=BC$3)*(Gastos!$B$2:$B$2500=$A83)*(Gastos!$D$2:$D$2500))</f>
        <v>0</v>
      </c>
      <c r="BD83" s="75">
        <f t="array" ref="BD83">SUM((YEAR(Gastos!$A$2:$A$2500)=BD$1)*(MONTH(Gastos!$A$2:$A$2500)=BD$3)*(Gastos!$B$2:$B$2500=$A83)*(Gastos!$D$2:$D$2500))</f>
        <v>0</v>
      </c>
      <c r="BE83" s="75">
        <f t="array" ref="BE83">SUM((YEAR(Gastos!$A$2:$A$2500)=BE$1)*(MONTH(Gastos!$A$2:$A$2500)=BE$3)*(Gastos!$B$2:$B$2500=$A83)*(Gastos!$D$2:$D$2500))</f>
        <v>0</v>
      </c>
      <c r="BF83" s="75">
        <f t="array" ref="BF83">SUM((YEAR(Gastos!$A$2:$A$2500)=BF$1)*(MONTH(Gastos!$A$2:$A$2500)=BF$3)*(Gastos!$B$2:$B$2500=$A83)*(Gastos!$D$2:$D$2500))</f>
        <v>0</v>
      </c>
      <c r="BG83" s="75">
        <f t="array" ref="BG83">SUM((YEAR(Gastos!$A$2:$A$2500)=BG$1)*(MONTH(Gastos!$A$2:$A$2500)=BG$3)*(Gastos!$B$2:$B$2500=$A83)*(Gastos!$D$2:$D$2500))</f>
        <v>0</v>
      </c>
      <c r="BH83" s="75">
        <f t="array" ref="BH83">SUM((YEAR(Gastos!$A$2:$A$2500)=BH$1)*(MONTH(Gastos!$A$2:$A$2500)=BH$3)*(Gastos!$B$2:$B$2500=$A83)*(Gastos!$D$2:$D$2500))</f>
        <v>0</v>
      </c>
      <c r="BI83" s="75">
        <f t="array" ref="BI83">SUM((YEAR(Gastos!$A$2:$A$2500)=BI$1)*(MONTH(Gastos!$A$2:$A$2500)=BI$3)*(Gastos!$B$2:$B$2500=$A83)*(Gastos!$D$2:$D$2500))</f>
        <v>0</v>
      </c>
      <c r="BJ83" s="75">
        <f t="array" ref="BJ83">SUM((YEAR(Gastos!$A$2:$A$2500)=BJ$1)*(MONTH(Gastos!$A$2:$A$2500)=BJ$3)*(Gastos!$B$2:$B$2500=$A83)*(Gastos!$D$2:$D$2500))</f>
        <v>0</v>
      </c>
      <c r="BK83" s="75">
        <f t="array" ref="BK83">SUM((YEAR(Gastos!$A$2:$A$2500)=BK$1)*(MONTH(Gastos!$A$2:$A$2500)=BK$3)*(Gastos!$B$2:$B$2500=$A83)*(Gastos!$D$2:$D$2500))</f>
        <v>0</v>
      </c>
      <c r="BL83" s="75">
        <f t="array" ref="BL83">SUM((YEAR(Gastos!$A$2:$A$2500)=BL$1)*(MONTH(Gastos!$A$2:$A$2500)=BL$3)*(Gastos!$B$2:$B$2500=$A83)*(Gastos!$D$2:$D$2500))</f>
        <v>0</v>
      </c>
      <c r="BM83" s="75">
        <f t="array" ref="BM83">SUM((YEAR(Gastos!$A$2:$A$2500)=BM$1)*(MONTH(Gastos!$A$2:$A$2500)=BM$3)*(Gastos!$B$2:$B$2500=$A83)*(Gastos!$D$2:$D$2500))</f>
        <v>0</v>
      </c>
      <c r="BN83" s="75">
        <f t="array" ref="BN83">SUM((YEAR(Gastos!$A$2:$A$2500)=BN$1)*(MONTH(Gastos!$A$2:$A$2500)=BN$3)*(Gastos!$B$2:$B$2500=$A83)*(Gastos!$D$2:$D$2500))</f>
        <v>0</v>
      </c>
      <c r="BO83" s="75">
        <f t="array" ref="BO83">SUM((YEAR(Gastos!$A$2:$A$2500)=BO$1)*(MONTH(Gastos!$A$2:$A$2500)=BO$3)*(Gastos!$B$2:$B$2500=$A83)*(Gastos!$D$2:$D$2500))</f>
        <v>0</v>
      </c>
      <c r="BP83" s="75">
        <f t="array" ref="BP83">SUM((YEAR(Gastos!$A$2:$A$2500)=BP$1)*(MONTH(Gastos!$A$2:$A$2500)=BP$3)*(Gastos!$B$2:$B$2500=$A83)*(Gastos!$D$2:$D$2500))</f>
        <v>0</v>
      </c>
      <c r="BQ83" s="75">
        <f t="array" ref="BQ83">SUM((YEAR(Gastos!$A$2:$A$2500)=BQ$1)*(MONTH(Gastos!$A$2:$A$2500)=BQ$3)*(Gastos!$B$2:$B$2500=$A83)*(Gastos!$D$2:$D$2500))</f>
        <v>0</v>
      </c>
      <c r="BR83" s="75">
        <f t="array" ref="BR83">SUM((YEAR(Gastos!$A$2:$A$2500)=BR$1)*(MONTH(Gastos!$A$2:$A$2500)=BR$3)*(Gastos!$B$2:$B$2500=$A83)*(Gastos!$D$2:$D$2500))</f>
        <v>0</v>
      </c>
      <c r="BS83" s="75">
        <f t="array" ref="BS83">SUM((YEAR(Gastos!$A$2:$A$2500)=BS$1)*(MONTH(Gastos!$A$2:$A$2500)=BS$3)*(Gastos!$B$2:$B$2500=$A83)*(Gastos!$D$2:$D$2500))</f>
        <v>0</v>
      </c>
      <c r="BT83" s="75">
        <f t="array" ref="BT83">SUM((YEAR(Gastos!$A$2:$A$2500)=BT$1)*(MONTH(Gastos!$A$2:$A$2500)=BT$3)*(Gastos!$B$2:$B$2500=$A83)*(Gastos!$D$2:$D$2500))</f>
        <v>0</v>
      </c>
      <c r="BU83" s="75">
        <f t="array" ref="BU83">SUM((YEAR(Gastos!$A$2:$A$2500)=BU$1)*(MONTH(Gastos!$A$2:$A$2500)=BU$3)*(Gastos!$B$2:$B$2500=$A83)*(Gastos!$D$2:$D$2500))</f>
        <v>0</v>
      </c>
      <c r="BV83" s="75">
        <f t="array" ref="BV83">SUM((YEAR(Gastos!$A$2:$A$2500)=BV$1)*(MONTH(Gastos!$A$2:$A$2500)=BV$3)*(Gastos!$B$2:$B$2500=$A83)*(Gastos!$D$2:$D$2500))</f>
        <v>0</v>
      </c>
      <c r="BW83" s="75">
        <f t="array" ref="BW83">SUM((YEAR(Gastos!$A$2:$A$2500)=BW$1)*(MONTH(Gastos!$A$2:$A$2500)=BW$3)*(Gastos!$B$2:$B$2500=$A83)*(Gastos!$D$2:$D$2500))</f>
        <v>0</v>
      </c>
      <c r="BX83" s="75">
        <f t="array" ref="BX83">SUM((YEAR(Gastos!$A$2:$A$2500)=BX$1)*(MONTH(Gastos!$A$2:$A$2500)=BX$3)*(Gastos!$B$2:$B$2500=$A83)*(Gastos!$D$2:$D$2500))</f>
        <v>0</v>
      </c>
      <c r="BY83" s="75">
        <f t="array" ref="BY83">SUM((YEAR(Gastos!$A$2:$A$2500)=BY$1)*(MONTH(Gastos!$A$2:$A$2500)=BY$3)*(Gastos!$B$2:$B$2500=$A83)*(Gastos!$D$2:$D$2500))</f>
        <v>0</v>
      </c>
      <c r="BZ83" s="75">
        <f t="array" ref="BZ83">SUM((YEAR(Gastos!$A$2:$A$2500)=BZ$1)*(MONTH(Gastos!$A$2:$A$2500)=BZ$3)*(Gastos!$B$2:$B$2500=$A83)*(Gastos!$D$2:$D$2500))</f>
        <v>0</v>
      </c>
      <c r="CA83" s="75">
        <f t="array" ref="CA83">SUM((YEAR(Gastos!$A$2:$A$2500)=CA$1)*(MONTH(Gastos!$A$2:$A$2500)=CA$3)*(Gastos!$B$2:$B$2500=$A83)*(Gastos!$D$2:$D$2500))</f>
        <v>0</v>
      </c>
      <c r="CB83" s="75">
        <f t="array" ref="CB83">SUM((YEAR(Gastos!$A$2:$A$2500)=CB$1)*(MONTH(Gastos!$A$2:$A$2500)=CB$3)*(Gastos!$B$2:$B$2500=$A83)*(Gastos!$D$2:$D$2500))</f>
        <v>0</v>
      </c>
      <c r="CC83" s="75">
        <f t="array" ref="CC83">SUM((YEAR(Gastos!$A$2:$A$2500)=CC$1)*(MONTH(Gastos!$A$2:$A$2500)=CC$3)*(Gastos!$B$2:$B$2500=$A83)*(Gastos!$D$2:$D$2500))</f>
        <v>0</v>
      </c>
      <c r="CD83" s="75">
        <f t="array" ref="CD83">SUM((YEAR(Gastos!$A$2:$A$2500)=CD$1)*(MONTH(Gastos!$A$2:$A$2500)=CD$3)*(Gastos!$B$2:$B$2500=$A83)*(Gastos!$D$2:$D$2500))</f>
        <v>0</v>
      </c>
      <c r="CE83" s="75">
        <f t="array" ref="CE83">SUM((YEAR(Gastos!$A$2:$A$2500)=CE$1)*(MONTH(Gastos!$A$2:$A$2500)=CE$3)*(Gastos!$B$2:$B$2500=$A83)*(Gastos!$D$2:$D$2500))</f>
        <v>0</v>
      </c>
      <c r="CF83" s="75">
        <f t="array" ref="CF83">SUM((YEAR(Gastos!$A$2:$A$2500)=CF$1)*(MONTH(Gastos!$A$2:$A$2500)=CF$3)*(Gastos!$B$2:$B$2500=$A83)*(Gastos!$D$2:$D$2500))</f>
        <v>0</v>
      </c>
      <c r="CG83" s="75">
        <f t="array" ref="CG83">SUM((YEAR(Gastos!$A$2:$A$2500)=CG$1)*(MONTH(Gastos!$A$2:$A$2500)=CG$3)*(Gastos!$B$2:$B$2500=$A83)*(Gastos!$D$2:$D$2500))</f>
        <v>0</v>
      </c>
      <c r="CH83" s="75">
        <f t="array" ref="CH83">SUM((YEAR(Gastos!$A$2:$A$2500)=CH$1)*(MONTH(Gastos!$A$2:$A$2500)=CH$3)*(Gastos!$B$2:$B$2500=$A83)*(Gastos!$D$2:$D$2500))</f>
        <v>0</v>
      </c>
      <c r="CI83" s="75">
        <f t="array" ref="CI83">SUM((YEAR(Gastos!$A$2:$A$2500)=CI$1)*(MONTH(Gastos!$A$2:$A$2500)=CI$3)*(Gastos!$B$2:$B$2500=$A83)*(Gastos!$D$2:$D$2500))</f>
        <v>0</v>
      </c>
      <c r="CJ83" s="75">
        <f t="array" ref="CJ83">SUM((YEAR(Gastos!$A$2:$A$2500)=CJ$1)*(MONTH(Gastos!$A$2:$A$2500)=CJ$3)*(Gastos!$B$2:$B$2500=$A83)*(Gastos!$D$2:$D$2500))</f>
        <v>0</v>
      </c>
      <c r="CK83" s="75">
        <f t="array" ref="CK83">SUM((YEAR(Gastos!$A$2:$A$2500)=CK$1)*(MONTH(Gastos!$A$2:$A$2500)=CK$3)*(Gastos!$B$2:$B$2500=$A83)*(Gastos!$D$2:$D$2500))</f>
        <v>0</v>
      </c>
      <c r="CL83" s="75">
        <f t="array" ref="CL83">SUM((YEAR(Gastos!$A$2:$A$2500)=CL$1)*(MONTH(Gastos!$A$2:$A$2500)=CL$3)*(Gastos!$B$2:$B$2500=$A83)*(Gastos!$D$2:$D$2500))</f>
        <v>0</v>
      </c>
      <c r="CM83" s="75">
        <f t="array" ref="CM83">SUM((YEAR(Gastos!$A$2:$A$2500)=CM$1)*(MONTH(Gastos!$A$2:$A$2500)=CM$3)*(Gastos!$B$2:$B$2500=$A83)*(Gastos!$D$2:$D$2500))</f>
        <v>0</v>
      </c>
      <c r="CN83" s="75">
        <f t="array" ref="CN83">SUM((YEAR(Gastos!$A$2:$A$2500)=CN$1)*(MONTH(Gastos!$A$2:$A$2500)=CN$3)*(Gastos!$B$2:$B$2500=$A83)*(Gastos!$D$2:$D$2500))</f>
        <v>0</v>
      </c>
      <c r="CO83" s="75">
        <f t="array" ref="CO83">SUM((YEAR(Gastos!$A$2:$A$2500)=CO$1)*(MONTH(Gastos!$A$2:$A$2500)=CO$3)*(Gastos!$B$2:$B$2500=$A83)*(Gastos!$D$2:$D$2500))</f>
        <v>0</v>
      </c>
      <c r="CP83" s="75">
        <f t="array" ref="CP83">SUM((YEAR(Gastos!$A$2:$A$2500)=CP$1)*(MONTH(Gastos!$A$2:$A$2500)=CP$3)*(Gastos!$B$2:$B$2500=$A83)*(Gastos!$D$2:$D$2500))</f>
        <v>0</v>
      </c>
      <c r="CQ83" s="75">
        <f t="array" ref="CQ83">SUM((YEAR(Gastos!$A$2:$A$2500)=CQ$1)*(MONTH(Gastos!$A$2:$A$2500)=CQ$3)*(Gastos!$B$2:$B$2500=$A83)*(Gastos!$D$2:$D$2500))</f>
        <v>0</v>
      </c>
      <c r="CR83" s="75">
        <f t="array" ref="CR83">SUM((YEAR(Gastos!$A$2:$A$2500)=CR$1)*(MONTH(Gastos!$A$2:$A$2500)=CR$3)*(Gastos!$B$2:$B$2500=$A83)*(Gastos!$D$2:$D$2500))</f>
        <v>0</v>
      </c>
      <c r="CS83" s="75">
        <f t="array" ref="CS83">SUM((YEAR(Gastos!$A$2:$A$2500)=CS$1)*(MONTH(Gastos!$A$2:$A$2500)=CS$3)*(Gastos!$B$2:$B$2500=$A83)*(Gastos!$D$2:$D$2500))</f>
        <v>0</v>
      </c>
      <c r="CT83" s="75">
        <f t="array" ref="CT83">SUM((YEAR(Gastos!$A$2:$A$2500)=CT$1)*(MONTH(Gastos!$A$2:$A$2500)=CT$3)*(Gastos!$B$2:$B$2500=$A83)*(Gastos!$D$2:$D$2500))</f>
        <v>0</v>
      </c>
      <c r="CU83" s="75">
        <f t="array" ref="CU83">SUM((YEAR(Gastos!$A$2:$A$2500)=CU$1)*(MONTH(Gastos!$A$2:$A$2500)=CU$3)*(Gastos!$B$2:$B$2500=$A83)*(Gastos!$D$2:$D$2500))</f>
        <v>0</v>
      </c>
      <c r="CV83" s="75">
        <f t="array" ref="CV83">SUM((YEAR(Gastos!$A$2:$A$2500)=CV$1)*(MONTH(Gastos!$A$2:$A$2500)=CV$3)*(Gastos!$B$2:$B$2500=$A83)*(Gastos!$D$2:$D$2500))</f>
        <v>0</v>
      </c>
      <c r="CW83" s="75">
        <f t="array" ref="CW83">SUM((YEAR(Gastos!$A$2:$A$2500)=CW$1)*(MONTH(Gastos!$A$2:$A$2500)=CW$3)*(Gastos!$B$2:$B$2500=$A83)*(Gastos!$D$2:$D$2500))</f>
        <v>0</v>
      </c>
      <c r="CX83" s="75">
        <f t="array" ref="CX83">SUM((YEAR(Gastos!$A$2:$A$2500)=CX$1)*(MONTH(Gastos!$A$2:$A$2500)=CX$3)*(Gastos!$B$2:$B$2500=$A83)*(Gastos!$D$2:$D$2500))</f>
        <v>0</v>
      </c>
      <c r="CY83" s="75">
        <f t="array" ref="CY83">SUM((YEAR(Gastos!$A$2:$A$2500)=CY$1)*(MONTH(Gastos!$A$2:$A$2500)=CY$3)*(Gastos!$B$2:$B$2500=$A83)*(Gastos!$D$2:$D$2500))</f>
        <v>0</v>
      </c>
      <c r="CZ83" s="75">
        <f t="array" ref="CZ83">SUM((YEAR(Gastos!$A$2:$A$2500)=CZ$1)*(MONTH(Gastos!$A$2:$A$2500)=CZ$3)*(Gastos!$B$2:$B$2500=$A83)*(Gastos!$D$2:$D$2500))</f>
        <v>0</v>
      </c>
      <c r="DA83" s="75">
        <f t="array" ref="DA83">SUM((YEAR(Gastos!$A$2:$A$2500)=DA$1)*(MONTH(Gastos!$A$2:$A$2500)=DA$3)*(Gastos!$B$2:$B$2500=$A83)*(Gastos!$D$2:$D$2500))</f>
        <v>0</v>
      </c>
      <c r="DB83" s="75">
        <f t="array" ref="DB83">SUM((YEAR(Gastos!$A$2:$A$2500)=DB$1)*(MONTH(Gastos!$A$2:$A$2500)=DB$3)*(Gastos!$B$2:$B$2500=$A83)*(Gastos!$D$2:$D$2500))</f>
        <v>0</v>
      </c>
      <c r="DC83" s="75">
        <f t="array" ref="DC83">SUM((YEAR(Gastos!$A$2:$A$2500)=DC$1)*(MONTH(Gastos!$A$2:$A$2500)=DC$3)*(Gastos!$B$2:$B$2500=$A83)*(Gastos!$D$2:$D$2500))</f>
        <v>0</v>
      </c>
      <c r="DD83" s="75">
        <f t="array" ref="DD83">SUM((YEAR(Gastos!$A$2:$A$2500)=DD$1)*(MONTH(Gastos!$A$2:$A$2500)=DD$3)*(Gastos!$B$2:$B$2500=$A83)*(Gastos!$D$2:$D$2500))</f>
        <v>0</v>
      </c>
      <c r="DE83" s="75">
        <f t="array" ref="DE83">SUM((YEAR(Gastos!$A$2:$A$2500)=DE$1)*(MONTH(Gastos!$A$2:$A$2500)=DE$3)*(Gastos!$B$2:$B$2500=$A83)*(Gastos!$D$2:$D$2500))</f>
        <v>0</v>
      </c>
      <c r="DF83" s="75">
        <f t="array" ref="DF83">SUM((YEAR(Gastos!$A$2:$A$2500)=DF$1)*(MONTH(Gastos!$A$2:$A$2500)=DF$3)*(Gastos!$B$2:$B$2500=$A83)*(Gastos!$D$2:$D$2500))</f>
        <v>0</v>
      </c>
      <c r="DG83" s="75">
        <f t="array" ref="DG83">SUM((YEAR(Gastos!$A$2:$A$2500)=DG$1)*(MONTH(Gastos!$A$2:$A$2500)=DG$3)*(Gastos!$B$2:$B$2500=$A83)*(Gastos!$D$2:$D$2500))</f>
        <v>0</v>
      </c>
      <c r="DH83" s="75">
        <f t="array" ref="DH83">SUM((YEAR(Gastos!$A$2:$A$2500)=DH$1)*(MONTH(Gastos!$A$2:$A$2500)=DH$3)*(Gastos!$B$2:$B$2500=$A83)*(Gastos!$D$2:$D$2500))</f>
        <v>0</v>
      </c>
      <c r="DI83" s="75">
        <f t="array" ref="DI83">SUM((YEAR(Gastos!$A$2:$A$2500)=DI$1)*(MONTH(Gastos!$A$2:$A$2500)=DI$3)*(Gastos!$B$2:$B$2500=$A83)*(Gastos!$D$2:$D$2500))</f>
        <v>0</v>
      </c>
      <c r="DJ83" s="75">
        <f t="array" ref="DJ83">SUM((YEAR(Gastos!$A$2:$A$2500)=DJ$1)*(MONTH(Gastos!$A$2:$A$2500)=DJ$3)*(Gastos!$B$2:$B$2500=$A83)*(Gastos!$D$2:$D$2500))</f>
        <v>0</v>
      </c>
      <c r="DK83" s="75">
        <f t="array" ref="DK83">SUM((YEAR(Gastos!$A$2:$A$2500)=DK$1)*(MONTH(Gastos!$A$2:$A$2500)=DK$3)*(Gastos!$B$2:$B$2500=$A83)*(Gastos!$D$2:$D$2500))</f>
        <v>0</v>
      </c>
      <c r="DL83" s="75">
        <f t="array" ref="DL83">SUM((YEAR(Gastos!$A$2:$A$2500)=DL$1)*(MONTH(Gastos!$A$2:$A$2500)=DL$3)*(Gastos!$B$2:$B$2500=$A83)*(Gastos!$D$2:$D$2500))</f>
        <v>0</v>
      </c>
      <c r="DM83" s="75">
        <f t="array" ref="DM83">SUM((YEAR(Gastos!$A$2:$A$2500)=DM$1)*(MONTH(Gastos!$A$2:$A$2500)=DM$3)*(Gastos!$B$2:$B$2500=$A83)*(Gastos!$D$2:$D$2500))</f>
        <v>0</v>
      </c>
      <c r="DN83" s="75">
        <f t="array" ref="DN83">SUM((YEAR(Gastos!$A$2:$A$2500)=DN$1)*(MONTH(Gastos!$A$2:$A$2500)=DN$3)*(Gastos!$B$2:$B$2500=$A83)*(Gastos!$D$2:$D$2500))</f>
        <v>0</v>
      </c>
      <c r="DO83" s="75">
        <f t="array" ref="DO83">SUM((YEAR(Gastos!$A$2:$A$2500)=DO$1)*(MONTH(Gastos!$A$2:$A$2500)=DO$3)*(Gastos!$B$2:$B$2500=$A83)*(Gastos!$D$2:$D$2500))</f>
        <v>0</v>
      </c>
      <c r="DP83" s="75">
        <f t="array" ref="DP83">SUM((YEAR(Gastos!$A$2:$A$2500)=DP$1)*(MONTH(Gastos!$A$2:$A$2500)=DP$3)*(Gastos!$B$2:$B$2500=$A83)*(Gastos!$D$2:$D$2500))</f>
        <v>0</v>
      </c>
      <c r="DQ83" s="75">
        <f t="array" ref="DQ83">SUM((YEAR(Gastos!$A$2:$A$2500)=DQ$1)*(MONTH(Gastos!$A$2:$A$2500)=DQ$3)*(Gastos!$B$2:$B$2500=$A83)*(Gastos!$D$2:$D$2500))</f>
        <v>0</v>
      </c>
      <c r="DR83" s="75">
        <f t="array" ref="DR83">SUM((YEAR(Gastos!$A$2:$A$2500)=DR$1)*(MONTH(Gastos!$A$2:$A$2500)=DR$3)*(Gastos!$B$2:$B$2500=$A83)*(Gastos!$D$2:$D$2500))</f>
        <v>0</v>
      </c>
      <c r="DS83" s="75">
        <f t="array" ref="DS83">SUM((YEAR(Gastos!$A$2:$A$2500)=DS$1)*(MONTH(Gastos!$A$2:$A$2500)=DS$3)*(Gastos!$B$2:$B$2500=$A83)*(Gastos!$D$2:$D$2500))</f>
        <v>0</v>
      </c>
      <c r="DT83" s="75">
        <f t="array" ref="DT83">SUM((YEAR(Gastos!$A$2:$A$2500)=DT$1)*(MONTH(Gastos!$A$2:$A$2500)=DT$3)*(Gastos!$B$2:$B$2500=$A83)*(Gastos!$D$2:$D$2500))</f>
        <v>0</v>
      </c>
      <c r="DU83" s="75">
        <f t="array" ref="DU83">SUM((YEAR(Gastos!$A$2:$A$2500)=DU$1)*(MONTH(Gastos!$A$2:$A$2500)=DU$3)*(Gastos!$B$2:$B$2500=$A83)*(Gastos!$D$2:$D$2500))</f>
        <v>0</v>
      </c>
      <c r="DV83" s="75">
        <f t="array" ref="DV83">SUM((YEAR(Gastos!$A$2:$A$2500)=DV$1)*(MONTH(Gastos!$A$2:$A$2500)=DV$3)*(Gastos!$B$2:$B$2500=$A83)*(Gastos!$D$2:$D$2500))</f>
        <v>0</v>
      </c>
      <c r="DW83" s="75">
        <f t="array" ref="DW83">SUM((YEAR(Gastos!$A$2:$A$2500)=DW$1)*(MONTH(Gastos!$A$2:$A$2500)=DW$3)*(Gastos!$B$2:$B$2500=$A83)*(Gastos!$D$2:$D$2500))</f>
        <v>0</v>
      </c>
      <c r="DX83" s="75">
        <f t="array" ref="DX83">SUM((YEAR(Gastos!$A$2:$A$2500)=DX$1)*(MONTH(Gastos!$A$2:$A$2500)=DX$3)*(Gastos!$B$2:$B$2500=$A83)*(Gastos!$D$2:$D$2500))</f>
        <v>0</v>
      </c>
      <c r="DY83" s="75">
        <f t="array" ref="DY83">SUM((YEAR(Gastos!$A$2:$A$2500)=DY$1)*(MONTH(Gastos!$A$2:$A$2500)=DY$3)*(Gastos!$B$2:$B$2500=$A83)*(Gastos!$D$2:$D$2500))</f>
        <v>0</v>
      </c>
      <c r="DZ83" s="75">
        <f t="array" ref="DZ83">SUM((YEAR(Gastos!$A$2:$A$2500)=DZ$1)*(MONTH(Gastos!$A$2:$A$2500)=DZ$3)*(Gastos!$B$2:$B$2500=$A83)*(Gastos!$D$2:$D$2500))</f>
        <v>0</v>
      </c>
      <c r="EA83" s="75">
        <f t="array" ref="EA83">SUM((YEAR(Gastos!$A$2:$A$2500)=EA$1)*(MONTH(Gastos!$A$2:$A$2500)=EA$3)*(Gastos!$B$2:$B$2500=$A83)*(Gastos!$D$2:$D$2500))</f>
        <v>0</v>
      </c>
      <c r="EB83" s="75">
        <f t="array" ref="EB83">SUM((YEAR(Gastos!$A$2:$A$2500)=EB$1)*(MONTH(Gastos!$A$2:$A$2500)=EB$3)*(Gastos!$B$2:$B$2500=$A83)*(Gastos!$D$2:$D$2500))</f>
        <v>0</v>
      </c>
      <c r="EC83" s="75">
        <f t="array" ref="EC83">SUM((YEAR(Gastos!$A$2:$A$2500)=EC$1)*(MONTH(Gastos!$A$2:$A$2500)=EC$3)*(Gastos!$B$2:$B$2500=$A83)*(Gastos!$D$2:$D$2500))</f>
        <v>0</v>
      </c>
      <c r="ED83" s="75">
        <f t="array" ref="ED83">SUM((YEAR(Gastos!$A$2:$A$2500)=ED$1)*(MONTH(Gastos!$A$2:$A$2500)=ED$3)*(Gastos!$B$2:$B$2500=$A83)*(Gastos!$D$2:$D$2500))</f>
        <v>0</v>
      </c>
      <c r="EE83" s="75">
        <f t="array" ref="EE83">SUM((YEAR(Gastos!$A$2:$A$2500)=EE$1)*(MONTH(Gastos!$A$2:$A$2500)=EE$3)*(Gastos!$B$2:$B$2500=$A83)*(Gastos!$D$2:$D$2500))</f>
        <v>0</v>
      </c>
      <c r="EF83" s="75">
        <f t="array" ref="EF83">SUM((YEAR(Gastos!$A$2:$A$2500)=EF$1)*(MONTH(Gastos!$A$2:$A$2500)=EF$3)*(Gastos!$B$2:$B$2500=$A83)*(Gastos!$D$2:$D$2500))</f>
        <v>0</v>
      </c>
      <c r="EG83" s="75">
        <f t="array" ref="EG83">SUM((YEAR(Gastos!$A$2:$A$2500)=EG$1)*(MONTH(Gastos!$A$2:$A$2500)=EG$3)*(Gastos!$B$2:$B$2500=$A83)*(Gastos!$D$2:$D$2500))</f>
        <v>0</v>
      </c>
      <c r="EH83" s="75">
        <f t="array" ref="EH83">SUM((YEAR(Gastos!$A$2:$A$2500)=EH$1)*(MONTH(Gastos!$A$2:$A$2500)=EH$3)*(Gastos!$B$2:$B$2500=$A83)*(Gastos!$D$2:$D$2500))</f>
        <v>0</v>
      </c>
      <c r="EI83" s="75">
        <f t="array" ref="EI83">SUM((YEAR(Gastos!$A$2:$A$2500)=EI$1)*(MONTH(Gastos!$A$2:$A$2500)=EI$3)*(Gastos!$B$2:$B$2500=$A83)*(Gastos!$D$2:$D$2500))</f>
        <v>0</v>
      </c>
      <c r="EJ83" s="75">
        <f t="array" ref="EJ83">SUM((YEAR(Gastos!$A$2:$A$2500)=EJ$1)*(MONTH(Gastos!$A$2:$A$2500)=EJ$3)*(Gastos!$B$2:$B$2500=$A83)*(Gastos!$D$2:$D$2500))</f>
        <v>0</v>
      </c>
      <c r="EK83" s="75">
        <f t="array" ref="EK83">SUM((YEAR(Gastos!$A$2:$A$2500)=EK$1)*(MONTH(Gastos!$A$2:$A$2500)=EK$3)*(Gastos!$B$2:$B$2500=$A83)*(Gastos!$D$2:$D$2500))</f>
        <v>0</v>
      </c>
      <c r="EL83" s="75">
        <f t="array" ref="EL83">SUM((YEAR(Gastos!$A$2:$A$2500)=EL$1)*(MONTH(Gastos!$A$2:$A$2500)=EL$3)*(Gastos!$B$2:$B$2500=$A83)*(Gastos!$D$2:$D$2500))</f>
        <v>0</v>
      </c>
      <c r="EM83" s="75">
        <f t="array" ref="EM83">SUM((YEAR(Gastos!$A$2:$A$2500)=EM$1)*(MONTH(Gastos!$A$2:$A$2500)=EM$3)*(Gastos!$B$2:$B$2500=$A83)*(Gastos!$D$2:$D$2500))</f>
        <v>0</v>
      </c>
      <c r="EN83" s="75">
        <f t="array" ref="EN83">SUM((YEAR(Gastos!$A$2:$A$2500)=EN$1)*(MONTH(Gastos!$A$2:$A$2500)=EN$3)*(Gastos!$B$2:$B$2500=$A83)*(Gastos!$D$2:$D$2500))</f>
        <v>0</v>
      </c>
      <c r="EO83" s="75">
        <f t="array" ref="EO83">SUM((YEAR(Gastos!$A$2:$A$2500)=EO$1)*(MONTH(Gastos!$A$2:$A$2500)=EO$3)*(Gastos!$B$2:$B$2500=$A83)*(Gastos!$D$2:$D$2500))</f>
        <v>0</v>
      </c>
      <c r="EP83" s="75">
        <f t="array" ref="EP83">SUM((YEAR(Gastos!$A$2:$A$2500)=EP$1)*(MONTH(Gastos!$A$2:$A$2500)=EP$3)*(Gastos!$B$2:$B$2500=$A83)*(Gastos!$D$2:$D$2500))</f>
        <v>0</v>
      </c>
      <c r="EQ83" s="75">
        <f t="array" ref="EQ83">SUM((YEAR(Gastos!$A$2:$A$2500)=EQ$1)*(MONTH(Gastos!$A$2:$A$2500)=EQ$3)*(Gastos!$B$2:$B$2500=$A83)*(Gastos!$D$2:$D$2500))</f>
        <v>0</v>
      </c>
      <c r="ER83" s="75">
        <f t="array" ref="ER83">SUM((YEAR(Gastos!$A$2:$A$2500)=ER$1)*(MONTH(Gastos!$A$2:$A$2500)=ER$3)*(Gastos!$B$2:$B$2500=$A83)*(Gastos!$D$2:$D$2500))</f>
        <v>0</v>
      </c>
      <c r="ES83" s="75">
        <f t="array" ref="ES83">SUM((YEAR(Gastos!$A$2:$A$2500)=ES$1)*(MONTH(Gastos!$A$2:$A$2500)=ES$3)*(Gastos!$B$2:$B$2500=$A83)*(Gastos!$D$2:$D$2500))</f>
        <v>0</v>
      </c>
      <c r="ET83" s="75">
        <f t="array" ref="ET83">SUM((YEAR(Gastos!$A$2:$A$2500)=ET$1)*(MONTH(Gastos!$A$2:$A$2500)=ET$3)*(Gastos!$B$2:$B$2500=$A83)*(Gastos!$D$2:$D$2500))</f>
        <v>0</v>
      </c>
      <c r="EU83" s="75">
        <f t="array" ref="EU83">SUM((YEAR(Gastos!$A$2:$A$2500)=EU$1)*(MONTH(Gastos!$A$2:$A$2500)=EU$3)*(Gastos!$B$2:$B$2500=$A83)*(Gastos!$D$2:$D$2500))</f>
        <v>0</v>
      </c>
      <c r="EV83" s="75">
        <f t="array" ref="EV83">SUM((YEAR(Gastos!$A$2:$A$2500)=EV$1)*(MONTH(Gastos!$A$2:$A$2500)=EV$3)*(Gastos!$B$2:$B$2500=$A83)*(Gastos!$D$2:$D$2500))</f>
        <v>0</v>
      </c>
      <c r="EW83" s="75">
        <f t="array" ref="EW83">SUM((YEAR(Gastos!$A$2:$A$2500)=EW$1)*(MONTH(Gastos!$A$2:$A$2500)=EW$3)*(Gastos!$B$2:$B$2500=$A83)*(Gastos!$D$2:$D$2500))</f>
        <v>0</v>
      </c>
      <c r="EX83" s="75">
        <f t="array" ref="EX83">SUM((YEAR(Gastos!$A$2:$A$2500)=EX$1)*(MONTH(Gastos!$A$2:$A$2500)=EX$3)*(Gastos!$B$2:$B$2500=$A83)*(Gastos!$D$2:$D$2500))</f>
        <v>0</v>
      </c>
      <c r="EY83" s="75">
        <f t="array" ref="EY83">SUM((YEAR(Gastos!$A$2:$A$2500)=EY$1)*(MONTH(Gastos!$A$2:$A$2500)=EY$3)*(Gastos!$B$2:$B$2500=$A83)*(Gastos!$D$2:$D$2500))</f>
        <v>0</v>
      </c>
      <c r="EZ83" s="75">
        <f t="array" ref="EZ83">SUM((YEAR(Gastos!$A$2:$A$2500)=EZ$1)*(MONTH(Gastos!$A$2:$A$2500)=EZ$3)*(Gastos!$B$2:$B$2500=$A83)*(Gastos!$D$2:$D$2500))</f>
        <v>0</v>
      </c>
      <c r="FA83" s="75">
        <f t="array" ref="FA83">SUM((YEAR(Gastos!$A$2:$A$2500)=FA$1)*(MONTH(Gastos!$A$2:$A$2500)=FA$3)*(Gastos!$B$2:$B$2500=$A83)*(Gastos!$D$2:$D$2500))</f>
        <v>0</v>
      </c>
      <c r="FB83" s="75">
        <f t="array" ref="FB83">SUM((YEAR(Gastos!$A$2:$A$2500)=FB$1)*(MONTH(Gastos!$A$2:$A$2500)=FB$3)*(Gastos!$B$2:$B$2500=$A83)*(Gastos!$D$2:$D$2500))</f>
        <v>0</v>
      </c>
      <c r="FC83" s="75">
        <f t="array" ref="FC83">SUM((YEAR(Gastos!$A$2:$A$2500)=FC$1)*(MONTH(Gastos!$A$2:$A$2500)=FC$3)*(Gastos!$B$2:$B$2500=$A83)*(Gastos!$D$2:$D$2500))</f>
        <v>0</v>
      </c>
      <c r="FD83" s="75">
        <f t="array" ref="FD83">SUM((YEAR(Gastos!$A$2:$A$2500)=FD$1)*(MONTH(Gastos!$A$2:$A$2500)=FD$3)*(Gastos!$B$2:$B$2500=$A83)*(Gastos!$D$2:$D$2500))</f>
        <v>0</v>
      </c>
      <c r="FE83" s="75">
        <f t="array" ref="FE83">SUM((YEAR(Gastos!$A$2:$A$2500)=FE$1)*(MONTH(Gastos!$A$2:$A$2500)=FE$3)*(Gastos!$B$2:$B$2500=$A83)*(Gastos!$D$2:$D$2500))</f>
        <v>0</v>
      </c>
      <c r="FF83" s="75">
        <f t="array" ref="FF83">SUM((YEAR(Gastos!$A$2:$A$2500)=FF$1)*(MONTH(Gastos!$A$2:$A$2500)=FF$3)*(Gastos!$B$2:$B$2500=$A83)*(Gastos!$D$2:$D$2500))</f>
        <v>0</v>
      </c>
      <c r="FG83" s="75">
        <f t="array" ref="FG83">SUM((YEAR(Gastos!$A$2:$A$2500)=FG$1)*(MONTH(Gastos!$A$2:$A$2500)=FG$3)*(Gastos!$B$2:$B$2500=$A83)*(Gastos!$D$2:$D$2500))</f>
        <v>0</v>
      </c>
      <c r="FH83" s="75">
        <f t="array" ref="FH83">SUM((YEAR(Gastos!$A$2:$A$2500)=FH$1)*(MONTH(Gastos!$A$2:$A$2500)=FH$3)*(Gastos!$B$2:$B$2500=$A83)*(Gastos!$D$2:$D$2500))</f>
        <v>0</v>
      </c>
      <c r="FI83" s="75">
        <f t="array" ref="FI83">SUM((YEAR(Gastos!$A$2:$A$2500)=FI$1)*(MONTH(Gastos!$A$2:$A$2500)=FI$3)*(Gastos!$B$2:$B$2500=$A83)*(Gastos!$D$2:$D$2500))</f>
        <v>0</v>
      </c>
      <c r="FJ83" s="75">
        <f t="array" ref="FJ83">SUM((YEAR(Gastos!$A$2:$A$2500)=FJ$1)*(MONTH(Gastos!$A$2:$A$2500)=FJ$3)*(Gastos!$B$2:$B$2500=$A83)*(Gastos!$D$2:$D$2500))</f>
        <v>0</v>
      </c>
      <c r="FK83" s="75">
        <f t="array" ref="FK83">SUM((YEAR(Gastos!$A$2:$A$2500)=FK$1)*(MONTH(Gastos!$A$2:$A$2500)=FK$3)*(Gastos!$B$2:$B$2500=$A83)*(Gastos!$D$2:$D$2500))</f>
        <v>0</v>
      </c>
      <c r="FL83" s="75">
        <f t="array" ref="FL83">SUM((YEAR(Gastos!$A$2:$A$2500)=FL$1)*(MONTH(Gastos!$A$2:$A$2500)=FL$3)*(Gastos!$B$2:$B$2500=$A83)*(Gastos!$D$2:$D$2500))</f>
        <v>0</v>
      </c>
      <c r="FM83" s="75">
        <f t="array" ref="FM83">SUM((YEAR(Gastos!$A$2:$A$2500)=FM$1)*(MONTH(Gastos!$A$2:$A$2500)=FM$3)*(Gastos!$B$2:$B$2500=$A83)*(Gastos!$D$2:$D$2500))</f>
        <v>0</v>
      </c>
      <c r="FN83" s="75">
        <f t="array" ref="FN83">SUM((YEAR(Gastos!$A$2:$A$2500)=FN$1)*(MONTH(Gastos!$A$2:$A$2500)=FN$3)*(Gastos!$B$2:$B$2500=$A83)*(Gastos!$D$2:$D$2500))</f>
        <v>0</v>
      </c>
      <c r="FO83" s="75">
        <f t="array" ref="FO83">SUM((YEAR(Gastos!$A$2:$A$2500)=FO$1)*(MONTH(Gastos!$A$2:$A$2500)=FO$3)*(Gastos!$B$2:$B$2500=$A83)*(Gastos!$D$2:$D$2500))</f>
        <v>0</v>
      </c>
      <c r="FP83" s="75">
        <f t="array" ref="FP83">SUM((YEAR(Gastos!$A$2:$A$2500)=FP$1)*(MONTH(Gastos!$A$2:$A$2500)=FP$3)*(Gastos!$B$2:$B$2500=$A83)*(Gastos!$D$2:$D$2500))</f>
        <v>0</v>
      </c>
      <c r="FQ83" s="75">
        <f t="array" ref="FQ83">SUM((YEAR(Gastos!$A$2:$A$2500)=FQ$1)*(MONTH(Gastos!$A$2:$A$2500)=FQ$3)*(Gastos!$B$2:$B$2500=$A83)*(Gastos!$D$2:$D$2500))</f>
        <v>0</v>
      </c>
      <c r="FR83" s="75">
        <f t="array" ref="FR83">SUM((YEAR(Gastos!$A$2:$A$2500)=FR$1)*(MONTH(Gastos!$A$2:$A$2500)=FR$3)*(Gastos!$B$2:$B$2500=$A83)*(Gastos!$D$2:$D$2500))</f>
        <v>0</v>
      </c>
      <c r="FS83" s="75">
        <f t="array" ref="FS83">SUM((YEAR(Gastos!$A$2:$A$2500)=FS$1)*(MONTH(Gastos!$A$2:$A$2500)=FS$3)*(Gastos!$B$2:$B$2500=$A83)*(Gastos!$D$2:$D$2500))</f>
        <v>0</v>
      </c>
      <c r="FT83" s="75">
        <f t="array" ref="FT83">SUM((YEAR(Gastos!$A$2:$A$2500)=FT$1)*(MONTH(Gastos!$A$2:$A$2500)=FT$3)*(Gastos!$B$2:$B$2500=$A83)*(Gastos!$D$2:$D$2500))</f>
        <v>0</v>
      </c>
      <c r="FU83" s="75">
        <f t="array" ref="FU83">SUM((YEAR(Gastos!$A$2:$A$2500)=FU$1)*(MONTH(Gastos!$A$2:$A$2500)=FU$3)*(Gastos!$B$2:$B$2500=$A83)*(Gastos!$D$2:$D$2500))</f>
        <v>0</v>
      </c>
      <c r="FV83" s="75">
        <f t="array" ref="FV83">SUM((YEAR(Gastos!$A$2:$A$2500)=FV$1)*(MONTH(Gastos!$A$2:$A$2500)=FV$3)*(Gastos!$B$2:$B$2500=$A83)*(Gastos!$D$2:$D$2500))</f>
        <v>0</v>
      </c>
      <c r="FW83" s="75">
        <f t="array" ref="FW83">SUM((YEAR(Gastos!$A$2:$A$2500)=FW$1)*(MONTH(Gastos!$A$2:$A$2500)=FW$3)*(Gastos!$B$2:$B$2500=$A83)*(Gastos!$D$2:$D$2500))</f>
        <v>0</v>
      </c>
      <c r="FX83" s="75">
        <f t="array" ref="FX83">SUM((YEAR(Gastos!$A$2:$A$2500)=FX$1)*(MONTH(Gastos!$A$2:$A$2500)=FX$3)*(Gastos!$B$2:$B$2500=$A83)*(Gastos!$D$2:$D$2500))</f>
        <v>0</v>
      </c>
      <c r="FY83" s="75">
        <f t="array" ref="FY83">SUM((YEAR(Gastos!$A$2:$A$2500)=FY$1)*(MONTH(Gastos!$A$2:$A$2500)=FY$3)*(Gastos!$B$2:$B$2500=$A83)*(Gastos!$D$2:$D$2500))</f>
        <v>0</v>
      </c>
      <c r="FZ83" s="76">
        <f t="shared" si="68"/>
        <v>0</v>
      </c>
      <c r="GA83" s="80"/>
      <c r="GB83" s="82"/>
    </row>
    <row r="84" spans="1:184" ht="15" thickBot="1" x14ac:dyDescent="0.4">
      <c r="A84" s="74" t="str">
        <f>Gastos!AA82</f>
        <v>X</v>
      </c>
      <c r="B84" s="75">
        <f t="array" ref="B84">SUM((YEAR(Gastos!$A$2:$A$2500)=B$1)*(MONTH(Gastos!$A$2:$A$2500)=B$3)*(Gastos!$B$2:$B$2500=$A84)*(Gastos!$D$2:$D$2500))</f>
        <v>0</v>
      </c>
      <c r="C84" s="75">
        <f t="array" ref="C84">SUM((YEAR(Gastos!$A$2:$A$2500)=C$1)*(MONTH(Gastos!$A$2:$A$2500)=C$3)*(Gastos!$B$2:$B$2500=$A84)*(Gastos!$D$2:$D$2500))</f>
        <v>0</v>
      </c>
      <c r="D84" s="75">
        <f t="array" ref="D84">SUM((YEAR(Gastos!$A$2:$A$2500)=D$1)*(MONTH(Gastos!$A$2:$A$2500)=D$3)*(Gastos!$B$2:$B$2500=$A84)*(Gastos!$D$2:$D$2500))</f>
        <v>0</v>
      </c>
      <c r="E84" s="75">
        <f t="array" ref="E84">SUM((YEAR(Gastos!$A$2:$A$2500)=E$1)*(MONTH(Gastos!$A$2:$A$2500)=E$3)*(Gastos!$B$2:$B$2500=$A84)*(Gastos!$D$2:$D$2500))</f>
        <v>0</v>
      </c>
      <c r="F84" s="75">
        <f t="array" ref="F84">SUM((YEAR(Gastos!$A$2:$A$2500)=F$1)*(MONTH(Gastos!$A$2:$A$2500)=F$3)*(Gastos!$B$2:$B$2500=$A84)*(Gastos!$D$2:$D$2500))</f>
        <v>0</v>
      </c>
      <c r="G84" s="75">
        <f t="array" ref="G84">SUM((YEAR(Gastos!$A$2:$A$2500)=G$1)*(MONTH(Gastos!$A$2:$A$2500)=G$3)*(Gastos!$B$2:$B$2500=$A84)*(Gastos!$D$2:$D$2500))</f>
        <v>0</v>
      </c>
      <c r="H84" s="75">
        <f t="array" ref="H84">SUM((YEAR(Gastos!$A$2:$A$2500)=H$1)*(MONTH(Gastos!$A$2:$A$2500)=H$3)*(Gastos!$B$2:$B$2500=$A84)*(Gastos!$D$2:$D$2500))</f>
        <v>0</v>
      </c>
      <c r="I84" s="75">
        <f t="array" ref="I84">SUM((YEAR(Gastos!$A$2:$A$2500)=I$1)*(MONTH(Gastos!$A$2:$A$2500)=I$3)*(Gastos!$B$2:$B$2500=$A84)*(Gastos!$D$2:$D$2500))</f>
        <v>0</v>
      </c>
      <c r="J84" s="75">
        <f t="array" ref="J84">SUM((YEAR(Gastos!$A$2:$A$2500)=J$1)*(MONTH(Gastos!$A$2:$A$2500)=J$3)*(Gastos!$B$2:$B$2500=$A84)*(Gastos!$D$2:$D$2500))</f>
        <v>0</v>
      </c>
      <c r="K84" s="75">
        <f t="array" ref="K84">SUM((YEAR(Gastos!$A$2:$A$2500)=K$1)*(MONTH(Gastos!$A$2:$A$2500)=K$3)*(Gastos!$B$2:$B$2500=$A84)*(Gastos!$D$2:$D$2500))</f>
        <v>0</v>
      </c>
      <c r="L84" s="75">
        <f t="array" ref="L84">SUM((YEAR(Gastos!$A$2:$A$2500)=L$1)*(MONTH(Gastos!$A$2:$A$2500)=L$3)*(Gastos!$B$2:$B$2500=$A84)*(Gastos!$D$2:$D$2500))</f>
        <v>0</v>
      </c>
      <c r="M84" s="75">
        <f t="array" ref="M84">SUM((YEAR(Gastos!$A$2:$A$2500)=M$1)*(MONTH(Gastos!$A$2:$A$2500)=M$3)*(Gastos!$B$2:$B$2500=$A84)*(Gastos!$D$2:$D$2500))</f>
        <v>0</v>
      </c>
      <c r="N84" s="75">
        <f t="array" ref="N84">SUM((YEAR(Gastos!$A$2:$A$2500)=N$1)*(MONTH(Gastos!$A$2:$A$2500)=N$3)*(Gastos!$B$2:$B$2500=$A84)*(Gastos!$D$2:$D$2500))</f>
        <v>0</v>
      </c>
      <c r="O84" s="75">
        <f t="array" ref="O84">SUM((YEAR(Gastos!$A$2:$A$2500)=O$1)*(MONTH(Gastos!$A$2:$A$2500)=O$3)*(Gastos!$B$2:$B$2500=$A84)*(Gastos!$D$2:$D$2500))</f>
        <v>0</v>
      </c>
      <c r="P84" s="75">
        <f t="array" ref="P84">SUM((YEAR(Gastos!$A$2:$A$2500)=P$1)*(MONTH(Gastos!$A$2:$A$2500)=P$3)*(Gastos!$B$2:$B$2500=$A84)*(Gastos!$D$2:$D$2500))</f>
        <v>0</v>
      </c>
      <c r="Q84" s="75">
        <f t="array" ref="Q84">SUM((YEAR(Gastos!$A$2:$A$2500)=Q$1)*(MONTH(Gastos!$A$2:$A$2500)=Q$3)*(Gastos!$B$2:$B$2500=$A84)*(Gastos!$D$2:$D$2500))</f>
        <v>0</v>
      </c>
      <c r="R84" s="75">
        <f t="array" ref="R84">SUM((YEAR(Gastos!$A$2:$A$2500)=R$1)*(MONTH(Gastos!$A$2:$A$2500)=R$3)*(Gastos!$B$2:$B$2500=$A84)*(Gastos!$D$2:$D$2500))</f>
        <v>0</v>
      </c>
      <c r="S84" s="75">
        <f t="array" ref="S84">SUM((YEAR(Gastos!$A$2:$A$2500)=S$1)*(MONTH(Gastos!$A$2:$A$2500)=S$3)*(Gastos!$B$2:$B$2500=$A84)*(Gastos!$D$2:$D$2500))</f>
        <v>0</v>
      </c>
      <c r="T84" s="75">
        <f t="array" ref="T84">SUM((YEAR(Gastos!$A$2:$A$2500)=T$1)*(MONTH(Gastos!$A$2:$A$2500)=T$3)*(Gastos!$B$2:$B$2500=$A84)*(Gastos!$D$2:$D$2500))</f>
        <v>0</v>
      </c>
      <c r="U84" s="75">
        <f t="array" ref="U84">SUM((YEAR(Gastos!$A$2:$A$2500)=U$1)*(MONTH(Gastos!$A$2:$A$2500)=U$3)*(Gastos!$B$2:$B$2500=$A84)*(Gastos!$D$2:$D$2500))</f>
        <v>0</v>
      </c>
      <c r="V84" s="75">
        <f t="array" ref="V84">SUM((YEAR(Gastos!$A$2:$A$2500)=V$1)*(MONTH(Gastos!$A$2:$A$2500)=V$3)*(Gastos!$B$2:$B$2500=$A84)*(Gastos!$D$2:$D$2500))</f>
        <v>0</v>
      </c>
      <c r="W84" s="75">
        <f t="array" ref="W84">SUM((YEAR(Gastos!$A$2:$A$2500)=W$1)*(MONTH(Gastos!$A$2:$A$2500)=W$3)*(Gastos!$B$2:$B$2500=$A84)*(Gastos!$D$2:$D$2500))</f>
        <v>0</v>
      </c>
      <c r="X84" s="75">
        <f t="array" ref="X84">SUM((YEAR(Gastos!$A$2:$A$2500)=X$1)*(MONTH(Gastos!$A$2:$A$2500)=X$3)*(Gastos!$B$2:$B$2500=$A84)*(Gastos!$D$2:$D$2500))</f>
        <v>0</v>
      </c>
      <c r="Y84" s="75">
        <f t="array" ref="Y84">SUM((YEAR(Gastos!$A$2:$A$2500)=Y$1)*(MONTH(Gastos!$A$2:$A$2500)=Y$3)*(Gastos!$B$2:$B$2500=$A84)*(Gastos!$D$2:$D$2500))</f>
        <v>0</v>
      </c>
      <c r="Z84" s="75">
        <f t="array" ref="Z84">SUM((YEAR(Gastos!$A$2:$A$2500)=Z$1)*(MONTH(Gastos!$A$2:$A$2500)=Z$3)*(Gastos!$B$2:$B$2500=$A84)*(Gastos!$D$2:$D$2500))</f>
        <v>0</v>
      </c>
      <c r="AA84" s="75">
        <f t="array" ref="AA84">SUM((YEAR(Gastos!$A$2:$A$2500)=AA$1)*(MONTH(Gastos!$A$2:$A$2500)=AA$3)*(Gastos!$B$2:$B$2500=$A84)*(Gastos!$D$2:$D$2500))</f>
        <v>0</v>
      </c>
      <c r="AB84" s="75">
        <f t="array" ref="AB84">SUM((YEAR(Gastos!$A$2:$A$2500)=AB$1)*(MONTH(Gastos!$A$2:$A$2500)=AB$3)*(Gastos!$B$2:$B$2500=$A84)*(Gastos!$D$2:$D$2500))</f>
        <v>0</v>
      </c>
      <c r="AC84" s="75">
        <f t="array" ref="AC84">SUM((YEAR(Gastos!$A$2:$A$2500)=AC$1)*(MONTH(Gastos!$A$2:$A$2500)=AC$3)*(Gastos!$B$2:$B$2500=$A84)*(Gastos!$D$2:$D$2500))</f>
        <v>0</v>
      </c>
      <c r="AD84" s="75">
        <f t="array" ref="AD84">SUM((YEAR(Gastos!$A$2:$A$2500)=AD$1)*(MONTH(Gastos!$A$2:$A$2500)=AD$3)*(Gastos!$B$2:$B$2500=$A84)*(Gastos!$D$2:$D$2500))</f>
        <v>0</v>
      </c>
      <c r="AE84" s="75">
        <f t="array" ref="AE84">SUM((YEAR(Gastos!$A$2:$A$2500)=AE$1)*(MONTH(Gastos!$A$2:$A$2500)=AE$3)*(Gastos!$B$2:$B$2500=$A84)*(Gastos!$D$2:$D$2500))</f>
        <v>0</v>
      </c>
      <c r="AF84" s="75">
        <f t="array" ref="AF84">SUM((YEAR(Gastos!$A$2:$A$2500)=AF$1)*(MONTH(Gastos!$A$2:$A$2500)=AF$3)*(Gastos!$B$2:$B$2500=$A84)*(Gastos!$D$2:$D$2500))</f>
        <v>0</v>
      </c>
      <c r="AG84" s="75">
        <f t="array" ref="AG84">SUM((YEAR(Gastos!$A$2:$A$2500)=AG$1)*(MONTH(Gastos!$A$2:$A$2500)=AG$3)*(Gastos!$B$2:$B$2500=$A84)*(Gastos!$D$2:$D$2500))</f>
        <v>0</v>
      </c>
      <c r="AH84" s="75">
        <f t="array" ref="AH84">SUM((YEAR(Gastos!$A$2:$A$2500)=AH$1)*(MONTH(Gastos!$A$2:$A$2500)=AH$3)*(Gastos!$B$2:$B$2500=$A84)*(Gastos!$D$2:$D$2500))</f>
        <v>0</v>
      </c>
      <c r="AI84" s="75">
        <f t="array" ref="AI84">SUM((YEAR(Gastos!$A$2:$A$2500)=AI$1)*(MONTH(Gastos!$A$2:$A$2500)=AI$3)*(Gastos!$B$2:$B$2500=$A84)*(Gastos!$D$2:$D$2500))</f>
        <v>0</v>
      </c>
      <c r="AJ84" s="75">
        <f t="array" ref="AJ84">SUM((YEAR(Gastos!$A$2:$A$2500)=AJ$1)*(MONTH(Gastos!$A$2:$A$2500)=AJ$3)*(Gastos!$B$2:$B$2500=$A84)*(Gastos!$D$2:$D$2500))</f>
        <v>0</v>
      </c>
      <c r="AK84" s="75">
        <f t="array" ref="AK84">SUM((YEAR(Gastos!$A$2:$A$2500)=AK$1)*(MONTH(Gastos!$A$2:$A$2500)=AK$3)*(Gastos!$B$2:$B$2500=$A84)*(Gastos!$D$2:$D$2500))</f>
        <v>0</v>
      </c>
      <c r="AL84" s="75">
        <f t="array" ref="AL84">SUM((YEAR(Gastos!$A$2:$A$2500)=AL$1)*(MONTH(Gastos!$A$2:$A$2500)=AL$3)*(Gastos!$B$2:$B$2500=$A84)*(Gastos!$D$2:$D$2500))</f>
        <v>0</v>
      </c>
      <c r="AM84" s="75">
        <f t="array" ref="AM84">SUM((YEAR(Gastos!$A$2:$A$2500)=AM$1)*(MONTH(Gastos!$A$2:$A$2500)=AM$3)*(Gastos!$B$2:$B$2500=$A84)*(Gastos!$D$2:$D$2500))</f>
        <v>0</v>
      </c>
      <c r="AN84" s="75">
        <f t="array" ref="AN84">SUM((YEAR(Gastos!$A$2:$A$2500)=AN$1)*(MONTH(Gastos!$A$2:$A$2500)=AN$3)*(Gastos!$B$2:$B$2500=$A84)*(Gastos!$D$2:$D$2500))</f>
        <v>0</v>
      </c>
      <c r="AO84" s="75">
        <f t="array" ref="AO84">SUM((YEAR(Gastos!$A$2:$A$2500)=AO$1)*(MONTH(Gastos!$A$2:$A$2500)=AO$3)*(Gastos!$B$2:$B$2500=$A84)*(Gastos!$D$2:$D$2500))</f>
        <v>0</v>
      </c>
      <c r="AP84" s="75">
        <f t="array" ref="AP84">SUM((YEAR(Gastos!$A$2:$A$2500)=AP$1)*(MONTH(Gastos!$A$2:$A$2500)=AP$3)*(Gastos!$B$2:$B$2500=$A84)*(Gastos!$D$2:$D$2500))</f>
        <v>0</v>
      </c>
      <c r="AQ84" s="75">
        <f t="array" ref="AQ84">SUM((YEAR(Gastos!$A$2:$A$2500)=AQ$1)*(MONTH(Gastos!$A$2:$A$2500)=AQ$3)*(Gastos!$B$2:$B$2500=$A84)*(Gastos!$D$2:$D$2500))</f>
        <v>0</v>
      </c>
      <c r="AR84" s="75">
        <f t="array" ref="AR84">SUM((YEAR(Gastos!$A$2:$A$2500)=AR$1)*(MONTH(Gastos!$A$2:$A$2500)=AR$3)*(Gastos!$B$2:$B$2500=$A84)*(Gastos!$D$2:$D$2500))</f>
        <v>0</v>
      </c>
      <c r="AS84" s="75">
        <f t="array" ref="AS84">SUM((YEAR(Gastos!$A$2:$A$2500)=AS$1)*(MONTH(Gastos!$A$2:$A$2500)=AS$3)*(Gastos!$B$2:$B$2500=$A84)*(Gastos!$D$2:$D$2500))</f>
        <v>0</v>
      </c>
      <c r="AT84" s="75">
        <f t="array" ref="AT84">SUM((YEAR(Gastos!$A$2:$A$2500)=AT$1)*(MONTH(Gastos!$A$2:$A$2500)=AT$3)*(Gastos!$B$2:$B$2500=$A84)*(Gastos!$D$2:$D$2500))</f>
        <v>0</v>
      </c>
      <c r="AU84" s="75">
        <f t="array" ref="AU84">SUM((YEAR(Gastos!$A$2:$A$2500)=AU$1)*(MONTH(Gastos!$A$2:$A$2500)=AU$3)*(Gastos!$B$2:$B$2500=$A84)*(Gastos!$D$2:$D$2500))</f>
        <v>0</v>
      </c>
      <c r="AV84" s="75">
        <f t="array" ref="AV84">SUM((YEAR(Gastos!$A$2:$A$2500)=AV$1)*(MONTH(Gastos!$A$2:$A$2500)=AV$3)*(Gastos!$B$2:$B$2500=$A84)*(Gastos!$D$2:$D$2500))</f>
        <v>0</v>
      </c>
      <c r="AW84" s="75">
        <f t="array" ref="AW84">SUM((YEAR(Gastos!$A$2:$A$2500)=AW$1)*(MONTH(Gastos!$A$2:$A$2500)=AW$3)*(Gastos!$B$2:$B$2500=$A84)*(Gastos!$D$2:$D$2500))</f>
        <v>0</v>
      </c>
      <c r="AX84" s="75">
        <f t="array" ref="AX84">SUM((YEAR(Gastos!$A$2:$A$2500)=AX$1)*(MONTH(Gastos!$A$2:$A$2500)=AX$3)*(Gastos!$B$2:$B$2500=$A84)*(Gastos!$D$2:$D$2500))</f>
        <v>0</v>
      </c>
      <c r="AY84" s="75">
        <f t="array" ref="AY84">SUM((YEAR(Gastos!$A$2:$A$2500)=AY$1)*(MONTH(Gastos!$A$2:$A$2500)=AY$3)*(Gastos!$B$2:$B$2500=$A84)*(Gastos!$D$2:$D$2500))</f>
        <v>0</v>
      </c>
      <c r="AZ84" s="75">
        <f t="array" ref="AZ84">SUM((YEAR(Gastos!$A$2:$A$2500)=AZ$1)*(MONTH(Gastos!$A$2:$A$2500)=AZ$3)*(Gastos!$B$2:$B$2500=$A84)*(Gastos!$D$2:$D$2500))</f>
        <v>0</v>
      </c>
      <c r="BA84" s="75">
        <f t="array" ref="BA84">SUM((YEAR(Gastos!$A$2:$A$2500)=BA$1)*(MONTH(Gastos!$A$2:$A$2500)=BA$3)*(Gastos!$B$2:$B$2500=$A84)*(Gastos!$D$2:$D$2500))</f>
        <v>0</v>
      </c>
      <c r="BB84" s="75">
        <f t="array" ref="BB84">SUM((YEAR(Gastos!$A$2:$A$2500)=BB$1)*(MONTH(Gastos!$A$2:$A$2500)=BB$3)*(Gastos!$B$2:$B$2500=$A84)*(Gastos!$D$2:$D$2500))</f>
        <v>0</v>
      </c>
      <c r="BC84" s="75">
        <f t="array" ref="BC84">SUM((YEAR(Gastos!$A$2:$A$2500)=BC$1)*(MONTH(Gastos!$A$2:$A$2500)=BC$3)*(Gastos!$B$2:$B$2500=$A84)*(Gastos!$D$2:$D$2500))</f>
        <v>0</v>
      </c>
      <c r="BD84" s="75">
        <f t="array" ref="BD84">SUM((YEAR(Gastos!$A$2:$A$2500)=BD$1)*(MONTH(Gastos!$A$2:$A$2500)=BD$3)*(Gastos!$B$2:$B$2500=$A84)*(Gastos!$D$2:$D$2500))</f>
        <v>0</v>
      </c>
      <c r="BE84" s="75">
        <f t="array" ref="BE84">SUM((YEAR(Gastos!$A$2:$A$2500)=BE$1)*(MONTH(Gastos!$A$2:$A$2500)=BE$3)*(Gastos!$B$2:$B$2500=$A84)*(Gastos!$D$2:$D$2500))</f>
        <v>0</v>
      </c>
      <c r="BF84" s="75">
        <f t="array" ref="BF84">SUM((YEAR(Gastos!$A$2:$A$2500)=BF$1)*(MONTH(Gastos!$A$2:$A$2500)=BF$3)*(Gastos!$B$2:$B$2500=$A84)*(Gastos!$D$2:$D$2500))</f>
        <v>0</v>
      </c>
      <c r="BG84" s="75">
        <f t="array" ref="BG84">SUM((YEAR(Gastos!$A$2:$A$2500)=BG$1)*(MONTH(Gastos!$A$2:$A$2500)=BG$3)*(Gastos!$B$2:$B$2500=$A84)*(Gastos!$D$2:$D$2500))</f>
        <v>0</v>
      </c>
      <c r="BH84" s="75">
        <f t="array" ref="BH84">SUM((YEAR(Gastos!$A$2:$A$2500)=BH$1)*(MONTH(Gastos!$A$2:$A$2500)=BH$3)*(Gastos!$B$2:$B$2500=$A84)*(Gastos!$D$2:$D$2500))</f>
        <v>0</v>
      </c>
      <c r="BI84" s="75">
        <f t="array" ref="BI84">SUM((YEAR(Gastos!$A$2:$A$2500)=BI$1)*(MONTH(Gastos!$A$2:$A$2500)=BI$3)*(Gastos!$B$2:$B$2500=$A84)*(Gastos!$D$2:$D$2500))</f>
        <v>0</v>
      </c>
      <c r="BJ84" s="75">
        <f t="array" ref="BJ84">SUM((YEAR(Gastos!$A$2:$A$2500)=BJ$1)*(MONTH(Gastos!$A$2:$A$2500)=BJ$3)*(Gastos!$B$2:$B$2500=$A84)*(Gastos!$D$2:$D$2500))</f>
        <v>0</v>
      </c>
      <c r="BK84" s="75">
        <f t="array" ref="BK84">SUM((YEAR(Gastos!$A$2:$A$2500)=BK$1)*(MONTH(Gastos!$A$2:$A$2500)=BK$3)*(Gastos!$B$2:$B$2500=$A84)*(Gastos!$D$2:$D$2500))</f>
        <v>0</v>
      </c>
      <c r="BL84" s="75">
        <f t="array" ref="BL84">SUM((YEAR(Gastos!$A$2:$A$2500)=BL$1)*(MONTH(Gastos!$A$2:$A$2500)=BL$3)*(Gastos!$B$2:$B$2500=$A84)*(Gastos!$D$2:$D$2500))</f>
        <v>0</v>
      </c>
      <c r="BM84" s="75">
        <f t="array" ref="BM84">SUM((YEAR(Gastos!$A$2:$A$2500)=BM$1)*(MONTH(Gastos!$A$2:$A$2500)=BM$3)*(Gastos!$B$2:$B$2500=$A84)*(Gastos!$D$2:$D$2500))</f>
        <v>0</v>
      </c>
      <c r="BN84" s="75">
        <f t="array" ref="BN84">SUM((YEAR(Gastos!$A$2:$A$2500)=BN$1)*(MONTH(Gastos!$A$2:$A$2500)=BN$3)*(Gastos!$B$2:$B$2500=$A84)*(Gastos!$D$2:$D$2500))</f>
        <v>0</v>
      </c>
      <c r="BO84" s="75">
        <f t="array" ref="BO84">SUM((YEAR(Gastos!$A$2:$A$2500)=BO$1)*(MONTH(Gastos!$A$2:$A$2500)=BO$3)*(Gastos!$B$2:$B$2500=$A84)*(Gastos!$D$2:$D$2500))</f>
        <v>0</v>
      </c>
      <c r="BP84" s="75">
        <f t="array" ref="BP84">SUM((YEAR(Gastos!$A$2:$A$2500)=BP$1)*(MONTH(Gastos!$A$2:$A$2500)=BP$3)*(Gastos!$B$2:$B$2500=$A84)*(Gastos!$D$2:$D$2500))</f>
        <v>0</v>
      </c>
      <c r="BQ84" s="75">
        <f t="array" ref="BQ84">SUM((YEAR(Gastos!$A$2:$A$2500)=BQ$1)*(MONTH(Gastos!$A$2:$A$2500)=BQ$3)*(Gastos!$B$2:$B$2500=$A84)*(Gastos!$D$2:$D$2500))</f>
        <v>0</v>
      </c>
      <c r="BR84" s="75">
        <f t="array" ref="BR84">SUM((YEAR(Gastos!$A$2:$A$2500)=BR$1)*(MONTH(Gastos!$A$2:$A$2500)=BR$3)*(Gastos!$B$2:$B$2500=$A84)*(Gastos!$D$2:$D$2500))</f>
        <v>0</v>
      </c>
      <c r="BS84" s="75">
        <f t="array" ref="BS84">SUM((YEAR(Gastos!$A$2:$A$2500)=BS$1)*(MONTH(Gastos!$A$2:$A$2500)=BS$3)*(Gastos!$B$2:$B$2500=$A84)*(Gastos!$D$2:$D$2500))</f>
        <v>0</v>
      </c>
      <c r="BT84" s="75">
        <f t="array" ref="BT84">SUM((YEAR(Gastos!$A$2:$A$2500)=BT$1)*(MONTH(Gastos!$A$2:$A$2500)=BT$3)*(Gastos!$B$2:$B$2500=$A84)*(Gastos!$D$2:$D$2500))</f>
        <v>0</v>
      </c>
      <c r="BU84" s="75">
        <f t="array" ref="BU84">SUM((YEAR(Gastos!$A$2:$A$2500)=BU$1)*(MONTH(Gastos!$A$2:$A$2500)=BU$3)*(Gastos!$B$2:$B$2500=$A84)*(Gastos!$D$2:$D$2500))</f>
        <v>0</v>
      </c>
      <c r="BV84" s="75">
        <f t="array" ref="BV84">SUM((YEAR(Gastos!$A$2:$A$2500)=BV$1)*(MONTH(Gastos!$A$2:$A$2500)=BV$3)*(Gastos!$B$2:$B$2500=$A84)*(Gastos!$D$2:$D$2500))</f>
        <v>0</v>
      </c>
      <c r="BW84" s="75">
        <f t="array" ref="BW84">SUM((YEAR(Gastos!$A$2:$A$2500)=BW$1)*(MONTH(Gastos!$A$2:$A$2500)=BW$3)*(Gastos!$B$2:$B$2500=$A84)*(Gastos!$D$2:$D$2500))</f>
        <v>0</v>
      </c>
      <c r="BX84" s="75">
        <f t="array" ref="BX84">SUM((YEAR(Gastos!$A$2:$A$2500)=BX$1)*(MONTH(Gastos!$A$2:$A$2500)=BX$3)*(Gastos!$B$2:$B$2500=$A84)*(Gastos!$D$2:$D$2500))</f>
        <v>0</v>
      </c>
      <c r="BY84" s="75">
        <f t="array" ref="BY84">SUM((YEAR(Gastos!$A$2:$A$2500)=BY$1)*(MONTH(Gastos!$A$2:$A$2500)=BY$3)*(Gastos!$B$2:$B$2500=$A84)*(Gastos!$D$2:$D$2500))</f>
        <v>0</v>
      </c>
      <c r="BZ84" s="75">
        <f t="array" ref="BZ84">SUM((YEAR(Gastos!$A$2:$A$2500)=BZ$1)*(MONTH(Gastos!$A$2:$A$2500)=BZ$3)*(Gastos!$B$2:$B$2500=$A84)*(Gastos!$D$2:$D$2500))</f>
        <v>0</v>
      </c>
      <c r="CA84" s="75">
        <f t="array" ref="CA84">SUM((YEAR(Gastos!$A$2:$A$2500)=CA$1)*(MONTH(Gastos!$A$2:$A$2500)=CA$3)*(Gastos!$B$2:$B$2500=$A84)*(Gastos!$D$2:$D$2500))</f>
        <v>0</v>
      </c>
      <c r="CB84" s="75">
        <f t="array" ref="CB84">SUM((YEAR(Gastos!$A$2:$A$2500)=CB$1)*(MONTH(Gastos!$A$2:$A$2500)=CB$3)*(Gastos!$B$2:$B$2500=$A84)*(Gastos!$D$2:$D$2500))</f>
        <v>0</v>
      </c>
      <c r="CC84" s="75">
        <f t="array" ref="CC84">SUM((YEAR(Gastos!$A$2:$A$2500)=CC$1)*(MONTH(Gastos!$A$2:$A$2500)=CC$3)*(Gastos!$B$2:$B$2500=$A84)*(Gastos!$D$2:$D$2500))</f>
        <v>0</v>
      </c>
      <c r="CD84" s="75">
        <f t="array" ref="CD84">SUM((YEAR(Gastos!$A$2:$A$2500)=CD$1)*(MONTH(Gastos!$A$2:$A$2500)=CD$3)*(Gastos!$B$2:$B$2500=$A84)*(Gastos!$D$2:$D$2500))</f>
        <v>0</v>
      </c>
      <c r="CE84" s="75">
        <f t="array" ref="CE84">SUM((YEAR(Gastos!$A$2:$A$2500)=CE$1)*(MONTH(Gastos!$A$2:$A$2500)=CE$3)*(Gastos!$B$2:$B$2500=$A84)*(Gastos!$D$2:$D$2500))</f>
        <v>0</v>
      </c>
      <c r="CF84" s="75">
        <f t="array" ref="CF84">SUM((YEAR(Gastos!$A$2:$A$2500)=CF$1)*(MONTH(Gastos!$A$2:$A$2500)=CF$3)*(Gastos!$B$2:$B$2500=$A84)*(Gastos!$D$2:$D$2500))</f>
        <v>0</v>
      </c>
      <c r="CG84" s="75">
        <f t="array" ref="CG84">SUM((YEAR(Gastos!$A$2:$A$2500)=CG$1)*(MONTH(Gastos!$A$2:$A$2500)=CG$3)*(Gastos!$B$2:$B$2500=$A84)*(Gastos!$D$2:$D$2500))</f>
        <v>0</v>
      </c>
      <c r="CH84" s="75">
        <f t="array" ref="CH84">SUM((YEAR(Gastos!$A$2:$A$2500)=CH$1)*(MONTH(Gastos!$A$2:$A$2500)=CH$3)*(Gastos!$B$2:$B$2500=$A84)*(Gastos!$D$2:$D$2500))</f>
        <v>0</v>
      </c>
      <c r="CI84" s="75">
        <f t="array" ref="CI84">SUM((YEAR(Gastos!$A$2:$A$2500)=CI$1)*(MONTH(Gastos!$A$2:$A$2500)=CI$3)*(Gastos!$B$2:$B$2500=$A84)*(Gastos!$D$2:$D$2500))</f>
        <v>0</v>
      </c>
      <c r="CJ84" s="75">
        <f t="array" ref="CJ84">SUM((YEAR(Gastos!$A$2:$A$2500)=CJ$1)*(MONTH(Gastos!$A$2:$A$2500)=CJ$3)*(Gastos!$B$2:$B$2500=$A84)*(Gastos!$D$2:$D$2500))</f>
        <v>0</v>
      </c>
      <c r="CK84" s="75">
        <f t="array" ref="CK84">SUM((YEAR(Gastos!$A$2:$A$2500)=CK$1)*(MONTH(Gastos!$A$2:$A$2500)=CK$3)*(Gastos!$B$2:$B$2500=$A84)*(Gastos!$D$2:$D$2500))</f>
        <v>0</v>
      </c>
      <c r="CL84" s="75">
        <f t="array" ref="CL84">SUM((YEAR(Gastos!$A$2:$A$2500)=CL$1)*(MONTH(Gastos!$A$2:$A$2500)=CL$3)*(Gastos!$B$2:$B$2500=$A84)*(Gastos!$D$2:$D$2500))</f>
        <v>0</v>
      </c>
      <c r="CM84" s="75">
        <f t="array" ref="CM84">SUM((YEAR(Gastos!$A$2:$A$2500)=CM$1)*(MONTH(Gastos!$A$2:$A$2500)=CM$3)*(Gastos!$B$2:$B$2500=$A84)*(Gastos!$D$2:$D$2500))</f>
        <v>0</v>
      </c>
      <c r="CN84" s="75">
        <f t="array" ref="CN84">SUM((YEAR(Gastos!$A$2:$A$2500)=CN$1)*(MONTH(Gastos!$A$2:$A$2500)=CN$3)*(Gastos!$B$2:$B$2500=$A84)*(Gastos!$D$2:$D$2500))</f>
        <v>0</v>
      </c>
      <c r="CO84" s="75">
        <f t="array" ref="CO84">SUM((YEAR(Gastos!$A$2:$A$2500)=CO$1)*(MONTH(Gastos!$A$2:$A$2500)=CO$3)*(Gastos!$B$2:$B$2500=$A84)*(Gastos!$D$2:$D$2500))</f>
        <v>0</v>
      </c>
      <c r="CP84" s="75">
        <f t="array" ref="CP84">SUM((YEAR(Gastos!$A$2:$A$2500)=CP$1)*(MONTH(Gastos!$A$2:$A$2500)=CP$3)*(Gastos!$B$2:$B$2500=$A84)*(Gastos!$D$2:$D$2500))</f>
        <v>0</v>
      </c>
      <c r="CQ84" s="75">
        <f t="array" ref="CQ84">SUM((YEAR(Gastos!$A$2:$A$2500)=CQ$1)*(MONTH(Gastos!$A$2:$A$2500)=CQ$3)*(Gastos!$B$2:$B$2500=$A84)*(Gastos!$D$2:$D$2500))</f>
        <v>0</v>
      </c>
      <c r="CR84" s="75">
        <f t="array" ref="CR84">SUM((YEAR(Gastos!$A$2:$A$2500)=CR$1)*(MONTH(Gastos!$A$2:$A$2500)=CR$3)*(Gastos!$B$2:$B$2500=$A84)*(Gastos!$D$2:$D$2500))</f>
        <v>0</v>
      </c>
      <c r="CS84" s="75">
        <f t="array" ref="CS84">SUM((YEAR(Gastos!$A$2:$A$2500)=CS$1)*(MONTH(Gastos!$A$2:$A$2500)=CS$3)*(Gastos!$B$2:$B$2500=$A84)*(Gastos!$D$2:$D$2500))</f>
        <v>0</v>
      </c>
      <c r="CT84" s="75">
        <f t="array" ref="CT84">SUM((YEAR(Gastos!$A$2:$A$2500)=CT$1)*(MONTH(Gastos!$A$2:$A$2500)=CT$3)*(Gastos!$B$2:$B$2500=$A84)*(Gastos!$D$2:$D$2500))</f>
        <v>0</v>
      </c>
      <c r="CU84" s="75">
        <f t="array" ref="CU84">SUM((YEAR(Gastos!$A$2:$A$2500)=CU$1)*(MONTH(Gastos!$A$2:$A$2500)=CU$3)*(Gastos!$B$2:$B$2500=$A84)*(Gastos!$D$2:$D$2500))</f>
        <v>0</v>
      </c>
      <c r="CV84" s="75">
        <f t="array" ref="CV84">SUM((YEAR(Gastos!$A$2:$A$2500)=CV$1)*(MONTH(Gastos!$A$2:$A$2500)=CV$3)*(Gastos!$B$2:$B$2500=$A84)*(Gastos!$D$2:$D$2500))</f>
        <v>0</v>
      </c>
      <c r="CW84" s="75">
        <f t="array" ref="CW84">SUM((YEAR(Gastos!$A$2:$A$2500)=CW$1)*(MONTH(Gastos!$A$2:$A$2500)=CW$3)*(Gastos!$B$2:$B$2500=$A84)*(Gastos!$D$2:$D$2500))</f>
        <v>0</v>
      </c>
      <c r="CX84" s="75">
        <f t="array" ref="CX84">SUM((YEAR(Gastos!$A$2:$A$2500)=CX$1)*(MONTH(Gastos!$A$2:$A$2500)=CX$3)*(Gastos!$B$2:$B$2500=$A84)*(Gastos!$D$2:$D$2500))</f>
        <v>0</v>
      </c>
      <c r="CY84" s="75">
        <f t="array" ref="CY84">SUM((YEAR(Gastos!$A$2:$A$2500)=CY$1)*(MONTH(Gastos!$A$2:$A$2500)=CY$3)*(Gastos!$B$2:$B$2500=$A84)*(Gastos!$D$2:$D$2500))</f>
        <v>0</v>
      </c>
      <c r="CZ84" s="75">
        <f t="array" ref="CZ84">SUM((YEAR(Gastos!$A$2:$A$2500)=CZ$1)*(MONTH(Gastos!$A$2:$A$2500)=CZ$3)*(Gastos!$B$2:$B$2500=$A84)*(Gastos!$D$2:$D$2500))</f>
        <v>0</v>
      </c>
      <c r="DA84" s="75">
        <f t="array" ref="DA84">SUM((YEAR(Gastos!$A$2:$A$2500)=DA$1)*(MONTH(Gastos!$A$2:$A$2500)=DA$3)*(Gastos!$B$2:$B$2500=$A84)*(Gastos!$D$2:$D$2500))</f>
        <v>0</v>
      </c>
      <c r="DB84" s="75">
        <f t="array" ref="DB84">SUM((YEAR(Gastos!$A$2:$A$2500)=DB$1)*(MONTH(Gastos!$A$2:$A$2500)=DB$3)*(Gastos!$B$2:$B$2500=$A84)*(Gastos!$D$2:$D$2500))</f>
        <v>0</v>
      </c>
      <c r="DC84" s="75">
        <f t="array" ref="DC84">SUM((YEAR(Gastos!$A$2:$A$2500)=DC$1)*(MONTH(Gastos!$A$2:$A$2500)=DC$3)*(Gastos!$B$2:$B$2500=$A84)*(Gastos!$D$2:$D$2500))</f>
        <v>0</v>
      </c>
      <c r="DD84" s="75">
        <f t="array" ref="DD84">SUM((YEAR(Gastos!$A$2:$A$2500)=DD$1)*(MONTH(Gastos!$A$2:$A$2500)=DD$3)*(Gastos!$B$2:$B$2500=$A84)*(Gastos!$D$2:$D$2500))</f>
        <v>0</v>
      </c>
      <c r="DE84" s="75">
        <f t="array" ref="DE84">SUM((YEAR(Gastos!$A$2:$A$2500)=DE$1)*(MONTH(Gastos!$A$2:$A$2500)=DE$3)*(Gastos!$B$2:$B$2500=$A84)*(Gastos!$D$2:$D$2500))</f>
        <v>0</v>
      </c>
      <c r="DF84" s="75">
        <f t="array" ref="DF84">SUM((YEAR(Gastos!$A$2:$A$2500)=DF$1)*(MONTH(Gastos!$A$2:$A$2500)=DF$3)*(Gastos!$B$2:$B$2500=$A84)*(Gastos!$D$2:$D$2500))</f>
        <v>0</v>
      </c>
      <c r="DG84" s="75">
        <f t="array" ref="DG84">SUM((YEAR(Gastos!$A$2:$A$2500)=DG$1)*(MONTH(Gastos!$A$2:$A$2500)=DG$3)*(Gastos!$B$2:$B$2500=$A84)*(Gastos!$D$2:$D$2500))</f>
        <v>0</v>
      </c>
      <c r="DH84" s="75">
        <f t="array" ref="DH84">SUM((YEAR(Gastos!$A$2:$A$2500)=DH$1)*(MONTH(Gastos!$A$2:$A$2500)=DH$3)*(Gastos!$B$2:$B$2500=$A84)*(Gastos!$D$2:$D$2500))</f>
        <v>0</v>
      </c>
      <c r="DI84" s="75">
        <f t="array" ref="DI84">SUM((YEAR(Gastos!$A$2:$A$2500)=DI$1)*(MONTH(Gastos!$A$2:$A$2500)=DI$3)*(Gastos!$B$2:$B$2500=$A84)*(Gastos!$D$2:$D$2500))</f>
        <v>0</v>
      </c>
      <c r="DJ84" s="75">
        <f t="array" ref="DJ84">SUM((YEAR(Gastos!$A$2:$A$2500)=DJ$1)*(MONTH(Gastos!$A$2:$A$2500)=DJ$3)*(Gastos!$B$2:$B$2500=$A84)*(Gastos!$D$2:$D$2500))</f>
        <v>0</v>
      </c>
      <c r="DK84" s="75">
        <f t="array" ref="DK84">SUM((YEAR(Gastos!$A$2:$A$2500)=DK$1)*(MONTH(Gastos!$A$2:$A$2500)=DK$3)*(Gastos!$B$2:$B$2500=$A84)*(Gastos!$D$2:$D$2500))</f>
        <v>0</v>
      </c>
      <c r="DL84" s="75">
        <f t="array" ref="DL84">SUM((YEAR(Gastos!$A$2:$A$2500)=DL$1)*(MONTH(Gastos!$A$2:$A$2500)=DL$3)*(Gastos!$B$2:$B$2500=$A84)*(Gastos!$D$2:$D$2500))</f>
        <v>0</v>
      </c>
      <c r="DM84" s="75">
        <f t="array" ref="DM84">SUM((YEAR(Gastos!$A$2:$A$2500)=DM$1)*(MONTH(Gastos!$A$2:$A$2500)=DM$3)*(Gastos!$B$2:$B$2500=$A84)*(Gastos!$D$2:$D$2500))</f>
        <v>0</v>
      </c>
      <c r="DN84" s="75">
        <f t="array" ref="DN84">SUM((YEAR(Gastos!$A$2:$A$2500)=DN$1)*(MONTH(Gastos!$A$2:$A$2500)=DN$3)*(Gastos!$B$2:$B$2500=$A84)*(Gastos!$D$2:$D$2500))</f>
        <v>0</v>
      </c>
      <c r="DO84" s="75">
        <f t="array" ref="DO84">SUM((YEAR(Gastos!$A$2:$A$2500)=DO$1)*(MONTH(Gastos!$A$2:$A$2500)=DO$3)*(Gastos!$B$2:$B$2500=$A84)*(Gastos!$D$2:$D$2500))</f>
        <v>0</v>
      </c>
      <c r="DP84" s="75">
        <f t="array" ref="DP84">SUM((YEAR(Gastos!$A$2:$A$2500)=DP$1)*(MONTH(Gastos!$A$2:$A$2500)=DP$3)*(Gastos!$B$2:$B$2500=$A84)*(Gastos!$D$2:$D$2500))</f>
        <v>0</v>
      </c>
      <c r="DQ84" s="75">
        <f t="array" ref="DQ84">SUM((YEAR(Gastos!$A$2:$A$2500)=DQ$1)*(MONTH(Gastos!$A$2:$A$2500)=DQ$3)*(Gastos!$B$2:$B$2500=$A84)*(Gastos!$D$2:$D$2500))</f>
        <v>0</v>
      </c>
      <c r="DR84" s="75">
        <f t="array" ref="DR84">SUM((YEAR(Gastos!$A$2:$A$2500)=DR$1)*(MONTH(Gastos!$A$2:$A$2500)=DR$3)*(Gastos!$B$2:$B$2500=$A84)*(Gastos!$D$2:$D$2500))</f>
        <v>0</v>
      </c>
      <c r="DS84" s="75">
        <f t="array" ref="DS84">SUM((YEAR(Gastos!$A$2:$A$2500)=DS$1)*(MONTH(Gastos!$A$2:$A$2500)=DS$3)*(Gastos!$B$2:$B$2500=$A84)*(Gastos!$D$2:$D$2500))</f>
        <v>0</v>
      </c>
      <c r="DT84" s="75">
        <f t="array" ref="DT84">SUM((YEAR(Gastos!$A$2:$A$2500)=DT$1)*(MONTH(Gastos!$A$2:$A$2500)=DT$3)*(Gastos!$B$2:$B$2500=$A84)*(Gastos!$D$2:$D$2500))</f>
        <v>0</v>
      </c>
      <c r="DU84" s="75">
        <f t="array" ref="DU84">SUM((YEAR(Gastos!$A$2:$A$2500)=DU$1)*(MONTH(Gastos!$A$2:$A$2500)=DU$3)*(Gastos!$B$2:$B$2500=$A84)*(Gastos!$D$2:$D$2500))</f>
        <v>0</v>
      </c>
      <c r="DV84" s="75">
        <f t="array" ref="DV84">SUM((YEAR(Gastos!$A$2:$A$2500)=DV$1)*(MONTH(Gastos!$A$2:$A$2500)=DV$3)*(Gastos!$B$2:$B$2500=$A84)*(Gastos!$D$2:$D$2500))</f>
        <v>0</v>
      </c>
      <c r="DW84" s="75">
        <f t="array" ref="DW84">SUM((YEAR(Gastos!$A$2:$A$2500)=DW$1)*(MONTH(Gastos!$A$2:$A$2500)=DW$3)*(Gastos!$B$2:$B$2500=$A84)*(Gastos!$D$2:$D$2500))</f>
        <v>0</v>
      </c>
      <c r="DX84" s="75">
        <f t="array" ref="DX84">SUM((YEAR(Gastos!$A$2:$A$2500)=DX$1)*(MONTH(Gastos!$A$2:$A$2500)=DX$3)*(Gastos!$B$2:$B$2500=$A84)*(Gastos!$D$2:$D$2500))</f>
        <v>0</v>
      </c>
      <c r="DY84" s="75">
        <f t="array" ref="DY84">SUM((YEAR(Gastos!$A$2:$A$2500)=DY$1)*(MONTH(Gastos!$A$2:$A$2500)=DY$3)*(Gastos!$B$2:$B$2500=$A84)*(Gastos!$D$2:$D$2500))</f>
        <v>0</v>
      </c>
      <c r="DZ84" s="75">
        <f t="array" ref="DZ84">SUM((YEAR(Gastos!$A$2:$A$2500)=DZ$1)*(MONTH(Gastos!$A$2:$A$2500)=DZ$3)*(Gastos!$B$2:$B$2500=$A84)*(Gastos!$D$2:$D$2500))</f>
        <v>0</v>
      </c>
      <c r="EA84" s="75">
        <f t="array" ref="EA84">SUM((YEAR(Gastos!$A$2:$A$2500)=EA$1)*(MONTH(Gastos!$A$2:$A$2500)=EA$3)*(Gastos!$B$2:$B$2500=$A84)*(Gastos!$D$2:$D$2500))</f>
        <v>0</v>
      </c>
      <c r="EB84" s="75">
        <f t="array" ref="EB84">SUM((YEAR(Gastos!$A$2:$A$2500)=EB$1)*(MONTH(Gastos!$A$2:$A$2500)=EB$3)*(Gastos!$B$2:$B$2500=$A84)*(Gastos!$D$2:$D$2500))</f>
        <v>0</v>
      </c>
      <c r="EC84" s="75">
        <f t="array" ref="EC84">SUM((YEAR(Gastos!$A$2:$A$2500)=EC$1)*(MONTH(Gastos!$A$2:$A$2500)=EC$3)*(Gastos!$B$2:$B$2500=$A84)*(Gastos!$D$2:$D$2500))</f>
        <v>0</v>
      </c>
      <c r="ED84" s="75">
        <f t="array" ref="ED84">SUM((YEAR(Gastos!$A$2:$A$2500)=ED$1)*(MONTH(Gastos!$A$2:$A$2500)=ED$3)*(Gastos!$B$2:$B$2500=$A84)*(Gastos!$D$2:$D$2500))</f>
        <v>0</v>
      </c>
      <c r="EE84" s="75">
        <f t="array" ref="EE84">SUM((YEAR(Gastos!$A$2:$A$2500)=EE$1)*(MONTH(Gastos!$A$2:$A$2500)=EE$3)*(Gastos!$B$2:$B$2500=$A84)*(Gastos!$D$2:$D$2500))</f>
        <v>0</v>
      </c>
      <c r="EF84" s="75">
        <f t="array" ref="EF84">SUM((YEAR(Gastos!$A$2:$A$2500)=EF$1)*(MONTH(Gastos!$A$2:$A$2500)=EF$3)*(Gastos!$B$2:$B$2500=$A84)*(Gastos!$D$2:$D$2500))</f>
        <v>0</v>
      </c>
      <c r="EG84" s="75">
        <f t="array" ref="EG84">SUM((YEAR(Gastos!$A$2:$A$2500)=EG$1)*(MONTH(Gastos!$A$2:$A$2500)=EG$3)*(Gastos!$B$2:$B$2500=$A84)*(Gastos!$D$2:$D$2500))</f>
        <v>0</v>
      </c>
      <c r="EH84" s="75">
        <f t="array" ref="EH84">SUM((YEAR(Gastos!$A$2:$A$2500)=EH$1)*(MONTH(Gastos!$A$2:$A$2500)=EH$3)*(Gastos!$B$2:$B$2500=$A84)*(Gastos!$D$2:$D$2500))</f>
        <v>0</v>
      </c>
      <c r="EI84" s="75">
        <f t="array" ref="EI84">SUM((YEAR(Gastos!$A$2:$A$2500)=EI$1)*(MONTH(Gastos!$A$2:$A$2500)=EI$3)*(Gastos!$B$2:$B$2500=$A84)*(Gastos!$D$2:$D$2500))</f>
        <v>0</v>
      </c>
      <c r="EJ84" s="75">
        <f t="array" ref="EJ84">SUM((YEAR(Gastos!$A$2:$A$2500)=EJ$1)*(MONTH(Gastos!$A$2:$A$2500)=EJ$3)*(Gastos!$B$2:$B$2500=$A84)*(Gastos!$D$2:$D$2500))</f>
        <v>0</v>
      </c>
      <c r="EK84" s="75">
        <f t="array" ref="EK84">SUM((YEAR(Gastos!$A$2:$A$2500)=EK$1)*(MONTH(Gastos!$A$2:$A$2500)=EK$3)*(Gastos!$B$2:$B$2500=$A84)*(Gastos!$D$2:$D$2500))</f>
        <v>0</v>
      </c>
      <c r="EL84" s="75">
        <f t="array" ref="EL84">SUM((YEAR(Gastos!$A$2:$A$2500)=EL$1)*(MONTH(Gastos!$A$2:$A$2500)=EL$3)*(Gastos!$B$2:$B$2500=$A84)*(Gastos!$D$2:$D$2500))</f>
        <v>0</v>
      </c>
      <c r="EM84" s="75">
        <f t="array" ref="EM84">SUM((YEAR(Gastos!$A$2:$A$2500)=EM$1)*(MONTH(Gastos!$A$2:$A$2500)=EM$3)*(Gastos!$B$2:$B$2500=$A84)*(Gastos!$D$2:$D$2500))</f>
        <v>0</v>
      </c>
      <c r="EN84" s="75">
        <f t="array" ref="EN84">SUM((YEAR(Gastos!$A$2:$A$2500)=EN$1)*(MONTH(Gastos!$A$2:$A$2500)=EN$3)*(Gastos!$B$2:$B$2500=$A84)*(Gastos!$D$2:$D$2500))</f>
        <v>0</v>
      </c>
      <c r="EO84" s="75">
        <f t="array" ref="EO84">SUM((YEAR(Gastos!$A$2:$A$2500)=EO$1)*(MONTH(Gastos!$A$2:$A$2500)=EO$3)*(Gastos!$B$2:$B$2500=$A84)*(Gastos!$D$2:$D$2500))</f>
        <v>0</v>
      </c>
      <c r="EP84" s="75">
        <f t="array" ref="EP84">SUM((YEAR(Gastos!$A$2:$A$2500)=EP$1)*(MONTH(Gastos!$A$2:$A$2500)=EP$3)*(Gastos!$B$2:$B$2500=$A84)*(Gastos!$D$2:$D$2500))</f>
        <v>0</v>
      </c>
      <c r="EQ84" s="75">
        <f t="array" ref="EQ84">SUM((YEAR(Gastos!$A$2:$A$2500)=EQ$1)*(MONTH(Gastos!$A$2:$A$2500)=EQ$3)*(Gastos!$B$2:$B$2500=$A84)*(Gastos!$D$2:$D$2500))</f>
        <v>0</v>
      </c>
      <c r="ER84" s="75">
        <f t="array" ref="ER84">SUM((YEAR(Gastos!$A$2:$A$2500)=ER$1)*(MONTH(Gastos!$A$2:$A$2500)=ER$3)*(Gastos!$B$2:$B$2500=$A84)*(Gastos!$D$2:$D$2500))</f>
        <v>0</v>
      </c>
      <c r="ES84" s="75">
        <f t="array" ref="ES84">SUM((YEAR(Gastos!$A$2:$A$2500)=ES$1)*(MONTH(Gastos!$A$2:$A$2500)=ES$3)*(Gastos!$B$2:$B$2500=$A84)*(Gastos!$D$2:$D$2500))</f>
        <v>0</v>
      </c>
      <c r="ET84" s="75">
        <f t="array" ref="ET84">SUM((YEAR(Gastos!$A$2:$A$2500)=ET$1)*(MONTH(Gastos!$A$2:$A$2500)=ET$3)*(Gastos!$B$2:$B$2500=$A84)*(Gastos!$D$2:$D$2500))</f>
        <v>0</v>
      </c>
      <c r="EU84" s="75">
        <f t="array" ref="EU84">SUM((YEAR(Gastos!$A$2:$A$2500)=EU$1)*(MONTH(Gastos!$A$2:$A$2500)=EU$3)*(Gastos!$B$2:$B$2500=$A84)*(Gastos!$D$2:$D$2500))</f>
        <v>0</v>
      </c>
      <c r="EV84" s="75">
        <f t="array" ref="EV84">SUM((YEAR(Gastos!$A$2:$A$2500)=EV$1)*(MONTH(Gastos!$A$2:$A$2500)=EV$3)*(Gastos!$B$2:$B$2500=$A84)*(Gastos!$D$2:$D$2500))</f>
        <v>0</v>
      </c>
      <c r="EW84" s="75">
        <f t="array" ref="EW84">SUM((YEAR(Gastos!$A$2:$A$2500)=EW$1)*(MONTH(Gastos!$A$2:$A$2500)=EW$3)*(Gastos!$B$2:$B$2500=$A84)*(Gastos!$D$2:$D$2500))</f>
        <v>0</v>
      </c>
      <c r="EX84" s="75">
        <f t="array" ref="EX84">SUM((YEAR(Gastos!$A$2:$A$2500)=EX$1)*(MONTH(Gastos!$A$2:$A$2500)=EX$3)*(Gastos!$B$2:$B$2500=$A84)*(Gastos!$D$2:$D$2500))</f>
        <v>0</v>
      </c>
      <c r="EY84" s="75">
        <f t="array" ref="EY84">SUM((YEAR(Gastos!$A$2:$A$2500)=EY$1)*(MONTH(Gastos!$A$2:$A$2500)=EY$3)*(Gastos!$B$2:$B$2500=$A84)*(Gastos!$D$2:$D$2500))</f>
        <v>0</v>
      </c>
      <c r="EZ84" s="75">
        <f t="array" ref="EZ84">SUM((YEAR(Gastos!$A$2:$A$2500)=EZ$1)*(MONTH(Gastos!$A$2:$A$2500)=EZ$3)*(Gastos!$B$2:$B$2500=$A84)*(Gastos!$D$2:$D$2500))</f>
        <v>0</v>
      </c>
      <c r="FA84" s="75">
        <f t="array" ref="FA84">SUM((YEAR(Gastos!$A$2:$A$2500)=FA$1)*(MONTH(Gastos!$A$2:$A$2500)=FA$3)*(Gastos!$B$2:$B$2500=$A84)*(Gastos!$D$2:$D$2500))</f>
        <v>0</v>
      </c>
      <c r="FB84" s="75">
        <f t="array" ref="FB84">SUM((YEAR(Gastos!$A$2:$A$2500)=FB$1)*(MONTH(Gastos!$A$2:$A$2500)=FB$3)*(Gastos!$B$2:$B$2500=$A84)*(Gastos!$D$2:$D$2500))</f>
        <v>0</v>
      </c>
      <c r="FC84" s="75">
        <f t="array" ref="FC84">SUM((YEAR(Gastos!$A$2:$A$2500)=FC$1)*(MONTH(Gastos!$A$2:$A$2500)=FC$3)*(Gastos!$B$2:$B$2500=$A84)*(Gastos!$D$2:$D$2500))</f>
        <v>0</v>
      </c>
      <c r="FD84" s="75">
        <f t="array" ref="FD84">SUM((YEAR(Gastos!$A$2:$A$2500)=FD$1)*(MONTH(Gastos!$A$2:$A$2500)=FD$3)*(Gastos!$B$2:$B$2500=$A84)*(Gastos!$D$2:$D$2500))</f>
        <v>0</v>
      </c>
      <c r="FE84" s="75">
        <f t="array" ref="FE84">SUM((YEAR(Gastos!$A$2:$A$2500)=FE$1)*(MONTH(Gastos!$A$2:$A$2500)=FE$3)*(Gastos!$B$2:$B$2500=$A84)*(Gastos!$D$2:$D$2500))</f>
        <v>0</v>
      </c>
      <c r="FF84" s="75">
        <f t="array" ref="FF84">SUM((YEAR(Gastos!$A$2:$A$2500)=FF$1)*(MONTH(Gastos!$A$2:$A$2500)=FF$3)*(Gastos!$B$2:$B$2500=$A84)*(Gastos!$D$2:$D$2500))</f>
        <v>0</v>
      </c>
      <c r="FG84" s="75">
        <f t="array" ref="FG84">SUM((YEAR(Gastos!$A$2:$A$2500)=FG$1)*(MONTH(Gastos!$A$2:$A$2500)=FG$3)*(Gastos!$B$2:$B$2500=$A84)*(Gastos!$D$2:$D$2500))</f>
        <v>0</v>
      </c>
      <c r="FH84" s="75">
        <f t="array" ref="FH84">SUM((YEAR(Gastos!$A$2:$A$2500)=FH$1)*(MONTH(Gastos!$A$2:$A$2500)=FH$3)*(Gastos!$B$2:$B$2500=$A84)*(Gastos!$D$2:$D$2500))</f>
        <v>0</v>
      </c>
      <c r="FI84" s="75">
        <f t="array" ref="FI84">SUM((YEAR(Gastos!$A$2:$A$2500)=FI$1)*(MONTH(Gastos!$A$2:$A$2500)=FI$3)*(Gastos!$B$2:$B$2500=$A84)*(Gastos!$D$2:$D$2500))</f>
        <v>0</v>
      </c>
      <c r="FJ84" s="75">
        <f t="array" ref="FJ84">SUM((YEAR(Gastos!$A$2:$A$2500)=FJ$1)*(MONTH(Gastos!$A$2:$A$2500)=FJ$3)*(Gastos!$B$2:$B$2500=$A84)*(Gastos!$D$2:$D$2500))</f>
        <v>0</v>
      </c>
      <c r="FK84" s="75">
        <f t="array" ref="FK84">SUM((YEAR(Gastos!$A$2:$A$2500)=FK$1)*(MONTH(Gastos!$A$2:$A$2500)=FK$3)*(Gastos!$B$2:$B$2500=$A84)*(Gastos!$D$2:$D$2500))</f>
        <v>0</v>
      </c>
      <c r="FL84" s="75">
        <f t="array" ref="FL84">SUM((YEAR(Gastos!$A$2:$A$2500)=FL$1)*(MONTH(Gastos!$A$2:$A$2500)=FL$3)*(Gastos!$B$2:$B$2500=$A84)*(Gastos!$D$2:$D$2500))</f>
        <v>0</v>
      </c>
      <c r="FM84" s="75">
        <f t="array" ref="FM84">SUM((YEAR(Gastos!$A$2:$A$2500)=FM$1)*(MONTH(Gastos!$A$2:$A$2500)=FM$3)*(Gastos!$B$2:$B$2500=$A84)*(Gastos!$D$2:$D$2500))</f>
        <v>0</v>
      </c>
      <c r="FN84" s="75">
        <f t="array" ref="FN84">SUM((YEAR(Gastos!$A$2:$A$2500)=FN$1)*(MONTH(Gastos!$A$2:$A$2500)=FN$3)*(Gastos!$B$2:$B$2500=$A84)*(Gastos!$D$2:$D$2500))</f>
        <v>0</v>
      </c>
      <c r="FO84" s="75">
        <f t="array" ref="FO84">SUM((YEAR(Gastos!$A$2:$A$2500)=FO$1)*(MONTH(Gastos!$A$2:$A$2500)=FO$3)*(Gastos!$B$2:$B$2500=$A84)*(Gastos!$D$2:$D$2500))</f>
        <v>0</v>
      </c>
      <c r="FP84" s="75">
        <f t="array" ref="FP84">SUM((YEAR(Gastos!$A$2:$A$2500)=FP$1)*(MONTH(Gastos!$A$2:$A$2500)=FP$3)*(Gastos!$B$2:$B$2500=$A84)*(Gastos!$D$2:$D$2500))</f>
        <v>0</v>
      </c>
      <c r="FQ84" s="75">
        <f t="array" ref="FQ84">SUM((YEAR(Gastos!$A$2:$A$2500)=FQ$1)*(MONTH(Gastos!$A$2:$A$2500)=FQ$3)*(Gastos!$B$2:$B$2500=$A84)*(Gastos!$D$2:$D$2500))</f>
        <v>0</v>
      </c>
      <c r="FR84" s="75">
        <f t="array" ref="FR84">SUM((YEAR(Gastos!$A$2:$A$2500)=FR$1)*(MONTH(Gastos!$A$2:$A$2500)=FR$3)*(Gastos!$B$2:$B$2500=$A84)*(Gastos!$D$2:$D$2500))</f>
        <v>0</v>
      </c>
      <c r="FS84" s="75">
        <f t="array" ref="FS84">SUM((YEAR(Gastos!$A$2:$A$2500)=FS$1)*(MONTH(Gastos!$A$2:$A$2500)=FS$3)*(Gastos!$B$2:$B$2500=$A84)*(Gastos!$D$2:$D$2500))</f>
        <v>0</v>
      </c>
      <c r="FT84" s="75">
        <f t="array" ref="FT84">SUM((YEAR(Gastos!$A$2:$A$2500)=FT$1)*(MONTH(Gastos!$A$2:$A$2500)=FT$3)*(Gastos!$B$2:$B$2500=$A84)*(Gastos!$D$2:$D$2500))</f>
        <v>0</v>
      </c>
      <c r="FU84" s="75">
        <f t="array" ref="FU84">SUM((YEAR(Gastos!$A$2:$A$2500)=FU$1)*(MONTH(Gastos!$A$2:$A$2500)=FU$3)*(Gastos!$B$2:$B$2500=$A84)*(Gastos!$D$2:$D$2500))</f>
        <v>0</v>
      </c>
      <c r="FV84" s="75">
        <f t="array" ref="FV84">SUM((YEAR(Gastos!$A$2:$A$2500)=FV$1)*(MONTH(Gastos!$A$2:$A$2500)=FV$3)*(Gastos!$B$2:$B$2500=$A84)*(Gastos!$D$2:$D$2500))</f>
        <v>0</v>
      </c>
      <c r="FW84" s="75">
        <f t="array" ref="FW84">SUM((YEAR(Gastos!$A$2:$A$2500)=FW$1)*(MONTH(Gastos!$A$2:$A$2500)=FW$3)*(Gastos!$B$2:$B$2500=$A84)*(Gastos!$D$2:$D$2500))</f>
        <v>0</v>
      </c>
      <c r="FX84" s="75">
        <f t="array" ref="FX84">SUM((YEAR(Gastos!$A$2:$A$2500)=FX$1)*(MONTH(Gastos!$A$2:$A$2500)=FX$3)*(Gastos!$B$2:$B$2500=$A84)*(Gastos!$D$2:$D$2500))</f>
        <v>0</v>
      </c>
      <c r="FY84" s="75">
        <f t="array" ref="FY84">SUM((YEAR(Gastos!$A$2:$A$2500)=FY$1)*(MONTH(Gastos!$A$2:$A$2500)=FY$3)*(Gastos!$B$2:$B$2500=$A84)*(Gastos!$D$2:$D$2500))</f>
        <v>0</v>
      </c>
      <c r="FZ84" s="76">
        <f t="shared" si="68"/>
        <v>0</v>
      </c>
      <c r="GA84" s="80"/>
      <c r="GB84" s="82"/>
    </row>
    <row r="85" spans="1:184" ht="15" thickBot="1" x14ac:dyDescent="0.4">
      <c r="A85" s="74" t="str">
        <f>Gastos!AA83</f>
        <v>X</v>
      </c>
      <c r="B85" s="75">
        <f t="array" ref="B85">SUM((YEAR(Gastos!$A$2:$A$2500)=B$1)*(MONTH(Gastos!$A$2:$A$2500)=B$3)*(Gastos!$B$2:$B$2500=$A85)*(Gastos!$D$2:$D$2500))</f>
        <v>0</v>
      </c>
      <c r="C85" s="75">
        <f t="array" ref="C85">SUM((YEAR(Gastos!$A$2:$A$2500)=C$1)*(MONTH(Gastos!$A$2:$A$2500)=C$3)*(Gastos!$B$2:$B$2500=$A85)*(Gastos!$D$2:$D$2500))</f>
        <v>0</v>
      </c>
      <c r="D85" s="75">
        <f t="array" ref="D85">SUM((YEAR(Gastos!$A$2:$A$2500)=D$1)*(MONTH(Gastos!$A$2:$A$2500)=D$3)*(Gastos!$B$2:$B$2500=$A85)*(Gastos!$D$2:$D$2500))</f>
        <v>0</v>
      </c>
      <c r="E85" s="75">
        <f t="array" ref="E85">SUM((YEAR(Gastos!$A$2:$A$2500)=E$1)*(MONTH(Gastos!$A$2:$A$2500)=E$3)*(Gastos!$B$2:$B$2500=$A85)*(Gastos!$D$2:$D$2500))</f>
        <v>0</v>
      </c>
      <c r="F85" s="75">
        <f t="array" ref="F85">SUM((YEAR(Gastos!$A$2:$A$2500)=F$1)*(MONTH(Gastos!$A$2:$A$2500)=F$3)*(Gastos!$B$2:$B$2500=$A85)*(Gastos!$D$2:$D$2500))</f>
        <v>0</v>
      </c>
      <c r="G85" s="75">
        <f t="array" ref="G85">SUM((YEAR(Gastos!$A$2:$A$2500)=G$1)*(MONTH(Gastos!$A$2:$A$2500)=G$3)*(Gastos!$B$2:$B$2500=$A85)*(Gastos!$D$2:$D$2500))</f>
        <v>0</v>
      </c>
      <c r="H85" s="75">
        <f t="array" ref="H85">SUM((YEAR(Gastos!$A$2:$A$2500)=H$1)*(MONTH(Gastos!$A$2:$A$2500)=H$3)*(Gastos!$B$2:$B$2500=$A85)*(Gastos!$D$2:$D$2500))</f>
        <v>0</v>
      </c>
      <c r="I85" s="75">
        <f t="array" ref="I85">SUM((YEAR(Gastos!$A$2:$A$2500)=I$1)*(MONTH(Gastos!$A$2:$A$2500)=I$3)*(Gastos!$B$2:$B$2500=$A85)*(Gastos!$D$2:$D$2500))</f>
        <v>0</v>
      </c>
      <c r="J85" s="75">
        <f t="array" ref="J85">SUM((YEAR(Gastos!$A$2:$A$2500)=J$1)*(MONTH(Gastos!$A$2:$A$2500)=J$3)*(Gastos!$B$2:$B$2500=$A85)*(Gastos!$D$2:$D$2500))</f>
        <v>0</v>
      </c>
      <c r="K85" s="75">
        <f t="array" ref="K85">SUM((YEAR(Gastos!$A$2:$A$2500)=K$1)*(MONTH(Gastos!$A$2:$A$2500)=K$3)*(Gastos!$B$2:$B$2500=$A85)*(Gastos!$D$2:$D$2500))</f>
        <v>0</v>
      </c>
      <c r="L85" s="75">
        <f t="array" ref="L85">SUM((YEAR(Gastos!$A$2:$A$2500)=L$1)*(MONTH(Gastos!$A$2:$A$2500)=L$3)*(Gastos!$B$2:$B$2500=$A85)*(Gastos!$D$2:$D$2500))</f>
        <v>0</v>
      </c>
      <c r="M85" s="75">
        <f t="array" ref="M85">SUM((YEAR(Gastos!$A$2:$A$2500)=M$1)*(MONTH(Gastos!$A$2:$A$2500)=M$3)*(Gastos!$B$2:$B$2500=$A85)*(Gastos!$D$2:$D$2500))</f>
        <v>0</v>
      </c>
      <c r="N85" s="75">
        <f t="array" ref="N85">SUM((YEAR(Gastos!$A$2:$A$2500)=N$1)*(MONTH(Gastos!$A$2:$A$2500)=N$3)*(Gastos!$B$2:$B$2500=$A85)*(Gastos!$D$2:$D$2500))</f>
        <v>0</v>
      </c>
      <c r="O85" s="75">
        <f t="array" ref="O85">SUM((YEAR(Gastos!$A$2:$A$2500)=O$1)*(MONTH(Gastos!$A$2:$A$2500)=O$3)*(Gastos!$B$2:$B$2500=$A85)*(Gastos!$D$2:$D$2500))</f>
        <v>0</v>
      </c>
      <c r="P85" s="75">
        <f t="array" ref="P85">SUM((YEAR(Gastos!$A$2:$A$2500)=P$1)*(MONTH(Gastos!$A$2:$A$2500)=P$3)*(Gastos!$B$2:$B$2500=$A85)*(Gastos!$D$2:$D$2500))</f>
        <v>0</v>
      </c>
      <c r="Q85" s="75">
        <f t="array" ref="Q85">SUM((YEAR(Gastos!$A$2:$A$2500)=Q$1)*(MONTH(Gastos!$A$2:$A$2500)=Q$3)*(Gastos!$B$2:$B$2500=$A85)*(Gastos!$D$2:$D$2500))</f>
        <v>0</v>
      </c>
      <c r="R85" s="75">
        <f t="array" ref="R85">SUM((YEAR(Gastos!$A$2:$A$2500)=R$1)*(MONTH(Gastos!$A$2:$A$2500)=R$3)*(Gastos!$B$2:$B$2500=$A85)*(Gastos!$D$2:$D$2500))</f>
        <v>0</v>
      </c>
      <c r="S85" s="75">
        <f t="array" ref="S85">SUM((YEAR(Gastos!$A$2:$A$2500)=S$1)*(MONTH(Gastos!$A$2:$A$2500)=S$3)*(Gastos!$B$2:$B$2500=$A85)*(Gastos!$D$2:$D$2500))</f>
        <v>0</v>
      </c>
      <c r="T85" s="75">
        <f t="array" ref="T85">SUM((YEAR(Gastos!$A$2:$A$2500)=T$1)*(MONTH(Gastos!$A$2:$A$2500)=T$3)*(Gastos!$B$2:$B$2500=$A85)*(Gastos!$D$2:$D$2500))</f>
        <v>0</v>
      </c>
      <c r="U85" s="75">
        <f t="array" ref="U85">SUM((YEAR(Gastos!$A$2:$A$2500)=U$1)*(MONTH(Gastos!$A$2:$A$2500)=U$3)*(Gastos!$B$2:$B$2500=$A85)*(Gastos!$D$2:$D$2500))</f>
        <v>0</v>
      </c>
      <c r="V85" s="75">
        <f t="array" ref="V85">SUM((YEAR(Gastos!$A$2:$A$2500)=V$1)*(MONTH(Gastos!$A$2:$A$2500)=V$3)*(Gastos!$B$2:$B$2500=$A85)*(Gastos!$D$2:$D$2500))</f>
        <v>0</v>
      </c>
      <c r="W85" s="75">
        <f t="array" ref="W85">SUM((YEAR(Gastos!$A$2:$A$2500)=W$1)*(MONTH(Gastos!$A$2:$A$2500)=W$3)*(Gastos!$B$2:$B$2500=$A85)*(Gastos!$D$2:$D$2500))</f>
        <v>0</v>
      </c>
      <c r="X85" s="75">
        <f t="array" ref="X85">SUM((YEAR(Gastos!$A$2:$A$2500)=X$1)*(MONTH(Gastos!$A$2:$A$2500)=X$3)*(Gastos!$B$2:$B$2500=$A85)*(Gastos!$D$2:$D$2500))</f>
        <v>0</v>
      </c>
      <c r="Y85" s="75">
        <f t="array" ref="Y85">SUM((YEAR(Gastos!$A$2:$A$2500)=Y$1)*(MONTH(Gastos!$A$2:$A$2500)=Y$3)*(Gastos!$B$2:$B$2500=$A85)*(Gastos!$D$2:$D$2500))</f>
        <v>0</v>
      </c>
      <c r="Z85" s="75">
        <f t="array" ref="Z85">SUM((YEAR(Gastos!$A$2:$A$2500)=Z$1)*(MONTH(Gastos!$A$2:$A$2500)=Z$3)*(Gastos!$B$2:$B$2500=$A85)*(Gastos!$D$2:$D$2500))</f>
        <v>0</v>
      </c>
      <c r="AA85" s="75">
        <f t="array" ref="AA85">SUM((YEAR(Gastos!$A$2:$A$2500)=AA$1)*(MONTH(Gastos!$A$2:$A$2500)=AA$3)*(Gastos!$B$2:$B$2500=$A85)*(Gastos!$D$2:$D$2500))</f>
        <v>0</v>
      </c>
      <c r="AB85" s="75">
        <f t="array" ref="AB85">SUM((YEAR(Gastos!$A$2:$A$2500)=AB$1)*(MONTH(Gastos!$A$2:$A$2500)=AB$3)*(Gastos!$B$2:$B$2500=$A85)*(Gastos!$D$2:$D$2500))</f>
        <v>0</v>
      </c>
      <c r="AC85" s="75">
        <f t="array" ref="AC85">SUM((YEAR(Gastos!$A$2:$A$2500)=AC$1)*(MONTH(Gastos!$A$2:$A$2500)=AC$3)*(Gastos!$B$2:$B$2500=$A85)*(Gastos!$D$2:$D$2500))</f>
        <v>0</v>
      </c>
      <c r="AD85" s="75">
        <f t="array" ref="AD85">SUM((YEAR(Gastos!$A$2:$A$2500)=AD$1)*(MONTH(Gastos!$A$2:$A$2500)=AD$3)*(Gastos!$B$2:$B$2500=$A85)*(Gastos!$D$2:$D$2500))</f>
        <v>0</v>
      </c>
      <c r="AE85" s="75">
        <f t="array" ref="AE85">SUM((YEAR(Gastos!$A$2:$A$2500)=AE$1)*(MONTH(Gastos!$A$2:$A$2500)=AE$3)*(Gastos!$B$2:$B$2500=$A85)*(Gastos!$D$2:$D$2500))</f>
        <v>0</v>
      </c>
      <c r="AF85" s="75">
        <f t="array" ref="AF85">SUM((YEAR(Gastos!$A$2:$A$2500)=AF$1)*(MONTH(Gastos!$A$2:$A$2500)=AF$3)*(Gastos!$B$2:$B$2500=$A85)*(Gastos!$D$2:$D$2500))</f>
        <v>0</v>
      </c>
      <c r="AG85" s="75">
        <f t="array" ref="AG85">SUM((YEAR(Gastos!$A$2:$A$2500)=AG$1)*(MONTH(Gastos!$A$2:$A$2500)=AG$3)*(Gastos!$B$2:$B$2500=$A85)*(Gastos!$D$2:$D$2500))</f>
        <v>0</v>
      </c>
      <c r="AH85" s="75">
        <f t="array" ref="AH85">SUM((YEAR(Gastos!$A$2:$A$2500)=AH$1)*(MONTH(Gastos!$A$2:$A$2500)=AH$3)*(Gastos!$B$2:$B$2500=$A85)*(Gastos!$D$2:$D$2500))</f>
        <v>0</v>
      </c>
      <c r="AI85" s="75">
        <f t="array" ref="AI85">SUM((YEAR(Gastos!$A$2:$A$2500)=AI$1)*(MONTH(Gastos!$A$2:$A$2500)=AI$3)*(Gastos!$B$2:$B$2500=$A85)*(Gastos!$D$2:$D$2500))</f>
        <v>0</v>
      </c>
      <c r="AJ85" s="75">
        <f t="array" ref="AJ85">SUM((YEAR(Gastos!$A$2:$A$2500)=AJ$1)*(MONTH(Gastos!$A$2:$A$2500)=AJ$3)*(Gastos!$B$2:$B$2500=$A85)*(Gastos!$D$2:$D$2500))</f>
        <v>0</v>
      </c>
      <c r="AK85" s="75">
        <f t="array" ref="AK85">SUM((YEAR(Gastos!$A$2:$A$2500)=AK$1)*(MONTH(Gastos!$A$2:$A$2500)=AK$3)*(Gastos!$B$2:$B$2500=$A85)*(Gastos!$D$2:$D$2500))</f>
        <v>0</v>
      </c>
      <c r="AL85" s="75">
        <f t="array" ref="AL85">SUM((YEAR(Gastos!$A$2:$A$2500)=AL$1)*(MONTH(Gastos!$A$2:$A$2500)=AL$3)*(Gastos!$B$2:$B$2500=$A85)*(Gastos!$D$2:$D$2500))</f>
        <v>0</v>
      </c>
      <c r="AM85" s="75">
        <f t="array" ref="AM85">SUM((YEAR(Gastos!$A$2:$A$2500)=AM$1)*(MONTH(Gastos!$A$2:$A$2500)=AM$3)*(Gastos!$B$2:$B$2500=$A85)*(Gastos!$D$2:$D$2500))</f>
        <v>0</v>
      </c>
      <c r="AN85" s="75">
        <f t="array" ref="AN85">SUM((YEAR(Gastos!$A$2:$A$2500)=AN$1)*(MONTH(Gastos!$A$2:$A$2500)=AN$3)*(Gastos!$B$2:$B$2500=$A85)*(Gastos!$D$2:$D$2500))</f>
        <v>0</v>
      </c>
      <c r="AO85" s="75">
        <f t="array" ref="AO85">SUM((YEAR(Gastos!$A$2:$A$2500)=AO$1)*(MONTH(Gastos!$A$2:$A$2500)=AO$3)*(Gastos!$B$2:$B$2500=$A85)*(Gastos!$D$2:$D$2500))</f>
        <v>0</v>
      </c>
      <c r="AP85" s="75">
        <f t="array" ref="AP85">SUM((YEAR(Gastos!$A$2:$A$2500)=AP$1)*(MONTH(Gastos!$A$2:$A$2500)=AP$3)*(Gastos!$B$2:$B$2500=$A85)*(Gastos!$D$2:$D$2500))</f>
        <v>0</v>
      </c>
      <c r="AQ85" s="75">
        <f t="array" ref="AQ85">SUM((YEAR(Gastos!$A$2:$A$2500)=AQ$1)*(MONTH(Gastos!$A$2:$A$2500)=AQ$3)*(Gastos!$B$2:$B$2500=$A85)*(Gastos!$D$2:$D$2500))</f>
        <v>0</v>
      </c>
      <c r="AR85" s="75">
        <f t="array" ref="AR85">SUM((YEAR(Gastos!$A$2:$A$2500)=AR$1)*(MONTH(Gastos!$A$2:$A$2500)=AR$3)*(Gastos!$B$2:$B$2500=$A85)*(Gastos!$D$2:$D$2500))</f>
        <v>0</v>
      </c>
      <c r="AS85" s="75">
        <f t="array" ref="AS85">SUM((YEAR(Gastos!$A$2:$A$2500)=AS$1)*(MONTH(Gastos!$A$2:$A$2500)=AS$3)*(Gastos!$B$2:$B$2500=$A85)*(Gastos!$D$2:$D$2500))</f>
        <v>0</v>
      </c>
      <c r="AT85" s="75">
        <f t="array" ref="AT85">SUM((YEAR(Gastos!$A$2:$A$2500)=AT$1)*(MONTH(Gastos!$A$2:$A$2500)=AT$3)*(Gastos!$B$2:$B$2500=$A85)*(Gastos!$D$2:$D$2500))</f>
        <v>0</v>
      </c>
      <c r="AU85" s="75">
        <f t="array" ref="AU85">SUM((YEAR(Gastos!$A$2:$A$2500)=AU$1)*(MONTH(Gastos!$A$2:$A$2500)=AU$3)*(Gastos!$B$2:$B$2500=$A85)*(Gastos!$D$2:$D$2500))</f>
        <v>0</v>
      </c>
      <c r="AV85" s="75">
        <f t="array" ref="AV85">SUM((YEAR(Gastos!$A$2:$A$2500)=AV$1)*(MONTH(Gastos!$A$2:$A$2500)=AV$3)*(Gastos!$B$2:$B$2500=$A85)*(Gastos!$D$2:$D$2500))</f>
        <v>0</v>
      </c>
      <c r="AW85" s="75">
        <f t="array" ref="AW85">SUM((YEAR(Gastos!$A$2:$A$2500)=AW$1)*(MONTH(Gastos!$A$2:$A$2500)=AW$3)*(Gastos!$B$2:$B$2500=$A85)*(Gastos!$D$2:$D$2500))</f>
        <v>0</v>
      </c>
      <c r="AX85" s="75">
        <f t="array" ref="AX85">SUM((YEAR(Gastos!$A$2:$A$2500)=AX$1)*(MONTH(Gastos!$A$2:$A$2500)=AX$3)*(Gastos!$B$2:$B$2500=$A85)*(Gastos!$D$2:$D$2500))</f>
        <v>0</v>
      </c>
      <c r="AY85" s="75">
        <f t="array" ref="AY85">SUM((YEAR(Gastos!$A$2:$A$2500)=AY$1)*(MONTH(Gastos!$A$2:$A$2500)=AY$3)*(Gastos!$B$2:$B$2500=$A85)*(Gastos!$D$2:$D$2500))</f>
        <v>0</v>
      </c>
      <c r="AZ85" s="75">
        <f t="array" ref="AZ85">SUM((YEAR(Gastos!$A$2:$A$2500)=AZ$1)*(MONTH(Gastos!$A$2:$A$2500)=AZ$3)*(Gastos!$B$2:$B$2500=$A85)*(Gastos!$D$2:$D$2500))</f>
        <v>0</v>
      </c>
      <c r="BA85" s="75">
        <f t="array" ref="BA85">SUM((YEAR(Gastos!$A$2:$A$2500)=BA$1)*(MONTH(Gastos!$A$2:$A$2500)=BA$3)*(Gastos!$B$2:$B$2500=$A85)*(Gastos!$D$2:$D$2500))</f>
        <v>0</v>
      </c>
      <c r="BB85" s="75">
        <f t="array" ref="BB85">SUM((YEAR(Gastos!$A$2:$A$2500)=BB$1)*(MONTH(Gastos!$A$2:$A$2500)=BB$3)*(Gastos!$B$2:$B$2500=$A85)*(Gastos!$D$2:$D$2500))</f>
        <v>0</v>
      </c>
      <c r="BC85" s="75">
        <f t="array" ref="BC85">SUM((YEAR(Gastos!$A$2:$A$2500)=BC$1)*(MONTH(Gastos!$A$2:$A$2500)=BC$3)*(Gastos!$B$2:$B$2500=$A85)*(Gastos!$D$2:$D$2500))</f>
        <v>0</v>
      </c>
      <c r="BD85" s="75">
        <f t="array" ref="BD85">SUM((YEAR(Gastos!$A$2:$A$2500)=BD$1)*(MONTH(Gastos!$A$2:$A$2500)=BD$3)*(Gastos!$B$2:$B$2500=$A85)*(Gastos!$D$2:$D$2500))</f>
        <v>0</v>
      </c>
      <c r="BE85" s="75">
        <f t="array" ref="BE85">SUM((YEAR(Gastos!$A$2:$A$2500)=BE$1)*(MONTH(Gastos!$A$2:$A$2500)=BE$3)*(Gastos!$B$2:$B$2500=$A85)*(Gastos!$D$2:$D$2500))</f>
        <v>0</v>
      </c>
      <c r="BF85" s="75">
        <f t="array" ref="BF85">SUM((YEAR(Gastos!$A$2:$A$2500)=BF$1)*(MONTH(Gastos!$A$2:$A$2500)=BF$3)*(Gastos!$B$2:$B$2500=$A85)*(Gastos!$D$2:$D$2500))</f>
        <v>0</v>
      </c>
      <c r="BG85" s="75">
        <f t="array" ref="BG85">SUM((YEAR(Gastos!$A$2:$A$2500)=BG$1)*(MONTH(Gastos!$A$2:$A$2500)=BG$3)*(Gastos!$B$2:$B$2500=$A85)*(Gastos!$D$2:$D$2500))</f>
        <v>0</v>
      </c>
      <c r="BH85" s="75">
        <f t="array" ref="BH85">SUM((YEAR(Gastos!$A$2:$A$2500)=BH$1)*(MONTH(Gastos!$A$2:$A$2500)=BH$3)*(Gastos!$B$2:$B$2500=$A85)*(Gastos!$D$2:$D$2500))</f>
        <v>0</v>
      </c>
      <c r="BI85" s="75">
        <f t="array" ref="BI85">SUM((YEAR(Gastos!$A$2:$A$2500)=BI$1)*(MONTH(Gastos!$A$2:$A$2500)=BI$3)*(Gastos!$B$2:$B$2500=$A85)*(Gastos!$D$2:$D$2500))</f>
        <v>0</v>
      </c>
      <c r="BJ85" s="75">
        <f t="array" ref="BJ85">SUM((YEAR(Gastos!$A$2:$A$2500)=BJ$1)*(MONTH(Gastos!$A$2:$A$2500)=BJ$3)*(Gastos!$B$2:$B$2500=$A85)*(Gastos!$D$2:$D$2500))</f>
        <v>0</v>
      </c>
      <c r="BK85" s="75">
        <f t="array" ref="BK85">SUM((YEAR(Gastos!$A$2:$A$2500)=BK$1)*(MONTH(Gastos!$A$2:$A$2500)=BK$3)*(Gastos!$B$2:$B$2500=$A85)*(Gastos!$D$2:$D$2500))</f>
        <v>0</v>
      </c>
      <c r="BL85" s="75">
        <f t="array" ref="BL85">SUM((YEAR(Gastos!$A$2:$A$2500)=BL$1)*(MONTH(Gastos!$A$2:$A$2500)=BL$3)*(Gastos!$B$2:$B$2500=$A85)*(Gastos!$D$2:$D$2500))</f>
        <v>0</v>
      </c>
      <c r="BM85" s="75">
        <f t="array" ref="BM85">SUM((YEAR(Gastos!$A$2:$A$2500)=BM$1)*(MONTH(Gastos!$A$2:$A$2500)=BM$3)*(Gastos!$B$2:$B$2500=$A85)*(Gastos!$D$2:$D$2500))</f>
        <v>0</v>
      </c>
      <c r="BN85" s="75">
        <f t="array" ref="BN85">SUM((YEAR(Gastos!$A$2:$A$2500)=BN$1)*(MONTH(Gastos!$A$2:$A$2500)=BN$3)*(Gastos!$B$2:$B$2500=$A85)*(Gastos!$D$2:$D$2500))</f>
        <v>0</v>
      </c>
      <c r="BO85" s="75">
        <f t="array" ref="BO85">SUM((YEAR(Gastos!$A$2:$A$2500)=BO$1)*(MONTH(Gastos!$A$2:$A$2500)=BO$3)*(Gastos!$B$2:$B$2500=$A85)*(Gastos!$D$2:$D$2500))</f>
        <v>0</v>
      </c>
      <c r="BP85" s="75">
        <f t="array" ref="BP85">SUM((YEAR(Gastos!$A$2:$A$2500)=BP$1)*(MONTH(Gastos!$A$2:$A$2500)=BP$3)*(Gastos!$B$2:$B$2500=$A85)*(Gastos!$D$2:$D$2500))</f>
        <v>0</v>
      </c>
      <c r="BQ85" s="75">
        <f t="array" ref="BQ85">SUM((YEAR(Gastos!$A$2:$A$2500)=BQ$1)*(MONTH(Gastos!$A$2:$A$2500)=BQ$3)*(Gastos!$B$2:$B$2500=$A85)*(Gastos!$D$2:$D$2500))</f>
        <v>0</v>
      </c>
      <c r="BR85" s="75">
        <f t="array" ref="BR85">SUM((YEAR(Gastos!$A$2:$A$2500)=BR$1)*(MONTH(Gastos!$A$2:$A$2500)=BR$3)*(Gastos!$B$2:$B$2500=$A85)*(Gastos!$D$2:$D$2500))</f>
        <v>0</v>
      </c>
      <c r="BS85" s="75">
        <f t="array" ref="BS85">SUM((YEAR(Gastos!$A$2:$A$2500)=BS$1)*(MONTH(Gastos!$A$2:$A$2500)=BS$3)*(Gastos!$B$2:$B$2500=$A85)*(Gastos!$D$2:$D$2500))</f>
        <v>0</v>
      </c>
      <c r="BT85" s="75">
        <f t="array" ref="BT85">SUM((YEAR(Gastos!$A$2:$A$2500)=BT$1)*(MONTH(Gastos!$A$2:$A$2500)=BT$3)*(Gastos!$B$2:$B$2500=$A85)*(Gastos!$D$2:$D$2500))</f>
        <v>0</v>
      </c>
      <c r="BU85" s="75">
        <f t="array" ref="BU85">SUM((YEAR(Gastos!$A$2:$A$2500)=BU$1)*(MONTH(Gastos!$A$2:$A$2500)=BU$3)*(Gastos!$B$2:$B$2500=$A85)*(Gastos!$D$2:$D$2500))</f>
        <v>0</v>
      </c>
      <c r="BV85" s="75">
        <f t="array" ref="BV85">SUM((YEAR(Gastos!$A$2:$A$2500)=BV$1)*(MONTH(Gastos!$A$2:$A$2500)=BV$3)*(Gastos!$B$2:$B$2500=$A85)*(Gastos!$D$2:$D$2500))</f>
        <v>0</v>
      </c>
      <c r="BW85" s="75">
        <f t="array" ref="BW85">SUM((YEAR(Gastos!$A$2:$A$2500)=BW$1)*(MONTH(Gastos!$A$2:$A$2500)=BW$3)*(Gastos!$B$2:$B$2500=$A85)*(Gastos!$D$2:$D$2500))</f>
        <v>0</v>
      </c>
      <c r="BX85" s="75">
        <f t="array" ref="BX85">SUM((YEAR(Gastos!$A$2:$A$2500)=BX$1)*(MONTH(Gastos!$A$2:$A$2500)=BX$3)*(Gastos!$B$2:$B$2500=$A85)*(Gastos!$D$2:$D$2500))</f>
        <v>0</v>
      </c>
      <c r="BY85" s="75">
        <f t="array" ref="BY85">SUM((YEAR(Gastos!$A$2:$A$2500)=BY$1)*(MONTH(Gastos!$A$2:$A$2500)=BY$3)*(Gastos!$B$2:$B$2500=$A85)*(Gastos!$D$2:$D$2500))</f>
        <v>0</v>
      </c>
      <c r="BZ85" s="75">
        <f t="array" ref="BZ85">SUM((YEAR(Gastos!$A$2:$A$2500)=BZ$1)*(MONTH(Gastos!$A$2:$A$2500)=BZ$3)*(Gastos!$B$2:$B$2500=$A85)*(Gastos!$D$2:$D$2500))</f>
        <v>0</v>
      </c>
      <c r="CA85" s="75">
        <f t="array" ref="CA85">SUM((YEAR(Gastos!$A$2:$A$2500)=CA$1)*(MONTH(Gastos!$A$2:$A$2500)=CA$3)*(Gastos!$B$2:$B$2500=$A85)*(Gastos!$D$2:$D$2500))</f>
        <v>0</v>
      </c>
      <c r="CB85" s="75">
        <f t="array" ref="CB85">SUM((YEAR(Gastos!$A$2:$A$2500)=CB$1)*(MONTH(Gastos!$A$2:$A$2500)=CB$3)*(Gastos!$B$2:$B$2500=$A85)*(Gastos!$D$2:$D$2500))</f>
        <v>0</v>
      </c>
      <c r="CC85" s="75">
        <f t="array" ref="CC85">SUM((YEAR(Gastos!$A$2:$A$2500)=CC$1)*(MONTH(Gastos!$A$2:$A$2500)=CC$3)*(Gastos!$B$2:$B$2500=$A85)*(Gastos!$D$2:$D$2500))</f>
        <v>0</v>
      </c>
      <c r="CD85" s="75">
        <f t="array" ref="CD85">SUM((YEAR(Gastos!$A$2:$A$2500)=CD$1)*(MONTH(Gastos!$A$2:$A$2500)=CD$3)*(Gastos!$B$2:$B$2500=$A85)*(Gastos!$D$2:$D$2500))</f>
        <v>0</v>
      </c>
      <c r="CE85" s="75">
        <f t="array" ref="CE85">SUM((YEAR(Gastos!$A$2:$A$2500)=CE$1)*(MONTH(Gastos!$A$2:$A$2500)=CE$3)*(Gastos!$B$2:$B$2500=$A85)*(Gastos!$D$2:$D$2500))</f>
        <v>0</v>
      </c>
      <c r="CF85" s="75">
        <f t="array" ref="CF85">SUM((YEAR(Gastos!$A$2:$A$2500)=CF$1)*(MONTH(Gastos!$A$2:$A$2500)=CF$3)*(Gastos!$B$2:$B$2500=$A85)*(Gastos!$D$2:$D$2500))</f>
        <v>0</v>
      </c>
      <c r="CG85" s="75">
        <f t="array" ref="CG85">SUM((YEAR(Gastos!$A$2:$A$2500)=CG$1)*(MONTH(Gastos!$A$2:$A$2500)=CG$3)*(Gastos!$B$2:$B$2500=$A85)*(Gastos!$D$2:$D$2500))</f>
        <v>0</v>
      </c>
      <c r="CH85" s="75">
        <f t="array" ref="CH85">SUM((YEAR(Gastos!$A$2:$A$2500)=CH$1)*(MONTH(Gastos!$A$2:$A$2500)=CH$3)*(Gastos!$B$2:$B$2500=$A85)*(Gastos!$D$2:$D$2500))</f>
        <v>0</v>
      </c>
      <c r="CI85" s="75">
        <f t="array" ref="CI85">SUM((YEAR(Gastos!$A$2:$A$2500)=CI$1)*(MONTH(Gastos!$A$2:$A$2500)=CI$3)*(Gastos!$B$2:$B$2500=$A85)*(Gastos!$D$2:$D$2500))</f>
        <v>0</v>
      </c>
      <c r="CJ85" s="75">
        <f t="array" ref="CJ85">SUM((YEAR(Gastos!$A$2:$A$2500)=CJ$1)*(MONTH(Gastos!$A$2:$A$2500)=CJ$3)*(Gastos!$B$2:$B$2500=$A85)*(Gastos!$D$2:$D$2500))</f>
        <v>0</v>
      </c>
      <c r="CK85" s="75">
        <f t="array" ref="CK85">SUM((YEAR(Gastos!$A$2:$A$2500)=CK$1)*(MONTH(Gastos!$A$2:$A$2500)=CK$3)*(Gastos!$B$2:$B$2500=$A85)*(Gastos!$D$2:$D$2500))</f>
        <v>0</v>
      </c>
      <c r="CL85" s="75">
        <f t="array" ref="CL85">SUM((YEAR(Gastos!$A$2:$A$2500)=CL$1)*(MONTH(Gastos!$A$2:$A$2500)=CL$3)*(Gastos!$B$2:$B$2500=$A85)*(Gastos!$D$2:$D$2500))</f>
        <v>0</v>
      </c>
      <c r="CM85" s="75">
        <f t="array" ref="CM85">SUM((YEAR(Gastos!$A$2:$A$2500)=CM$1)*(MONTH(Gastos!$A$2:$A$2500)=CM$3)*(Gastos!$B$2:$B$2500=$A85)*(Gastos!$D$2:$D$2500))</f>
        <v>0</v>
      </c>
      <c r="CN85" s="75">
        <f t="array" ref="CN85">SUM((YEAR(Gastos!$A$2:$A$2500)=CN$1)*(MONTH(Gastos!$A$2:$A$2500)=CN$3)*(Gastos!$B$2:$B$2500=$A85)*(Gastos!$D$2:$D$2500))</f>
        <v>0</v>
      </c>
      <c r="CO85" s="75">
        <f t="array" ref="CO85">SUM((YEAR(Gastos!$A$2:$A$2500)=CO$1)*(MONTH(Gastos!$A$2:$A$2500)=CO$3)*(Gastos!$B$2:$B$2500=$A85)*(Gastos!$D$2:$D$2500))</f>
        <v>0</v>
      </c>
      <c r="CP85" s="75">
        <f t="array" ref="CP85">SUM((YEAR(Gastos!$A$2:$A$2500)=CP$1)*(MONTH(Gastos!$A$2:$A$2500)=CP$3)*(Gastos!$B$2:$B$2500=$A85)*(Gastos!$D$2:$D$2500))</f>
        <v>0</v>
      </c>
      <c r="CQ85" s="75">
        <f t="array" ref="CQ85">SUM((YEAR(Gastos!$A$2:$A$2500)=CQ$1)*(MONTH(Gastos!$A$2:$A$2500)=CQ$3)*(Gastos!$B$2:$B$2500=$A85)*(Gastos!$D$2:$D$2500))</f>
        <v>0</v>
      </c>
      <c r="CR85" s="75">
        <f t="array" ref="CR85">SUM((YEAR(Gastos!$A$2:$A$2500)=CR$1)*(MONTH(Gastos!$A$2:$A$2500)=CR$3)*(Gastos!$B$2:$B$2500=$A85)*(Gastos!$D$2:$D$2500))</f>
        <v>0</v>
      </c>
      <c r="CS85" s="75">
        <f t="array" ref="CS85">SUM((YEAR(Gastos!$A$2:$A$2500)=CS$1)*(MONTH(Gastos!$A$2:$A$2500)=CS$3)*(Gastos!$B$2:$B$2500=$A85)*(Gastos!$D$2:$D$2500))</f>
        <v>0</v>
      </c>
      <c r="CT85" s="75">
        <f t="array" ref="CT85">SUM((YEAR(Gastos!$A$2:$A$2500)=CT$1)*(MONTH(Gastos!$A$2:$A$2500)=CT$3)*(Gastos!$B$2:$B$2500=$A85)*(Gastos!$D$2:$D$2500))</f>
        <v>0</v>
      </c>
      <c r="CU85" s="75">
        <f t="array" ref="CU85">SUM((YEAR(Gastos!$A$2:$A$2500)=CU$1)*(MONTH(Gastos!$A$2:$A$2500)=CU$3)*(Gastos!$B$2:$B$2500=$A85)*(Gastos!$D$2:$D$2500))</f>
        <v>0</v>
      </c>
      <c r="CV85" s="75">
        <f t="array" ref="CV85">SUM((YEAR(Gastos!$A$2:$A$2500)=CV$1)*(MONTH(Gastos!$A$2:$A$2500)=CV$3)*(Gastos!$B$2:$B$2500=$A85)*(Gastos!$D$2:$D$2500))</f>
        <v>0</v>
      </c>
      <c r="CW85" s="75">
        <f t="array" ref="CW85">SUM((YEAR(Gastos!$A$2:$A$2500)=CW$1)*(MONTH(Gastos!$A$2:$A$2500)=CW$3)*(Gastos!$B$2:$B$2500=$A85)*(Gastos!$D$2:$D$2500))</f>
        <v>0</v>
      </c>
      <c r="CX85" s="75">
        <f t="array" ref="CX85">SUM((YEAR(Gastos!$A$2:$A$2500)=CX$1)*(MONTH(Gastos!$A$2:$A$2500)=CX$3)*(Gastos!$B$2:$B$2500=$A85)*(Gastos!$D$2:$D$2500))</f>
        <v>0</v>
      </c>
      <c r="CY85" s="75">
        <f t="array" ref="CY85">SUM((YEAR(Gastos!$A$2:$A$2500)=CY$1)*(MONTH(Gastos!$A$2:$A$2500)=CY$3)*(Gastos!$B$2:$B$2500=$A85)*(Gastos!$D$2:$D$2500))</f>
        <v>0</v>
      </c>
      <c r="CZ85" s="75">
        <f t="array" ref="CZ85">SUM((YEAR(Gastos!$A$2:$A$2500)=CZ$1)*(MONTH(Gastos!$A$2:$A$2500)=CZ$3)*(Gastos!$B$2:$B$2500=$A85)*(Gastos!$D$2:$D$2500))</f>
        <v>0</v>
      </c>
      <c r="DA85" s="75">
        <f t="array" ref="DA85">SUM((YEAR(Gastos!$A$2:$A$2500)=DA$1)*(MONTH(Gastos!$A$2:$A$2500)=DA$3)*(Gastos!$B$2:$B$2500=$A85)*(Gastos!$D$2:$D$2500))</f>
        <v>0</v>
      </c>
      <c r="DB85" s="75">
        <f t="array" ref="DB85">SUM((YEAR(Gastos!$A$2:$A$2500)=DB$1)*(MONTH(Gastos!$A$2:$A$2500)=DB$3)*(Gastos!$B$2:$B$2500=$A85)*(Gastos!$D$2:$D$2500))</f>
        <v>0</v>
      </c>
      <c r="DC85" s="75">
        <f t="array" ref="DC85">SUM((YEAR(Gastos!$A$2:$A$2500)=DC$1)*(MONTH(Gastos!$A$2:$A$2500)=DC$3)*(Gastos!$B$2:$B$2500=$A85)*(Gastos!$D$2:$D$2500))</f>
        <v>0</v>
      </c>
      <c r="DD85" s="75">
        <f t="array" ref="DD85">SUM((YEAR(Gastos!$A$2:$A$2500)=DD$1)*(MONTH(Gastos!$A$2:$A$2500)=DD$3)*(Gastos!$B$2:$B$2500=$A85)*(Gastos!$D$2:$D$2500))</f>
        <v>0</v>
      </c>
      <c r="DE85" s="75">
        <f t="array" ref="DE85">SUM((YEAR(Gastos!$A$2:$A$2500)=DE$1)*(MONTH(Gastos!$A$2:$A$2500)=DE$3)*(Gastos!$B$2:$B$2500=$A85)*(Gastos!$D$2:$D$2500))</f>
        <v>0</v>
      </c>
      <c r="DF85" s="75">
        <f t="array" ref="DF85">SUM((YEAR(Gastos!$A$2:$A$2500)=DF$1)*(MONTH(Gastos!$A$2:$A$2500)=DF$3)*(Gastos!$B$2:$B$2500=$A85)*(Gastos!$D$2:$D$2500))</f>
        <v>0</v>
      </c>
      <c r="DG85" s="75">
        <f t="array" ref="DG85">SUM((YEAR(Gastos!$A$2:$A$2500)=DG$1)*(MONTH(Gastos!$A$2:$A$2500)=DG$3)*(Gastos!$B$2:$B$2500=$A85)*(Gastos!$D$2:$D$2500))</f>
        <v>0</v>
      </c>
      <c r="DH85" s="75">
        <f t="array" ref="DH85">SUM((YEAR(Gastos!$A$2:$A$2500)=DH$1)*(MONTH(Gastos!$A$2:$A$2500)=DH$3)*(Gastos!$B$2:$B$2500=$A85)*(Gastos!$D$2:$D$2500))</f>
        <v>0</v>
      </c>
      <c r="DI85" s="75">
        <f t="array" ref="DI85">SUM((YEAR(Gastos!$A$2:$A$2500)=DI$1)*(MONTH(Gastos!$A$2:$A$2500)=DI$3)*(Gastos!$B$2:$B$2500=$A85)*(Gastos!$D$2:$D$2500))</f>
        <v>0</v>
      </c>
      <c r="DJ85" s="75">
        <f t="array" ref="DJ85">SUM((YEAR(Gastos!$A$2:$A$2500)=DJ$1)*(MONTH(Gastos!$A$2:$A$2500)=DJ$3)*(Gastos!$B$2:$B$2500=$A85)*(Gastos!$D$2:$D$2500))</f>
        <v>0</v>
      </c>
      <c r="DK85" s="75">
        <f t="array" ref="DK85">SUM((YEAR(Gastos!$A$2:$A$2500)=DK$1)*(MONTH(Gastos!$A$2:$A$2500)=DK$3)*(Gastos!$B$2:$B$2500=$A85)*(Gastos!$D$2:$D$2500))</f>
        <v>0</v>
      </c>
      <c r="DL85" s="75">
        <f t="array" ref="DL85">SUM((YEAR(Gastos!$A$2:$A$2500)=DL$1)*(MONTH(Gastos!$A$2:$A$2500)=DL$3)*(Gastos!$B$2:$B$2500=$A85)*(Gastos!$D$2:$D$2500))</f>
        <v>0</v>
      </c>
      <c r="DM85" s="75">
        <f t="array" ref="DM85">SUM((YEAR(Gastos!$A$2:$A$2500)=DM$1)*(MONTH(Gastos!$A$2:$A$2500)=DM$3)*(Gastos!$B$2:$B$2500=$A85)*(Gastos!$D$2:$D$2500))</f>
        <v>0</v>
      </c>
      <c r="DN85" s="75">
        <f t="array" ref="DN85">SUM((YEAR(Gastos!$A$2:$A$2500)=DN$1)*(MONTH(Gastos!$A$2:$A$2500)=DN$3)*(Gastos!$B$2:$B$2500=$A85)*(Gastos!$D$2:$D$2500))</f>
        <v>0</v>
      </c>
      <c r="DO85" s="75">
        <f t="array" ref="DO85">SUM((YEAR(Gastos!$A$2:$A$2500)=DO$1)*(MONTH(Gastos!$A$2:$A$2500)=DO$3)*(Gastos!$B$2:$B$2500=$A85)*(Gastos!$D$2:$D$2500))</f>
        <v>0</v>
      </c>
      <c r="DP85" s="75">
        <f t="array" ref="DP85">SUM((YEAR(Gastos!$A$2:$A$2500)=DP$1)*(MONTH(Gastos!$A$2:$A$2500)=DP$3)*(Gastos!$B$2:$B$2500=$A85)*(Gastos!$D$2:$D$2500))</f>
        <v>0</v>
      </c>
      <c r="DQ85" s="75">
        <f t="array" ref="DQ85">SUM((YEAR(Gastos!$A$2:$A$2500)=DQ$1)*(MONTH(Gastos!$A$2:$A$2500)=DQ$3)*(Gastos!$B$2:$B$2500=$A85)*(Gastos!$D$2:$D$2500))</f>
        <v>0</v>
      </c>
      <c r="DR85" s="75">
        <f t="array" ref="DR85">SUM((YEAR(Gastos!$A$2:$A$2500)=DR$1)*(MONTH(Gastos!$A$2:$A$2500)=DR$3)*(Gastos!$B$2:$B$2500=$A85)*(Gastos!$D$2:$D$2500))</f>
        <v>0</v>
      </c>
      <c r="DS85" s="75">
        <f t="array" ref="DS85">SUM((YEAR(Gastos!$A$2:$A$2500)=DS$1)*(MONTH(Gastos!$A$2:$A$2500)=DS$3)*(Gastos!$B$2:$B$2500=$A85)*(Gastos!$D$2:$D$2500))</f>
        <v>0</v>
      </c>
      <c r="DT85" s="75">
        <f t="array" ref="DT85">SUM((YEAR(Gastos!$A$2:$A$2500)=DT$1)*(MONTH(Gastos!$A$2:$A$2500)=DT$3)*(Gastos!$B$2:$B$2500=$A85)*(Gastos!$D$2:$D$2500))</f>
        <v>0</v>
      </c>
      <c r="DU85" s="75">
        <f t="array" ref="DU85">SUM((YEAR(Gastos!$A$2:$A$2500)=DU$1)*(MONTH(Gastos!$A$2:$A$2500)=DU$3)*(Gastos!$B$2:$B$2500=$A85)*(Gastos!$D$2:$D$2500))</f>
        <v>0</v>
      </c>
      <c r="DV85" s="75">
        <f t="array" ref="DV85">SUM((YEAR(Gastos!$A$2:$A$2500)=DV$1)*(MONTH(Gastos!$A$2:$A$2500)=DV$3)*(Gastos!$B$2:$B$2500=$A85)*(Gastos!$D$2:$D$2500))</f>
        <v>0</v>
      </c>
      <c r="DW85" s="75">
        <f t="array" ref="DW85">SUM((YEAR(Gastos!$A$2:$A$2500)=DW$1)*(MONTH(Gastos!$A$2:$A$2500)=DW$3)*(Gastos!$B$2:$B$2500=$A85)*(Gastos!$D$2:$D$2500))</f>
        <v>0</v>
      </c>
      <c r="DX85" s="75">
        <f t="array" ref="DX85">SUM((YEAR(Gastos!$A$2:$A$2500)=DX$1)*(MONTH(Gastos!$A$2:$A$2500)=DX$3)*(Gastos!$B$2:$B$2500=$A85)*(Gastos!$D$2:$D$2500))</f>
        <v>0</v>
      </c>
      <c r="DY85" s="75">
        <f t="array" ref="DY85">SUM((YEAR(Gastos!$A$2:$A$2500)=DY$1)*(MONTH(Gastos!$A$2:$A$2500)=DY$3)*(Gastos!$B$2:$B$2500=$A85)*(Gastos!$D$2:$D$2500))</f>
        <v>0</v>
      </c>
      <c r="DZ85" s="75">
        <f t="array" ref="DZ85">SUM((YEAR(Gastos!$A$2:$A$2500)=DZ$1)*(MONTH(Gastos!$A$2:$A$2500)=DZ$3)*(Gastos!$B$2:$B$2500=$A85)*(Gastos!$D$2:$D$2500))</f>
        <v>0</v>
      </c>
      <c r="EA85" s="75">
        <f t="array" ref="EA85">SUM((YEAR(Gastos!$A$2:$A$2500)=EA$1)*(MONTH(Gastos!$A$2:$A$2500)=EA$3)*(Gastos!$B$2:$B$2500=$A85)*(Gastos!$D$2:$D$2500))</f>
        <v>0</v>
      </c>
      <c r="EB85" s="75">
        <f t="array" ref="EB85">SUM((YEAR(Gastos!$A$2:$A$2500)=EB$1)*(MONTH(Gastos!$A$2:$A$2500)=EB$3)*(Gastos!$B$2:$B$2500=$A85)*(Gastos!$D$2:$D$2500))</f>
        <v>0</v>
      </c>
      <c r="EC85" s="75">
        <f t="array" ref="EC85">SUM((YEAR(Gastos!$A$2:$A$2500)=EC$1)*(MONTH(Gastos!$A$2:$A$2500)=EC$3)*(Gastos!$B$2:$B$2500=$A85)*(Gastos!$D$2:$D$2500))</f>
        <v>0</v>
      </c>
      <c r="ED85" s="75">
        <f t="array" ref="ED85">SUM((YEAR(Gastos!$A$2:$A$2500)=ED$1)*(MONTH(Gastos!$A$2:$A$2500)=ED$3)*(Gastos!$B$2:$B$2500=$A85)*(Gastos!$D$2:$D$2500))</f>
        <v>0</v>
      </c>
      <c r="EE85" s="75">
        <f t="array" ref="EE85">SUM((YEAR(Gastos!$A$2:$A$2500)=EE$1)*(MONTH(Gastos!$A$2:$A$2500)=EE$3)*(Gastos!$B$2:$B$2500=$A85)*(Gastos!$D$2:$D$2500))</f>
        <v>0</v>
      </c>
      <c r="EF85" s="75">
        <f t="array" ref="EF85">SUM((YEAR(Gastos!$A$2:$A$2500)=EF$1)*(MONTH(Gastos!$A$2:$A$2500)=EF$3)*(Gastos!$B$2:$B$2500=$A85)*(Gastos!$D$2:$D$2500))</f>
        <v>0</v>
      </c>
      <c r="EG85" s="75">
        <f t="array" ref="EG85">SUM((YEAR(Gastos!$A$2:$A$2500)=EG$1)*(MONTH(Gastos!$A$2:$A$2500)=EG$3)*(Gastos!$B$2:$B$2500=$A85)*(Gastos!$D$2:$D$2500))</f>
        <v>0</v>
      </c>
      <c r="EH85" s="75">
        <f t="array" ref="EH85">SUM((YEAR(Gastos!$A$2:$A$2500)=EH$1)*(MONTH(Gastos!$A$2:$A$2500)=EH$3)*(Gastos!$B$2:$B$2500=$A85)*(Gastos!$D$2:$D$2500))</f>
        <v>0</v>
      </c>
      <c r="EI85" s="75">
        <f t="array" ref="EI85">SUM((YEAR(Gastos!$A$2:$A$2500)=EI$1)*(MONTH(Gastos!$A$2:$A$2500)=EI$3)*(Gastos!$B$2:$B$2500=$A85)*(Gastos!$D$2:$D$2500))</f>
        <v>0</v>
      </c>
      <c r="EJ85" s="75">
        <f t="array" ref="EJ85">SUM((YEAR(Gastos!$A$2:$A$2500)=EJ$1)*(MONTH(Gastos!$A$2:$A$2500)=EJ$3)*(Gastos!$B$2:$B$2500=$A85)*(Gastos!$D$2:$D$2500))</f>
        <v>0</v>
      </c>
      <c r="EK85" s="75">
        <f t="array" ref="EK85">SUM((YEAR(Gastos!$A$2:$A$2500)=EK$1)*(MONTH(Gastos!$A$2:$A$2500)=EK$3)*(Gastos!$B$2:$B$2500=$A85)*(Gastos!$D$2:$D$2500))</f>
        <v>0</v>
      </c>
      <c r="EL85" s="75">
        <f t="array" ref="EL85">SUM((YEAR(Gastos!$A$2:$A$2500)=EL$1)*(MONTH(Gastos!$A$2:$A$2500)=EL$3)*(Gastos!$B$2:$B$2500=$A85)*(Gastos!$D$2:$D$2500))</f>
        <v>0</v>
      </c>
      <c r="EM85" s="75">
        <f t="array" ref="EM85">SUM((YEAR(Gastos!$A$2:$A$2500)=EM$1)*(MONTH(Gastos!$A$2:$A$2500)=EM$3)*(Gastos!$B$2:$B$2500=$A85)*(Gastos!$D$2:$D$2500))</f>
        <v>0</v>
      </c>
      <c r="EN85" s="75">
        <f t="array" ref="EN85">SUM((YEAR(Gastos!$A$2:$A$2500)=EN$1)*(MONTH(Gastos!$A$2:$A$2500)=EN$3)*(Gastos!$B$2:$B$2500=$A85)*(Gastos!$D$2:$D$2500))</f>
        <v>0</v>
      </c>
      <c r="EO85" s="75">
        <f t="array" ref="EO85">SUM((YEAR(Gastos!$A$2:$A$2500)=EO$1)*(MONTH(Gastos!$A$2:$A$2500)=EO$3)*(Gastos!$B$2:$B$2500=$A85)*(Gastos!$D$2:$D$2500))</f>
        <v>0</v>
      </c>
      <c r="EP85" s="75">
        <f t="array" ref="EP85">SUM((YEAR(Gastos!$A$2:$A$2500)=EP$1)*(MONTH(Gastos!$A$2:$A$2500)=EP$3)*(Gastos!$B$2:$B$2500=$A85)*(Gastos!$D$2:$D$2500))</f>
        <v>0</v>
      </c>
      <c r="EQ85" s="75">
        <f t="array" ref="EQ85">SUM((YEAR(Gastos!$A$2:$A$2500)=EQ$1)*(MONTH(Gastos!$A$2:$A$2500)=EQ$3)*(Gastos!$B$2:$B$2500=$A85)*(Gastos!$D$2:$D$2500))</f>
        <v>0</v>
      </c>
      <c r="ER85" s="75">
        <f t="array" ref="ER85">SUM((YEAR(Gastos!$A$2:$A$2500)=ER$1)*(MONTH(Gastos!$A$2:$A$2500)=ER$3)*(Gastos!$B$2:$B$2500=$A85)*(Gastos!$D$2:$D$2500))</f>
        <v>0</v>
      </c>
      <c r="ES85" s="75">
        <f t="array" ref="ES85">SUM((YEAR(Gastos!$A$2:$A$2500)=ES$1)*(MONTH(Gastos!$A$2:$A$2500)=ES$3)*(Gastos!$B$2:$B$2500=$A85)*(Gastos!$D$2:$D$2500))</f>
        <v>0</v>
      </c>
      <c r="ET85" s="75">
        <f t="array" ref="ET85">SUM((YEAR(Gastos!$A$2:$A$2500)=ET$1)*(MONTH(Gastos!$A$2:$A$2500)=ET$3)*(Gastos!$B$2:$B$2500=$A85)*(Gastos!$D$2:$D$2500))</f>
        <v>0</v>
      </c>
      <c r="EU85" s="75">
        <f t="array" ref="EU85">SUM((YEAR(Gastos!$A$2:$A$2500)=EU$1)*(MONTH(Gastos!$A$2:$A$2500)=EU$3)*(Gastos!$B$2:$B$2500=$A85)*(Gastos!$D$2:$D$2500))</f>
        <v>0</v>
      </c>
      <c r="EV85" s="75">
        <f t="array" ref="EV85">SUM((YEAR(Gastos!$A$2:$A$2500)=EV$1)*(MONTH(Gastos!$A$2:$A$2500)=EV$3)*(Gastos!$B$2:$B$2500=$A85)*(Gastos!$D$2:$D$2500))</f>
        <v>0</v>
      </c>
      <c r="EW85" s="75">
        <f t="array" ref="EW85">SUM((YEAR(Gastos!$A$2:$A$2500)=EW$1)*(MONTH(Gastos!$A$2:$A$2500)=EW$3)*(Gastos!$B$2:$B$2500=$A85)*(Gastos!$D$2:$D$2500))</f>
        <v>0</v>
      </c>
      <c r="EX85" s="75">
        <f t="array" ref="EX85">SUM((YEAR(Gastos!$A$2:$A$2500)=EX$1)*(MONTH(Gastos!$A$2:$A$2500)=EX$3)*(Gastos!$B$2:$B$2500=$A85)*(Gastos!$D$2:$D$2500))</f>
        <v>0</v>
      </c>
      <c r="EY85" s="75">
        <f t="array" ref="EY85">SUM((YEAR(Gastos!$A$2:$A$2500)=EY$1)*(MONTH(Gastos!$A$2:$A$2500)=EY$3)*(Gastos!$B$2:$B$2500=$A85)*(Gastos!$D$2:$D$2500))</f>
        <v>0</v>
      </c>
      <c r="EZ85" s="75">
        <f t="array" ref="EZ85">SUM((YEAR(Gastos!$A$2:$A$2500)=EZ$1)*(MONTH(Gastos!$A$2:$A$2500)=EZ$3)*(Gastos!$B$2:$B$2500=$A85)*(Gastos!$D$2:$D$2500))</f>
        <v>0</v>
      </c>
      <c r="FA85" s="75">
        <f t="array" ref="FA85">SUM((YEAR(Gastos!$A$2:$A$2500)=FA$1)*(MONTH(Gastos!$A$2:$A$2500)=FA$3)*(Gastos!$B$2:$B$2500=$A85)*(Gastos!$D$2:$D$2500))</f>
        <v>0</v>
      </c>
      <c r="FB85" s="75">
        <f t="array" ref="FB85">SUM((YEAR(Gastos!$A$2:$A$2500)=FB$1)*(MONTH(Gastos!$A$2:$A$2500)=FB$3)*(Gastos!$B$2:$B$2500=$A85)*(Gastos!$D$2:$D$2500))</f>
        <v>0</v>
      </c>
      <c r="FC85" s="75">
        <f t="array" ref="FC85">SUM((YEAR(Gastos!$A$2:$A$2500)=FC$1)*(MONTH(Gastos!$A$2:$A$2500)=FC$3)*(Gastos!$B$2:$B$2500=$A85)*(Gastos!$D$2:$D$2500))</f>
        <v>0</v>
      </c>
      <c r="FD85" s="75">
        <f t="array" ref="FD85">SUM((YEAR(Gastos!$A$2:$A$2500)=FD$1)*(MONTH(Gastos!$A$2:$A$2500)=FD$3)*(Gastos!$B$2:$B$2500=$A85)*(Gastos!$D$2:$D$2500))</f>
        <v>0</v>
      </c>
      <c r="FE85" s="75">
        <f t="array" ref="FE85">SUM((YEAR(Gastos!$A$2:$A$2500)=FE$1)*(MONTH(Gastos!$A$2:$A$2500)=FE$3)*(Gastos!$B$2:$B$2500=$A85)*(Gastos!$D$2:$D$2500))</f>
        <v>0</v>
      </c>
      <c r="FF85" s="75">
        <f t="array" ref="FF85">SUM((YEAR(Gastos!$A$2:$A$2500)=FF$1)*(MONTH(Gastos!$A$2:$A$2500)=FF$3)*(Gastos!$B$2:$B$2500=$A85)*(Gastos!$D$2:$D$2500))</f>
        <v>0</v>
      </c>
      <c r="FG85" s="75">
        <f t="array" ref="FG85">SUM((YEAR(Gastos!$A$2:$A$2500)=FG$1)*(MONTH(Gastos!$A$2:$A$2500)=FG$3)*(Gastos!$B$2:$B$2500=$A85)*(Gastos!$D$2:$D$2500))</f>
        <v>0</v>
      </c>
      <c r="FH85" s="75">
        <f t="array" ref="FH85">SUM((YEAR(Gastos!$A$2:$A$2500)=FH$1)*(MONTH(Gastos!$A$2:$A$2500)=FH$3)*(Gastos!$B$2:$B$2500=$A85)*(Gastos!$D$2:$D$2500))</f>
        <v>0</v>
      </c>
      <c r="FI85" s="75">
        <f t="array" ref="FI85">SUM((YEAR(Gastos!$A$2:$A$2500)=FI$1)*(MONTH(Gastos!$A$2:$A$2500)=FI$3)*(Gastos!$B$2:$B$2500=$A85)*(Gastos!$D$2:$D$2500))</f>
        <v>0</v>
      </c>
      <c r="FJ85" s="75">
        <f t="array" ref="FJ85">SUM((YEAR(Gastos!$A$2:$A$2500)=FJ$1)*(MONTH(Gastos!$A$2:$A$2500)=FJ$3)*(Gastos!$B$2:$B$2500=$A85)*(Gastos!$D$2:$D$2500))</f>
        <v>0</v>
      </c>
      <c r="FK85" s="75">
        <f t="array" ref="FK85">SUM((YEAR(Gastos!$A$2:$A$2500)=FK$1)*(MONTH(Gastos!$A$2:$A$2500)=FK$3)*(Gastos!$B$2:$B$2500=$A85)*(Gastos!$D$2:$D$2500))</f>
        <v>0</v>
      </c>
      <c r="FL85" s="75">
        <f t="array" ref="FL85">SUM((YEAR(Gastos!$A$2:$A$2500)=FL$1)*(MONTH(Gastos!$A$2:$A$2500)=FL$3)*(Gastos!$B$2:$B$2500=$A85)*(Gastos!$D$2:$D$2500))</f>
        <v>0</v>
      </c>
      <c r="FM85" s="75">
        <f t="array" ref="FM85">SUM((YEAR(Gastos!$A$2:$A$2500)=FM$1)*(MONTH(Gastos!$A$2:$A$2500)=FM$3)*(Gastos!$B$2:$B$2500=$A85)*(Gastos!$D$2:$D$2500))</f>
        <v>0</v>
      </c>
      <c r="FN85" s="75">
        <f t="array" ref="FN85">SUM((YEAR(Gastos!$A$2:$A$2500)=FN$1)*(MONTH(Gastos!$A$2:$A$2500)=FN$3)*(Gastos!$B$2:$B$2500=$A85)*(Gastos!$D$2:$D$2500))</f>
        <v>0</v>
      </c>
      <c r="FO85" s="75">
        <f t="array" ref="FO85">SUM((YEAR(Gastos!$A$2:$A$2500)=FO$1)*(MONTH(Gastos!$A$2:$A$2500)=FO$3)*(Gastos!$B$2:$B$2500=$A85)*(Gastos!$D$2:$D$2500))</f>
        <v>0</v>
      </c>
      <c r="FP85" s="75">
        <f t="array" ref="FP85">SUM((YEAR(Gastos!$A$2:$A$2500)=FP$1)*(MONTH(Gastos!$A$2:$A$2500)=FP$3)*(Gastos!$B$2:$B$2500=$A85)*(Gastos!$D$2:$D$2500))</f>
        <v>0</v>
      </c>
      <c r="FQ85" s="75">
        <f t="array" ref="FQ85">SUM((YEAR(Gastos!$A$2:$A$2500)=FQ$1)*(MONTH(Gastos!$A$2:$A$2500)=FQ$3)*(Gastos!$B$2:$B$2500=$A85)*(Gastos!$D$2:$D$2500))</f>
        <v>0</v>
      </c>
      <c r="FR85" s="75">
        <f t="array" ref="FR85">SUM((YEAR(Gastos!$A$2:$A$2500)=FR$1)*(MONTH(Gastos!$A$2:$A$2500)=FR$3)*(Gastos!$B$2:$B$2500=$A85)*(Gastos!$D$2:$D$2500))</f>
        <v>0</v>
      </c>
      <c r="FS85" s="75">
        <f t="array" ref="FS85">SUM((YEAR(Gastos!$A$2:$A$2500)=FS$1)*(MONTH(Gastos!$A$2:$A$2500)=FS$3)*(Gastos!$B$2:$B$2500=$A85)*(Gastos!$D$2:$D$2500))</f>
        <v>0</v>
      </c>
      <c r="FT85" s="75">
        <f t="array" ref="FT85">SUM((YEAR(Gastos!$A$2:$A$2500)=FT$1)*(MONTH(Gastos!$A$2:$A$2500)=FT$3)*(Gastos!$B$2:$B$2500=$A85)*(Gastos!$D$2:$D$2500))</f>
        <v>0</v>
      </c>
      <c r="FU85" s="75">
        <f t="array" ref="FU85">SUM((YEAR(Gastos!$A$2:$A$2500)=FU$1)*(MONTH(Gastos!$A$2:$A$2500)=FU$3)*(Gastos!$B$2:$B$2500=$A85)*(Gastos!$D$2:$D$2500))</f>
        <v>0</v>
      </c>
      <c r="FV85" s="75">
        <f t="array" ref="FV85">SUM((YEAR(Gastos!$A$2:$A$2500)=FV$1)*(MONTH(Gastos!$A$2:$A$2500)=FV$3)*(Gastos!$B$2:$B$2500=$A85)*(Gastos!$D$2:$D$2500))</f>
        <v>0</v>
      </c>
      <c r="FW85" s="75">
        <f t="array" ref="FW85">SUM((YEAR(Gastos!$A$2:$A$2500)=FW$1)*(MONTH(Gastos!$A$2:$A$2500)=FW$3)*(Gastos!$B$2:$B$2500=$A85)*(Gastos!$D$2:$D$2500))</f>
        <v>0</v>
      </c>
      <c r="FX85" s="75">
        <f t="array" ref="FX85">SUM((YEAR(Gastos!$A$2:$A$2500)=FX$1)*(MONTH(Gastos!$A$2:$A$2500)=FX$3)*(Gastos!$B$2:$B$2500=$A85)*(Gastos!$D$2:$D$2500))</f>
        <v>0</v>
      </c>
      <c r="FY85" s="75">
        <f t="array" ref="FY85">SUM((YEAR(Gastos!$A$2:$A$2500)=FY$1)*(MONTH(Gastos!$A$2:$A$2500)=FY$3)*(Gastos!$B$2:$B$2500=$A85)*(Gastos!$D$2:$D$2500))</f>
        <v>0</v>
      </c>
      <c r="FZ85" s="76">
        <f t="shared" si="68"/>
        <v>0</v>
      </c>
      <c r="GA85" s="80"/>
      <c r="GB85" s="82"/>
    </row>
    <row r="86" spans="1:184" ht="15" thickBot="1" x14ac:dyDescent="0.4">
      <c r="A86" s="74" t="str">
        <f>Gastos!AA84</f>
        <v>X</v>
      </c>
      <c r="B86" s="75">
        <f t="array" ref="B86">SUM((YEAR(Gastos!$A$2:$A$2500)=B$1)*(MONTH(Gastos!$A$2:$A$2500)=B$3)*(Gastos!$B$2:$B$2500=$A86)*(Gastos!$D$2:$D$2500))</f>
        <v>0</v>
      </c>
      <c r="C86" s="75">
        <f t="array" ref="C86">SUM((YEAR(Gastos!$A$2:$A$2500)=C$1)*(MONTH(Gastos!$A$2:$A$2500)=C$3)*(Gastos!$B$2:$B$2500=$A86)*(Gastos!$D$2:$D$2500))</f>
        <v>0</v>
      </c>
      <c r="D86" s="75">
        <f t="array" ref="D86">SUM((YEAR(Gastos!$A$2:$A$2500)=D$1)*(MONTH(Gastos!$A$2:$A$2500)=D$3)*(Gastos!$B$2:$B$2500=$A86)*(Gastos!$D$2:$D$2500))</f>
        <v>0</v>
      </c>
      <c r="E86" s="75">
        <f t="array" ref="E86">SUM((YEAR(Gastos!$A$2:$A$2500)=E$1)*(MONTH(Gastos!$A$2:$A$2500)=E$3)*(Gastos!$B$2:$B$2500=$A86)*(Gastos!$D$2:$D$2500))</f>
        <v>0</v>
      </c>
      <c r="F86" s="75">
        <f t="array" ref="F86">SUM((YEAR(Gastos!$A$2:$A$2500)=F$1)*(MONTH(Gastos!$A$2:$A$2500)=F$3)*(Gastos!$B$2:$B$2500=$A86)*(Gastos!$D$2:$D$2500))</f>
        <v>0</v>
      </c>
      <c r="G86" s="75">
        <f t="array" ref="G86">SUM((YEAR(Gastos!$A$2:$A$2500)=G$1)*(MONTH(Gastos!$A$2:$A$2500)=G$3)*(Gastos!$B$2:$B$2500=$A86)*(Gastos!$D$2:$D$2500))</f>
        <v>0</v>
      </c>
      <c r="H86" s="75">
        <f t="array" ref="H86">SUM((YEAR(Gastos!$A$2:$A$2500)=H$1)*(MONTH(Gastos!$A$2:$A$2500)=H$3)*(Gastos!$B$2:$B$2500=$A86)*(Gastos!$D$2:$D$2500))</f>
        <v>0</v>
      </c>
      <c r="I86" s="75">
        <f t="array" ref="I86">SUM((YEAR(Gastos!$A$2:$A$2500)=I$1)*(MONTH(Gastos!$A$2:$A$2500)=I$3)*(Gastos!$B$2:$B$2500=$A86)*(Gastos!$D$2:$D$2500))</f>
        <v>0</v>
      </c>
      <c r="J86" s="75">
        <f t="array" ref="J86">SUM((YEAR(Gastos!$A$2:$A$2500)=J$1)*(MONTH(Gastos!$A$2:$A$2500)=J$3)*(Gastos!$B$2:$B$2500=$A86)*(Gastos!$D$2:$D$2500))</f>
        <v>0</v>
      </c>
      <c r="K86" s="75">
        <f t="array" ref="K86">SUM((YEAR(Gastos!$A$2:$A$2500)=K$1)*(MONTH(Gastos!$A$2:$A$2500)=K$3)*(Gastos!$B$2:$B$2500=$A86)*(Gastos!$D$2:$D$2500))</f>
        <v>0</v>
      </c>
      <c r="L86" s="75">
        <f t="array" ref="L86">SUM((YEAR(Gastos!$A$2:$A$2500)=L$1)*(MONTH(Gastos!$A$2:$A$2500)=L$3)*(Gastos!$B$2:$B$2500=$A86)*(Gastos!$D$2:$D$2500))</f>
        <v>0</v>
      </c>
      <c r="M86" s="75">
        <f t="array" ref="M86">SUM((YEAR(Gastos!$A$2:$A$2500)=M$1)*(MONTH(Gastos!$A$2:$A$2500)=M$3)*(Gastos!$B$2:$B$2500=$A86)*(Gastos!$D$2:$D$2500))</f>
        <v>0</v>
      </c>
      <c r="N86" s="75">
        <f t="array" ref="N86">SUM((YEAR(Gastos!$A$2:$A$2500)=N$1)*(MONTH(Gastos!$A$2:$A$2500)=N$3)*(Gastos!$B$2:$B$2500=$A86)*(Gastos!$D$2:$D$2500))</f>
        <v>0</v>
      </c>
      <c r="O86" s="75">
        <f t="array" ref="O86">SUM((YEAR(Gastos!$A$2:$A$2500)=O$1)*(MONTH(Gastos!$A$2:$A$2500)=O$3)*(Gastos!$B$2:$B$2500=$A86)*(Gastos!$D$2:$D$2500))</f>
        <v>0</v>
      </c>
      <c r="P86" s="75">
        <f t="array" ref="P86">SUM((YEAR(Gastos!$A$2:$A$2500)=P$1)*(MONTH(Gastos!$A$2:$A$2500)=P$3)*(Gastos!$B$2:$B$2500=$A86)*(Gastos!$D$2:$D$2500))</f>
        <v>0</v>
      </c>
      <c r="Q86" s="75">
        <f t="array" ref="Q86">SUM((YEAR(Gastos!$A$2:$A$2500)=Q$1)*(MONTH(Gastos!$A$2:$A$2500)=Q$3)*(Gastos!$B$2:$B$2500=$A86)*(Gastos!$D$2:$D$2500))</f>
        <v>0</v>
      </c>
      <c r="R86" s="75">
        <f t="array" ref="R86">SUM((YEAR(Gastos!$A$2:$A$2500)=R$1)*(MONTH(Gastos!$A$2:$A$2500)=R$3)*(Gastos!$B$2:$B$2500=$A86)*(Gastos!$D$2:$D$2500))</f>
        <v>0</v>
      </c>
      <c r="S86" s="75">
        <f t="array" ref="S86">SUM((YEAR(Gastos!$A$2:$A$2500)=S$1)*(MONTH(Gastos!$A$2:$A$2500)=S$3)*(Gastos!$B$2:$B$2500=$A86)*(Gastos!$D$2:$D$2500))</f>
        <v>0</v>
      </c>
      <c r="T86" s="75">
        <f t="array" ref="T86">SUM((YEAR(Gastos!$A$2:$A$2500)=T$1)*(MONTH(Gastos!$A$2:$A$2500)=T$3)*(Gastos!$B$2:$B$2500=$A86)*(Gastos!$D$2:$D$2500))</f>
        <v>0</v>
      </c>
      <c r="U86" s="75">
        <f t="array" ref="U86">SUM((YEAR(Gastos!$A$2:$A$2500)=U$1)*(MONTH(Gastos!$A$2:$A$2500)=U$3)*(Gastos!$B$2:$B$2500=$A86)*(Gastos!$D$2:$D$2500))</f>
        <v>0</v>
      </c>
      <c r="V86" s="75">
        <f t="array" ref="V86">SUM((YEAR(Gastos!$A$2:$A$2500)=V$1)*(MONTH(Gastos!$A$2:$A$2500)=V$3)*(Gastos!$B$2:$B$2500=$A86)*(Gastos!$D$2:$D$2500))</f>
        <v>0</v>
      </c>
      <c r="W86" s="75">
        <f t="array" ref="W86">SUM((YEAR(Gastos!$A$2:$A$2500)=W$1)*(MONTH(Gastos!$A$2:$A$2500)=W$3)*(Gastos!$B$2:$B$2500=$A86)*(Gastos!$D$2:$D$2500))</f>
        <v>0</v>
      </c>
      <c r="X86" s="75">
        <f t="array" ref="X86">SUM((YEAR(Gastos!$A$2:$A$2500)=X$1)*(MONTH(Gastos!$A$2:$A$2500)=X$3)*(Gastos!$B$2:$B$2500=$A86)*(Gastos!$D$2:$D$2500))</f>
        <v>0</v>
      </c>
      <c r="Y86" s="75">
        <f t="array" ref="Y86">SUM((YEAR(Gastos!$A$2:$A$2500)=Y$1)*(MONTH(Gastos!$A$2:$A$2500)=Y$3)*(Gastos!$B$2:$B$2500=$A86)*(Gastos!$D$2:$D$2500))</f>
        <v>0</v>
      </c>
      <c r="Z86" s="75">
        <f t="array" ref="Z86">SUM((YEAR(Gastos!$A$2:$A$2500)=Z$1)*(MONTH(Gastos!$A$2:$A$2500)=Z$3)*(Gastos!$B$2:$B$2500=$A86)*(Gastos!$D$2:$D$2500))</f>
        <v>0</v>
      </c>
      <c r="AA86" s="75">
        <f t="array" ref="AA86">SUM((YEAR(Gastos!$A$2:$A$2500)=AA$1)*(MONTH(Gastos!$A$2:$A$2500)=AA$3)*(Gastos!$B$2:$B$2500=$A86)*(Gastos!$D$2:$D$2500))</f>
        <v>0</v>
      </c>
      <c r="AB86" s="75">
        <f t="array" ref="AB86">SUM((YEAR(Gastos!$A$2:$A$2500)=AB$1)*(MONTH(Gastos!$A$2:$A$2500)=AB$3)*(Gastos!$B$2:$B$2500=$A86)*(Gastos!$D$2:$D$2500))</f>
        <v>0</v>
      </c>
      <c r="AC86" s="75">
        <f t="array" ref="AC86">SUM((YEAR(Gastos!$A$2:$A$2500)=AC$1)*(MONTH(Gastos!$A$2:$A$2500)=AC$3)*(Gastos!$B$2:$B$2500=$A86)*(Gastos!$D$2:$D$2500))</f>
        <v>0</v>
      </c>
      <c r="AD86" s="75">
        <f t="array" ref="AD86">SUM((YEAR(Gastos!$A$2:$A$2500)=AD$1)*(MONTH(Gastos!$A$2:$A$2500)=AD$3)*(Gastos!$B$2:$B$2500=$A86)*(Gastos!$D$2:$D$2500))</f>
        <v>0</v>
      </c>
      <c r="AE86" s="75">
        <f t="array" ref="AE86">SUM((YEAR(Gastos!$A$2:$A$2500)=AE$1)*(MONTH(Gastos!$A$2:$A$2500)=AE$3)*(Gastos!$B$2:$B$2500=$A86)*(Gastos!$D$2:$D$2500))</f>
        <v>0</v>
      </c>
      <c r="AF86" s="75">
        <f t="array" ref="AF86">SUM((YEAR(Gastos!$A$2:$A$2500)=AF$1)*(MONTH(Gastos!$A$2:$A$2500)=AF$3)*(Gastos!$B$2:$B$2500=$A86)*(Gastos!$D$2:$D$2500))</f>
        <v>0</v>
      </c>
      <c r="AG86" s="75">
        <f t="array" ref="AG86">SUM((YEAR(Gastos!$A$2:$A$2500)=AG$1)*(MONTH(Gastos!$A$2:$A$2500)=AG$3)*(Gastos!$B$2:$B$2500=$A86)*(Gastos!$D$2:$D$2500))</f>
        <v>0</v>
      </c>
      <c r="AH86" s="75">
        <f t="array" ref="AH86">SUM((YEAR(Gastos!$A$2:$A$2500)=AH$1)*(MONTH(Gastos!$A$2:$A$2500)=AH$3)*(Gastos!$B$2:$B$2500=$A86)*(Gastos!$D$2:$D$2500))</f>
        <v>0</v>
      </c>
      <c r="AI86" s="75">
        <f t="array" ref="AI86">SUM((YEAR(Gastos!$A$2:$A$2500)=AI$1)*(MONTH(Gastos!$A$2:$A$2500)=AI$3)*(Gastos!$B$2:$B$2500=$A86)*(Gastos!$D$2:$D$2500))</f>
        <v>0</v>
      </c>
      <c r="AJ86" s="75">
        <f t="array" ref="AJ86">SUM((YEAR(Gastos!$A$2:$A$2500)=AJ$1)*(MONTH(Gastos!$A$2:$A$2500)=AJ$3)*(Gastos!$B$2:$B$2500=$A86)*(Gastos!$D$2:$D$2500))</f>
        <v>0</v>
      </c>
      <c r="AK86" s="75">
        <f t="array" ref="AK86">SUM((YEAR(Gastos!$A$2:$A$2500)=AK$1)*(MONTH(Gastos!$A$2:$A$2500)=AK$3)*(Gastos!$B$2:$B$2500=$A86)*(Gastos!$D$2:$D$2500))</f>
        <v>0</v>
      </c>
      <c r="AL86" s="75">
        <f t="array" ref="AL86">SUM((YEAR(Gastos!$A$2:$A$2500)=AL$1)*(MONTH(Gastos!$A$2:$A$2500)=AL$3)*(Gastos!$B$2:$B$2500=$A86)*(Gastos!$D$2:$D$2500))</f>
        <v>0</v>
      </c>
      <c r="AM86" s="75">
        <f t="array" ref="AM86">SUM((YEAR(Gastos!$A$2:$A$2500)=AM$1)*(MONTH(Gastos!$A$2:$A$2500)=AM$3)*(Gastos!$B$2:$B$2500=$A86)*(Gastos!$D$2:$D$2500))</f>
        <v>0</v>
      </c>
      <c r="AN86" s="75">
        <f t="array" ref="AN86">SUM((YEAR(Gastos!$A$2:$A$2500)=AN$1)*(MONTH(Gastos!$A$2:$A$2500)=AN$3)*(Gastos!$B$2:$B$2500=$A86)*(Gastos!$D$2:$D$2500))</f>
        <v>0</v>
      </c>
      <c r="AO86" s="75">
        <f t="array" ref="AO86">SUM((YEAR(Gastos!$A$2:$A$2500)=AO$1)*(MONTH(Gastos!$A$2:$A$2500)=AO$3)*(Gastos!$B$2:$B$2500=$A86)*(Gastos!$D$2:$D$2500))</f>
        <v>0</v>
      </c>
      <c r="AP86" s="75">
        <f t="array" ref="AP86">SUM((YEAR(Gastos!$A$2:$A$2500)=AP$1)*(MONTH(Gastos!$A$2:$A$2500)=AP$3)*(Gastos!$B$2:$B$2500=$A86)*(Gastos!$D$2:$D$2500))</f>
        <v>0</v>
      </c>
      <c r="AQ86" s="75">
        <f t="array" ref="AQ86">SUM((YEAR(Gastos!$A$2:$A$2500)=AQ$1)*(MONTH(Gastos!$A$2:$A$2500)=AQ$3)*(Gastos!$B$2:$B$2500=$A86)*(Gastos!$D$2:$D$2500))</f>
        <v>0</v>
      </c>
      <c r="AR86" s="75">
        <f t="array" ref="AR86">SUM((YEAR(Gastos!$A$2:$A$2500)=AR$1)*(MONTH(Gastos!$A$2:$A$2500)=AR$3)*(Gastos!$B$2:$B$2500=$A86)*(Gastos!$D$2:$D$2500))</f>
        <v>0</v>
      </c>
      <c r="AS86" s="75">
        <f t="array" ref="AS86">SUM((YEAR(Gastos!$A$2:$A$2500)=AS$1)*(MONTH(Gastos!$A$2:$A$2500)=AS$3)*(Gastos!$B$2:$B$2500=$A86)*(Gastos!$D$2:$D$2500))</f>
        <v>0</v>
      </c>
      <c r="AT86" s="75">
        <f t="array" ref="AT86">SUM((YEAR(Gastos!$A$2:$A$2500)=AT$1)*(MONTH(Gastos!$A$2:$A$2500)=AT$3)*(Gastos!$B$2:$B$2500=$A86)*(Gastos!$D$2:$D$2500))</f>
        <v>0</v>
      </c>
      <c r="AU86" s="75">
        <f t="array" ref="AU86">SUM((YEAR(Gastos!$A$2:$A$2500)=AU$1)*(MONTH(Gastos!$A$2:$A$2500)=AU$3)*(Gastos!$B$2:$B$2500=$A86)*(Gastos!$D$2:$D$2500))</f>
        <v>0</v>
      </c>
      <c r="AV86" s="75">
        <f t="array" ref="AV86">SUM((YEAR(Gastos!$A$2:$A$2500)=AV$1)*(MONTH(Gastos!$A$2:$A$2500)=AV$3)*(Gastos!$B$2:$B$2500=$A86)*(Gastos!$D$2:$D$2500))</f>
        <v>0</v>
      </c>
      <c r="AW86" s="75">
        <f t="array" ref="AW86">SUM((YEAR(Gastos!$A$2:$A$2500)=AW$1)*(MONTH(Gastos!$A$2:$A$2500)=AW$3)*(Gastos!$B$2:$B$2500=$A86)*(Gastos!$D$2:$D$2500))</f>
        <v>0</v>
      </c>
      <c r="AX86" s="75">
        <f t="array" ref="AX86">SUM((YEAR(Gastos!$A$2:$A$2500)=AX$1)*(MONTH(Gastos!$A$2:$A$2500)=AX$3)*(Gastos!$B$2:$B$2500=$A86)*(Gastos!$D$2:$D$2500))</f>
        <v>0</v>
      </c>
      <c r="AY86" s="75">
        <f t="array" ref="AY86">SUM((YEAR(Gastos!$A$2:$A$2500)=AY$1)*(MONTH(Gastos!$A$2:$A$2500)=AY$3)*(Gastos!$B$2:$B$2500=$A86)*(Gastos!$D$2:$D$2500))</f>
        <v>0</v>
      </c>
      <c r="AZ86" s="75">
        <f t="array" ref="AZ86">SUM((YEAR(Gastos!$A$2:$A$2500)=AZ$1)*(MONTH(Gastos!$A$2:$A$2500)=AZ$3)*(Gastos!$B$2:$B$2500=$A86)*(Gastos!$D$2:$D$2500))</f>
        <v>0</v>
      </c>
      <c r="BA86" s="75">
        <f t="array" ref="BA86">SUM((YEAR(Gastos!$A$2:$A$2500)=BA$1)*(MONTH(Gastos!$A$2:$A$2500)=BA$3)*(Gastos!$B$2:$B$2500=$A86)*(Gastos!$D$2:$D$2500))</f>
        <v>0</v>
      </c>
      <c r="BB86" s="75">
        <f t="array" ref="BB86">SUM((YEAR(Gastos!$A$2:$A$2500)=BB$1)*(MONTH(Gastos!$A$2:$A$2500)=BB$3)*(Gastos!$B$2:$B$2500=$A86)*(Gastos!$D$2:$D$2500))</f>
        <v>0</v>
      </c>
      <c r="BC86" s="75">
        <f t="array" ref="BC86">SUM((YEAR(Gastos!$A$2:$A$2500)=BC$1)*(MONTH(Gastos!$A$2:$A$2500)=BC$3)*(Gastos!$B$2:$B$2500=$A86)*(Gastos!$D$2:$D$2500))</f>
        <v>0</v>
      </c>
      <c r="BD86" s="75">
        <f t="array" ref="BD86">SUM((YEAR(Gastos!$A$2:$A$2500)=BD$1)*(MONTH(Gastos!$A$2:$A$2500)=BD$3)*(Gastos!$B$2:$B$2500=$A86)*(Gastos!$D$2:$D$2500))</f>
        <v>0</v>
      </c>
      <c r="BE86" s="75">
        <f t="array" ref="BE86">SUM((YEAR(Gastos!$A$2:$A$2500)=BE$1)*(MONTH(Gastos!$A$2:$A$2500)=BE$3)*(Gastos!$B$2:$B$2500=$A86)*(Gastos!$D$2:$D$2500))</f>
        <v>0</v>
      </c>
      <c r="BF86" s="75">
        <f t="array" ref="BF86">SUM((YEAR(Gastos!$A$2:$A$2500)=BF$1)*(MONTH(Gastos!$A$2:$A$2500)=BF$3)*(Gastos!$B$2:$B$2500=$A86)*(Gastos!$D$2:$D$2500))</f>
        <v>0</v>
      </c>
      <c r="BG86" s="75">
        <f t="array" ref="BG86">SUM((YEAR(Gastos!$A$2:$A$2500)=BG$1)*(MONTH(Gastos!$A$2:$A$2500)=BG$3)*(Gastos!$B$2:$B$2500=$A86)*(Gastos!$D$2:$D$2500))</f>
        <v>0</v>
      </c>
      <c r="BH86" s="75">
        <f t="array" ref="BH86">SUM((YEAR(Gastos!$A$2:$A$2500)=BH$1)*(MONTH(Gastos!$A$2:$A$2500)=BH$3)*(Gastos!$B$2:$B$2500=$A86)*(Gastos!$D$2:$D$2500))</f>
        <v>0</v>
      </c>
      <c r="BI86" s="75">
        <f t="array" ref="BI86">SUM((YEAR(Gastos!$A$2:$A$2500)=BI$1)*(MONTH(Gastos!$A$2:$A$2500)=BI$3)*(Gastos!$B$2:$B$2500=$A86)*(Gastos!$D$2:$D$2500))</f>
        <v>0</v>
      </c>
      <c r="BJ86" s="75">
        <f t="array" ref="BJ86">SUM((YEAR(Gastos!$A$2:$A$2500)=BJ$1)*(MONTH(Gastos!$A$2:$A$2500)=BJ$3)*(Gastos!$B$2:$B$2500=$A86)*(Gastos!$D$2:$D$2500))</f>
        <v>0</v>
      </c>
      <c r="BK86" s="75">
        <f t="array" ref="BK86">SUM((YEAR(Gastos!$A$2:$A$2500)=BK$1)*(MONTH(Gastos!$A$2:$A$2500)=BK$3)*(Gastos!$B$2:$B$2500=$A86)*(Gastos!$D$2:$D$2500))</f>
        <v>0</v>
      </c>
      <c r="BL86" s="75">
        <f t="array" ref="BL86">SUM((YEAR(Gastos!$A$2:$A$2500)=BL$1)*(MONTH(Gastos!$A$2:$A$2500)=BL$3)*(Gastos!$B$2:$B$2500=$A86)*(Gastos!$D$2:$D$2500))</f>
        <v>0</v>
      </c>
      <c r="BM86" s="75">
        <f t="array" ref="BM86">SUM((YEAR(Gastos!$A$2:$A$2500)=BM$1)*(MONTH(Gastos!$A$2:$A$2500)=BM$3)*(Gastos!$B$2:$B$2500=$A86)*(Gastos!$D$2:$D$2500))</f>
        <v>0</v>
      </c>
      <c r="BN86" s="75">
        <f t="array" ref="BN86">SUM((YEAR(Gastos!$A$2:$A$2500)=BN$1)*(MONTH(Gastos!$A$2:$A$2500)=BN$3)*(Gastos!$B$2:$B$2500=$A86)*(Gastos!$D$2:$D$2500))</f>
        <v>0</v>
      </c>
      <c r="BO86" s="75">
        <f t="array" ref="BO86">SUM((YEAR(Gastos!$A$2:$A$2500)=BO$1)*(MONTH(Gastos!$A$2:$A$2500)=BO$3)*(Gastos!$B$2:$B$2500=$A86)*(Gastos!$D$2:$D$2500))</f>
        <v>0</v>
      </c>
      <c r="BP86" s="75">
        <f t="array" ref="BP86">SUM((YEAR(Gastos!$A$2:$A$2500)=BP$1)*(MONTH(Gastos!$A$2:$A$2500)=BP$3)*(Gastos!$B$2:$B$2500=$A86)*(Gastos!$D$2:$D$2500))</f>
        <v>0</v>
      </c>
      <c r="BQ86" s="75">
        <f t="array" ref="BQ86">SUM((YEAR(Gastos!$A$2:$A$2500)=BQ$1)*(MONTH(Gastos!$A$2:$A$2500)=BQ$3)*(Gastos!$B$2:$B$2500=$A86)*(Gastos!$D$2:$D$2500))</f>
        <v>0</v>
      </c>
      <c r="BR86" s="75">
        <f t="array" ref="BR86">SUM((YEAR(Gastos!$A$2:$A$2500)=BR$1)*(MONTH(Gastos!$A$2:$A$2500)=BR$3)*(Gastos!$B$2:$B$2500=$A86)*(Gastos!$D$2:$D$2500))</f>
        <v>0</v>
      </c>
      <c r="BS86" s="75">
        <f t="array" ref="BS86">SUM((YEAR(Gastos!$A$2:$A$2500)=BS$1)*(MONTH(Gastos!$A$2:$A$2500)=BS$3)*(Gastos!$B$2:$B$2500=$A86)*(Gastos!$D$2:$D$2500))</f>
        <v>0</v>
      </c>
      <c r="BT86" s="75">
        <f t="array" ref="BT86">SUM((YEAR(Gastos!$A$2:$A$2500)=BT$1)*(MONTH(Gastos!$A$2:$A$2500)=BT$3)*(Gastos!$B$2:$B$2500=$A86)*(Gastos!$D$2:$D$2500))</f>
        <v>0</v>
      </c>
      <c r="BU86" s="75">
        <f t="array" ref="BU86">SUM((YEAR(Gastos!$A$2:$A$2500)=BU$1)*(MONTH(Gastos!$A$2:$A$2500)=BU$3)*(Gastos!$B$2:$B$2500=$A86)*(Gastos!$D$2:$D$2500))</f>
        <v>0</v>
      </c>
      <c r="BV86" s="75">
        <f t="array" ref="BV86">SUM((YEAR(Gastos!$A$2:$A$2500)=BV$1)*(MONTH(Gastos!$A$2:$A$2500)=BV$3)*(Gastos!$B$2:$B$2500=$A86)*(Gastos!$D$2:$D$2500))</f>
        <v>0</v>
      </c>
      <c r="BW86" s="75">
        <f t="array" ref="BW86">SUM((YEAR(Gastos!$A$2:$A$2500)=BW$1)*(MONTH(Gastos!$A$2:$A$2500)=BW$3)*(Gastos!$B$2:$B$2500=$A86)*(Gastos!$D$2:$D$2500))</f>
        <v>0</v>
      </c>
      <c r="BX86" s="75">
        <f t="array" ref="BX86">SUM((YEAR(Gastos!$A$2:$A$2500)=BX$1)*(MONTH(Gastos!$A$2:$A$2500)=BX$3)*(Gastos!$B$2:$B$2500=$A86)*(Gastos!$D$2:$D$2500))</f>
        <v>0</v>
      </c>
      <c r="BY86" s="75">
        <f t="array" ref="BY86">SUM((YEAR(Gastos!$A$2:$A$2500)=BY$1)*(MONTH(Gastos!$A$2:$A$2500)=BY$3)*(Gastos!$B$2:$B$2500=$A86)*(Gastos!$D$2:$D$2500))</f>
        <v>0</v>
      </c>
      <c r="BZ86" s="75">
        <f t="array" ref="BZ86">SUM((YEAR(Gastos!$A$2:$A$2500)=BZ$1)*(MONTH(Gastos!$A$2:$A$2500)=BZ$3)*(Gastos!$B$2:$B$2500=$A86)*(Gastos!$D$2:$D$2500))</f>
        <v>0</v>
      </c>
      <c r="CA86" s="75">
        <f t="array" ref="CA86">SUM((YEAR(Gastos!$A$2:$A$2500)=CA$1)*(MONTH(Gastos!$A$2:$A$2500)=CA$3)*(Gastos!$B$2:$B$2500=$A86)*(Gastos!$D$2:$D$2500))</f>
        <v>0</v>
      </c>
      <c r="CB86" s="75">
        <f t="array" ref="CB86">SUM((YEAR(Gastos!$A$2:$A$2500)=CB$1)*(MONTH(Gastos!$A$2:$A$2500)=CB$3)*(Gastos!$B$2:$B$2500=$A86)*(Gastos!$D$2:$D$2500))</f>
        <v>0</v>
      </c>
      <c r="CC86" s="75">
        <f t="array" ref="CC86">SUM((YEAR(Gastos!$A$2:$A$2500)=CC$1)*(MONTH(Gastos!$A$2:$A$2500)=CC$3)*(Gastos!$B$2:$B$2500=$A86)*(Gastos!$D$2:$D$2500))</f>
        <v>0</v>
      </c>
      <c r="CD86" s="75">
        <f t="array" ref="CD86">SUM((YEAR(Gastos!$A$2:$A$2500)=CD$1)*(MONTH(Gastos!$A$2:$A$2500)=CD$3)*(Gastos!$B$2:$B$2500=$A86)*(Gastos!$D$2:$D$2500))</f>
        <v>0</v>
      </c>
      <c r="CE86" s="75">
        <f t="array" ref="CE86">SUM((YEAR(Gastos!$A$2:$A$2500)=CE$1)*(MONTH(Gastos!$A$2:$A$2500)=CE$3)*(Gastos!$B$2:$B$2500=$A86)*(Gastos!$D$2:$D$2500))</f>
        <v>0</v>
      </c>
      <c r="CF86" s="75">
        <f t="array" ref="CF86">SUM((YEAR(Gastos!$A$2:$A$2500)=CF$1)*(MONTH(Gastos!$A$2:$A$2500)=CF$3)*(Gastos!$B$2:$B$2500=$A86)*(Gastos!$D$2:$D$2500))</f>
        <v>0</v>
      </c>
      <c r="CG86" s="75">
        <f t="array" ref="CG86">SUM((YEAR(Gastos!$A$2:$A$2500)=CG$1)*(MONTH(Gastos!$A$2:$A$2500)=CG$3)*(Gastos!$B$2:$B$2500=$A86)*(Gastos!$D$2:$D$2500))</f>
        <v>0</v>
      </c>
      <c r="CH86" s="75">
        <f t="array" ref="CH86">SUM((YEAR(Gastos!$A$2:$A$2500)=CH$1)*(MONTH(Gastos!$A$2:$A$2500)=CH$3)*(Gastos!$B$2:$B$2500=$A86)*(Gastos!$D$2:$D$2500))</f>
        <v>0</v>
      </c>
      <c r="CI86" s="75">
        <f t="array" ref="CI86">SUM((YEAR(Gastos!$A$2:$A$2500)=CI$1)*(MONTH(Gastos!$A$2:$A$2500)=CI$3)*(Gastos!$B$2:$B$2500=$A86)*(Gastos!$D$2:$D$2500))</f>
        <v>0</v>
      </c>
      <c r="CJ86" s="75">
        <f t="array" ref="CJ86">SUM((YEAR(Gastos!$A$2:$A$2500)=CJ$1)*(MONTH(Gastos!$A$2:$A$2500)=CJ$3)*(Gastos!$B$2:$B$2500=$A86)*(Gastos!$D$2:$D$2500))</f>
        <v>0</v>
      </c>
      <c r="CK86" s="75">
        <f t="array" ref="CK86">SUM((YEAR(Gastos!$A$2:$A$2500)=CK$1)*(MONTH(Gastos!$A$2:$A$2500)=CK$3)*(Gastos!$B$2:$B$2500=$A86)*(Gastos!$D$2:$D$2500))</f>
        <v>0</v>
      </c>
      <c r="CL86" s="75">
        <f t="array" ref="CL86">SUM((YEAR(Gastos!$A$2:$A$2500)=CL$1)*(MONTH(Gastos!$A$2:$A$2500)=CL$3)*(Gastos!$B$2:$B$2500=$A86)*(Gastos!$D$2:$D$2500))</f>
        <v>0</v>
      </c>
      <c r="CM86" s="75">
        <f t="array" ref="CM86">SUM((YEAR(Gastos!$A$2:$A$2500)=CM$1)*(MONTH(Gastos!$A$2:$A$2500)=CM$3)*(Gastos!$B$2:$B$2500=$A86)*(Gastos!$D$2:$D$2500))</f>
        <v>0</v>
      </c>
      <c r="CN86" s="75">
        <f t="array" ref="CN86">SUM((YEAR(Gastos!$A$2:$A$2500)=CN$1)*(MONTH(Gastos!$A$2:$A$2500)=CN$3)*(Gastos!$B$2:$B$2500=$A86)*(Gastos!$D$2:$D$2500))</f>
        <v>0</v>
      </c>
      <c r="CO86" s="75">
        <f t="array" ref="CO86">SUM((YEAR(Gastos!$A$2:$A$2500)=CO$1)*(MONTH(Gastos!$A$2:$A$2500)=CO$3)*(Gastos!$B$2:$B$2500=$A86)*(Gastos!$D$2:$D$2500))</f>
        <v>0</v>
      </c>
      <c r="CP86" s="75">
        <f t="array" ref="CP86">SUM((YEAR(Gastos!$A$2:$A$2500)=CP$1)*(MONTH(Gastos!$A$2:$A$2500)=CP$3)*(Gastos!$B$2:$B$2500=$A86)*(Gastos!$D$2:$D$2500))</f>
        <v>0</v>
      </c>
      <c r="CQ86" s="75">
        <f t="array" ref="CQ86">SUM((YEAR(Gastos!$A$2:$A$2500)=CQ$1)*(MONTH(Gastos!$A$2:$A$2500)=CQ$3)*(Gastos!$B$2:$B$2500=$A86)*(Gastos!$D$2:$D$2500))</f>
        <v>0</v>
      </c>
      <c r="CR86" s="75">
        <f t="array" ref="CR86">SUM((YEAR(Gastos!$A$2:$A$2500)=CR$1)*(MONTH(Gastos!$A$2:$A$2500)=CR$3)*(Gastos!$B$2:$B$2500=$A86)*(Gastos!$D$2:$D$2500))</f>
        <v>0</v>
      </c>
      <c r="CS86" s="75">
        <f t="array" ref="CS86">SUM((YEAR(Gastos!$A$2:$A$2500)=CS$1)*(MONTH(Gastos!$A$2:$A$2500)=CS$3)*(Gastos!$B$2:$B$2500=$A86)*(Gastos!$D$2:$D$2500))</f>
        <v>0</v>
      </c>
      <c r="CT86" s="75">
        <f t="array" ref="CT86">SUM((YEAR(Gastos!$A$2:$A$2500)=CT$1)*(MONTH(Gastos!$A$2:$A$2500)=CT$3)*(Gastos!$B$2:$B$2500=$A86)*(Gastos!$D$2:$D$2500))</f>
        <v>0</v>
      </c>
      <c r="CU86" s="75">
        <f t="array" ref="CU86">SUM((YEAR(Gastos!$A$2:$A$2500)=CU$1)*(MONTH(Gastos!$A$2:$A$2500)=CU$3)*(Gastos!$B$2:$B$2500=$A86)*(Gastos!$D$2:$D$2500))</f>
        <v>0</v>
      </c>
      <c r="CV86" s="75">
        <f t="array" ref="CV86">SUM((YEAR(Gastos!$A$2:$A$2500)=CV$1)*(MONTH(Gastos!$A$2:$A$2500)=CV$3)*(Gastos!$B$2:$B$2500=$A86)*(Gastos!$D$2:$D$2500))</f>
        <v>0</v>
      </c>
      <c r="CW86" s="75">
        <f t="array" ref="CW86">SUM((YEAR(Gastos!$A$2:$A$2500)=CW$1)*(MONTH(Gastos!$A$2:$A$2500)=CW$3)*(Gastos!$B$2:$B$2500=$A86)*(Gastos!$D$2:$D$2500))</f>
        <v>0</v>
      </c>
      <c r="CX86" s="75">
        <f t="array" ref="CX86">SUM((YEAR(Gastos!$A$2:$A$2500)=CX$1)*(MONTH(Gastos!$A$2:$A$2500)=CX$3)*(Gastos!$B$2:$B$2500=$A86)*(Gastos!$D$2:$D$2500))</f>
        <v>0</v>
      </c>
      <c r="CY86" s="75">
        <f t="array" ref="CY86">SUM((YEAR(Gastos!$A$2:$A$2500)=CY$1)*(MONTH(Gastos!$A$2:$A$2500)=CY$3)*(Gastos!$B$2:$B$2500=$A86)*(Gastos!$D$2:$D$2500))</f>
        <v>0</v>
      </c>
      <c r="CZ86" s="75">
        <f t="array" ref="CZ86">SUM((YEAR(Gastos!$A$2:$A$2500)=CZ$1)*(MONTH(Gastos!$A$2:$A$2500)=CZ$3)*(Gastos!$B$2:$B$2500=$A86)*(Gastos!$D$2:$D$2500))</f>
        <v>0</v>
      </c>
      <c r="DA86" s="75">
        <f t="array" ref="DA86">SUM((YEAR(Gastos!$A$2:$A$2500)=DA$1)*(MONTH(Gastos!$A$2:$A$2500)=DA$3)*(Gastos!$B$2:$B$2500=$A86)*(Gastos!$D$2:$D$2500))</f>
        <v>0</v>
      </c>
      <c r="DB86" s="75">
        <f t="array" ref="DB86">SUM((YEAR(Gastos!$A$2:$A$2500)=DB$1)*(MONTH(Gastos!$A$2:$A$2500)=DB$3)*(Gastos!$B$2:$B$2500=$A86)*(Gastos!$D$2:$D$2500))</f>
        <v>0</v>
      </c>
      <c r="DC86" s="75">
        <f t="array" ref="DC86">SUM((YEAR(Gastos!$A$2:$A$2500)=DC$1)*(MONTH(Gastos!$A$2:$A$2500)=DC$3)*(Gastos!$B$2:$B$2500=$A86)*(Gastos!$D$2:$D$2500))</f>
        <v>0</v>
      </c>
      <c r="DD86" s="75">
        <f t="array" ref="DD86">SUM((YEAR(Gastos!$A$2:$A$2500)=DD$1)*(MONTH(Gastos!$A$2:$A$2500)=DD$3)*(Gastos!$B$2:$B$2500=$A86)*(Gastos!$D$2:$D$2500))</f>
        <v>0</v>
      </c>
      <c r="DE86" s="75">
        <f t="array" ref="DE86">SUM((YEAR(Gastos!$A$2:$A$2500)=DE$1)*(MONTH(Gastos!$A$2:$A$2500)=DE$3)*(Gastos!$B$2:$B$2500=$A86)*(Gastos!$D$2:$D$2500))</f>
        <v>0</v>
      </c>
      <c r="DF86" s="75">
        <f t="array" ref="DF86">SUM((YEAR(Gastos!$A$2:$A$2500)=DF$1)*(MONTH(Gastos!$A$2:$A$2500)=DF$3)*(Gastos!$B$2:$B$2500=$A86)*(Gastos!$D$2:$D$2500))</f>
        <v>0</v>
      </c>
      <c r="DG86" s="75">
        <f t="array" ref="DG86">SUM((YEAR(Gastos!$A$2:$A$2500)=DG$1)*(MONTH(Gastos!$A$2:$A$2500)=DG$3)*(Gastos!$B$2:$B$2500=$A86)*(Gastos!$D$2:$D$2500))</f>
        <v>0</v>
      </c>
      <c r="DH86" s="75">
        <f t="array" ref="DH86">SUM((YEAR(Gastos!$A$2:$A$2500)=DH$1)*(MONTH(Gastos!$A$2:$A$2500)=DH$3)*(Gastos!$B$2:$B$2500=$A86)*(Gastos!$D$2:$D$2500))</f>
        <v>0</v>
      </c>
      <c r="DI86" s="75">
        <f t="array" ref="DI86">SUM((YEAR(Gastos!$A$2:$A$2500)=DI$1)*(MONTH(Gastos!$A$2:$A$2500)=DI$3)*(Gastos!$B$2:$B$2500=$A86)*(Gastos!$D$2:$D$2500))</f>
        <v>0</v>
      </c>
      <c r="DJ86" s="75">
        <f t="array" ref="DJ86">SUM((YEAR(Gastos!$A$2:$A$2500)=DJ$1)*(MONTH(Gastos!$A$2:$A$2500)=DJ$3)*(Gastos!$B$2:$B$2500=$A86)*(Gastos!$D$2:$D$2500))</f>
        <v>0</v>
      </c>
      <c r="DK86" s="75">
        <f t="array" ref="DK86">SUM((YEAR(Gastos!$A$2:$A$2500)=DK$1)*(MONTH(Gastos!$A$2:$A$2500)=DK$3)*(Gastos!$B$2:$B$2500=$A86)*(Gastos!$D$2:$D$2500))</f>
        <v>0</v>
      </c>
      <c r="DL86" s="75">
        <f t="array" ref="DL86">SUM((YEAR(Gastos!$A$2:$A$2500)=DL$1)*(MONTH(Gastos!$A$2:$A$2500)=DL$3)*(Gastos!$B$2:$B$2500=$A86)*(Gastos!$D$2:$D$2500))</f>
        <v>0</v>
      </c>
      <c r="DM86" s="75">
        <f t="array" ref="DM86">SUM((YEAR(Gastos!$A$2:$A$2500)=DM$1)*(MONTH(Gastos!$A$2:$A$2500)=DM$3)*(Gastos!$B$2:$B$2500=$A86)*(Gastos!$D$2:$D$2500))</f>
        <v>0</v>
      </c>
      <c r="DN86" s="75">
        <f t="array" ref="DN86">SUM((YEAR(Gastos!$A$2:$A$2500)=DN$1)*(MONTH(Gastos!$A$2:$A$2500)=DN$3)*(Gastos!$B$2:$B$2500=$A86)*(Gastos!$D$2:$D$2500))</f>
        <v>0</v>
      </c>
      <c r="DO86" s="75">
        <f t="array" ref="DO86">SUM((YEAR(Gastos!$A$2:$A$2500)=DO$1)*(MONTH(Gastos!$A$2:$A$2500)=DO$3)*(Gastos!$B$2:$B$2500=$A86)*(Gastos!$D$2:$D$2500))</f>
        <v>0</v>
      </c>
      <c r="DP86" s="75">
        <f t="array" ref="DP86">SUM((YEAR(Gastos!$A$2:$A$2500)=DP$1)*(MONTH(Gastos!$A$2:$A$2500)=DP$3)*(Gastos!$B$2:$B$2500=$A86)*(Gastos!$D$2:$D$2500))</f>
        <v>0</v>
      </c>
      <c r="DQ86" s="75">
        <f t="array" ref="DQ86">SUM((YEAR(Gastos!$A$2:$A$2500)=DQ$1)*(MONTH(Gastos!$A$2:$A$2500)=DQ$3)*(Gastos!$B$2:$B$2500=$A86)*(Gastos!$D$2:$D$2500))</f>
        <v>0</v>
      </c>
      <c r="DR86" s="75">
        <f t="array" ref="DR86">SUM((YEAR(Gastos!$A$2:$A$2500)=DR$1)*(MONTH(Gastos!$A$2:$A$2500)=DR$3)*(Gastos!$B$2:$B$2500=$A86)*(Gastos!$D$2:$D$2500))</f>
        <v>0</v>
      </c>
      <c r="DS86" s="75">
        <f t="array" ref="DS86">SUM((YEAR(Gastos!$A$2:$A$2500)=DS$1)*(MONTH(Gastos!$A$2:$A$2500)=DS$3)*(Gastos!$B$2:$B$2500=$A86)*(Gastos!$D$2:$D$2500))</f>
        <v>0</v>
      </c>
      <c r="DT86" s="75">
        <f t="array" ref="DT86">SUM((YEAR(Gastos!$A$2:$A$2500)=DT$1)*(MONTH(Gastos!$A$2:$A$2500)=DT$3)*(Gastos!$B$2:$B$2500=$A86)*(Gastos!$D$2:$D$2500))</f>
        <v>0</v>
      </c>
      <c r="DU86" s="75">
        <f t="array" ref="DU86">SUM((YEAR(Gastos!$A$2:$A$2500)=DU$1)*(MONTH(Gastos!$A$2:$A$2500)=DU$3)*(Gastos!$B$2:$B$2500=$A86)*(Gastos!$D$2:$D$2500))</f>
        <v>0</v>
      </c>
      <c r="DV86" s="75">
        <f t="array" ref="DV86">SUM((YEAR(Gastos!$A$2:$A$2500)=DV$1)*(MONTH(Gastos!$A$2:$A$2500)=DV$3)*(Gastos!$B$2:$B$2500=$A86)*(Gastos!$D$2:$D$2500))</f>
        <v>0</v>
      </c>
      <c r="DW86" s="75">
        <f t="array" ref="DW86">SUM((YEAR(Gastos!$A$2:$A$2500)=DW$1)*(MONTH(Gastos!$A$2:$A$2500)=DW$3)*(Gastos!$B$2:$B$2500=$A86)*(Gastos!$D$2:$D$2500))</f>
        <v>0</v>
      </c>
      <c r="DX86" s="75">
        <f t="array" ref="DX86">SUM((YEAR(Gastos!$A$2:$A$2500)=DX$1)*(MONTH(Gastos!$A$2:$A$2500)=DX$3)*(Gastos!$B$2:$B$2500=$A86)*(Gastos!$D$2:$D$2500))</f>
        <v>0</v>
      </c>
      <c r="DY86" s="75">
        <f t="array" ref="DY86">SUM((YEAR(Gastos!$A$2:$A$2500)=DY$1)*(MONTH(Gastos!$A$2:$A$2500)=DY$3)*(Gastos!$B$2:$B$2500=$A86)*(Gastos!$D$2:$D$2500))</f>
        <v>0</v>
      </c>
      <c r="DZ86" s="75">
        <f t="array" ref="DZ86">SUM((YEAR(Gastos!$A$2:$A$2500)=DZ$1)*(MONTH(Gastos!$A$2:$A$2500)=DZ$3)*(Gastos!$B$2:$B$2500=$A86)*(Gastos!$D$2:$D$2500))</f>
        <v>0</v>
      </c>
      <c r="EA86" s="75">
        <f t="array" ref="EA86">SUM((YEAR(Gastos!$A$2:$A$2500)=EA$1)*(MONTH(Gastos!$A$2:$A$2500)=EA$3)*(Gastos!$B$2:$B$2500=$A86)*(Gastos!$D$2:$D$2500))</f>
        <v>0</v>
      </c>
      <c r="EB86" s="75">
        <f t="array" ref="EB86">SUM((YEAR(Gastos!$A$2:$A$2500)=EB$1)*(MONTH(Gastos!$A$2:$A$2500)=EB$3)*(Gastos!$B$2:$B$2500=$A86)*(Gastos!$D$2:$D$2500))</f>
        <v>0</v>
      </c>
      <c r="EC86" s="75">
        <f t="array" ref="EC86">SUM((YEAR(Gastos!$A$2:$A$2500)=EC$1)*(MONTH(Gastos!$A$2:$A$2500)=EC$3)*(Gastos!$B$2:$B$2500=$A86)*(Gastos!$D$2:$D$2500))</f>
        <v>0</v>
      </c>
      <c r="ED86" s="75">
        <f t="array" ref="ED86">SUM((YEAR(Gastos!$A$2:$A$2500)=ED$1)*(MONTH(Gastos!$A$2:$A$2500)=ED$3)*(Gastos!$B$2:$B$2500=$A86)*(Gastos!$D$2:$D$2500))</f>
        <v>0</v>
      </c>
      <c r="EE86" s="75">
        <f t="array" ref="EE86">SUM((YEAR(Gastos!$A$2:$A$2500)=EE$1)*(MONTH(Gastos!$A$2:$A$2500)=EE$3)*(Gastos!$B$2:$B$2500=$A86)*(Gastos!$D$2:$D$2500))</f>
        <v>0</v>
      </c>
      <c r="EF86" s="75">
        <f t="array" ref="EF86">SUM((YEAR(Gastos!$A$2:$A$2500)=EF$1)*(MONTH(Gastos!$A$2:$A$2500)=EF$3)*(Gastos!$B$2:$B$2500=$A86)*(Gastos!$D$2:$D$2500))</f>
        <v>0</v>
      </c>
      <c r="EG86" s="75">
        <f t="array" ref="EG86">SUM((YEAR(Gastos!$A$2:$A$2500)=EG$1)*(MONTH(Gastos!$A$2:$A$2500)=EG$3)*(Gastos!$B$2:$B$2500=$A86)*(Gastos!$D$2:$D$2500))</f>
        <v>0</v>
      </c>
      <c r="EH86" s="75">
        <f t="array" ref="EH86">SUM((YEAR(Gastos!$A$2:$A$2500)=EH$1)*(MONTH(Gastos!$A$2:$A$2500)=EH$3)*(Gastos!$B$2:$B$2500=$A86)*(Gastos!$D$2:$D$2500))</f>
        <v>0</v>
      </c>
      <c r="EI86" s="75">
        <f t="array" ref="EI86">SUM((YEAR(Gastos!$A$2:$A$2500)=EI$1)*(MONTH(Gastos!$A$2:$A$2500)=EI$3)*(Gastos!$B$2:$B$2500=$A86)*(Gastos!$D$2:$D$2500))</f>
        <v>0</v>
      </c>
      <c r="EJ86" s="75">
        <f t="array" ref="EJ86">SUM((YEAR(Gastos!$A$2:$A$2500)=EJ$1)*(MONTH(Gastos!$A$2:$A$2500)=EJ$3)*(Gastos!$B$2:$B$2500=$A86)*(Gastos!$D$2:$D$2500))</f>
        <v>0</v>
      </c>
      <c r="EK86" s="75">
        <f t="array" ref="EK86">SUM((YEAR(Gastos!$A$2:$A$2500)=EK$1)*(MONTH(Gastos!$A$2:$A$2500)=EK$3)*(Gastos!$B$2:$B$2500=$A86)*(Gastos!$D$2:$D$2500))</f>
        <v>0</v>
      </c>
      <c r="EL86" s="75">
        <f t="array" ref="EL86">SUM((YEAR(Gastos!$A$2:$A$2500)=EL$1)*(MONTH(Gastos!$A$2:$A$2500)=EL$3)*(Gastos!$B$2:$B$2500=$A86)*(Gastos!$D$2:$D$2500))</f>
        <v>0</v>
      </c>
      <c r="EM86" s="75">
        <f t="array" ref="EM86">SUM((YEAR(Gastos!$A$2:$A$2500)=EM$1)*(MONTH(Gastos!$A$2:$A$2500)=EM$3)*(Gastos!$B$2:$B$2500=$A86)*(Gastos!$D$2:$D$2500))</f>
        <v>0</v>
      </c>
      <c r="EN86" s="75">
        <f t="array" ref="EN86">SUM((YEAR(Gastos!$A$2:$A$2500)=EN$1)*(MONTH(Gastos!$A$2:$A$2500)=EN$3)*(Gastos!$B$2:$B$2500=$A86)*(Gastos!$D$2:$D$2500))</f>
        <v>0</v>
      </c>
      <c r="EO86" s="75">
        <f t="array" ref="EO86">SUM((YEAR(Gastos!$A$2:$A$2500)=EO$1)*(MONTH(Gastos!$A$2:$A$2500)=EO$3)*(Gastos!$B$2:$B$2500=$A86)*(Gastos!$D$2:$D$2500))</f>
        <v>0</v>
      </c>
      <c r="EP86" s="75">
        <f t="array" ref="EP86">SUM((YEAR(Gastos!$A$2:$A$2500)=EP$1)*(MONTH(Gastos!$A$2:$A$2500)=EP$3)*(Gastos!$B$2:$B$2500=$A86)*(Gastos!$D$2:$D$2500))</f>
        <v>0</v>
      </c>
      <c r="EQ86" s="75">
        <f t="array" ref="EQ86">SUM((YEAR(Gastos!$A$2:$A$2500)=EQ$1)*(MONTH(Gastos!$A$2:$A$2500)=EQ$3)*(Gastos!$B$2:$B$2500=$A86)*(Gastos!$D$2:$D$2500))</f>
        <v>0</v>
      </c>
      <c r="ER86" s="75">
        <f t="array" ref="ER86">SUM((YEAR(Gastos!$A$2:$A$2500)=ER$1)*(MONTH(Gastos!$A$2:$A$2500)=ER$3)*(Gastos!$B$2:$B$2500=$A86)*(Gastos!$D$2:$D$2500))</f>
        <v>0</v>
      </c>
      <c r="ES86" s="75">
        <f t="array" ref="ES86">SUM((YEAR(Gastos!$A$2:$A$2500)=ES$1)*(MONTH(Gastos!$A$2:$A$2500)=ES$3)*(Gastos!$B$2:$B$2500=$A86)*(Gastos!$D$2:$D$2500))</f>
        <v>0</v>
      </c>
      <c r="ET86" s="75">
        <f t="array" ref="ET86">SUM((YEAR(Gastos!$A$2:$A$2500)=ET$1)*(MONTH(Gastos!$A$2:$A$2500)=ET$3)*(Gastos!$B$2:$B$2500=$A86)*(Gastos!$D$2:$D$2500))</f>
        <v>0</v>
      </c>
      <c r="EU86" s="75">
        <f t="array" ref="EU86">SUM((YEAR(Gastos!$A$2:$A$2500)=EU$1)*(MONTH(Gastos!$A$2:$A$2500)=EU$3)*(Gastos!$B$2:$B$2500=$A86)*(Gastos!$D$2:$D$2500))</f>
        <v>0</v>
      </c>
      <c r="EV86" s="75">
        <f t="array" ref="EV86">SUM((YEAR(Gastos!$A$2:$A$2500)=EV$1)*(MONTH(Gastos!$A$2:$A$2500)=EV$3)*(Gastos!$B$2:$B$2500=$A86)*(Gastos!$D$2:$D$2500))</f>
        <v>0</v>
      </c>
      <c r="EW86" s="75">
        <f t="array" ref="EW86">SUM((YEAR(Gastos!$A$2:$A$2500)=EW$1)*(MONTH(Gastos!$A$2:$A$2500)=EW$3)*(Gastos!$B$2:$B$2500=$A86)*(Gastos!$D$2:$D$2500))</f>
        <v>0</v>
      </c>
      <c r="EX86" s="75">
        <f t="array" ref="EX86">SUM((YEAR(Gastos!$A$2:$A$2500)=EX$1)*(MONTH(Gastos!$A$2:$A$2500)=EX$3)*(Gastos!$B$2:$B$2500=$A86)*(Gastos!$D$2:$D$2500))</f>
        <v>0</v>
      </c>
      <c r="EY86" s="75">
        <f t="array" ref="EY86">SUM((YEAR(Gastos!$A$2:$A$2500)=EY$1)*(MONTH(Gastos!$A$2:$A$2500)=EY$3)*(Gastos!$B$2:$B$2500=$A86)*(Gastos!$D$2:$D$2500))</f>
        <v>0</v>
      </c>
      <c r="EZ86" s="75">
        <f t="array" ref="EZ86">SUM((YEAR(Gastos!$A$2:$A$2500)=EZ$1)*(MONTH(Gastos!$A$2:$A$2500)=EZ$3)*(Gastos!$B$2:$B$2500=$A86)*(Gastos!$D$2:$D$2500))</f>
        <v>0</v>
      </c>
      <c r="FA86" s="75">
        <f t="array" ref="FA86">SUM((YEAR(Gastos!$A$2:$A$2500)=FA$1)*(MONTH(Gastos!$A$2:$A$2500)=FA$3)*(Gastos!$B$2:$B$2500=$A86)*(Gastos!$D$2:$D$2500))</f>
        <v>0</v>
      </c>
      <c r="FB86" s="75">
        <f t="array" ref="FB86">SUM((YEAR(Gastos!$A$2:$A$2500)=FB$1)*(MONTH(Gastos!$A$2:$A$2500)=FB$3)*(Gastos!$B$2:$B$2500=$A86)*(Gastos!$D$2:$D$2500))</f>
        <v>0</v>
      </c>
      <c r="FC86" s="75">
        <f t="array" ref="FC86">SUM((YEAR(Gastos!$A$2:$A$2500)=FC$1)*(MONTH(Gastos!$A$2:$A$2500)=FC$3)*(Gastos!$B$2:$B$2500=$A86)*(Gastos!$D$2:$D$2500))</f>
        <v>0</v>
      </c>
      <c r="FD86" s="75">
        <f t="array" ref="FD86">SUM((YEAR(Gastos!$A$2:$A$2500)=FD$1)*(MONTH(Gastos!$A$2:$A$2500)=FD$3)*(Gastos!$B$2:$B$2500=$A86)*(Gastos!$D$2:$D$2500))</f>
        <v>0</v>
      </c>
      <c r="FE86" s="75">
        <f t="array" ref="FE86">SUM((YEAR(Gastos!$A$2:$A$2500)=FE$1)*(MONTH(Gastos!$A$2:$A$2500)=FE$3)*(Gastos!$B$2:$B$2500=$A86)*(Gastos!$D$2:$D$2500))</f>
        <v>0</v>
      </c>
      <c r="FF86" s="75">
        <f t="array" ref="FF86">SUM((YEAR(Gastos!$A$2:$A$2500)=FF$1)*(MONTH(Gastos!$A$2:$A$2500)=FF$3)*(Gastos!$B$2:$B$2500=$A86)*(Gastos!$D$2:$D$2500))</f>
        <v>0</v>
      </c>
      <c r="FG86" s="75">
        <f t="array" ref="FG86">SUM((YEAR(Gastos!$A$2:$A$2500)=FG$1)*(MONTH(Gastos!$A$2:$A$2500)=FG$3)*(Gastos!$B$2:$B$2500=$A86)*(Gastos!$D$2:$D$2500))</f>
        <v>0</v>
      </c>
      <c r="FH86" s="75">
        <f t="array" ref="FH86">SUM((YEAR(Gastos!$A$2:$A$2500)=FH$1)*(MONTH(Gastos!$A$2:$A$2500)=FH$3)*(Gastos!$B$2:$B$2500=$A86)*(Gastos!$D$2:$D$2500))</f>
        <v>0</v>
      </c>
      <c r="FI86" s="75">
        <f t="array" ref="FI86">SUM((YEAR(Gastos!$A$2:$A$2500)=FI$1)*(MONTH(Gastos!$A$2:$A$2500)=FI$3)*(Gastos!$B$2:$B$2500=$A86)*(Gastos!$D$2:$D$2500))</f>
        <v>0</v>
      </c>
      <c r="FJ86" s="75">
        <f t="array" ref="FJ86">SUM((YEAR(Gastos!$A$2:$A$2500)=FJ$1)*(MONTH(Gastos!$A$2:$A$2500)=FJ$3)*(Gastos!$B$2:$B$2500=$A86)*(Gastos!$D$2:$D$2500))</f>
        <v>0</v>
      </c>
      <c r="FK86" s="75">
        <f t="array" ref="FK86">SUM((YEAR(Gastos!$A$2:$A$2500)=FK$1)*(MONTH(Gastos!$A$2:$A$2500)=FK$3)*(Gastos!$B$2:$B$2500=$A86)*(Gastos!$D$2:$D$2500))</f>
        <v>0</v>
      </c>
      <c r="FL86" s="75">
        <f t="array" ref="FL86">SUM((YEAR(Gastos!$A$2:$A$2500)=FL$1)*(MONTH(Gastos!$A$2:$A$2500)=FL$3)*(Gastos!$B$2:$B$2500=$A86)*(Gastos!$D$2:$D$2500))</f>
        <v>0</v>
      </c>
      <c r="FM86" s="75">
        <f t="array" ref="FM86">SUM((YEAR(Gastos!$A$2:$A$2500)=FM$1)*(MONTH(Gastos!$A$2:$A$2500)=FM$3)*(Gastos!$B$2:$B$2500=$A86)*(Gastos!$D$2:$D$2500))</f>
        <v>0</v>
      </c>
      <c r="FN86" s="75">
        <f t="array" ref="FN86">SUM((YEAR(Gastos!$A$2:$A$2500)=FN$1)*(MONTH(Gastos!$A$2:$A$2500)=FN$3)*(Gastos!$B$2:$B$2500=$A86)*(Gastos!$D$2:$D$2500))</f>
        <v>0</v>
      </c>
      <c r="FO86" s="75">
        <f t="array" ref="FO86">SUM((YEAR(Gastos!$A$2:$A$2500)=FO$1)*(MONTH(Gastos!$A$2:$A$2500)=FO$3)*(Gastos!$B$2:$B$2500=$A86)*(Gastos!$D$2:$D$2500))</f>
        <v>0</v>
      </c>
      <c r="FP86" s="75">
        <f t="array" ref="FP86">SUM((YEAR(Gastos!$A$2:$A$2500)=FP$1)*(MONTH(Gastos!$A$2:$A$2500)=FP$3)*(Gastos!$B$2:$B$2500=$A86)*(Gastos!$D$2:$D$2500))</f>
        <v>0</v>
      </c>
      <c r="FQ86" s="75">
        <f t="array" ref="FQ86">SUM((YEAR(Gastos!$A$2:$A$2500)=FQ$1)*(MONTH(Gastos!$A$2:$A$2500)=FQ$3)*(Gastos!$B$2:$B$2500=$A86)*(Gastos!$D$2:$D$2500))</f>
        <v>0</v>
      </c>
      <c r="FR86" s="75">
        <f t="array" ref="FR86">SUM((YEAR(Gastos!$A$2:$A$2500)=FR$1)*(MONTH(Gastos!$A$2:$A$2500)=FR$3)*(Gastos!$B$2:$B$2500=$A86)*(Gastos!$D$2:$D$2500))</f>
        <v>0</v>
      </c>
      <c r="FS86" s="75">
        <f t="array" ref="FS86">SUM((YEAR(Gastos!$A$2:$A$2500)=FS$1)*(MONTH(Gastos!$A$2:$A$2500)=FS$3)*(Gastos!$B$2:$B$2500=$A86)*(Gastos!$D$2:$D$2500))</f>
        <v>0</v>
      </c>
      <c r="FT86" s="75">
        <f t="array" ref="FT86">SUM((YEAR(Gastos!$A$2:$A$2500)=FT$1)*(MONTH(Gastos!$A$2:$A$2500)=FT$3)*(Gastos!$B$2:$B$2500=$A86)*(Gastos!$D$2:$D$2500))</f>
        <v>0</v>
      </c>
      <c r="FU86" s="75">
        <f t="array" ref="FU86">SUM((YEAR(Gastos!$A$2:$A$2500)=FU$1)*(MONTH(Gastos!$A$2:$A$2500)=FU$3)*(Gastos!$B$2:$B$2500=$A86)*(Gastos!$D$2:$D$2500))</f>
        <v>0</v>
      </c>
      <c r="FV86" s="75">
        <f t="array" ref="FV86">SUM((YEAR(Gastos!$A$2:$A$2500)=FV$1)*(MONTH(Gastos!$A$2:$A$2500)=FV$3)*(Gastos!$B$2:$B$2500=$A86)*(Gastos!$D$2:$D$2500))</f>
        <v>0</v>
      </c>
      <c r="FW86" s="75">
        <f t="array" ref="FW86">SUM((YEAR(Gastos!$A$2:$A$2500)=FW$1)*(MONTH(Gastos!$A$2:$A$2500)=FW$3)*(Gastos!$B$2:$B$2500=$A86)*(Gastos!$D$2:$D$2500))</f>
        <v>0</v>
      </c>
      <c r="FX86" s="75">
        <f t="array" ref="FX86">SUM((YEAR(Gastos!$A$2:$A$2500)=FX$1)*(MONTH(Gastos!$A$2:$A$2500)=FX$3)*(Gastos!$B$2:$B$2500=$A86)*(Gastos!$D$2:$D$2500))</f>
        <v>0</v>
      </c>
      <c r="FY86" s="75">
        <f t="array" ref="FY86">SUM((YEAR(Gastos!$A$2:$A$2500)=FY$1)*(MONTH(Gastos!$A$2:$A$2500)=FY$3)*(Gastos!$B$2:$B$2500=$A86)*(Gastos!$D$2:$D$2500))</f>
        <v>0</v>
      </c>
      <c r="FZ86" s="76">
        <f t="shared" si="68"/>
        <v>0</v>
      </c>
      <c r="GA86" s="80"/>
      <c r="GB86" s="82"/>
    </row>
    <row r="87" spans="1:184" ht="15" thickBot="1" x14ac:dyDescent="0.4">
      <c r="A87" s="74" t="str">
        <f>Gastos!AA85</f>
        <v>X</v>
      </c>
      <c r="B87" s="75">
        <f t="array" ref="B87">SUM((YEAR(Gastos!$A$2:$A$2500)=B$1)*(MONTH(Gastos!$A$2:$A$2500)=B$3)*(Gastos!$B$2:$B$2500=$A87)*(Gastos!$D$2:$D$2500))</f>
        <v>0</v>
      </c>
      <c r="C87" s="75">
        <f t="array" ref="C87">SUM((YEAR(Gastos!$A$2:$A$2500)=C$1)*(MONTH(Gastos!$A$2:$A$2500)=C$3)*(Gastos!$B$2:$B$2500=$A87)*(Gastos!$D$2:$D$2500))</f>
        <v>0</v>
      </c>
      <c r="D87" s="75">
        <f t="array" ref="D87">SUM((YEAR(Gastos!$A$2:$A$2500)=D$1)*(MONTH(Gastos!$A$2:$A$2500)=D$3)*(Gastos!$B$2:$B$2500=$A87)*(Gastos!$D$2:$D$2500))</f>
        <v>0</v>
      </c>
      <c r="E87" s="75">
        <f t="array" ref="E87">SUM((YEAR(Gastos!$A$2:$A$2500)=E$1)*(MONTH(Gastos!$A$2:$A$2500)=E$3)*(Gastos!$B$2:$B$2500=$A87)*(Gastos!$D$2:$D$2500))</f>
        <v>0</v>
      </c>
      <c r="F87" s="75">
        <f t="array" ref="F87">SUM((YEAR(Gastos!$A$2:$A$2500)=F$1)*(MONTH(Gastos!$A$2:$A$2500)=F$3)*(Gastos!$B$2:$B$2500=$A87)*(Gastos!$D$2:$D$2500))</f>
        <v>0</v>
      </c>
      <c r="G87" s="75">
        <f t="array" ref="G87">SUM((YEAR(Gastos!$A$2:$A$2500)=G$1)*(MONTH(Gastos!$A$2:$A$2500)=G$3)*(Gastos!$B$2:$B$2500=$A87)*(Gastos!$D$2:$D$2500))</f>
        <v>0</v>
      </c>
      <c r="H87" s="75">
        <f t="array" ref="H87">SUM((YEAR(Gastos!$A$2:$A$2500)=H$1)*(MONTH(Gastos!$A$2:$A$2500)=H$3)*(Gastos!$B$2:$B$2500=$A87)*(Gastos!$D$2:$D$2500))</f>
        <v>0</v>
      </c>
      <c r="I87" s="75">
        <f t="array" ref="I87">SUM((YEAR(Gastos!$A$2:$A$2500)=I$1)*(MONTH(Gastos!$A$2:$A$2500)=I$3)*(Gastos!$B$2:$B$2500=$A87)*(Gastos!$D$2:$D$2500))</f>
        <v>0</v>
      </c>
      <c r="J87" s="75">
        <f t="array" ref="J87">SUM((YEAR(Gastos!$A$2:$A$2500)=J$1)*(MONTH(Gastos!$A$2:$A$2500)=J$3)*(Gastos!$B$2:$B$2500=$A87)*(Gastos!$D$2:$D$2500))</f>
        <v>0</v>
      </c>
      <c r="K87" s="75">
        <f t="array" ref="K87">SUM((YEAR(Gastos!$A$2:$A$2500)=K$1)*(MONTH(Gastos!$A$2:$A$2500)=K$3)*(Gastos!$B$2:$B$2500=$A87)*(Gastos!$D$2:$D$2500))</f>
        <v>0</v>
      </c>
      <c r="L87" s="75">
        <f t="array" ref="L87">SUM((YEAR(Gastos!$A$2:$A$2500)=L$1)*(MONTH(Gastos!$A$2:$A$2500)=L$3)*(Gastos!$B$2:$B$2500=$A87)*(Gastos!$D$2:$D$2500))</f>
        <v>0</v>
      </c>
      <c r="M87" s="75">
        <f t="array" ref="M87">SUM((YEAR(Gastos!$A$2:$A$2500)=M$1)*(MONTH(Gastos!$A$2:$A$2500)=M$3)*(Gastos!$B$2:$B$2500=$A87)*(Gastos!$D$2:$D$2500))</f>
        <v>0</v>
      </c>
      <c r="N87" s="75">
        <f t="array" ref="N87">SUM((YEAR(Gastos!$A$2:$A$2500)=N$1)*(MONTH(Gastos!$A$2:$A$2500)=N$3)*(Gastos!$B$2:$B$2500=$A87)*(Gastos!$D$2:$D$2500))</f>
        <v>0</v>
      </c>
      <c r="O87" s="75">
        <f t="array" ref="O87">SUM((YEAR(Gastos!$A$2:$A$2500)=O$1)*(MONTH(Gastos!$A$2:$A$2500)=O$3)*(Gastos!$B$2:$B$2500=$A87)*(Gastos!$D$2:$D$2500))</f>
        <v>0</v>
      </c>
      <c r="P87" s="75">
        <f t="array" ref="P87">SUM((YEAR(Gastos!$A$2:$A$2500)=P$1)*(MONTH(Gastos!$A$2:$A$2500)=P$3)*(Gastos!$B$2:$B$2500=$A87)*(Gastos!$D$2:$D$2500))</f>
        <v>0</v>
      </c>
      <c r="Q87" s="75">
        <f t="array" ref="Q87">SUM((YEAR(Gastos!$A$2:$A$2500)=Q$1)*(MONTH(Gastos!$A$2:$A$2500)=Q$3)*(Gastos!$B$2:$B$2500=$A87)*(Gastos!$D$2:$D$2500))</f>
        <v>0</v>
      </c>
      <c r="R87" s="75">
        <f t="array" ref="R87">SUM((YEAR(Gastos!$A$2:$A$2500)=R$1)*(MONTH(Gastos!$A$2:$A$2500)=R$3)*(Gastos!$B$2:$B$2500=$A87)*(Gastos!$D$2:$D$2500))</f>
        <v>0</v>
      </c>
      <c r="S87" s="75">
        <f t="array" ref="S87">SUM((YEAR(Gastos!$A$2:$A$2500)=S$1)*(MONTH(Gastos!$A$2:$A$2500)=S$3)*(Gastos!$B$2:$B$2500=$A87)*(Gastos!$D$2:$D$2500))</f>
        <v>0</v>
      </c>
      <c r="T87" s="75">
        <f t="array" ref="T87">SUM((YEAR(Gastos!$A$2:$A$2500)=T$1)*(MONTH(Gastos!$A$2:$A$2500)=T$3)*(Gastos!$B$2:$B$2500=$A87)*(Gastos!$D$2:$D$2500))</f>
        <v>0</v>
      </c>
      <c r="U87" s="75">
        <f t="array" ref="U87">SUM((YEAR(Gastos!$A$2:$A$2500)=U$1)*(MONTH(Gastos!$A$2:$A$2500)=U$3)*(Gastos!$B$2:$B$2500=$A87)*(Gastos!$D$2:$D$2500))</f>
        <v>0</v>
      </c>
      <c r="V87" s="75">
        <f t="array" ref="V87">SUM((YEAR(Gastos!$A$2:$A$2500)=V$1)*(MONTH(Gastos!$A$2:$A$2500)=V$3)*(Gastos!$B$2:$B$2500=$A87)*(Gastos!$D$2:$D$2500))</f>
        <v>0</v>
      </c>
      <c r="W87" s="75">
        <f t="array" ref="W87">SUM((YEAR(Gastos!$A$2:$A$2500)=W$1)*(MONTH(Gastos!$A$2:$A$2500)=W$3)*(Gastos!$B$2:$B$2500=$A87)*(Gastos!$D$2:$D$2500))</f>
        <v>0</v>
      </c>
      <c r="X87" s="75">
        <f t="array" ref="X87">SUM((YEAR(Gastos!$A$2:$A$2500)=X$1)*(MONTH(Gastos!$A$2:$A$2500)=X$3)*(Gastos!$B$2:$B$2500=$A87)*(Gastos!$D$2:$D$2500))</f>
        <v>0</v>
      </c>
      <c r="Y87" s="75">
        <f t="array" ref="Y87">SUM((YEAR(Gastos!$A$2:$A$2500)=Y$1)*(MONTH(Gastos!$A$2:$A$2500)=Y$3)*(Gastos!$B$2:$B$2500=$A87)*(Gastos!$D$2:$D$2500))</f>
        <v>0</v>
      </c>
      <c r="Z87" s="75">
        <f t="array" ref="Z87">SUM((YEAR(Gastos!$A$2:$A$2500)=Z$1)*(MONTH(Gastos!$A$2:$A$2500)=Z$3)*(Gastos!$B$2:$B$2500=$A87)*(Gastos!$D$2:$D$2500))</f>
        <v>0</v>
      </c>
      <c r="AA87" s="75">
        <f t="array" ref="AA87">SUM((YEAR(Gastos!$A$2:$A$2500)=AA$1)*(MONTH(Gastos!$A$2:$A$2500)=AA$3)*(Gastos!$B$2:$B$2500=$A87)*(Gastos!$D$2:$D$2500))</f>
        <v>0</v>
      </c>
      <c r="AB87" s="75">
        <f t="array" ref="AB87">SUM((YEAR(Gastos!$A$2:$A$2500)=AB$1)*(MONTH(Gastos!$A$2:$A$2500)=AB$3)*(Gastos!$B$2:$B$2500=$A87)*(Gastos!$D$2:$D$2500))</f>
        <v>0</v>
      </c>
      <c r="AC87" s="75">
        <f t="array" ref="AC87">SUM((YEAR(Gastos!$A$2:$A$2500)=AC$1)*(MONTH(Gastos!$A$2:$A$2500)=AC$3)*(Gastos!$B$2:$B$2500=$A87)*(Gastos!$D$2:$D$2500))</f>
        <v>0</v>
      </c>
      <c r="AD87" s="75">
        <f t="array" ref="AD87">SUM((YEAR(Gastos!$A$2:$A$2500)=AD$1)*(MONTH(Gastos!$A$2:$A$2500)=AD$3)*(Gastos!$B$2:$B$2500=$A87)*(Gastos!$D$2:$D$2500))</f>
        <v>0</v>
      </c>
      <c r="AE87" s="75">
        <f t="array" ref="AE87">SUM((YEAR(Gastos!$A$2:$A$2500)=AE$1)*(MONTH(Gastos!$A$2:$A$2500)=AE$3)*(Gastos!$B$2:$B$2500=$A87)*(Gastos!$D$2:$D$2500))</f>
        <v>0</v>
      </c>
      <c r="AF87" s="75">
        <f t="array" ref="AF87">SUM((YEAR(Gastos!$A$2:$A$2500)=AF$1)*(MONTH(Gastos!$A$2:$A$2500)=AF$3)*(Gastos!$B$2:$B$2500=$A87)*(Gastos!$D$2:$D$2500))</f>
        <v>0</v>
      </c>
      <c r="AG87" s="75">
        <f t="array" ref="AG87">SUM((YEAR(Gastos!$A$2:$A$2500)=AG$1)*(MONTH(Gastos!$A$2:$A$2500)=AG$3)*(Gastos!$B$2:$B$2500=$A87)*(Gastos!$D$2:$D$2500))</f>
        <v>0</v>
      </c>
      <c r="AH87" s="75">
        <f t="array" ref="AH87">SUM((YEAR(Gastos!$A$2:$A$2500)=AH$1)*(MONTH(Gastos!$A$2:$A$2500)=AH$3)*(Gastos!$B$2:$B$2500=$A87)*(Gastos!$D$2:$D$2500))</f>
        <v>0</v>
      </c>
      <c r="AI87" s="75">
        <f t="array" ref="AI87">SUM((YEAR(Gastos!$A$2:$A$2500)=AI$1)*(MONTH(Gastos!$A$2:$A$2500)=AI$3)*(Gastos!$B$2:$B$2500=$A87)*(Gastos!$D$2:$D$2500))</f>
        <v>0</v>
      </c>
      <c r="AJ87" s="75">
        <f t="array" ref="AJ87">SUM((YEAR(Gastos!$A$2:$A$2500)=AJ$1)*(MONTH(Gastos!$A$2:$A$2500)=AJ$3)*(Gastos!$B$2:$B$2500=$A87)*(Gastos!$D$2:$D$2500))</f>
        <v>0</v>
      </c>
      <c r="AK87" s="75">
        <f t="array" ref="AK87">SUM((YEAR(Gastos!$A$2:$A$2500)=AK$1)*(MONTH(Gastos!$A$2:$A$2500)=AK$3)*(Gastos!$B$2:$B$2500=$A87)*(Gastos!$D$2:$D$2500))</f>
        <v>0</v>
      </c>
      <c r="AL87" s="75">
        <f t="array" ref="AL87">SUM((YEAR(Gastos!$A$2:$A$2500)=AL$1)*(MONTH(Gastos!$A$2:$A$2500)=AL$3)*(Gastos!$B$2:$B$2500=$A87)*(Gastos!$D$2:$D$2500))</f>
        <v>0</v>
      </c>
      <c r="AM87" s="75">
        <f t="array" ref="AM87">SUM((YEAR(Gastos!$A$2:$A$2500)=AM$1)*(MONTH(Gastos!$A$2:$A$2500)=AM$3)*(Gastos!$B$2:$B$2500=$A87)*(Gastos!$D$2:$D$2500))</f>
        <v>0</v>
      </c>
      <c r="AN87" s="75">
        <f t="array" ref="AN87">SUM((YEAR(Gastos!$A$2:$A$2500)=AN$1)*(MONTH(Gastos!$A$2:$A$2500)=AN$3)*(Gastos!$B$2:$B$2500=$A87)*(Gastos!$D$2:$D$2500))</f>
        <v>0</v>
      </c>
      <c r="AO87" s="75">
        <f t="array" ref="AO87">SUM((YEAR(Gastos!$A$2:$A$2500)=AO$1)*(MONTH(Gastos!$A$2:$A$2500)=AO$3)*(Gastos!$B$2:$B$2500=$A87)*(Gastos!$D$2:$D$2500))</f>
        <v>0</v>
      </c>
      <c r="AP87" s="75">
        <f t="array" ref="AP87">SUM((YEAR(Gastos!$A$2:$A$2500)=AP$1)*(MONTH(Gastos!$A$2:$A$2500)=AP$3)*(Gastos!$B$2:$B$2500=$A87)*(Gastos!$D$2:$D$2500))</f>
        <v>0</v>
      </c>
      <c r="AQ87" s="75">
        <f t="array" ref="AQ87">SUM((YEAR(Gastos!$A$2:$A$2500)=AQ$1)*(MONTH(Gastos!$A$2:$A$2500)=AQ$3)*(Gastos!$B$2:$B$2500=$A87)*(Gastos!$D$2:$D$2500))</f>
        <v>0</v>
      </c>
      <c r="AR87" s="75">
        <f t="array" ref="AR87">SUM((YEAR(Gastos!$A$2:$A$2500)=AR$1)*(MONTH(Gastos!$A$2:$A$2500)=AR$3)*(Gastos!$B$2:$B$2500=$A87)*(Gastos!$D$2:$D$2500))</f>
        <v>0</v>
      </c>
      <c r="AS87" s="75">
        <f t="array" ref="AS87">SUM((YEAR(Gastos!$A$2:$A$2500)=AS$1)*(MONTH(Gastos!$A$2:$A$2500)=AS$3)*(Gastos!$B$2:$B$2500=$A87)*(Gastos!$D$2:$D$2500))</f>
        <v>0</v>
      </c>
      <c r="AT87" s="75">
        <f t="array" ref="AT87">SUM((YEAR(Gastos!$A$2:$A$2500)=AT$1)*(MONTH(Gastos!$A$2:$A$2500)=AT$3)*(Gastos!$B$2:$B$2500=$A87)*(Gastos!$D$2:$D$2500))</f>
        <v>0</v>
      </c>
      <c r="AU87" s="75">
        <f t="array" ref="AU87">SUM((YEAR(Gastos!$A$2:$A$2500)=AU$1)*(MONTH(Gastos!$A$2:$A$2500)=AU$3)*(Gastos!$B$2:$B$2500=$A87)*(Gastos!$D$2:$D$2500))</f>
        <v>0</v>
      </c>
      <c r="AV87" s="75">
        <f t="array" ref="AV87">SUM((YEAR(Gastos!$A$2:$A$2500)=AV$1)*(MONTH(Gastos!$A$2:$A$2500)=AV$3)*(Gastos!$B$2:$B$2500=$A87)*(Gastos!$D$2:$D$2500))</f>
        <v>0</v>
      </c>
      <c r="AW87" s="75">
        <f t="array" ref="AW87">SUM((YEAR(Gastos!$A$2:$A$2500)=AW$1)*(MONTH(Gastos!$A$2:$A$2500)=AW$3)*(Gastos!$B$2:$B$2500=$A87)*(Gastos!$D$2:$D$2500))</f>
        <v>0</v>
      </c>
      <c r="AX87" s="75">
        <f t="array" ref="AX87">SUM((YEAR(Gastos!$A$2:$A$2500)=AX$1)*(MONTH(Gastos!$A$2:$A$2500)=AX$3)*(Gastos!$B$2:$B$2500=$A87)*(Gastos!$D$2:$D$2500))</f>
        <v>0</v>
      </c>
      <c r="AY87" s="75">
        <f t="array" ref="AY87">SUM((YEAR(Gastos!$A$2:$A$2500)=AY$1)*(MONTH(Gastos!$A$2:$A$2500)=AY$3)*(Gastos!$B$2:$B$2500=$A87)*(Gastos!$D$2:$D$2500))</f>
        <v>0</v>
      </c>
      <c r="AZ87" s="75">
        <f t="array" ref="AZ87">SUM((YEAR(Gastos!$A$2:$A$2500)=AZ$1)*(MONTH(Gastos!$A$2:$A$2500)=AZ$3)*(Gastos!$B$2:$B$2500=$A87)*(Gastos!$D$2:$D$2500))</f>
        <v>0</v>
      </c>
      <c r="BA87" s="75">
        <f t="array" ref="BA87">SUM((YEAR(Gastos!$A$2:$A$2500)=BA$1)*(MONTH(Gastos!$A$2:$A$2500)=BA$3)*(Gastos!$B$2:$B$2500=$A87)*(Gastos!$D$2:$D$2500))</f>
        <v>0</v>
      </c>
      <c r="BB87" s="75">
        <f t="array" ref="BB87">SUM((YEAR(Gastos!$A$2:$A$2500)=BB$1)*(MONTH(Gastos!$A$2:$A$2500)=BB$3)*(Gastos!$B$2:$B$2500=$A87)*(Gastos!$D$2:$D$2500))</f>
        <v>0</v>
      </c>
      <c r="BC87" s="75">
        <f t="array" ref="BC87">SUM((YEAR(Gastos!$A$2:$A$2500)=BC$1)*(MONTH(Gastos!$A$2:$A$2500)=BC$3)*(Gastos!$B$2:$B$2500=$A87)*(Gastos!$D$2:$D$2500))</f>
        <v>0</v>
      </c>
      <c r="BD87" s="75">
        <f t="array" ref="BD87">SUM((YEAR(Gastos!$A$2:$A$2500)=BD$1)*(MONTH(Gastos!$A$2:$A$2500)=BD$3)*(Gastos!$B$2:$B$2500=$A87)*(Gastos!$D$2:$D$2500))</f>
        <v>0</v>
      </c>
      <c r="BE87" s="75">
        <f t="array" ref="BE87">SUM((YEAR(Gastos!$A$2:$A$2500)=BE$1)*(MONTH(Gastos!$A$2:$A$2500)=BE$3)*(Gastos!$B$2:$B$2500=$A87)*(Gastos!$D$2:$D$2500))</f>
        <v>0</v>
      </c>
      <c r="BF87" s="75">
        <f t="array" ref="BF87">SUM((YEAR(Gastos!$A$2:$A$2500)=BF$1)*(MONTH(Gastos!$A$2:$A$2500)=BF$3)*(Gastos!$B$2:$B$2500=$A87)*(Gastos!$D$2:$D$2500))</f>
        <v>0</v>
      </c>
      <c r="BG87" s="75">
        <f t="array" ref="BG87">SUM((YEAR(Gastos!$A$2:$A$2500)=BG$1)*(MONTH(Gastos!$A$2:$A$2500)=BG$3)*(Gastos!$B$2:$B$2500=$A87)*(Gastos!$D$2:$D$2500))</f>
        <v>0</v>
      </c>
      <c r="BH87" s="75">
        <f t="array" ref="BH87">SUM((YEAR(Gastos!$A$2:$A$2500)=BH$1)*(MONTH(Gastos!$A$2:$A$2500)=BH$3)*(Gastos!$B$2:$B$2500=$A87)*(Gastos!$D$2:$D$2500))</f>
        <v>0</v>
      </c>
      <c r="BI87" s="75">
        <f t="array" ref="BI87">SUM((YEAR(Gastos!$A$2:$A$2500)=BI$1)*(MONTH(Gastos!$A$2:$A$2500)=BI$3)*(Gastos!$B$2:$B$2500=$A87)*(Gastos!$D$2:$D$2500))</f>
        <v>0</v>
      </c>
      <c r="BJ87" s="75">
        <f t="array" ref="BJ87">SUM((YEAR(Gastos!$A$2:$A$2500)=BJ$1)*(MONTH(Gastos!$A$2:$A$2500)=BJ$3)*(Gastos!$B$2:$B$2500=$A87)*(Gastos!$D$2:$D$2500))</f>
        <v>0</v>
      </c>
      <c r="BK87" s="75">
        <f t="array" ref="BK87">SUM((YEAR(Gastos!$A$2:$A$2500)=BK$1)*(MONTH(Gastos!$A$2:$A$2500)=BK$3)*(Gastos!$B$2:$B$2500=$A87)*(Gastos!$D$2:$D$2500))</f>
        <v>0</v>
      </c>
      <c r="BL87" s="75">
        <f t="array" ref="BL87">SUM((YEAR(Gastos!$A$2:$A$2500)=BL$1)*(MONTH(Gastos!$A$2:$A$2500)=BL$3)*(Gastos!$B$2:$B$2500=$A87)*(Gastos!$D$2:$D$2500))</f>
        <v>0</v>
      </c>
      <c r="BM87" s="75">
        <f t="array" ref="BM87">SUM((YEAR(Gastos!$A$2:$A$2500)=BM$1)*(MONTH(Gastos!$A$2:$A$2500)=BM$3)*(Gastos!$B$2:$B$2500=$A87)*(Gastos!$D$2:$D$2500))</f>
        <v>0</v>
      </c>
      <c r="BN87" s="75">
        <f t="array" ref="BN87">SUM((YEAR(Gastos!$A$2:$A$2500)=BN$1)*(MONTH(Gastos!$A$2:$A$2500)=BN$3)*(Gastos!$B$2:$B$2500=$A87)*(Gastos!$D$2:$D$2500))</f>
        <v>0</v>
      </c>
      <c r="BO87" s="75">
        <f t="array" ref="BO87">SUM((YEAR(Gastos!$A$2:$A$2500)=BO$1)*(MONTH(Gastos!$A$2:$A$2500)=BO$3)*(Gastos!$B$2:$B$2500=$A87)*(Gastos!$D$2:$D$2500))</f>
        <v>0</v>
      </c>
      <c r="BP87" s="75">
        <f t="array" ref="BP87">SUM((YEAR(Gastos!$A$2:$A$2500)=BP$1)*(MONTH(Gastos!$A$2:$A$2500)=BP$3)*(Gastos!$B$2:$B$2500=$A87)*(Gastos!$D$2:$D$2500))</f>
        <v>0</v>
      </c>
      <c r="BQ87" s="75">
        <f t="array" ref="BQ87">SUM((YEAR(Gastos!$A$2:$A$2500)=BQ$1)*(MONTH(Gastos!$A$2:$A$2500)=BQ$3)*(Gastos!$B$2:$B$2500=$A87)*(Gastos!$D$2:$D$2500))</f>
        <v>0</v>
      </c>
      <c r="BR87" s="75">
        <f t="array" ref="BR87">SUM((YEAR(Gastos!$A$2:$A$2500)=BR$1)*(MONTH(Gastos!$A$2:$A$2500)=BR$3)*(Gastos!$B$2:$B$2500=$A87)*(Gastos!$D$2:$D$2500))</f>
        <v>0</v>
      </c>
      <c r="BS87" s="75">
        <f t="array" ref="BS87">SUM((YEAR(Gastos!$A$2:$A$2500)=BS$1)*(MONTH(Gastos!$A$2:$A$2500)=BS$3)*(Gastos!$B$2:$B$2500=$A87)*(Gastos!$D$2:$D$2500))</f>
        <v>0</v>
      </c>
      <c r="BT87" s="75">
        <f t="array" ref="BT87">SUM((YEAR(Gastos!$A$2:$A$2500)=BT$1)*(MONTH(Gastos!$A$2:$A$2500)=BT$3)*(Gastos!$B$2:$B$2500=$A87)*(Gastos!$D$2:$D$2500))</f>
        <v>0</v>
      </c>
      <c r="BU87" s="75">
        <f t="array" ref="BU87">SUM((YEAR(Gastos!$A$2:$A$2500)=BU$1)*(MONTH(Gastos!$A$2:$A$2500)=BU$3)*(Gastos!$B$2:$B$2500=$A87)*(Gastos!$D$2:$D$2500))</f>
        <v>0</v>
      </c>
      <c r="BV87" s="75">
        <f t="array" ref="BV87">SUM((YEAR(Gastos!$A$2:$A$2500)=BV$1)*(MONTH(Gastos!$A$2:$A$2500)=BV$3)*(Gastos!$B$2:$B$2500=$A87)*(Gastos!$D$2:$D$2500))</f>
        <v>0</v>
      </c>
      <c r="BW87" s="75">
        <f t="array" ref="BW87">SUM((YEAR(Gastos!$A$2:$A$2500)=BW$1)*(MONTH(Gastos!$A$2:$A$2500)=BW$3)*(Gastos!$B$2:$B$2500=$A87)*(Gastos!$D$2:$D$2500))</f>
        <v>0</v>
      </c>
      <c r="BX87" s="75">
        <f t="array" ref="BX87">SUM((YEAR(Gastos!$A$2:$A$2500)=BX$1)*(MONTH(Gastos!$A$2:$A$2500)=BX$3)*(Gastos!$B$2:$B$2500=$A87)*(Gastos!$D$2:$D$2500))</f>
        <v>0</v>
      </c>
      <c r="BY87" s="75">
        <f t="array" ref="BY87">SUM((YEAR(Gastos!$A$2:$A$2500)=BY$1)*(MONTH(Gastos!$A$2:$A$2500)=BY$3)*(Gastos!$B$2:$B$2500=$A87)*(Gastos!$D$2:$D$2500))</f>
        <v>0</v>
      </c>
      <c r="BZ87" s="75">
        <f t="array" ref="BZ87">SUM((YEAR(Gastos!$A$2:$A$2500)=BZ$1)*(MONTH(Gastos!$A$2:$A$2500)=BZ$3)*(Gastos!$B$2:$B$2500=$A87)*(Gastos!$D$2:$D$2500))</f>
        <v>0</v>
      </c>
      <c r="CA87" s="75">
        <f t="array" ref="CA87">SUM((YEAR(Gastos!$A$2:$A$2500)=CA$1)*(MONTH(Gastos!$A$2:$A$2500)=CA$3)*(Gastos!$B$2:$B$2500=$A87)*(Gastos!$D$2:$D$2500))</f>
        <v>0</v>
      </c>
      <c r="CB87" s="75">
        <f t="array" ref="CB87">SUM((YEAR(Gastos!$A$2:$A$2500)=CB$1)*(MONTH(Gastos!$A$2:$A$2500)=CB$3)*(Gastos!$B$2:$B$2500=$A87)*(Gastos!$D$2:$D$2500))</f>
        <v>0</v>
      </c>
      <c r="CC87" s="75">
        <f t="array" ref="CC87">SUM((YEAR(Gastos!$A$2:$A$2500)=CC$1)*(MONTH(Gastos!$A$2:$A$2500)=CC$3)*(Gastos!$B$2:$B$2500=$A87)*(Gastos!$D$2:$D$2500))</f>
        <v>0</v>
      </c>
      <c r="CD87" s="75">
        <f t="array" ref="CD87">SUM((YEAR(Gastos!$A$2:$A$2500)=CD$1)*(MONTH(Gastos!$A$2:$A$2500)=CD$3)*(Gastos!$B$2:$B$2500=$A87)*(Gastos!$D$2:$D$2500))</f>
        <v>0</v>
      </c>
      <c r="CE87" s="75">
        <f t="array" ref="CE87">SUM((YEAR(Gastos!$A$2:$A$2500)=CE$1)*(MONTH(Gastos!$A$2:$A$2500)=CE$3)*(Gastos!$B$2:$B$2500=$A87)*(Gastos!$D$2:$D$2500))</f>
        <v>0</v>
      </c>
      <c r="CF87" s="75">
        <f t="array" ref="CF87">SUM((YEAR(Gastos!$A$2:$A$2500)=CF$1)*(MONTH(Gastos!$A$2:$A$2500)=CF$3)*(Gastos!$B$2:$B$2500=$A87)*(Gastos!$D$2:$D$2500))</f>
        <v>0</v>
      </c>
      <c r="CG87" s="75">
        <f t="array" ref="CG87">SUM((YEAR(Gastos!$A$2:$A$2500)=CG$1)*(MONTH(Gastos!$A$2:$A$2500)=CG$3)*(Gastos!$B$2:$B$2500=$A87)*(Gastos!$D$2:$D$2500))</f>
        <v>0</v>
      </c>
      <c r="CH87" s="75">
        <f t="array" ref="CH87">SUM((YEAR(Gastos!$A$2:$A$2500)=CH$1)*(MONTH(Gastos!$A$2:$A$2500)=CH$3)*(Gastos!$B$2:$B$2500=$A87)*(Gastos!$D$2:$D$2500))</f>
        <v>0</v>
      </c>
      <c r="CI87" s="75">
        <f t="array" ref="CI87">SUM((YEAR(Gastos!$A$2:$A$2500)=CI$1)*(MONTH(Gastos!$A$2:$A$2500)=CI$3)*(Gastos!$B$2:$B$2500=$A87)*(Gastos!$D$2:$D$2500))</f>
        <v>0</v>
      </c>
      <c r="CJ87" s="75">
        <f t="array" ref="CJ87">SUM((YEAR(Gastos!$A$2:$A$2500)=CJ$1)*(MONTH(Gastos!$A$2:$A$2500)=CJ$3)*(Gastos!$B$2:$B$2500=$A87)*(Gastos!$D$2:$D$2500))</f>
        <v>0</v>
      </c>
      <c r="CK87" s="75">
        <f t="array" ref="CK87">SUM((YEAR(Gastos!$A$2:$A$2500)=CK$1)*(MONTH(Gastos!$A$2:$A$2500)=CK$3)*(Gastos!$B$2:$B$2500=$A87)*(Gastos!$D$2:$D$2500))</f>
        <v>0</v>
      </c>
      <c r="CL87" s="75">
        <f t="array" ref="CL87">SUM((YEAR(Gastos!$A$2:$A$2500)=CL$1)*(MONTH(Gastos!$A$2:$A$2500)=CL$3)*(Gastos!$B$2:$B$2500=$A87)*(Gastos!$D$2:$D$2500))</f>
        <v>0</v>
      </c>
      <c r="CM87" s="75">
        <f t="array" ref="CM87">SUM((YEAR(Gastos!$A$2:$A$2500)=CM$1)*(MONTH(Gastos!$A$2:$A$2500)=CM$3)*(Gastos!$B$2:$B$2500=$A87)*(Gastos!$D$2:$D$2500))</f>
        <v>0</v>
      </c>
      <c r="CN87" s="75">
        <f t="array" ref="CN87">SUM((YEAR(Gastos!$A$2:$A$2500)=CN$1)*(MONTH(Gastos!$A$2:$A$2500)=CN$3)*(Gastos!$B$2:$B$2500=$A87)*(Gastos!$D$2:$D$2500))</f>
        <v>0</v>
      </c>
      <c r="CO87" s="75">
        <f t="array" ref="CO87">SUM((YEAR(Gastos!$A$2:$A$2500)=CO$1)*(MONTH(Gastos!$A$2:$A$2500)=CO$3)*(Gastos!$B$2:$B$2500=$A87)*(Gastos!$D$2:$D$2500))</f>
        <v>0</v>
      </c>
      <c r="CP87" s="75">
        <f t="array" ref="CP87">SUM((YEAR(Gastos!$A$2:$A$2500)=CP$1)*(MONTH(Gastos!$A$2:$A$2500)=CP$3)*(Gastos!$B$2:$B$2500=$A87)*(Gastos!$D$2:$D$2500))</f>
        <v>0</v>
      </c>
      <c r="CQ87" s="75">
        <f t="array" ref="CQ87">SUM((YEAR(Gastos!$A$2:$A$2500)=CQ$1)*(MONTH(Gastos!$A$2:$A$2500)=CQ$3)*(Gastos!$B$2:$B$2500=$A87)*(Gastos!$D$2:$D$2500))</f>
        <v>0</v>
      </c>
      <c r="CR87" s="75">
        <f t="array" ref="CR87">SUM((YEAR(Gastos!$A$2:$A$2500)=CR$1)*(MONTH(Gastos!$A$2:$A$2500)=CR$3)*(Gastos!$B$2:$B$2500=$A87)*(Gastos!$D$2:$D$2500))</f>
        <v>0</v>
      </c>
      <c r="CS87" s="75">
        <f t="array" ref="CS87">SUM((YEAR(Gastos!$A$2:$A$2500)=CS$1)*(MONTH(Gastos!$A$2:$A$2500)=CS$3)*(Gastos!$B$2:$B$2500=$A87)*(Gastos!$D$2:$D$2500))</f>
        <v>0</v>
      </c>
      <c r="CT87" s="75">
        <f t="array" ref="CT87">SUM((YEAR(Gastos!$A$2:$A$2500)=CT$1)*(MONTH(Gastos!$A$2:$A$2500)=CT$3)*(Gastos!$B$2:$B$2500=$A87)*(Gastos!$D$2:$D$2500))</f>
        <v>0</v>
      </c>
      <c r="CU87" s="75">
        <f t="array" ref="CU87">SUM((YEAR(Gastos!$A$2:$A$2500)=CU$1)*(MONTH(Gastos!$A$2:$A$2500)=CU$3)*(Gastos!$B$2:$B$2500=$A87)*(Gastos!$D$2:$D$2500))</f>
        <v>0</v>
      </c>
      <c r="CV87" s="75">
        <f t="array" ref="CV87">SUM((YEAR(Gastos!$A$2:$A$2500)=CV$1)*(MONTH(Gastos!$A$2:$A$2500)=CV$3)*(Gastos!$B$2:$B$2500=$A87)*(Gastos!$D$2:$D$2500))</f>
        <v>0</v>
      </c>
      <c r="CW87" s="75">
        <f t="array" ref="CW87">SUM((YEAR(Gastos!$A$2:$A$2500)=CW$1)*(MONTH(Gastos!$A$2:$A$2500)=CW$3)*(Gastos!$B$2:$B$2500=$A87)*(Gastos!$D$2:$D$2500))</f>
        <v>0</v>
      </c>
      <c r="CX87" s="75">
        <f t="array" ref="CX87">SUM((YEAR(Gastos!$A$2:$A$2500)=CX$1)*(MONTH(Gastos!$A$2:$A$2500)=CX$3)*(Gastos!$B$2:$B$2500=$A87)*(Gastos!$D$2:$D$2500))</f>
        <v>0</v>
      </c>
      <c r="CY87" s="75">
        <f t="array" ref="CY87">SUM((YEAR(Gastos!$A$2:$A$2500)=CY$1)*(MONTH(Gastos!$A$2:$A$2500)=CY$3)*(Gastos!$B$2:$B$2500=$A87)*(Gastos!$D$2:$D$2500))</f>
        <v>0</v>
      </c>
      <c r="CZ87" s="75">
        <f t="array" ref="CZ87">SUM((YEAR(Gastos!$A$2:$A$2500)=CZ$1)*(MONTH(Gastos!$A$2:$A$2500)=CZ$3)*(Gastos!$B$2:$B$2500=$A87)*(Gastos!$D$2:$D$2500))</f>
        <v>0</v>
      </c>
      <c r="DA87" s="75">
        <f t="array" ref="DA87">SUM((YEAR(Gastos!$A$2:$A$2500)=DA$1)*(MONTH(Gastos!$A$2:$A$2500)=DA$3)*(Gastos!$B$2:$B$2500=$A87)*(Gastos!$D$2:$D$2500))</f>
        <v>0</v>
      </c>
      <c r="DB87" s="75">
        <f t="array" ref="DB87">SUM((YEAR(Gastos!$A$2:$A$2500)=DB$1)*(MONTH(Gastos!$A$2:$A$2500)=DB$3)*(Gastos!$B$2:$B$2500=$A87)*(Gastos!$D$2:$D$2500))</f>
        <v>0</v>
      </c>
      <c r="DC87" s="75">
        <f t="array" ref="DC87">SUM((YEAR(Gastos!$A$2:$A$2500)=DC$1)*(MONTH(Gastos!$A$2:$A$2500)=DC$3)*(Gastos!$B$2:$B$2500=$A87)*(Gastos!$D$2:$D$2500))</f>
        <v>0</v>
      </c>
      <c r="DD87" s="75">
        <f t="array" ref="DD87">SUM((YEAR(Gastos!$A$2:$A$2500)=DD$1)*(MONTH(Gastos!$A$2:$A$2500)=DD$3)*(Gastos!$B$2:$B$2500=$A87)*(Gastos!$D$2:$D$2500))</f>
        <v>0</v>
      </c>
      <c r="DE87" s="75">
        <f t="array" ref="DE87">SUM((YEAR(Gastos!$A$2:$A$2500)=DE$1)*(MONTH(Gastos!$A$2:$A$2500)=DE$3)*(Gastos!$B$2:$B$2500=$A87)*(Gastos!$D$2:$D$2500))</f>
        <v>0</v>
      </c>
      <c r="DF87" s="75">
        <f t="array" ref="DF87">SUM((YEAR(Gastos!$A$2:$A$2500)=DF$1)*(MONTH(Gastos!$A$2:$A$2500)=DF$3)*(Gastos!$B$2:$B$2500=$A87)*(Gastos!$D$2:$D$2500))</f>
        <v>0</v>
      </c>
      <c r="DG87" s="75">
        <f t="array" ref="DG87">SUM((YEAR(Gastos!$A$2:$A$2500)=DG$1)*(MONTH(Gastos!$A$2:$A$2500)=DG$3)*(Gastos!$B$2:$B$2500=$A87)*(Gastos!$D$2:$D$2500))</f>
        <v>0</v>
      </c>
      <c r="DH87" s="75">
        <f t="array" ref="DH87">SUM((YEAR(Gastos!$A$2:$A$2500)=DH$1)*(MONTH(Gastos!$A$2:$A$2500)=DH$3)*(Gastos!$B$2:$B$2500=$A87)*(Gastos!$D$2:$D$2500))</f>
        <v>0</v>
      </c>
      <c r="DI87" s="75">
        <f t="array" ref="DI87">SUM((YEAR(Gastos!$A$2:$A$2500)=DI$1)*(MONTH(Gastos!$A$2:$A$2500)=DI$3)*(Gastos!$B$2:$B$2500=$A87)*(Gastos!$D$2:$D$2500))</f>
        <v>0</v>
      </c>
      <c r="DJ87" s="75">
        <f t="array" ref="DJ87">SUM((YEAR(Gastos!$A$2:$A$2500)=DJ$1)*(MONTH(Gastos!$A$2:$A$2500)=DJ$3)*(Gastos!$B$2:$B$2500=$A87)*(Gastos!$D$2:$D$2500))</f>
        <v>0</v>
      </c>
      <c r="DK87" s="75">
        <f t="array" ref="DK87">SUM((YEAR(Gastos!$A$2:$A$2500)=DK$1)*(MONTH(Gastos!$A$2:$A$2500)=DK$3)*(Gastos!$B$2:$B$2500=$A87)*(Gastos!$D$2:$D$2500))</f>
        <v>0</v>
      </c>
      <c r="DL87" s="75">
        <f t="array" ref="DL87">SUM((YEAR(Gastos!$A$2:$A$2500)=DL$1)*(MONTH(Gastos!$A$2:$A$2500)=DL$3)*(Gastos!$B$2:$B$2500=$A87)*(Gastos!$D$2:$D$2500))</f>
        <v>0</v>
      </c>
      <c r="DM87" s="75">
        <f t="array" ref="DM87">SUM((YEAR(Gastos!$A$2:$A$2500)=DM$1)*(MONTH(Gastos!$A$2:$A$2500)=DM$3)*(Gastos!$B$2:$B$2500=$A87)*(Gastos!$D$2:$D$2500))</f>
        <v>0</v>
      </c>
      <c r="DN87" s="75">
        <f t="array" ref="DN87">SUM((YEAR(Gastos!$A$2:$A$2500)=DN$1)*(MONTH(Gastos!$A$2:$A$2500)=DN$3)*(Gastos!$B$2:$B$2500=$A87)*(Gastos!$D$2:$D$2500))</f>
        <v>0</v>
      </c>
      <c r="DO87" s="75">
        <f t="array" ref="DO87">SUM((YEAR(Gastos!$A$2:$A$2500)=DO$1)*(MONTH(Gastos!$A$2:$A$2500)=DO$3)*(Gastos!$B$2:$B$2500=$A87)*(Gastos!$D$2:$D$2500))</f>
        <v>0</v>
      </c>
      <c r="DP87" s="75">
        <f t="array" ref="DP87">SUM((YEAR(Gastos!$A$2:$A$2500)=DP$1)*(MONTH(Gastos!$A$2:$A$2500)=DP$3)*(Gastos!$B$2:$B$2500=$A87)*(Gastos!$D$2:$D$2500))</f>
        <v>0</v>
      </c>
      <c r="DQ87" s="75">
        <f t="array" ref="DQ87">SUM((YEAR(Gastos!$A$2:$A$2500)=DQ$1)*(MONTH(Gastos!$A$2:$A$2500)=DQ$3)*(Gastos!$B$2:$B$2500=$A87)*(Gastos!$D$2:$D$2500))</f>
        <v>0</v>
      </c>
      <c r="DR87" s="75">
        <f t="array" ref="DR87">SUM((YEAR(Gastos!$A$2:$A$2500)=DR$1)*(MONTH(Gastos!$A$2:$A$2500)=DR$3)*(Gastos!$B$2:$B$2500=$A87)*(Gastos!$D$2:$D$2500))</f>
        <v>0</v>
      </c>
      <c r="DS87" s="75">
        <f t="array" ref="DS87">SUM((YEAR(Gastos!$A$2:$A$2500)=DS$1)*(MONTH(Gastos!$A$2:$A$2500)=DS$3)*(Gastos!$B$2:$B$2500=$A87)*(Gastos!$D$2:$D$2500))</f>
        <v>0</v>
      </c>
      <c r="DT87" s="75">
        <f t="array" ref="DT87">SUM((YEAR(Gastos!$A$2:$A$2500)=DT$1)*(MONTH(Gastos!$A$2:$A$2500)=DT$3)*(Gastos!$B$2:$B$2500=$A87)*(Gastos!$D$2:$D$2500))</f>
        <v>0</v>
      </c>
      <c r="DU87" s="75">
        <f t="array" ref="DU87">SUM((YEAR(Gastos!$A$2:$A$2500)=DU$1)*(MONTH(Gastos!$A$2:$A$2500)=DU$3)*(Gastos!$B$2:$B$2500=$A87)*(Gastos!$D$2:$D$2500))</f>
        <v>0</v>
      </c>
      <c r="DV87" s="75">
        <f t="array" ref="DV87">SUM((YEAR(Gastos!$A$2:$A$2500)=DV$1)*(MONTH(Gastos!$A$2:$A$2500)=DV$3)*(Gastos!$B$2:$B$2500=$A87)*(Gastos!$D$2:$D$2500))</f>
        <v>0</v>
      </c>
      <c r="DW87" s="75">
        <f t="array" ref="DW87">SUM((YEAR(Gastos!$A$2:$A$2500)=DW$1)*(MONTH(Gastos!$A$2:$A$2500)=DW$3)*(Gastos!$B$2:$B$2500=$A87)*(Gastos!$D$2:$D$2500))</f>
        <v>0</v>
      </c>
      <c r="DX87" s="75">
        <f t="array" ref="DX87">SUM((YEAR(Gastos!$A$2:$A$2500)=DX$1)*(MONTH(Gastos!$A$2:$A$2500)=DX$3)*(Gastos!$B$2:$B$2500=$A87)*(Gastos!$D$2:$D$2500))</f>
        <v>0</v>
      </c>
      <c r="DY87" s="75">
        <f t="array" ref="DY87">SUM((YEAR(Gastos!$A$2:$A$2500)=DY$1)*(MONTH(Gastos!$A$2:$A$2500)=DY$3)*(Gastos!$B$2:$B$2500=$A87)*(Gastos!$D$2:$D$2500))</f>
        <v>0</v>
      </c>
      <c r="DZ87" s="75">
        <f t="array" ref="DZ87">SUM((YEAR(Gastos!$A$2:$A$2500)=DZ$1)*(MONTH(Gastos!$A$2:$A$2500)=DZ$3)*(Gastos!$B$2:$B$2500=$A87)*(Gastos!$D$2:$D$2500))</f>
        <v>0</v>
      </c>
      <c r="EA87" s="75">
        <f t="array" ref="EA87">SUM((YEAR(Gastos!$A$2:$A$2500)=EA$1)*(MONTH(Gastos!$A$2:$A$2500)=EA$3)*(Gastos!$B$2:$B$2500=$A87)*(Gastos!$D$2:$D$2500))</f>
        <v>0</v>
      </c>
      <c r="EB87" s="75">
        <f t="array" ref="EB87">SUM((YEAR(Gastos!$A$2:$A$2500)=EB$1)*(MONTH(Gastos!$A$2:$A$2500)=EB$3)*(Gastos!$B$2:$B$2500=$A87)*(Gastos!$D$2:$D$2500))</f>
        <v>0</v>
      </c>
      <c r="EC87" s="75">
        <f t="array" ref="EC87">SUM((YEAR(Gastos!$A$2:$A$2500)=EC$1)*(MONTH(Gastos!$A$2:$A$2500)=EC$3)*(Gastos!$B$2:$B$2500=$A87)*(Gastos!$D$2:$D$2500))</f>
        <v>0</v>
      </c>
      <c r="ED87" s="75">
        <f t="array" ref="ED87">SUM((YEAR(Gastos!$A$2:$A$2500)=ED$1)*(MONTH(Gastos!$A$2:$A$2500)=ED$3)*(Gastos!$B$2:$B$2500=$A87)*(Gastos!$D$2:$D$2500))</f>
        <v>0</v>
      </c>
      <c r="EE87" s="75">
        <f t="array" ref="EE87">SUM((YEAR(Gastos!$A$2:$A$2500)=EE$1)*(MONTH(Gastos!$A$2:$A$2500)=EE$3)*(Gastos!$B$2:$B$2500=$A87)*(Gastos!$D$2:$D$2500))</f>
        <v>0</v>
      </c>
      <c r="EF87" s="75">
        <f t="array" ref="EF87">SUM((YEAR(Gastos!$A$2:$A$2500)=EF$1)*(MONTH(Gastos!$A$2:$A$2500)=EF$3)*(Gastos!$B$2:$B$2500=$A87)*(Gastos!$D$2:$D$2500))</f>
        <v>0</v>
      </c>
      <c r="EG87" s="75">
        <f t="array" ref="EG87">SUM((YEAR(Gastos!$A$2:$A$2500)=EG$1)*(MONTH(Gastos!$A$2:$A$2500)=EG$3)*(Gastos!$B$2:$B$2500=$A87)*(Gastos!$D$2:$D$2500))</f>
        <v>0</v>
      </c>
      <c r="EH87" s="75">
        <f t="array" ref="EH87">SUM((YEAR(Gastos!$A$2:$A$2500)=EH$1)*(MONTH(Gastos!$A$2:$A$2500)=EH$3)*(Gastos!$B$2:$B$2500=$A87)*(Gastos!$D$2:$D$2500))</f>
        <v>0</v>
      </c>
      <c r="EI87" s="75">
        <f t="array" ref="EI87">SUM((YEAR(Gastos!$A$2:$A$2500)=EI$1)*(MONTH(Gastos!$A$2:$A$2500)=EI$3)*(Gastos!$B$2:$B$2500=$A87)*(Gastos!$D$2:$D$2500))</f>
        <v>0</v>
      </c>
      <c r="EJ87" s="75">
        <f t="array" ref="EJ87">SUM((YEAR(Gastos!$A$2:$A$2500)=EJ$1)*(MONTH(Gastos!$A$2:$A$2500)=EJ$3)*(Gastos!$B$2:$B$2500=$A87)*(Gastos!$D$2:$D$2500))</f>
        <v>0</v>
      </c>
      <c r="EK87" s="75">
        <f t="array" ref="EK87">SUM((YEAR(Gastos!$A$2:$A$2500)=EK$1)*(MONTH(Gastos!$A$2:$A$2500)=EK$3)*(Gastos!$B$2:$B$2500=$A87)*(Gastos!$D$2:$D$2500))</f>
        <v>0</v>
      </c>
      <c r="EL87" s="75">
        <f t="array" ref="EL87">SUM((YEAR(Gastos!$A$2:$A$2500)=EL$1)*(MONTH(Gastos!$A$2:$A$2500)=EL$3)*(Gastos!$B$2:$B$2500=$A87)*(Gastos!$D$2:$D$2500))</f>
        <v>0</v>
      </c>
      <c r="EM87" s="75">
        <f t="array" ref="EM87">SUM((YEAR(Gastos!$A$2:$A$2500)=EM$1)*(MONTH(Gastos!$A$2:$A$2500)=EM$3)*(Gastos!$B$2:$B$2500=$A87)*(Gastos!$D$2:$D$2500))</f>
        <v>0</v>
      </c>
      <c r="EN87" s="75">
        <f t="array" ref="EN87">SUM((YEAR(Gastos!$A$2:$A$2500)=EN$1)*(MONTH(Gastos!$A$2:$A$2500)=EN$3)*(Gastos!$B$2:$B$2500=$A87)*(Gastos!$D$2:$D$2500))</f>
        <v>0</v>
      </c>
      <c r="EO87" s="75">
        <f t="array" ref="EO87">SUM((YEAR(Gastos!$A$2:$A$2500)=EO$1)*(MONTH(Gastos!$A$2:$A$2500)=EO$3)*(Gastos!$B$2:$B$2500=$A87)*(Gastos!$D$2:$D$2500))</f>
        <v>0</v>
      </c>
      <c r="EP87" s="75">
        <f t="array" ref="EP87">SUM((YEAR(Gastos!$A$2:$A$2500)=EP$1)*(MONTH(Gastos!$A$2:$A$2500)=EP$3)*(Gastos!$B$2:$B$2500=$A87)*(Gastos!$D$2:$D$2500))</f>
        <v>0</v>
      </c>
      <c r="EQ87" s="75">
        <f t="array" ref="EQ87">SUM((YEAR(Gastos!$A$2:$A$2500)=EQ$1)*(MONTH(Gastos!$A$2:$A$2500)=EQ$3)*(Gastos!$B$2:$B$2500=$A87)*(Gastos!$D$2:$D$2500))</f>
        <v>0</v>
      </c>
      <c r="ER87" s="75">
        <f t="array" ref="ER87">SUM((YEAR(Gastos!$A$2:$A$2500)=ER$1)*(MONTH(Gastos!$A$2:$A$2500)=ER$3)*(Gastos!$B$2:$B$2500=$A87)*(Gastos!$D$2:$D$2500))</f>
        <v>0</v>
      </c>
      <c r="ES87" s="75">
        <f t="array" ref="ES87">SUM((YEAR(Gastos!$A$2:$A$2500)=ES$1)*(MONTH(Gastos!$A$2:$A$2500)=ES$3)*(Gastos!$B$2:$B$2500=$A87)*(Gastos!$D$2:$D$2500))</f>
        <v>0</v>
      </c>
      <c r="ET87" s="75">
        <f t="array" ref="ET87">SUM((YEAR(Gastos!$A$2:$A$2500)=ET$1)*(MONTH(Gastos!$A$2:$A$2500)=ET$3)*(Gastos!$B$2:$B$2500=$A87)*(Gastos!$D$2:$D$2500))</f>
        <v>0</v>
      </c>
      <c r="EU87" s="75">
        <f t="array" ref="EU87">SUM((YEAR(Gastos!$A$2:$A$2500)=EU$1)*(MONTH(Gastos!$A$2:$A$2500)=EU$3)*(Gastos!$B$2:$B$2500=$A87)*(Gastos!$D$2:$D$2500))</f>
        <v>0</v>
      </c>
      <c r="EV87" s="75">
        <f t="array" ref="EV87">SUM((YEAR(Gastos!$A$2:$A$2500)=EV$1)*(MONTH(Gastos!$A$2:$A$2500)=EV$3)*(Gastos!$B$2:$B$2500=$A87)*(Gastos!$D$2:$D$2500))</f>
        <v>0</v>
      </c>
      <c r="EW87" s="75">
        <f t="array" ref="EW87">SUM((YEAR(Gastos!$A$2:$A$2500)=EW$1)*(MONTH(Gastos!$A$2:$A$2500)=EW$3)*(Gastos!$B$2:$B$2500=$A87)*(Gastos!$D$2:$D$2500))</f>
        <v>0</v>
      </c>
      <c r="EX87" s="75">
        <f t="array" ref="EX87">SUM((YEAR(Gastos!$A$2:$A$2500)=EX$1)*(MONTH(Gastos!$A$2:$A$2500)=EX$3)*(Gastos!$B$2:$B$2500=$A87)*(Gastos!$D$2:$D$2500))</f>
        <v>0</v>
      </c>
      <c r="EY87" s="75">
        <f t="array" ref="EY87">SUM((YEAR(Gastos!$A$2:$A$2500)=EY$1)*(MONTH(Gastos!$A$2:$A$2500)=EY$3)*(Gastos!$B$2:$B$2500=$A87)*(Gastos!$D$2:$D$2500))</f>
        <v>0</v>
      </c>
      <c r="EZ87" s="75">
        <f t="array" ref="EZ87">SUM((YEAR(Gastos!$A$2:$A$2500)=EZ$1)*(MONTH(Gastos!$A$2:$A$2500)=EZ$3)*(Gastos!$B$2:$B$2500=$A87)*(Gastos!$D$2:$D$2500))</f>
        <v>0</v>
      </c>
      <c r="FA87" s="75">
        <f t="array" ref="FA87">SUM((YEAR(Gastos!$A$2:$A$2500)=FA$1)*(MONTH(Gastos!$A$2:$A$2500)=FA$3)*(Gastos!$B$2:$B$2500=$A87)*(Gastos!$D$2:$D$2500))</f>
        <v>0</v>
      </c>
      <c r="FB87" s="75">
        <f t="array" ref="FB87">SUM((YEAR(Gastos!$A$2:$A$2500)=FB$1)*(MONTH(Gastos!$A$2:$A$2500)=FB$3)*(Gastos!$B$2:$B$2500=$A87)*(Gastos!$D$2:$D$2500))</f>
        <v>0</v>
      </c>
      <c r="FC87" s="75">
        <f t="array" ref="FC87">SUM((YEAR(Gastos!$A$2:$A$2500)=FC$1)*(MONTH(Gastos!$A$2:$A$2500)=FC$3)*(Gastos!$B$2:$B$2500=$A87)*(Gastos!$D$2:$D$2500))</f>
        <v>0</v>
      </c>
      <c r="FD87" s="75">
        <f t="array" ref="FD87">SUM((YEAR(Gastos!$A$2:$A$2500)=FD$1)*(MONTH(Gastos!$A$2:$A$2500)=FD$3)*(Gastos!$B$2:$B$2500=$A87)*(Gastos!$D$2:$D$2500))</f>
        <v>0</v>
      </c>
      <c r="FE87" s="75">
        <f t="array" ref="FE87">SUM((YEAR(Gastos!$A$2:$A$2500)=FE$1)*(MONTH(Gastos!$A$2:$A$2500)=FE$3)*(Gastos!$B$2:$B$2500=$A87)*(Gastos!$D$2:$D$2500))</f>
        <v>0</v>
      </c>
      <c r="FF87" s="75">
        <f t="array" ref="FF87">SUM((YEAR(Gastos!$A$2:$A$2500)=FF$1)*(MONTH(Gastos!$A$2:$A$2500)=FF$3)*(Gastos!$B$2:$B$2500=$A87)*(Gastos!$D$2:$D$2500))</f>
        <v>0</v>
      </c>
      <c r="FG87" s="75">
        <f t="array" ref="FG87">SUM((YEAR(Gastos!$A$2:$A$2500)=FG$1)*(MONTH(Gastos!$A$2:$A$2500)=FG$3)*(Gastos!$B$2:$B$2500=$A87)*(Gastos!$D$2:$D$2500))</f>
        <v>0</v>
      </c>
      <c r="FH87" s="75">
        <f t="array" ref="FH87">SUM((YEAR(Gastos!$A$2:$A$2500)=FH$1)*(MONTH(Gastos!$A$2:$A$2500)=FH$3)*(Gastos!$B$2:$B$2500=$A87)*(Gastos!$D$2:$D$2500))</f>
        <v>0</v>
      </c>
      <c r="FI87" s="75">
        <f t="array" ref="FI87">SUM((YEAR(Gastos!$A$2:$A$2500)=FI$1)*(MONTH(Gastos!$A$2:$A$2500)=FI$3)*(Gastos!$B$2:$B$2500=$A87)*(Gastos!$D$2:$D$2500))</f>
        <v>0</v>
      </c>
      <c r="FJ87" s="75">
        <f t="array" ref="FJ87">SUM((YEAR(Gastos!$A$2:$A$2500)=FJ$1)*(MONTH(Gastos!$A$2:$A$2500)=FJ$3)*(Gastos!$B$2:$B$2500=$A87)*(Gastos!$D$2:$D$2500))</f>
        <v>0</v>
      </c>
      <c r="FK87" s="75">
        <f t="array" ref="FK87">SUM((YEAR(Gastos!$A$2:$A$2500)=FK$1)*(MONTH(Gastos!$A$2:$A$2500)=FK$3)*(Gastos!$B$2:$B$2500=$A87)*(Gastos!$D$2:$D$2500))</f>
        <v>0</v>
      </c>
      <c r="FL87" s="75">
        <f t="array" ref="FL87">SUM((YEAR(Gastos!$A$2:$A$2500)=FL$1)*(MONTH(Gastos!$A$2:$A$2500)=FL$3)*(Gastos!$B$2:$B$2500=$A87)*(Gastos!$D$2:$D$2500))</f>
        <v>0</v>
      </c>
      <c r="FM87" s="75">
        <f t="array" ref="FM87">SUM((YEAR(Gastos!$A$2:$A$2500)=FM$1)*(MONTH(Gastos!$A$2:$A$2500)=FM$3)*(Gastos!$B$2:$B$2500=$A87)*(Gastos!$D$2:$D$2500))</f>
        <v>0</v>
      </c>
      <c r="FN87" s="75">
        <f t="array" ref="FN87">SUM((YEAR(Gastos!$A$2:$A$2500)=FN$1)*(MONTH(Gastos!$A$2:$A$2500)=FN$3)*(Gastos!$B$2:$B$2500=$A87)*(Gastos!$D$2:$D$2500))</f>
        <v>0</v>
      </c>
      <c r="FO87" s="75">
        <f t="array" ref="FO87">SUM((YEAR(Gastos!$A$2:$A$2500)=FO$1)*(MONTH(Gastos!$A$2:$A$2500)=FO$3)*(Gastos!$B$2:$B$2500=$A87)*(Gastos!$D$2:$D$2500))</f>
        <v>0</v>
      </c>
      <c r="FP87" s="75">
        <f t="array" ref="FP87">SUM((YEAR(Gastos!$A$2:$A$2500)=FP$1)*(MONTH(Gastos!$A$2:$A$2500)=FP$3)*(Gastos!$B$2:$B$2500=$A87)*(Gastos!$D$2:$D$2500))</f>
        <v>0</v>
      </c>
      <c r="FQ87" s="75">
        <f t="array" ref="FQ87">SUM((YEAR(Gastos!$A$2:$A$2500)=FQ$1)*(MONTH(Gastos!$A$2:$A$2500)=FQ$3)*(Gastos!$B$2:$B$2500=$A87)*(Gastos!$D$2:$D$2500))</f>
        <v>0</v>
      </c>
      <c r="FR87" s="75">
        <f t="array" ref="FR87">SUM((YEAR(Gastos!$A$2:$A$2500)=FR$1)*(MONTH(Gastos!$A$2:$A$2500)=FR$3)*(Gastos!$B$2:$B$2500=$A87)*(Gastos!$D$2:$D$2500))</f>
        <v>0</v>
      </c>
      <c r="FS87" s="75">
        <f t="array" ref="FS87">SUM((YEAR(Gastos!$A$2:$A$2500)=FS$1)*(MONTH(Gastos!$A$2:$A$2500)=FS$3)*(Gastos!$B$2:$B$2500=$A87)*(Gastos!$D$2:$D$2500))</f>
        <v>0</v>
      </c>
      <c r="FT87" s="75">
        <f t="array" ref="FT87">SUM((YEAR(Gastos!$A$2:$A$2500)=FT$1)*(MONTH(Gastos!$A$2:$A$2500)=FT$3)*(Gastos!$B$2:$B$2500=$A87)*(Gastos!$D$2:$D$2500))</f>
        <v>0</v>
      </c>
      <c r="FU87" s="75">
        <f t="array" ref="FU87">SUM((YEAR(Gastos!$A$2:$A$2500)=FU$1)*(MONTH(Gastos!$A$2:$A$2500)=FU$3)*(Gastos!$B$2:$B$2500=$A87)*(Gastos!$D$2:$D$2500))</f>
        <v>0</v>
      </c>
      <c r="FV87" s="75">
        <f t="array" ref="FV87">SUM((YEAR(Gastos!$A$2:$A$2500)=FV$1)*(MONTH(Gastos!$A$2:$A$2500)=FV$3)*(Gastos!$B$2:$B$2500=$A87)*(Gastos!$D$2:$D$2500))</f>
        <v>0</v>
      </c>
      <c r="FW87" s="75">
        <f t="array" ref="FW87">SUM((YEAR(Gastos!$A$2:$A$2500)=FW$1)*(MONTH(Gastos!$A$2:$A$2500)=FW$3)*(Gastos!$B$2:$B$2500=$A87)*(Gastos!$D$2:$D$2500))</f>
        <v>0</v>
      </c>
      <c r="FX87" s="75">
        <f t="array" ref="FX87">SUM((YEAR(Gastos!$A$2:$A$2500)=FX$1)*(MONTH(Gastos!$A$2:$A$2500)=FX$3)*(Gastos!$B$2:$B$2500=$A87)*(Gastos!$D$2:$D$2500))</f>
        <v>0</v>
      </c>
      <c r="FY87" s="75">
        <f t="array" ref="FY87">SUM((YEAR(Gastos!$A$2:$A$2500)=FY$1)*(MONTH(Gastos!$A$2:$A$2500)=FY$3)*(Gastos!$B$2:$B$2500=$A87)*(Gastos!$D$2:$D$2500))</f>
        <v>0</v>
      </c>
      <c r="FZ87" s="76">
        <f t="shared" si="68"/>
        <v>0</v>
      </c>
      <c r="GA87" s="80"/>
      <c r="GB87" s="82"/>
    </row>
    <row r="88" spans="1:184" ht="15" thickBot="1" x14ac:dyDescent="0.4">
      <c r="A88" s="74" t="str">
        <f>Gastos!AA86</f>
        <v>X</v>
      </c>
      <c r="B88" s="75">
        <f t="array" ref="B88">SUM((YEAR(Gastos!$A$2:$A$2500)=B$1)*(MONTH(Gastos!$A$2:$A$2500)=B$3)*(Gastos!$B$2:$B$2500=$A88)*(Gastos!$D$2:$D$2500))</f>
        <v>0</v>
      </c>
      <c r="C88" s="75">
        <f t="array" ref="C88">SUM((YEAR(Gastos!$A$2:$A$2500)=C$1)*(MONTH(Gastos!$A$2:$A$2500)=C$3)*(Gastos!$B$2:$B$2500=$A88)*(Gastos!$D$2:$D$2500))</f>
        <v>0</v>
      </c>
      <c r="D88" s="75">
        <f t="array" ref="D88">SUM((YEAR(Gastos!$A$2:$A$2500)=D$1)*(MONTH(Gastos!$A$2:$A$2500)=D$3)*(Gastos!$B$2:$B$2500=$A88)*(Gastos!$D$2:$D$2500))</f>
        <v>0</v>
      </c>
      <c r="E88" s="75">
        <f t="array" ref="E88">SUM((YEAR(Gastos!$A$2:$A$2500)=E$1)*(MONTH(Gastos!$A$2:$A$2500)=E$3)*(Gastos!$B$2:$B$2500=$A88)*(Gastos!$D$2:$D$2500))</f>
        <v>0</v>
      </c>
      <c r="F88" s="75">
        <f t="array" ref="F88">SUM((YEAR(Gastos!$A$2:$A$2500)=F$1)*(MONTH(Gastos!$A$2:$A$2500)=F$3)*(Gastos!$B$2:$B$2500=$A88)*(Gastos!$D$2:$D$2500))</f>
        <v>0</v>
      </c>
      <c r="G88" s="75">
        <f t="array" ref="G88">SUM((YEAR(Gastos!$A$2:$A$2500)=G$1)*(MONTH(Gastos!$A$2:$A$2500)=G$3)*(Gastos!$B$2:$B$2500=$A88)*(Gastos!$D$2:$D$2500))</f>
        <v>0</v>
      </c>
      <c r="H88" s="75">
        <f t="array" ref="H88">SUM((YEAR(Gastos!$A$2:$A$2500)=H$1)*(MONTH(Gastos!$A$2:$A$2500)=H$3)*(Gastos!$B$2:$B$2500=$A88)*(Gastos!$D$2:$D$2500))</f>
        <v>0</v>
      </c>
      <c r="I88" s="75">
        <f t="array" ref="I88">SUM((YEAR(Gastos!$A$2:$A$2500)=I$1)*(MONTH(Gastos!$A$2:$A$2500)=I$3)*(Gastos!$B$2:$B$2500=$A88)*(Gastos!$D$2:$D$2500))</f>
        <v>0</v>
      </c>
      <c r="J88" s="75">
        <f t="array" ref="J88">SUM((YEAR(Gastos!$A$2:$A$2500)=J$1)*(MONTH(Gastos!$A$2:$A$2500)=J$3)*(Gastos!$B$2:$B$2500=$A88)*(Gastos!$D$2:$D$2500))</f>
        <v>0</v>
      </c>
      <c r="K88" s="75">
        <f t="array" ref="K88">SUM((YEAR(Gastos!$A$2:$A$2500)=K$1)*(MONTH(Gastos!$A$2:$A$2500)=K$3)*(Gastos!$B$2:$B$2500=$A88)*(Gastos!$D$2:$D$2500))</f>
        <v>0</v>
      </c>
      <c r="L88" s="75">
        <f t="array" ref="L88">SUM((YEAR(Gastos!$A$2:$A$2500)=L$1)*(MONTH(Gastos!$A$2:$A$2500)=L$3)*(Gastos!$B$2:$B$2500=$A88)*(Gastos!$D$2:$D$2500))</f>
        <v>0</v>
      </c>
      <c r="M88" s="75">
        <f t="array" ref="M88">SUM((YEAR(Gastos!$A$2:$A$2500)=M$1)*(MONTH(Gastos!$A$2:$A$2500)=M$3)*(Gastos!$B$2:$B$2500=$A88)*(Gastos!$D$2:$D$2500))</f>
        <v>0</v>
      </c>
      <c r="N88" s="75">
        <f t="array" ref="N88">SUM((YEAR(Gastos!$A$2:$A$2500)=N$1)*(MONTH(Gastos!$A$2:$A$2500)=N$3)*(Gastos!$B$2:$B$2500=$A88)*(Gastos!$D$2:$D$2500))</f>
        <v>0</v>
      </c>
      <c r="O88" s="75">
        <f t="array" ref="O88">SUM((YEAR(Gastos!$A$2:$A$2500)=O$1)*(MONTH(Gastos!$A$2:$A$2500)=O$3)*(Gastos!$B$2:$B$2500=$A88)*(Gastos!$D$2:$D$2500))</f>
        <v>0</v>
      </c>
      <c r="P88" s="75">
        <f t="array" ref="P88">SUM((YEAR(Gastos!$A$2:$A$2500)=P$1)*(MONTH(Gastos!$A$2:$A$2500)=P$3)*(Gastos!$B$2:$B$2500=$A88)*(Gastos!$D$2:$D$2500))</f>
        <v>0</v>
      </c>
      <c r="Q88" s="75">
        <f t="array" ref="Q88">SUM((YEAR(Gastos!$A$2:$A$2500)=Q$1)*(MONTH(Gastos!$A$2:$A$2500)=Q$3)*(Gastos!$B$2:$B$2500=$A88)*(Gastos!$D$2:$D$2500))</f>
        <v>0</v>
      </c>
      <c r="R88" s="75">
        <f t="array" ref="R88">SUM((YEAR(Gastos!$A$2:$A$2500)=R$1)*(MONTH(Gastos!$A$2:$A$2500)=R$3)*(Gastos!$B$2:$B$2500=$A88)*(Gastos!$D$2:$D$2500))</f>
        <v>0</v>
      </c>
      <c r="S88" s="75">
        <f t="array" ref="S88">SUM((YEAR(Gastos!$A$2:$A$2500)=S$1)*(MONTH(Gastos!$A$2:$A$2500)=S$3)*(Gastos!$B$2:$B$2500=$A88)*(Gastos!$D$2:$D$2500))</f>
        <v>0</v>
      </c>
      <c r="T88" s="75">
        <f t="array" ref="T88">SUM((YEAR(Gastos!$A$2:$A$2500)=T$1)*(MONTH(Gastos!$A$2:$A$2500)=T$3)*(Gastos!$B$2:$B$2500=$A88)*(Gastos!$D$2:$D$2500))</f>
        <v>0</v>
      </c>
      <c r="U88" s="75">
        <f t="array" ref="U88">SUM((YEAR(Gastos!$A$2:$A$2500)=U$1)*(MONTH(Gastos!$A$2:$A$2500)=U$3)*(Gastos!$B$2:$B$2500=$A88)*(Gastos!$D$2:$D$2500))</f>
        <v>0</v>
      </c>
      <c r="V88" s="75">
        <f t="array" ref="V88">SUM((YEAR(Gastos!$A$2:$A$2500)=V$1)*(MONTH(Gastos!$A$2:$A$2500)=V$3)*(Gastos!$B$2:$B$2500=$A88)*(Gastos!$D$2:$D$2500))</f>
        <v>0</v>
      </c>
      <c r="W88" s="75">
        <f t="array" ref="W88">SUM((YEAR(Gastos!$A$2:$A$2500)=W$1)*(MONTH(Gastos!$A$2:$A$2500)=W$3)*(Gastos!$B$2:$B$2500=$A88)*(Gastos!$D$2:$D$2500))</f>
        <v>0</v>
      </c>
      <c r="X88" s="75">
        <f t="array" ref="X88">SUM((YEAR(Gastos!$A$2:$A$2500)=X$1)*(MONTH(Gastos!$A$2:$A$2500)=X$3)*(Gastos!$B$2:$B$2500=$A88)*(Gastos!$D$2:$D$2500))</f>
        <v>0</v>
      </c>
      <c r="Y88" s="75">
        <f t="array" ref="Y88">SUM((YEAR(Gastos!$A$2:$A$2500)=Y$1)*(MONTH(Gastos!$A$2:$A$2500)=Y$3)*(Gastos!$B$2:$B$2500=$A88)*(Gastos!$D$2:$D$2500))</f>
        <v>0</v>
      </c>
      <c r="Z88" s="75">
        <f t="array" ref="Z88">SUM((YEAR(Gastos!$A$2:$A$2500)=Z$1)*(MONTH(Gastos!$A$2:$A$2500)=Z$3)*(Gastos!$B$2:$B$2500=$A88)*(Gastos!$D$2:$D$2500))</f>
        <v>0</v>
      </c>
      <c r="AA88" s="75">
        <f t="array" ref="AA88">SUM((YEAR(Gastos!$A$2:$A$2500)=AA$1)*(MONTH(Gastos!$A$2:$A$2500)=AA$3)*(Gastos!$B$2:$B$2500=$A88)*(Gastos!$D$2:$D$2500))</f>
        <v>0</v>
      </c>
      <c r="AB88" s="75">
        <f t="array" ref="AB88">SUM((YEAR(Gastos!$A$2:$A$2500)=AB$1)*(MONTH(Gastos!$A$2:$A$2500)=AB$3)*(Gastos!$B$2:$B$2500=$A88)*(Gastos!$D$2:$D$2500))</f>
        <v>0</v>
      </c>
      <c r="AC88" s="75">
        <f t="array" ref="AC88">SUM((YEAR(Gastos!$A$2:$A$2500)=AC$1)*(MONTH(Gastos!$A$2:$A$2500)=AC$3)*(Gastos!$B$2:$B$2500=$A88)*(Gastos!$D$2:$D$2500))</f>
        <v>0</v>
      </c>
      <c r="AD88" s="75">
        <f t="array" ref="AD88">SUM((YEAR(Gastos!$A$2:$A$2500)=AD$1)*(MONTH(Gastos!$A$2:$A$2500)=AD$3)*(Gastos!$B$2:$B$2500=$A88)*(Gastos!$D$2:$D$2500))</f>
        <v>0</v>
      </c>
      <c r="AE88" s="75">
        <f t="array" ref="AE88">SUM((YEAR(Gastos!$A$2:$A$2500)=AE$1)*(MONTH(Gastos!$A$2:$A$2500)=AE$3)*(Gastos!$B$2:$B$2500=$A88)*(Gastos!$D$2:$D$2500))</f>
        <v>0</v>
      </c>
      <c r="AF88" s="75">
        <f t="array" ref="AF88">SUM((YEAR(Gastos!$A$2:$A$2500)=AF$1)*(MONTH(Gastos!$A$2:$A$2500)=AF$3)*(Gastos!$B$2:$B$2500=$A88)*(Gastos!$D$2:$D$2500))</f>
        <v>0</v>
      </c>
      <c r="AG88" s="75">
        <f t="array" ref="AG88">SUM((YEAR(Gastos!$A$2:$A$2500)=AG$1)*(MONTH(Gastos!$A$2:$A$2500)=AG$3)*(Gastos!$B$2:$B$2500=$A88)*(Gastos!$D$2:$D$2500))</f>
        <v>0</v>
      </c>
      <c r="AH88" s="75">
        <f t="array" ref="AH88">SUM((YEAR(Gastos!$A$2:$A$2500)=AH$1)*(MONTH(Gastos!$A$2:$A$2500)=AH$3)*(Gastos!$B$2:$B$2500=$A88)*(Gastos!$D$2:$D$2500))</f>
        <v>0</v>
      </c>
      <c r="AI88" s="75">
        <f t="array" ref="AI88">SUM((YEAR(Gastos!$A$2:$A$2500)=AI$1)*(MONTH(Gastos!$A$2:$A$2500)=AI$3)*(Gastos!$B$2:$B$2500=$A88)*(Gastos!$D$2:$D$2500))</f>
        <v>0</v>
      </c>
      <c r="AJ88" s="75">
        <f t="array" ref="AJ88">SUM((YEAR(Gastos!$A$2:$A$2500)=AJ$1)*(MONTH(Gastos!$A$2:$A$2500)=AJ$3)*(Gastos!$B$2:$B$2500=$A88)*(Gastos!$D$2:$D$2500))</f>
        <v>0</v>
      </c>
      <c r="AK88" s="75">
        <f t="array" ref="AK88">SUM((YEAR(Gastos!$A$2:$A$2500)=AK$1)*(MONTH(Gastos!$A$2:$A$2500)=AK$3)*(Gastos!$B$2:$B$2500=$A88)*(Gastos!$D$2:$D$2500))</f>
        <v>0</v>
      </c>
      <c r="AL88" s="75">
        <f t="array" ref="AL88">SUM((YEAR(Gastos!$A$2:$A$2500)=AL$1)*(MONTH(Gastos!$A$2:$A$2500)=AL$3)*(Gastos!$B$2:$B$2500=$A88)*(Gastos!$D$2:$D$2500))</f>
        <v>0</v>
      </c>
      <c r="AM88" s="75">
        <f t="array" ref="AM88">SUM((YEAR(Gastos!$A$2:$A$2500)=AM$1)*(MONTH(Gastos!$A$2:$A$2500)=AM$3)*(Gastos!$B$2:$B$2500=$A88)*(Gastos!$D$2:$D$2500))</f>
        <v>0</v>
      </c>
      <c r="AN88" s="75">
        <f t="array" ref="AN88">SUM((YEAR(Gastos!$A$2:$A$2500)=AN$1)*(MONTH(Gastos!$A$2:$A$2500)=AN$3)*(Gastos!$B$2:$B$2500=$A88)*(Gastos!$D$2:$D$2500))</f>
        <v>0</v>
      </c>
      <c r="AO88" s="75">
        <f t="array" ref="AO88">SUM((YEAR(Gastos!$A$2:$A$2500)=AO$1)*(MONTH(Gastos!$A$2:$A$2500)=AO$3)*(Gastos!$B$2:$B$2500=$A88)*(Gastos!$D$2:$D$2500))</f>
        <v>0</v>
      </c>
      <c r="AP88" s="75">
        <f t="array" ref="AP88">SUM((YEAR(Gastos!$A$2:$A$2500)=AP$1)*(MONTH(Gastos!$A$2:$A$2500)=AP$3)*(Gastos!$B$2:$B$2500=$A88)*(Gastos!$D$2:$D$2500))</f>
        <v>0</v>
      </c>
      <c r="AQ88" s="75">
        <f t="array" ref="AQ88">SUM((YEAR(Gastos!$A$2:$A$2500)=AQ$1)*(MONTH(Gastos!$A$2:$A$2500)=AQ$3)*(Gastos!$B$2:$B$2500=$A88)*(Gastos!$D$2:$D$2500))</f>
        <v>0</v>
      </c>
      <c r="AR88" s="75">
        <f t="array" ref="AR88">SUM((YEAR(Gastos!$A$2:$A$2500)=AR$1)*(MONTH(Gastos!$A$2:$A$2500)=AR$3)*(Gastos!$B$2:$B$2500=$A88)*(Gastos!$D$2:$D$2500))</f>
        <v>0</v>
      </c>
      <c r="AS88" s="75">
        <f t="array" ref="AS88">SUM((YEAR(Gastos!$A$2:$A$2500)=AS$1)*(MONTH(Gastos!$A$2:$A$2500)=AS$3)*(Gastos!$B$2:$B$2500=$A88)*(Gastos!$D$2:$D$2500))</f>
        <v>0</v>
      </c>
      <c r="AT88" s="75">
        <f t="array" ref="AT88">SUM((YEAR(Gastos!$A$2:$A$2500)=AT$1)*(MONTH(Gastos!$A$2:$A$2500)=AT$3)*(Gastos!$B$2:$B$2500=$A88)*(Gastos!$D$2:$D$2500))</f>
        <v>0</v>
      </c>
      <c r="AU88" s="75">
        <f t="array" ref="AU88">SUM((YEAR(Gastos!$A$2:$A$2500)=AU$1)*(MONTH(Gastos!$A$2:$A$2500)=AU$3)*(Gastos!$B$2:$B$2500=$A88)*(Gastos!$D$2:$D$2500))</f>
        <v>0</v>
      </c>
      <c r="AV88" s="75">
        <f t="array" ref="AV88">SUM((YEAR(Gastos!$A$2:$A$2500)=AV$1)*(MONTH(Gastos!$A$2:$A$2500)=AV$3)*(Gastos!$B$2:$B$2500=$A88)*(Gastos!$D$2:$D$2500))</f>
        <v>0</v>
      </c>
      <c r="AW88" s="75">
        <f t="array" ref="AW88">SUM((YEAR(Gastos!$A$2:$A$2500)=AW$1)*(MONTH(Gastos!$A$2:$A$2500)=AW$3)*(Gastos!$B$2:$B$2500=$A88)*(Gastos!$D$2:$D$2500))</f>
        <v>0</v>
      </c>
      <c r="AX88" s="75">
        <f t="array" ref="AX88">SUM((YEAR(Gastos!$A$2:$A$2500)=AX$1)*(MONTH(Gastos!$A$2:$A$2500)=AX$3)*(Gastos!$B$2:$B$2500=$A88)*(Gastos!$D$2:$D$2500))</f>
        <v>0</v>
      </c>
      <c r="AY88" s="75">
        <f t="array" ref="AY88">SUM((YEAR(Gastos!$A$2:$A$2500)=AY$1)*(MONTH(Gastos!$A$2:$A$2500)=AY$3)*(Gastos!$B$2:$B$2500=$A88)*(Gastos!$D$2:$D$2500))</f>
        <v>0</v>
      </c>
      <c r="AZ88" s="75">
        <f t="array" ref="AZ88">SUM((YEAR(Gastos!$A$2:$A$2500)=AZ$1)*(MONTH(Gastos!$A$2:$A$2500)=AZ$3)*(Gastos!$B$2:$B$2500=$A88)*(Gastos!$D$2:$D$2500))</f>
        <v>0</v>
      </c>
      <c r="BA88" s="75">
        <f t="array" ref="BA88">SUM((YEAR(Gastos!$A$2:$A$2500)=BA$1)*(MONTH(Gastos!$A$2:$A$2500)=BA$3)*(Gastos!$B$2:$B$2500=$A88)*(Gastos!$D$2:$D$2500))</f>
        <v>0</v>
      </c>
      <c r="BB88" s="75">
        <f t="array" ref="BB88">SUM((YEAR(Gastos!$A$2:$A$2500)=BB$1)*(MONTH(Gastos!$A$2:$A$2500)=BB$3)*(Gastos!$B$2:$B$2500=$A88)*(Gastos!$D$2:$D$2500))</f>
        <v>0</v>
      </c>
      <c r="BC88" s="75">
        <f t="array" ref="BC88">SUM((YEAR(Gastos!$A$2:$A$2500)=BC$1)*(MONTH(Gastos!$A$2:$A$2500)=BC$3)*(Gastos!$B$2:$B$2500=$A88)*(Gastos!$D$2:$D$2500))</f>
        <v>0</v>
      </c>
      <c r="BD88" s="75">
        <f t="array" ref="BD88">SUM((YEAR(Gastos!$A$2:$A$2500)=BD$1)*(MONTH(Gastos!$A$2:$A$2500)=BD$3)*(Gastos!$B$2:$B$2500=$A88)*(Gastos!$D$2:$D$2500))</f>
        <v>0</v>
      </c>
      <c r="BE88" s="75">
        <f t="array" ref="BE88">SUM((YEAR(Gastos!$A$2:$A$2500)=BE$1)*(MONTH(Gastos!$A$2:$A$2500)=BE$3)*(Gastos!$B$2:$B$2500=$A88)*(Gastos!$D$2:$D$2500))</f>
        <v>0</v>
      </c>
      <c r="BF88" s="75">
        <f t="array" ref="BF88">SUM((YEAR(Gastos!$A$2:$A$2500)=BF$1)*(MONTH(Gastos!$A$2:$A$2500)=BF$3)*(Gastos!$B$2:$B$2500=$A88)*(Gastos!$D$2:$D$2500))</f>
        <v>0</v>
      </c>
      <c r="BG88" s="75">
        <f t="array" ref="BG88">SUM((YEAR(Gastos!$A$2:$A$2500)=BG$1)*(MONTH(Gastos!$A$2:$A$2500)=BG$3)*(Gastos!$B$2:$B$2500=$A88)*(Gastos!$D$2:$D$2500))</f>
        <v>0</v>
      </c>
      <c r="BH88" s="75">
        <f t="array" ref="BH88">SUM((YEAR(Gastos!$A$2:$A$2500)=BH$1)*(MONTH(Gastos!$A$2:$A$2500)=BH$3)*(Gastos!$B$2:$B$2500=$A88)*(Gastos!$D$2:$D$2500))</f>
        <v>0</v>
      </c>
      <c r="BI88" s="75">
        <f t="array" ref="BI88">SUM((YEAR(Gastos!$A$2:$A$2500)=BI$1)*(MONTH(Gastos!$A$2:$A$2500)=BI$3)*(Gastos!$B$2:$B$2500=$A88)*(Gastos!$D$2:$D$2500))</f>
        <v>0</v>
      </c>
      <c r="BJ88" s="75">
        <f t="array" ref="BJ88">SUM((YEAR(Gastos!$A$2:$A$2500)=BJ$1)*(MONTH(Gastos!$A$2:$A$2500)=BJ$3)*(Gastos!$B$2:$B$2500=$A88)*(Gastos!$D$2:$D$2500))</f>
        <v>0</v>
      </c>
      <c r="BK88" s="75">
        <f t="array" ref="BK88">SUM((YEAR(Gastos!$A$2:$A$2500)=BK$1)*(MONTH(Gastos!$A$2:$A$2500)=BK$3)*(Gastos!$B$2:$B$2500=$A88)*(Gastos!$D$2:$D$2500))</f>
        <v>0</v>
      </c>
      <c r="BL88" s="75">
        <f t="array" ref="BL88">SUM((YEAR(Gastos!$A$2:$A$2500)=BL$1)*(MONTH(Gastos!$A$2:$A$2500)=BL$3)*(Gastos!$B$2:$B$2500=$A88)*(Gastos!$D$2:$D$2500))</f>
        <v>0</v>
      </c>
      <c r="BM88" s="75">
        <f t="array" ref="BM88">SUM((YEAR(Gastos!$A$2:$A$2500)=BM$1)*(MONTH(Gastos!$A$2:$A$2500)=BM$3)*(Gastos!$B$2:$B$2500=$A88)*(Gastos!$D$2:$D$2500))</f>
        <v>0</v>
      </c>
      <c r="BN88" s="75">
        <f t="array" ref="BN88">SUM((YEAR(Gastos!$A$2:$A$2500)=BN$1)*(MONTH(Gastos!$A$2:$A$2500)=BN$3)*(Gastos!$B$2:$B$2500=$A88)*(Gastos!$D$2:$D$2500))</f>
        <v>0</v>
      </c>
      <c r="BO88" s="75">
        <f t="array" ref="BO88">SUM((YEAR(Gastos!$A$2:$A$2500)=BO$1)*(MONTH(Gastos!$A$2:$A$2500)=BO$3)*(Gastos!$B$2:$B$2500=$A88)*(Gastos!$D$2:$D$2500))</f>
        <v>0</v>
      </c>
      <c r="BP88" s="75">
        <f t="array" ref="BP88">SUM((YEAR(Gastos!$A$2:$A$2500)=BP$1)*(MONTH(Gastos!$A$2:$A$2500)=BP$3)*(Gastos!$B$2:$B$2500=$A88)*(Gastos!$D$2:$D$2500))</f>
        <v>0</v>
      </c>
      <c r="BQ88" s="75">
        <f t="array" ref="BQ88">SUM((YEAR(Gastos!$A$2:$A$2500)=BQ$1)*(MONTH(Gastos!$A$2:$A$2500)=BQ$3)*(Gastos!$B$2:$B$2500=$A88)*(Gastos!$D$2:$D$2500))</f>
        <v>0</v>
      </c>
      <c r="BR88" s="75">
        <f t="array" ref="BR88">SUM((YEAR(Gastos!$A$2:$A$2500)=BR$1)*(MONTH(Gastos!$A$2:$A$2500)=BR$3)*(Gastos!$B$2:$B$2500=$A88)*(Gastos!$D$2:$D$2500))</f>
        <v>0</v>
      </c>
      <c r="BS88" s="75">
        <f t="array" ref="BS88">SUM((YEAR(Gastos!$A$2:$A$2500)=BS$1)*(MONTH(Gastos!$A$2:$A$2500)=BS$3)*(Gastos!$B$2:$B$2500=$A88)*(Gastos!$D$2:$D$2500))</f>
        <v>0</v>
      </c>
      <c r="BT88" s="75">
        <f t="array" ref="BT88">SUM((YEAR(Gastos!$A$2:$A$2500)=BT$1)*(MONTH(Gastos!$A$2:$A$2500)=BT$3)*(Gastos!$B$2:$B$2500=$A88)*(Gastos!$D$2:$D$2500))</f>
        <v>0</v>
      </c>
      <c r="BU88" s="75">
        <f t="array" ref="BU88">SUM((YEAR(Gastos!$A$2:$A$2500)=BU$1)*(MONTH(Gastos!$A$2:$A$2500)=BU$3)*(Gastos!$B$2:$B$2500=$A88)*(Gastos!$D$2:$D$2500))</f>
        <v>0</v>
      </c>
      <c r="BV88" s="75">
        <f t="array" ref="BV88">SUM((YEAR(Gastos!$A$2:$A$2500)=BV$1)*(MONTH(Gastos!$A$2:$A$2500)=BV$3)*(Gastos!$B$2:$B$2500=$A88)*(Gastos!$D$2:$D$2500))</f>
        <v>0</v>
      </c>
      <c r="BW88" s="75">
        <f t="array" ref="BW88">SUM((YEAR(Gastos!$A$2:$A$2500)=BW$1)*(MONTH(Gastos!$A$2:$A$2500)=BW$3)*(Gastos!$B$2:$B$2500=$A88)*(Gastos!$D$2:$D$2500))</f>
        <v>0</v>
      </c>
      <c r="BX88" s="75">
        <f t="array" ref="BX88">SUM((YEAR(Gastos!$A$2:$A$2500)=BX$1)*(MONTH(Gastos!$A$2:$A$2500)=BX$3)*(Gastos!$B$2:$B$2500=$A88)*(Gastos!$D$2:$D$2500))</f>
        <v>0</v>
      </c>
      <c r="BY88" s="75">
        <f t="array" ref="BY88">SUM((YEAR(Gastos!$A$2:$A$2500)=BY$1)*(MONTH(Gastos!$A$2:$A$2500)=BY$3)*(Gastos!$B$2:$B$2500=$A88)*(Gastos!$D$2:$D$2500))</f>
        <v>0</v>
      </c>
      <c r="BZ88" s="75">
        <f t="array" ref="BZ88">SUM((YEAR(Gastos!$A$2:$A$2500)=BZ$1)*(MONTH(Gastos!$A$2:$A$2500)=BZ$3)*(Gastos!$B$2:$B$2500=$A88)*(Gastos!$D$2:$D$2500))</f>
        <v>0</v>
      </c>
      <c r="CA88" s="75">
        <f t="array" ref="CA88">SUM((YEAR(Gastos!$A$2:$A$2500)=CA$1)*(MONTH(Gastos!$A$2:$A$2500)=CA$3)*(Gastos!$B$2:$B$2500=$A88)*(Gastos!$D$2:$D$2500))</f>
        <v>0</v>
      </c>
      <c r="CB88" s="75">
        <f t="array" ref="CB88">SUM((YEAR(Gastos!$A$2:$A$2500)=CB$1)*(MONTH(Gastos!$A$2:$A$2500)=CB$3)*(Gastos!$B$2:$B$2500=$A88)*(Gastos!$D$2:$D$2500))</f>
        <v>0</v>
      </c>
      <c r="CC88" s="75">
        <f t="array" ref="CC88">SUM((YEAR(Gastos!$A$2:$A$2500)=CC$1)*(MONTH(Gastos!$A$2:$A$2500)=CC$3)*(Gastos!$B$2:$B$2500=$A88)*(Gastos!$D$2:$D$2500))</f>
        <v>0</v>
      </c>
      <c r="CD88" s="75">
        <f t="array" ref="CD88">SUM((YEAR(Gastos!$A$2:$A$2500)=CD$1)*(MONTH(Gastos!$A$2:$A$2500)=CD$3)*(Gastos!$B$2:$B$2500=$A88)*(Gastos!$D$2:$D$2500))</f>
        <v>0</v>
      </c>
      <c r="CE88" s="75">
        <f t="array" ref="CE88">SUM((YEAR(Gastos!$A$2:$A$2500)=CE$1)*(MONTH(Gastos!$A$2:$A$2500)=CE$3)*(Gastos!$B$2:$B$2500=$A88)*(Gastos!$D$2:$D$2500))</f>
        <v>0</v>
      </c>
      <c r="CF88" s="75">
        <f t="array" ref="CF88">SUM((YEAR(Gastos!$A$2:$A$2500)=CF$1)*(MONTH(Gastos!$A$2:$A$2500)=CF$3)*(Gastos!$B$2:$B$2500=$A88)*(Gastos!$D$2:$D$2500))</f>
        <v>0</v>
      </c>
      <c r="CG88" s="75">
        <f t="array" ref="CG88">SUM((YEAR(Gastos!$A$2:$A$2500)=CG$1)*(MONTH(Gastos!$A$2:$A$2500)=CG$3)*(Gastos!$B$2:$B$2500=$A88)*(Gastos!$D$2:$D$2500))</f>
        <v>0</v>
      </c>
      <c r="CH88" s="75">
        <f t="array" ref="CH88">SUM((YEAR(Gastos!$A$2:$A$2500)=CH$1)*(MONTH(Gastos!$A$2:$A$2500)=CH$3)*(Gastos!$B$2:$B$2500=$A88)*(Gastos!$D$2:$D$2500))</f>
        <v>0</v>
      </c>
      <c r="CI88" s="75">
        <f t="array" ref="CI88">SUM((YEAR(Gastos!$A$2:$A$2500)=CI$1)*(MONTH(Gastos!$A$2:$A$2500)=CI$3)*(Gastos!$B$2:$B$2500=$A88)*(Gastos!$D$2:$D$2500))</f>
        <v>0</v>
      </c>
      <c r="CJ88" s="75">
        <f t="array" ref="CJ88">SUM((YEAR(Gastos!$A$2:$A$2500)=CJ$1)*(MONTH(Gastos!$A$2:$A$2500)=CJ$3)*(Gastos!$B$2:$B$2500=$A88)*(Gastos!$D$2:$D$2500))</f>
        <v>0</v>
      </c>
      <c r="CK88" s="75">
        <f t="array" ref="CK88">SUM((YEAR(Gastos!$A$2:$A$2500)=CK$1)*(MONTH(Gastos!$A$2:$A$2500)=CK$3)*(Gastos!$B$2:$B$2500=$A88)*(Gastos!$D$2:$D$2500))</f>
        <v>0</v>
      </c>
      <c r="CL88" s="75">
        <f t="array" ref="CL88">SUM((YEAR(Gastos!$A$2:$A$2500)=CL$1)*(MONTH(Gastos!$A$2:$A$2500)=CL$3)*(Gastos!$B$2:$B$2500=$A88)*(Gastos!$D$2:$D$2500))</f>
        <v>0</v>
      </c>
      <c r="CM88" s="75">
        <f t="array" ref="CM88">SUM((YEAR(Gastos!$A$2:$A$2500)=CM$1)*(MONTH(Gastos!$A$2:$A$2500)=CM$3)*(Gastos!$B$2:$B$2500=$A88)*(Gastos!$D$2:$D$2500))</f>
        <v>0</v>
      </c>
      <c r="CN88" s="75">
        <f t="array" ref="CN88">SUM((YEAR(Gastos!$A$2:$A$2500)=CN$1)*(MONTH(Gastos!$A$2:$A$2500)=CN$3)*(Gastos!$B$2:$B$2500=$A88)*(Gastos!$D$2:$D$2500))</f>
        <v>0</v>
      </c>
      <c r="CO88" s="75">
        <f t="array" ref="CO88">SUM((YEAR(Gastos!$A$2:$A$2500)=CO$1)*(MONTH(Gastos!$A$2:$A$2500)=CO$3)*(Gastos!$B$2:$B$2500=$A88)*(Gastos!$D$2:$D$2500))</f>
        <v>0</v>
      </c>
      <c r="CP88" s="75">
        <f t="array" ref="CP88">SUM((YEAR(Gastos!$A$2:$A$2500)=CP$1)*(MONTH(Gastos!$A$2:$A$2500)=CP$3)*(Gastos!$B$2:$B$2500=$A88)*(Gastos!$D$2:$D$2500))</f>
        <v>0</v>
      </c>
      <c r="CQ88" s="75">
        <f t="array" ref="CQ88">SUM((YEAR(Gastos!$A$2:$A$2500)=CQ$1)*(MONTH(Gastos!$A$2:$A$2500)=CQ$3)*(Gastos!$B$2:$B$2500=$A88)*(Gastos!$D$2:$D$2500))</f>
        <v>0</v>
      </c>
      <c r="CR88" s="75">
        <f t="array" ref="CR88">SUM((YEAR(Gastos!$A$2:$A$2500)=CR$1)*(MONTH(Gastos!$A$2:$A$2500)=CR$3)*(Gastos!$B$2:$B$2500=$A88)*(Gastos!$D$2:$D$2500))</f>
        <v>0</v>
      </c>
      <c r="CS88" s="75">
        <f t="array" ref="CS88">SUM((YEAR(Gastos!$A$2:$A$2500)=CS$1)*(MONTH(Gastos!$A$2:$A$2500)=CS$3)*(Gastos!$B$2:$B$2500=$A88)*(Gastos!$D$2:$D$2500))</f>
        <v>0</v>
      </c>
      <c r="CT88" s="75">
        <f t="array" ref="CT88">SUM((YEAR(Gastos!$A$2:$A$2500)=CT$1)*(MONTH(Gastos!$A$2:$A$2500)=CT$3)*(Gastos!$B$2:$B$2500=$A88)*(Gastos!$D$2:$D$2500))</f>
        <v>0</v>
      </c>
      <c r="CU88" s="75">
        <f t="array" ref="CU88">SUM((YEAR(Gastos!$A$2:$A$2500)=CU$1)*(MONTH(Gastos!$A$2:$A$2500)=CU$3)*(Gastos!$B$2:$B$2500=$A88)*(Gastos!$D$2:$D$2500))</f>
        <v>0</v>
      </c>
      <c r="CV88" s="75">
        <f t="array" ref="CV88">SUM((YEAR(Gastos!$A$2:$A$2500)=CV$1)*(MONTH(Gastos!$A$2:$A$2500)=CV$3)*(Gastos!$B$2:$B$2500=$A88)*(Gastos!$D$2:$D$2500))</f>
        <v>0</v>
      </c>
      <c r="CW88" s="75">
        <f t="array" ref="CW88">SUM((YEAR(Gastos!$A$2:$A$2500)=CW$1)*(MONTH(Gastos!$A$2:$A$2500)=CW$3)*(Gastos!$B$2:$B$2500=$A88)*(Gastos!$D$2:$D$2500))</f>
        <v>0</v>
      </c>
      <c r="CX88" s="75">
        <f t="array" ref="CX88">SUM((YEAR(Gastos!$A$2:$A$2500)=CX$1)*(MONTH(Gastos!$A$2:$A$2500)=CX$3)*(Gastos!$B$2:$B$2500=$A88)*(Gastos!$D$2:$D$2500))</f>
        <v>0</v>
      </c>
      <c r="CY88" s="75">
        <f t="array" ref="CY88">SUM((YEAR(Gastos!$A$2:$A$2500)=CY$1)*(MONTH(Gastos!$A$2:$A$2500)=CY$3)*(Gastos!$B$2:$B$2500=$A88)*(Gastos!$D$2:$D$2500))</f>
        <v>0</v>
      </c>
      <c r="CZ88" s="75">
        <f t="array" ref="CZ88">SUM((YEAR(Gastos!$A$2:$A$2500)=CZ$1)*(MONTH(Gastos!$A$2:$A$2500)=CZ$3)*(Gastos!$B$2:$B$2500=$A88)*(Gastos!$D$2:$D$2500))</f>
        <v>0</v>
      </c>
      <c r="DA88" s="75">
        <f t="array" ref="DA88">SUM((YEAR(Gastos!$A$2:$A$2500)=DA$1)*(MONTH(Gastos!$A$2:$A$2500)=DA$3)*(Gastos!$B$2:$B$2500=$A88)*(Gastos!$D$2:$D$2500))</f>
        <v>0</v>
      </c>
      <c r="DB88" s="75">
        <f t="array" ref="DB88">SUM((YEAR(Gastos!$A$2:$A$2500)=DB$1)*(MONTH(Gastos!$A$2:$A$2500)=DB$3)*(Gastos!$B$2:$B$2500=$A88)*(Gastos!$D$2:$D$2500))</f>
        <v>0</v>
      </c>
      <c r="DC88" s="75">
        <f t="array" ref="DC88">SUM((YEAR(Gastos!$A$2:$A$2500)=DC$1)*(MONTH(Gastos!$A$2:$A$2500)=DC$3)*(Gastos!$B$2:$B$2500=$A88)*(Gastos!$D$2:$D$2500))</f>
        <v>0</v>
      </c>
      <c r="DD88" s="75">
        <f t="array" ref="DD88">SUM((YEAR(Gastos!$A$2:$A$2500)=DD$1)*(MONTH(Gastos!$A$2:$A$2500)=DD$3)*(Gastos!$B$2:$B$2500=$A88)*(Gastos!$D$2:$D$2500))</f>
        <v>0</v>
      </c>
      <c r="DE88" s="75">
        <f t="array" ref="DE88">SUM((YEAR(Gastos!$A$2:$A$2500)=DE$1)*(MONTH(Gastos!$A$2:$A$2500)=DE$3)*(Gastos!$B$2:$B$2500=$A88)*(Gastos!$D$2:$D$2500))</f>
        <v>0</v>
      </c>
      <c r="DF88" s="75">
        <f t="array" ref="DF88">SUM((YEAR(Gastos!$A$2:$A$2500)=DF$1)*(MONTH(Gastos!$A$2:$A$2500)=DF$3)*(Gastos!$B$2:$B$2500=$A88)*(Gastos!$D$2:$D$2500))</f>
        <v>0</v>
      </c>
      <c r="DG88" s="75">
        <f t="array" ref="DG88">SUM((YEAR(Gastos!$A$2:$A$2500)=DG$1)*(MONTH(Gastos!$A$2:$A$2500)=DG$3)*(Gastos!$B$2:$B$2500=$A88)*(Gastos!$D$2:$D$2500))</f>
        <v>0</v>
      </c>
      <c r="DH88" s="75">
        <f t="array" ref="DH88">SUM((YEAR(Gastos!$A$2:$A$2500)=DH$1)*(MONTH(Gastos!$A$2:$A$2500)=DH$3)*(Gastos!$B$2:$B$2500=$A88)*(Gastos!$D$2:$D$2500))</f>
        <v>0</v>
      </c>
      <c r="DI88" s="75">
        <f t="array" ref="DI88">SUM((YEAR(Gastos!$A$2:$A$2500)=DI$1)*(MONTH(Gastos!$A$2:$A$2500)=DI$3)*(Gastos!$B$2:$B$2500=$A88)*(Gastos!$D$2:$D$2500))</f>
        <v>0</v>
      </c>
      <c r="DJ88" s="75">
        <f t="array" ref="DJ88">SUM((YEAR(Gastos!$A$2:$A$2500)=DJ$1)*(MONTH(Gastos!$A$2:$A$2500)=DJ$3)*(Gastos!$B$2:$B$2500=$A88)*(Gastos!$D$2:$D$2500))</f>
        <v>0</v>
      </c>
      <c r="DK88" s="75">
        <f t="array" ref="DK88">SUM((YEAR(Gastos!$A$2:$A$2500)=DK$1)*(MONTH(Gastos!$A$2:$A$2500)=DK$3)*(Gastos!$B$2:$B$2500=$A88)*(Gastos!$D$2:$D$2500))</f>
        <v>0</v>
      </c>
      <c r="DL88" s="75">
        <f t="array" ref="DL88">SUM((YEAR(Gastos!$A$2:$A$2500)=DL$1)*(MONTH(Gastos!$A$2:$A$2500)=DL$3)*(Gastos!$B$2:$B$2500=$A88)*(Gastos!$D$2:$D$2500))</f>
        <v>0</v>
      </c>
      <c r="DM88" s="75">
        <f t="array" ref="DM88">SUM((YEAR(Gastos!$A$2:$A$2500)=DM$1)*(MONTH(Gastos!$A$2:$A$2500)=DM$3)*(Gastos!$B$2:$B$2500=$A88)*(Gastos!$D$2:$D$2500))</f>
        <v>0</v>
      </c>
      <c r="DN88" s="75">
        <f t="array" ref="DN88">SUM((YEAR(Gastos!$A$2:$A$2500)=DN$1)*(MONTH(Gastos!$A$2:$A$2500)=DN$3)*(Gastos!$B$2:$B$2500=$A88)*(Gastos!$D$2:$D$2500))</f>
        <v>0</v>
      </c>
      <c r="DO88" s="75">
        <f t="array" ref="DO88">SUM((YEAR(Gastos!$A$2:$A$2500)=DO$1)*(MONTH(Gastos!$A$2:$A$2500)=DO$3)*(Gastos!$B$2:$B$2500=$A88)*(Gastos!$D$2:$D$2500))</f>
        <v>0</v>
      </c>
      <c r="DP88" s="75">
        <f t="array" ref="DP88">SUM((YEAR(Gastos!$A$2:$A$2500)=DP$1)*(MONTH(Gastos!$A$2:$A$2500)=DP$3)*(Gastos!$B$2:$B$2500=$A88)*(Gastos!$D$2:$D$2500))</f>
        <v>0</v>
      </c>
      <c r="DQ88" s="75">
        <f t="array" ref="DQ88">SUM((YEAR(Gastos!$A$2:$A$2500)=DQ$1)*(MONTH(Gastos!$A$2:$A$2500)=DQ$3)*(Gastos!$B$2:$B$2500=$A88)*(Gastos!$D$2:$D$2500))</f>
        <v>0</v>
      </c>
      <c r="DR88" s="75">
        <f t="array" ref="DR88">SUM((YEAR(Gastos!$A$2:$A$2500)=DR$1)*(MONTH(Gastos!$A$2:$A$2500)=DR$3)*(Gastos!$B$2:$B$2500=$A88)*(Gastos!$D$2:$D$2500))</f>
        <v>0</v>
      </c>
      <c r="DS88" s="75">
        <f t="array" ref="DS88">SUM((YEAR(Gastos!$A$2:$A$2500)=DS$1)*(MONTH(Gastos!$A$2:$A$2500)=DS$3)*(Gastos!$B$2:$B$2500=$A88)*(Gastos!$D$2:$D$2500))</f>
        <v>0</v>
      </c>
      <c r="DT88" s="75">
        <f t="array" ref="DT88">SUM((YEAR(Gastos!$A$2:$A$2500)=DT$1)*(MONTH(Gastos!$A$2:$A$2500)=DT$3)*(Gastos!$B$2:$B$2500=$A88)*(Gastos!$D$2:$D$2500))</f>
        <v>0</v>
      </c>
      <c r="DU88" s="75">
        <f t="array" ref="DU88">SUM((YEAR(Gastos!$A$2:$A$2500)=DU$1)*(MONTH(Gastos!$A$2:$A$2500)=DU$3)*(Gastos!$B$2:$B$2500=$A88)*(Gastos!$D$2:$D$2500))</f>
        <v>0</v>
      </c>
      <c r="DV88" s="75">
        <f t="array" ref="DV88">SUM((YEAR(Gastos!$A$2:$A$2500)=DV$1)*(MONTH(Gastos!$A$2:$A$2500)=DV$3)*(Gastos!$B$2:$B$2500=$A88)*(Gastos!$D$2:$D$2500))</f>
        <v>0</v>
      </c>
      <c r="DW88" s="75">
        <f t="array" ref="DW88">SUM((YEAR(Gastos!$A$2:$A$2500)=DW$1)*(MONTH(Gastos!$A$2:$A$2500)=DW$3)*(Gastos!$B$2:$B$2500=$A88)*(Gastos!$D$2:$D$2500))</f>
        <v>0</v>
      </c>
      <c r="DX88" s="75">
        <f t="array" ref="DX88">SUM((YEAR(Gastos!$A$2:$A$2500)=DX$1)*(MONTH(Gastos!$A$2:$A$2500)=DX$3)*(Gastos!$B$2:$B$2500=$A88)*(Gastos!$D$2:$D$2500))</f>
        <v>0</v>
      </c>
      <c r="DY88" s="75">
        <f t="array" ref="DY88">SUM((YEAR(Gastos!$A$2:$A$2500)=DY$1)*(MONTH(Gastos!$A$2:$A$2500)=DY$3)*(Gastos!$B$2:$B$2500=$A88)*(Gastos!$D$2:$D$2500))</f>
        <v>0</v>
      </c>
      <c r="DZ88" s="75">
        <f t="array" ref="DZ88">SUM((YEAR(Gastos!$A$2:$A$2500)=DZ$1)*(MONTH(Gastos!$A$2:$A$2500)=DZ$3)*(Gastos!$B$2:$B$2500=$A88)*(Gastos!$D$2:$D$2500))</f>
        <v>0</v>
      </c>
      <c r="EA88" s="75">
        <f t="array" ref="EA88">SUM((YEAR(Gastos!$A$2:$A$2500)=EA$1)*(MONTH(Gastos!$A$2:$A$2500)=EA$3)*(Gastos!$B$2:$B$2500=$A88)*(Gastos!$D$2:$D$2500))</f>
        <v>0</v>
      </c>
      <c r="EB88" s="75">
        <f t="array" ref="EB88">SUM((YEAR(Gastos!$A$2:$A$2500)=EB$1)*(MONTH(Gastos!$A$2:$A$2500)=EB$3)*(Gastos!$B$2:$B$2500=$A88)*(Gastos!$D$2:$D$2500))</f>
        <v>0</v>
      </c>
      <c r="EC88" s="75">
        <f t="array" ref="EC88">SUM((YEAR(Gastos!$A$2:$A$2500)=EC$1)*(MONTH(Gastos!$A$2:$A$2500)=EC$3)*(Gastos!$B$2:$B$2500=$A88)*(Gastos!$D$2:$D$2500))</f>
        <v>0</v>
      </c>
      <c r="ED88" s="75">
        <f t="array" ref="ED88">SUM((YEAR(Gastos!$A$2:$A$2500)=ED$1)*(MONTH(Gastos!$A$2:$A$2500)=ED$3)*(Gastos!$B$2:$B$2500=$A88)*(Gastos!$D$2:$D$2500))</f>
        <v>0</v>
      </c>
      <c r="EE88" s="75">
        <f t="array" ref="EE88">SUM((YEAR(Gastos!$A$2:$A$2500)=EE$1)*(MONTH(Gastos!$A$2:$A$2500)=EE$3)*(Gastos!$B$2:$B$2500=$A88)*(Gastos!$D$2:$D$2500))</f>
        <v>0</v>
      </c>
      <c r="EF88" s="75">
        <f t="array" ref="EF88">SUM((YEAR(Gastos!$A$2:$A$2500)=EF$1)*(MONTH(Gastos!$A$2:$A$2500)=EF$3)*(Gastos!$B$2:$B$2500=$A88)*(Gastos!$D$2:$D$2500))</f>
        <v>0</v>
      </c>
      <c r="EG88" s="75">
        <f t="array" ref="EG88">SUM((YEAR(Gastos!$A$2:$A$2500)=EG$1)*(MONTH(Gastos!$A$2:$A$2500)=EG$3)*(Gastos!$B$2:$B$2500=$A88)*(Gastos!$D$2:$D$2500))</f>
        <v>0</v>
      </c>
      <c r="EH88" s="75">
        <f t="array" ref="EH88">SUM((YEAR(Gastos!$A$2:$A$2500)=EH$1)*(MONTH(Gastos!$A$2:$A$2500)=EH$3)*(Gastos!$B$2:$B$2500=$A88)*(Gastos!$D$2:$D$2500))</f>
        <v>0</v>
      </c>
      <c r="EI88" s="75">
        <f t="array" ref="EI88">SUM((YEAR(Gastos!$A$2:$A$2500)=EI$1)*(MONTH(Gastos!$A$2:$A$2500)=EI$3)*(Gastos!$B$2:$B$2500=$A88)*(Gastos!$D$2:$D$2500))</f>
        <v>0</v>
      </c>
      <c r="EJ88" s="75">
        <f t="array" ref="EJ88">SUM((YEAR(Gastos!$A$2:$A$2500)=EJ$1)*(MONTH(Gastos!$A$2:$A$2500)=EJ$3)*(Gastos!$B$2:$B$2500=$A88)*(Gastos!$D$2:$D$2500))</f>
        <v>0</v>
      </c>
      <c r="EK88" s="75">
        <f t="array" ref="EK88">SUM((YEAR(Gastos!$A$2:$A$2500)=EK$1)*(MONTH(Gastos!$A$2:$A$2500)=EK$3)*(Gastos!$B$2:$B$2500=$A88)*(Gastos!$D$2:$D$2500))</f>
        <v>0</v>
      </c>
      <c r="EL88" s="75">
        <f t="array" ref="EL88">SUM((YEAR(Gastos!$A$2:$A$2500)=EL$1)*(MONTH(Gastos!$A$2:$A$2500)=EL$3)*(Gastos!$B$2:$B$2500=$A88)*(Gastos!$D$2:$D$2500))</f>
        <v>0</v>
      </c>
      <c r="EM88" s="75">
        <f t="array" ref="EM88">SUM((YEAR(Gastos!$A$2:$A$2500)=EM$1)*(MONTH(Gastos!$A$2:$A$2500)=EM$3)*(Gastos!$B$2:$B$2500=$A88)*(Gastos!$D$2:$D$2500))</f>
        <v>0</v>
      </c>
      <c r="EN88" s="75">
        <f t="array" ref="EN88">SUM((YEAR(Gastos!$A$2:$A$2500)=EN$1)*(MONTH(Gastos!$A$2:$A$2500)=EN$3)*(Gastos!$B$2:$B$2500=$A88)*(Gastos!$D$2:$D$2500))</f>
        <v>0</v>
      </c>
      <c r="EO88" s="75">
        <f t="array" ref="EO88">SUM((YEAR(Gastos!$A$2:$A$2500)=EO$1)*(MONTH(Gastos!$A$2:$A$2500)=EO$3)*(Gastos!$B$2:$B$2500=$A88)*(Gastos!$D$2:$D$2500))</f>
        <v>0</v>
      </c>
      <c r="EP88" s="75">
        <f t="array" ref="EP88">SUM((YEAR(Gastos!$A$2:$A$2500)=EP$1)*(MONTH(Gastos!$A$2:$A$2500)=EP$3)*(Gastos!$B$2:$B$2500=$A88)*(Gastos!$D$2:$D$2500))</f>
        <v>0</v>
      </c>
      <c r="EQ88" s="75">
        <f t="array" ref="EQ88">SUM((YEAR(Gastos!$A$2:$A$2500)=EQ$1)*(MONTH(Gastos!$A$2:$A$2500)=EQ$3)*(Gastos!$B$2:$B$2500=$A88)*(Gastos!$D$2:$D$2500))</f>
        <v>0</v>
      </c>
      <c r="ER88" s="75">
        <f t="array" ref="ER88">SUM((YEAR(Gastos!$A$2:$A$2500)=ER$1)*(MONTH(Gastos!$A$2:$A$2500)=ER$3)*(Gastos!$B$2:$B$2500=$A88)*(Gastos!$D$2:$D$2500))</f>
        <v>0</v>
      </c>
      <c r="ES88" s="75">
        <f t="array" ref="ES88">SUM((YEAR(Gastos!$A$2:$A$2500)=ES$1)*(MONTH(Gastos!$A$2:$A$2500)=ES$3)*(Gastos!$B$2:$B$2500=$A88)*(Gastos!$D$2:$D$2500))</f>
        <v>0</v>
      </c>
      <c r="ET88" s="75">
        <f t="array" ref="ET88">SUM((YEAR(Gastos!$A$2:$A$2500)=ET$1)*(MONTH(Gastos!$A$2:$A$2500)=ET$3)*(Gastos!$B$2:$B$2500=$A88)*(Gastos!$D$2:$D$2500))</f>
        <v>0</v>
      </c>
      <c r="EU88" s="75">
        <f t="array" ref="EU88">SUM((YEAR(Gastos!$A$2:$A$2500)=EU$1)*(MONTH(Gastos!$A$2:$A$2500)=EU$3)*(Gastos!$B$2:$B$2500=$A88)*(Gastos!$D$2:$D$2500))</f>
        <v>0</v>
      </c>
      <c r="EV88" s="75">
        <f t="array" ref="EV88">SUM((YEAR(Gastos!$A$2:$A$2500)=EV$1)*(MONTH(Gastos!$A$2:$A$2500)=EV$3)*(Gastos!$B$2:$B$2500=$A88)*(Gastos!$D$2:$D$2500))</f>
        <v>0</v>
      </c>
      <c r="EW88" s="75">
        <f t="array" ref="EW88">SUM((YEAR(Gastos!$A$2:$A$2500)=EW$1)*(MONTH(Gastos!$A$2:$A$2500)=EW$3)*(Gastos!$B$2:$B$2500=$A88)*(Gastos!$D$2:$D$2500))</f>
        <v>0</v>
      </c>
      <c r="EX88" s="75">
        <f t="array" ref="EX88">SUM((YEAR(Gastos!$A$2:$A$2500)=EX$1)*(MONTH(Gastos!$A$2:$A$2500)=EX$3)*(Gastos!$B$2:$B$2500=$A88)*(Gastos!$D$2:$D$2500))</f>
        <v>0</v>
      </c>
      <c r="EY88" s="75">
        <f t="array" ref="EY88">SUM((YEAR(Gastos!$A$2:$A$2500)=EY$1)*(MONTH(Gastos!$A$2:$A$2500)=EY$3)*(Gastos!$B$2:$B$2500=$A88)*(Gastos!$D$2:$D$2500))</f>
        <v>0</v>
      </c>
      <c r="EZ88" s="75">
        <f t="array" ref="EZ88">SUM((YEAR(Gastos!$A$2:$A$2500)=EZ$1)*(MONTH(Gastos!$A$2:$A$2500)=EZ$3)*(Gastos!$B$2:$B$2500=$A88)*(Gastos!$D$2:$D$2500))</f>
        <v>0</v>
      </c>
      <c r="FA88" s="75">
        <f t="array" ref="FA88">SUM((YEAR(Gastos!$A$2:$A$2500)=FA$1)*(MONTH(Gastos!$A$2:$A$2500)=FA$3)*(Gastos!$B$2:$B$2500=$A88)*(Gastos!$D$2:$D$2500))</f>
        <v>0</v>
      </c>
      <c r="FB88" s="75">
        <f t="array" ref="FB88">SUM((YEAR(Gastos!$A$2:$A$2500)=FB$1)*(MONTH(Gastos!$A$2:$A$2500)=FB$3)*(Gastos!$B$2:$B$2500=$A88)*(Gastos!$D$2:$D$2500))</f>
        <v>0</v>
      </c>
      <c r="FC88" s="75">
        <f t="array" ref="FC88">SUM((YEAR(Gastos!$A$2:$A$2500)=FC$1)*(MONTH(Gastos!$A$2:$A$2500)=FC$3)*(Gastos!$B$2:$B$2500=$A88)*(Gastos!$D$2:$D$2500))</f>
        <v>0</v>
      </c>
      <c r="FD88" s="75">
        <f t="array" ref="FD88">SUM((YEAR(Gastos!$A$2:$A$2500)=FD$1)*(MONTH(Gastos!$A$2:$A$2500)=FD$3)*(Gastos!$B$2:$B$2500=$A88)*(Gastos!$D$2:$D$2500))</f>
        <v>0</v>
      </c>
      <c r="FE88" s="75">
        <f t="array" ref="FE88">SUM((YEAR(Gastos!$A$2:$A$2500)=FE$1)*(MONTH(Gastos!$A$2:$A$2500)=FE$3)*(Gastos!$B$2:$B$2500=$A88)*(Gastos!$D$2:$D$2500))</f>
        <v>0</v>
      </c>
      <c r="FF88" s="75">
        <f t="array" ref="FF88">SUM((YEAR(Gastos!$A$2:$A$2500)=FF$1)*(MONTH(Gastos!$A$2:$A$2500)=FF$3)*(Gastos!$B$2:$B$2500=$A88)*(Gastos!$D$2:$D$2500))</f>
        <v>0</v>
      </c>
      <c r="FG88" s="75">
        <f t="array" ref="FG88">SUM((YEAR(Gastos!$A$2:$A$2500)=FG$1)*(MONTH(Gastos!$A$2:$A$2500)=FG$3)*(Gastos!$B$2:$B$2500=$A88)*(Gastos!$D$2:$D$2500))</f>
        <v>0</v>
      </c>
      <c r="FH88" s="75">
        <f t="array" ref="FH88">SUM((YEAR(Gastos!$A$2:$A$2500)=FH$1)*(MONTH(Gastos!$A$2:$A$2500)=FH$3)*(Gastos!$B$2:$B$2500=$A88)*(Gastos!$D$2:$D$2500))</f>
        <v>0</v>
      </c>
      <c r="FI88" s="75">
        <f t="array" ref="FI88">SUM((YEAR(Gastos!$A$2:$A$2500)=FI$1)*(MONTH(Gastos!$A$2:$A$2500)=FI$3)*(Gastos!$B$2:$B$2500=$A88)*(Gastos!$D$2:$D$2500))</f>
        <v>0</v>
      </c>
      <c r="FJ88" s="75">
        <f t="array" ref="FJ88">SUM((YEAR(Gastos!$A$2:$A$2500)=FJ$1)*(MONTH(Gastos!$A$2:$A$2500)=FJ$3)*(Gastos!$B$2:$B$2500=$A88)*(Gastos!$D$2:$D$2500))</f>
        <v>0</v>
      </c>
      <c r="FK88" s="75">
        <f t="array" ref="FK88">SUM((YEAR(Gastos!$A$2:$A$2500)=FK$1)*(MONTH(Gastos!$A$2:$A$2500)=FK$3)*(Gastos!$B$2:$B$2500=$A88)*(Gastos!$D$2:$D$2500))</f>
        <v>0</v>
      </c>
      <c r="FL88" s="75">
        <f t="array" ref="FL88">SUM((YEAR(Gastos!$A$2:$A$2500)=FL$1)*(MONTH(Gastos!$A$2:$A$2500)=FL$3)*(Gastos!$B$2:$B$2500=$A88)*(Gastos!$D$2:$D$2500))</f>
        <v>0</v>
      </c>
      <c r="FM88" s="75">
        <f t="array" ref="FM88">SUM((YEAR(Gastos!$A$2:$A$2500)=FM$1)*(MONTH(Gastos!$A$2:$A$2500)=FM$3)*(Gastos!$B$2:$B$2500=$A88)*(Gastos!$D$2:$D$2500))</f>
        <v>0</v>
      </c>
      <c r="FN88" s="75">
        <f t="array" ref="FN88">SUM((YEAR(Gastos!$A$2:$A$2500)=FN$1)*(MONTH(Gastos!$A$2:$A$2500)=FN$3)*(Gastos!$B$2:$B$2500=$A88)*(Gastos!$D$2:$D$2500))</f>
        <v>0</v>
      </c>
      <c r="FO88" s="75">
        <f t="array" ref="FO88">SUM((YEAR(Gastos!$A$2:$A$2500)=FO$1)*(MONTH(Gastos!$A$2:$A$2500)=FO$3)*(Gastos!$B$2:$B$2500=$A88)*(Gastos!$D$2:$D$2500))</f>
        <v>0</v>
      </c>
      <c r="FP88" s="75">
        <f t="array" ref="FP88">SUM((YEAR(Gastos!$A$2:$A$2500)=FP$1)*(MONTH(Gastos!$A$2:$A$2500)=FP$3)*(Gastos!$B$2:$B$2500=$A88)*(Gastos!$D$2:$D$2500))</f>
        <v>0</v>
      </c>
      <c r="FQ88" s="75">
        <f t="array" ref="FQ88">SUM((YEAR(Gastos!$A$2:$A$2500)=FQ$1)*(MONTH(Gastos!$A$2:$A$2500)=FQ$3)*(Gastos!$B$2:$B$2500=$A88)*(Gastos!$D$2:$D$2500))</f>
        <v>0</v>
      </c>
      <c r="FR88" s="75">
        <f t="array" ref="FR88">SUM((YEAR(Gastos!$A$2:$A$2500)=FR$1)*(MONTH(Gastos!$A$2:$A$2500)=FR$3)*(Gastos!$B$2:$B$2500=$A88)*(Gastos!$D$2:$D$2500))</f>
        <v>0</v>
      </c>
      <c r="FS88" s="75">
        <f t="array" ref="FS88">SUM((YEAR(Gastos!$A$2:$A$2500)=FS$1)*(MONTH(Gastos!$A$2:$A$2500)=FS$3)*(Gastos!$B$2:$B$2500=$A88)*(Gastos!$D$2:$D$2500))</f>
        <v>0</v>
      </c>
      <c r="FT88" s="75">
        <f t="array" ref="FT88">SUM((YEAR(Gastos!$A$2:$A$2500)=FT$1)*(MONTH(Gastos!$A$2:$A$2500)=FT$3)*(Gastos!$B$2:$B$2500=$A88)*(Gastos!$D$2:$D$2500))</f>
        <v>0</v>
      </c>
      <c r="FU88" s="75">
        <f t="array" ref="FU88">SUM((YEAR(Gastos!$A$2:$A$2500)=FU$1)*(MONTH(Gastos!$A$2:$A$2500)=FU$3)*(Gastos!$B$2:$B$2500=$A88)*(Gastos!$D$2:$D$2500))</f>
        <v>0</v>
      </c>
      <c r="FV88" s="75">
        <f t="array" ref="FV88">SUM((YEAR(Gastos!$A$2:$A$2500)=FV$1)*(MONTH(Gastos!$A$2:$A$2500)=FV$3)*(Gastos!$B$2:$B$2500=$A88)*(Gastos!$D$2:$D$2500))</f>
        <v>0</v>
      </c>
      <c r="FW88" s="75">
        <f t="array" ref="FW88">SUM((YEAR(Gastos!$A$2:$A$2500)=FW$1)*(MONTH(Gastos!$A$2:$A$2500)=FW$3)*(Gastos!$B$2:$B$2500=$A88)*(Gastos!$D$2:$D$2500))</f>
        <v>0</v>
      </c>
      <c r="FX88" s="75">
        <f t="array" ref="FX88">SUM((YEAR(Gastos!$A$2:$A$2500)=FX$1)*(MONTH(Gastos!$A$2:$A$2500)=FX$3)*(Gastos!$B$2:$B$2500=$A88)*(Gastos!$D$2:$D$2500))</f>
        <v>0</v>
      </c>
      <c r="FY88" s="75">
        <f t="array" ref="FY88">SUM((YEAR(Gastos!$A$2:$A$2500)=FY$1)*(MONTH(Gastos!$A$2:$A$2500)=FY$3)*(Gastos!$B$2:$B$2500=$A88)*(Gastos!$D$2:$D$2500))</f>
        <v>0</v>
      </c>
      <c r="FZ88" s="76">
        <f t="shared" si="68"/>
        <v>0</v>
      </c>
      <c r="GA88" s="80"/>
      <c r="GB88" s="82"/>
    </row>
    <row r="89" spans="1:184" ht="15" thickBot="1" x14ac:dyDescent="0.4">
      <c r="A89" s="74" t="str">
        <f>Gastos!AA87</f>
        <v>X</v>
      </c>
      <c r="B89" s="75">
        <f t="array" ref="B89">SUM((YEAR(Gastos!$A$2:$A$2500)=B$1)*(MONTH(Gastos!$A$2:$A$2500)=B$3)*(Gastos!$B$2:$B$2500=$A89)*(Gastos!$D$2:$D$2500))</f>
        <v>0</v>
      </c>
      <c r="C89" s="75">
        <f t="array" ref="C89">SUM((YEAR(Gastos!$A$2:$A$2500)=C$1)*(MONTH(Gastos!$A$2:$A$2500)=C$3)*(Gastos!$B$2:$B$2500=$A89)*(Gastos!$D$2:$D$2500))</f>
        <v>0</v>
      </c>
      <c r="D89" s="75">
        <f t="array" ref="D89">SUM((YEAR(Gastos!$A$2:$A$2500)=D$1)*(MONTH(Gastos!$A$2:$A$2500)=D$3)*(Gastos!$B$2:$B$2500=$A89)*(Gastos!$D$2:$D$2500))</f>
        <v>0</v>
      </c>
      <c r="E89" s="75">
        <f t="array" ref="E89">SUM((YEAR(Gastos!$A$2:$A$2500)=E$1)*(MONTH(Gastos!$A$2:$A$2500)=E$3)*(Gastos!$B$2:$B$2500=$A89)*(Gastos!$D$2:$D$2500))</f>
        <v>0</v>
      </c>
      <c r="F89" s="75">
        <f t="array" ref="F89">SUM((YEAR(Gastos!$A$2:$A$2500)=F$1)*(MONTH(Gastos!$A$2:$A$2500)=F$3)*(Gastos!$B$2:$B$2500=$A89)*(Gastos!$D$2:$D$2500))</f>
        <v>0</v>
      </c>
      <c r="G89" s="75">
        <f t="array" ref="G89">SUM((YEAR(Gastos!$A$2:$A$2500)=G$1)*(MONTH(Gastos!$A$2:$A$2500)=G$3)*(Gastos!$B$2:$B$2500=$A89)*(Gastos!$D$2:$D$2500))</f>
        <v>0</v>
      </c>
      <c r="H89" s="75">
        <f t="array" ref="H89">SUM((YEAR(Gastos!$A$2:$A$2500)=H$1)*(MONTH(Gastos!$A$2:$A$2500)=H$3)*(Gastos!$B$2:$B$2500=$A89)*(Gastos!$D$2:$D$2500))</f>
        <v>0</v>
      </c>
      <c r="I89" s="75">
        <f t="array" ref="I89">SUM((YEAR(Gastos!$A$2:$A$2500)=I$1)*(MONTH(Gastos!$A$2:$A$2500)=I$3)*(Gastos!$B$2:$B$2500=$A89)*(Gastos!$D$2:$D$2500))</f>
        <v>0</v>
      </c>
      <c r="J89" s="75">
        <f t="array" ref="J89">SUM((YEAR(Gastos!$A$2:$A$2500)=J$1)*(MONTH(Gastos!$A$2:$A$2500)=J$3)*(Gastos!$B$2:$B$2500=$A89)*(Gastos!$D$2:$D$2500))</f>
        <v>0</v>
      </c>
      <c r="K89" s="75">
        <f t="array" ref="K89">SUM((YEAR(Gastos!$A$2:$A$2500)=K$1)*(MONTH(Gastos!$A$2:$A$2500)=K$3)*(Gastos!$B$2:$B$2500=$A89)*(Gastos!$D$2:$D$2500))</f>
        <v>0</v>
      </c>
      <c r="L89" s="75">
        <f t="array" ref="L89">SUM((YEAR(Gastos!$A$2:$A$2500)=L$1)*(MONTH(Gastos!$A$2:$A$2500)=L$3)*(Gastos!$B$2:$B$2500=$A89)*(Gastos!$D$2:$D$2500))</f>
        <v>0</v>
      </c>
      <c r="M89" s="75">
        <f t="array" ref="M89">SUM((YEAR(Gastos!$A$2:$A$2500)=M$1)*(MONTH(Gastos!$A$2:$A$2500)=M$3)*(Gastos!$B$2:$B$2500=$A89)*(Gastos!$D$2:$D$2500))</f>
        <v>0</v>
      </c>
      <c r="N89" s="75">
        <f t="array" ref="N89">SUM((YEAR(Gastos!$A$2:$A$2500)=N$1)*(MONTH(Gastos!$A$2:$A$2500)=N$3)*(Gastos!$B$2:$B$2500=$A89)*(Gastos!$D$2:$D$2500))</f>
        <v>0</v>
      </c>
      <c r="O89" s="75">
        <f t="array" ref="O89">SUM((YEAR(Gastos!$A$2:$A$2500)=O$1)*(MONTH(Gastos!$A$2:$A$2500)=O$3)*(Gastos!$B$2:$B$2500=$A89)*(Gastos!$D$2:$D$2500))</f>
        <v>0</v>
      </c>
      <c r="P89" s="75">
        <f t="array" ref="P89">SUM((YEAR(Gastos!$A$2:$A$2500)=P$1)*(MONTH(Gastos!$A$2:$A$2500)=P$3)*(Gastos!$B$2:$B$2500=$A89)*(Gastos!$D$2:$D$2500))</f>
        <v>0</v>
      </c>
      <c r="Q89" s="75">
        <f t="array" ref="Q89">SUM((YEAR(Gastos!$A$2:$A$2500)=Q$1)*(MONTH(Gastos!$A$2:$A$2500)=Q$3)*(Gastos!$B$2:$B$2500=$A89)*(Gastos!$D$2:$D$2500))</f>
        <v>0</v>
      </c>
      <c r="R89" s="75">
        <f t="array" ref="R89">SUM((YEAR(Gastos!$A$2:$A$2500)=R$1)*(MONTH(Gastos!$A$2:$A$2500)=R$3)*(Gastos!$B$2:$B$2500=$A89)*(Gastos!$D$2:$D$2500))</f>
        <v>0</v>
      </c>
      <c r="S89" s="75">
        <f t="array" ref="S89">SUM((YEAR(Gastos!$A$2:$A$2500)=S$1)*(MONTH(Gastos!$A$2:$A$2500)=S$3)*(Gastos!$B$2:$B$2500=$A89)*(Gastos!$D$2:$D$2500))</f>
        <v>0</v>
      </c>
      <c r="T89" s="75">
        <f t="array" ref="T89">SUM((YEAR(Gastos!$A$2:$A$2500)=T$1)*(MONTH(Gastos!$A$2:$A$2500)=T$3)*(Gastos!$B$2:$B$2500=$A89)*(Gastos!$D$2:$D$2500))</f>
        <v>0</v>
      </c>
      <c r="U89" s="75">
        <f t="array" ref="U89">SUM((YEAR(Gastos!$A$2:$A$2500)=U$1)*(MONTH(Gastos!$A$2:$A$2500)=U$3)*(Gastos!$B$2:$B$2500=$A89)*(Gastos!$D$2:$D$2500))</f>
        <v>0</v>
      </c>
      <c r="V89" s="75">
        <f t="array" ref="V89">SUM((YEAR(Gastos!$A$2:$A$2500)=V$1)*(MONTH(Gastos!$A$2:$A$2500)=V$3)*(Gastos!$B$2:$B$2500=$A89)*(Gastos!$D$2:$D$2500))</f>
        <v>0</v>
      </c>
      <c r="W89" s="75">
        <f t="array" ref="W89">SUM((YEAR(Gastos!$A$2:$A$2500)=W$1)*(MONTH(Gastos!$A$2:$A$2500)=W$3)*(Gastos!$B$2:$B$2500=$A89)*(Gastos!$D$2:$D$2500))</f>
        <v>0</v>
      </c>
      <c r="X89" s="75">
        <f t="array" ref="X89">SUM((YEAR(Gastos!$A$2:$A$2500)=X$1)*(MONTH(Gastos!$A$2:$A$2500)=X$3)*(Gastos!$B$2:$B$2500=$A89)*(Gastos!$D$2:$D$2500))</f>
        <v>0</v>
      </c>
      <c r="Y89" s="75">
        <f t="array" ref="Y89">SUM((YEAR(Gastos!$A$2:$A$2500)=Y$1)*(MONTH(Gastos!$A$2:$A$2500)=Y$3)*(Gastos!$B$2:$B$2500=$A89)*(Gastos!$D$2:$D$2500))</f>
        <v>0</v>
      </c>
      <c r="Z89" s="75">
        <f t="array" ref="Z89">SUM((YEAR(Gastos!$A$2:$A$2500)=Z$1)*(MONTH(Gastos!$A$2:$A$2500)=Z$3)*(Gastos!$B$2:$B$2500=$A89)*(Gastos!$D$2:$D$2500))</f>
        <v>0</v>
      </c>
      <c r="AA89" s="75">
        <f t="array" ref="AA89">SUM((YEAR(Gastos!$A$2:$A$2500)=AA$1)*(MONTH(Gastos!$A$2:$A$2500)=AA$3)*(Gastos!$B$2:$B$2500=$A89)*(Gastos!$D$2:$D$2500))</f>
        <v>0</v>
      </c>
      <c r="AB89" s="75">
        <f t="array" ref="AB89">SUM((YEAR(Gastos!$A$2:$A$2500)=AB$1)*(MONTH(Gastos!$A$2:$A$2500)=AB$3)*(Gastos!$B$2:$B$2500=$A89)*(Gastos!$D$2:$D$2500))</f>
        <v>0</v>
      </c>
      <c r="AC89" s="75">
        <f t="array" ref="AC89">SUM((YEAR(Gastos!$A$2:$A$2500)=AC$1)*(MONTH(Gastos!$A$2:$A$2500)=AC$3)*(Gastos!$B$2:$B$2500=$A89)*(Gastos!$D$2:$D$2500))</f>
        <v>0</v>
      </c>
      <c r="AD89" s="75">
        <f t="array" ref="AD89">SUM((YEAR(Gastos!$A$2:$A$2500)=AD$1)*(MONTH(Gastos!$A$2:$A$2500)=AD$3)*(Gastos!$B$2:$B$2500=$A89)*(Gastos!$D$2:$D$2500))</f>
        <v>0</v>
      </c>
      <c r="AE89" s="75">
        <f t="array" ref="AE89">SUM((YEAR(Gastos!$A$2:$A$2500)=AE$1)*(MONTH(Gastos!$A$2:$A$2500)=AE$3)*(Gastos!$B$2:$B$2500=$A89)*(Gastos!$D$2:$D$2500))</f>
        <v>0</v>
      </c>
      <c r="AF89" s="75">
        <f t="array" ref="AF89">SUM((YEAR(Gastos!$A$2:$A$2500)=AF$1)*(MONTH(Gastos!$A$2:$A$2500)=AF$3)*(Gastos!$B$2:$B$2500=$A89)*(Gastos!$D$2:$D$2500))</f>
        <v>0</v>
      </c>
      <c r="AG89" s="75">
        <f t="array" ref="AG89">SUM((YEAR(Gastos!$A$2:$A$2500)=AG$1)*(MONTH(Gastos!$A$2:$A$2500)=AG$3)*(Gastos!$B$2:$B$2500=$A89)*(Gastos!$D$2:$D$2500))</f>
        <v>0</v>
      </c>
      <c r="AH89" s="75">
        <f t="array" ref="AH89">SUM((YEAR(Gastos!$A$2:$A$2500)=AH$1)*(MONTH(Gastos!$A$2:$A$2500)=AH$3)*(Gastos!$B$2:$B$2500=$A89)*(Gastos!$D$2:$D$2500))</f>
        <v>0</v>
      </c>
      <c r="AI89" s="75">
        <f t="array" ref="AI89">SUM((YEAR(Gastos!$A$2:$A$2500)=AI$1)*(MONTH(Gastos!$A$2:$A$2500)=AI$3)*(Gastos!$B$2:$B$2500=$A89)*(Gastos!$D$2:$D$2500))</f>
        <v>0</v>
      </c>
      <c r="AJ89" s="75">
        <f t="array" ref="AJ89">SUM((YEAR(Gastos!$A$2:$A$2500)=AJ$1)*(MONTH(Gastos!$A$2:$A$2500)=AJ$3)*(Gastos!$B$2:$B$2500=$A89)*(Gastos!$D$2:$D$2500))</f>
        <v>0</v>
      </c>
      <c r="AK89" s="75">
        <f t="array" ref="AK89">SUM((YEAR(Gastos!$A$2:$A$2500)=AK$1)*(MONTH(Gastos!$A$2:$A$2500)=AK$3)*(Gastos!$B$2:$B$2500=$A89)*(Gastos!$D$2:$D$2500))</f>
        <v>0</v>
      </c>
      <c r="AL89" s="75">
        <f t="array" ref="AL89">SUM((YEAR(Gastos!$A$2:$A$2500)=AL$1)*(MONTH(Gastos!$A$2:$A$2500)=AL$3)*(Gastos!$B$2:$B$2500=$A89)*(Gastos!$D$2:$D$2500))</f>
        <v>0</v>
      </c>
      <c r="AM89" s="75">
        <f t="array" ref="AM89">SUM((YEAR(Gastos!$A$2:$A$2500)=AM$1)*(MONTH(Gastos!$A$2:$A$2500)=AM$3)*(Gastos!$B$2:$B$2500=$A89)*(Gastos!$D$2:$D$2500))</f>
        <v>0</v>
      </c>
      <c r="AN89" s="75">
        <f t="array" ref="AN89">SUM((YEAR(Gastos!$A$2:$A$2500)=AN$1)*(MONTH(Gastos!$A$2:$A$2500)=AN$3)*(Gastos!$B$2:$B$2500=$A89)*(Gastos!$D$2:$D$2500))</f>
        <v>0</v>
      </c>
      <c r="AO89" s="75">
        <f t="array" ref="AO89">SUM((YEAR(Gastos!$A$2:$A$2500)=AO$1)*(MONTH(Gastos!$A$2:$A$2500)=AO$3)*(Gastos!$B$2:$B$2500=$A89)*(Gastos!$D$2:$D$2500))</f>
        <v>0</v>
      </c>
      <c r="AP89" s="75">
        <f t="array" ref="AP89">SUM((YEAR(Gastos!$A$2:$A$2500)=AP$1)*(MONTH(Gastos!$A$2:$A$2500)=AP$3)*(Gastos!$B$2:$B$2500=$A89)*(Gastos!$D$2:$D$2500))</f>
        <v>0</v>
      </c>
      <c r="AQ89" s="75">
        <f t="array" ref="AQ89">SUM((YEAR(Gastos!$A$2:$A$2500)=AQ$1)*(MONTH(Gastos!$A$2:$A$2500)=AQ$3)*(Gastos!$B$2:$B$2500=$A89)*(Gastos!$D$2:$D$2500))</f>
        <v>0</v>
      </c>
      <c r="AR89" s="75">
        <f t="array" ref="AR89">SUM((YEAR(Gastos!$A$2:$A$2500)=AR$1)*(MONTH(Gastos!$A$2:$A$2500)=AR$3)*(Gastos!$B$2:$B$2500=$A89)*(Gastos!$D$2:$D$2500))</f>
        <v>0</v>
      </c>
      <c r="AS89" s="75">
        <f t="array" ref="AS89">SUM((YEAR(Gastos!$A$2:$A$2500)=AS$1)*(MONTH(Gastos!$A$2:$A$2500)=AS$3)*(Gastos!$B$2:$B$2500=$A89)*(Gastos!$D$2:$D$2500))</f>
        <v>0</v>
      </c>
      <c r="AT89" s="75">
        <f t="array" ref="AT89">SUM((YEAR(Gastos!$A$2:$A$2500)=AT$1)*(MONTH(Gastos!$A$2:$A$2500)=AT$3)*(Gastos!$B$2:$B$2500=$A89)*(Gastos!$D$2:$D$2500))</f>
        <v>0</v>
      </c>
      <c r="AU89" s="75">
        <f t="array" ref="AU89">SUM((YEAR(Gastos!$A$2:$A$2500)=AU$1)*(MONTH(Gastos!$A$2:$A$2500)=AU$3)*(Gastos!$B$2:$B$2500=$A89)*(Gastos!$D$2:$D$2500))</f>
        <v>0</v>
      </c>
      <c r="AV89" s="75">
        <f t="array" ref="AV89">SUM((YEAR(Gastos!$A$2:$A$2500)=AV$1)*(MONTH(Gastos!$A$2:$A$2500)=AV$3)*(Gastos!$B$2:$B$2500=$A89)*(Gastos!$D$2:$D$2500))</f>
        <v>0</v>
      </c>
      <c r="AW89" s="75">
        <f t="array" ref="AW89">SUM((YEAR(Gastos!$A$2:$A$2500)=AW$1)*(MONTH(Gastos!$A$2:$A$2500)=AW$3)*(Gastos!$B$2:$B$2500=$A89)*(Gastos!$D$2:$D$2500))</f>
        <v>0</v>
      </c>
      <c r="AX89" s="75">
        <f t="array" ref="AX89">SUM((YEAR(Gastos!$A$2:$A$2500)=AX$1)*(MONTH(Gastos!$A$2:$A$2500)=AX$3)*(Gastos!$B$2:$B$2500=$A89)*(Gastos!$D$2:$D$2500))</f>
        <v>0</v>
      </c>
      <c r="AY89" s="75">
        <f t="array" ref="AY89">SUM((YEAR(Gastos!$A$2:$A$2500)=AY$1)*(MONTH(Gastos!$A$2:$A$2500)=AY$3)*(Gastos!$B$2:$B$2500=$A89)*(Gastos!$D$2:$D$2500))</f>
        <v>0</v>
      </c>
      <c r="AZ89" s="75">
        <f t="array" ref="AZ89">SUM((YEAR(Gastos!$A$2:$A$2500)=AZ$1)*(MONTH(Gastos!$A$2:$A$2500)=AZ$3)*(Gastos!$B$2:$B$2500=$A89)*(Gastos!$D$2:$D$2500))</f>
        <v>0</v>
      </c>
      <c r="BA89" s="75">
        <f t="array" ref="BA89">SUM((YEAR(Gastos!$A$2:$A$2500)=BA$1)*(MONTH(Gastos!$A$2:$A$2500)=BA$3)*(Gastos!$B$2:$B$2500=$A89)*(Gastos!$D$2:$D$2500))</f>
        <v>0</v>
      </c>
      <c r="BB89" s="75">
        <f t="array" ref="BB89">SUM((YEAR(Gastos!$A$2:$A$2500)=BB$1)*(MONTH(Gastos!$A$2:$A$2500)=BB$3)*(Gastos!$B$2:$B$2500=$A89)*(Gastos!$D$2:$D$2500))</f>
        <v>0</v>
      </c>
      <c r="BC89" s="75">
        <f t="array" ref="BC89">SUM((YEAR(Gastos!$A$2:$A$2500)=BC$1)*(MONTH(Gastos!$A$2:$A$2500)=BC$3)*(Gastos!$B$2:$B$2500=$A89)*(Gastos!$D$2:$D$2500))</f>
        <v>0</v>
      </c>
      <c r="BD89" s="75">
        <f t="array" ref="BD89">SUM((YEAR(Gastos!$A$2:$A$2500)=BD$1)*(MONTH(Gastos!$A$2:$A$2500)=BD$3)*(Gastos!$B$2:$B$2500=$A89)*(Gastos!$D$2:$D$2500))</f>
        <v>0</v>
      </c>
      <c r="BE89" s="75">
        <f t="array" ref="BE89">SUM((YEAR(Gastos!$A$2:$A$2500)=BE$1)*(MONTH(Gastos!$A$2:$A$2500)=BE$3)*(Gastos!$B$2:$B$2500=$A89)*(Gastos!$D$2:$D$2500))</f>
        <v>0</v>
      </c>
      <c r="BF89" s="75">
        <f t="array" ref="BF89">SUM((YEAR(Gastos!$A$2:$A$2500)=BF$1)*(MONTH(Gastos!$A$2:$A$2500)=BF$3)*(Gastos!$B$2:$B$2500=$A89)*(Gastos!$D$2:$D$2500))</f>
        <v>0</v>
      </c>
      <c r="BG89" s="75">
        <f t="array" ref="BG89">SUM((YEAR(Gastos!$A$2:$A$2500)=BG$1)*(MONTH(Gastos!$A$2:$A$2500)=BG$3)*(Gastos!$B$2:$B$2500=$A89)*(Gastos!$D$2:$D$2500))</f>
        <v>0</v>
      </c>
      <c r="BH89" s="75">
        <f t="array" ref="BH89">SUM((YEAR(Gastos!$A$2:$A$2500)=BH$1)*(MONTH(Gastos!$A$2:$A$2500)=BH$3)*(Gastos!$B$2:$B$2500=$A89)*(Gastos!$D$2:$D$2500))</f>
        <v>0</v>
      </c>
      <c r="BI89" s="75">
        <f t="array" ref="BI89">SUM((YEAR(Gastos!$A$2:$A$2500)=BI$1)*(MONTH(Gastos!$A$2:$A$2500)=BI$3)*(Gastos!$B$2:$B$2500=$A89)*(Gastos!$D$2:$D$2500))</f>
        <v>0</v>
      </c>
      <c r="BJ89" s="75">
        <f t="array" ref="BJ89">SUM((YEAR(Gastos!$A$2:$A$2500)=BJ$1)*(MONTH(Gastos!$A$2:$A$2500)=BJ$3)*(Gastos!$B$2:$B$2500=$A89)*(Gastos!$D$2:$D$2500))</f>
        <v>0</v>
      </c>
      <c r="BK89" s="75">
        <f t="array" ref="BK89">SUM((YEAR(Gastos!$A$2:$A$2500)=BK$1)*(MONTH(Gastos!$A$2:$A$2500)=BK$3)*(Gastos!$B$2:$B$2500=$A89)*(Gastos!$D$2:$D$2500))</f>
        <v>0</v>
      </c>
      <c r="BL89" s="75">
        <f t="array" ref="BL89">SUM((YEAR(Gastos!$A$2:$A$2500)=BL$1)*(MONTH(Gastos!$A$2:$A$2500)=BL$3)*(Gastos!$B$2:$B$2500=$A89)*(Gastos!$D$2:$D$2500))</f>
        <v>0</v>
      </c>
      <c r="BM89" s="75">
        <f t="array" ref="BM89">SUM((YEAR(Gastos!$A$2:$A$2500)=BM$1)*(MONTH(Gastos!$A$2:$A$2500)=BM$3)*(Gastos!$B$2:$B$2500=$A89)*(Gastos!$D$2:$D$2500))</f>
        <v>0</v>
      </c>
      <c r="BN89" s="75">
        <f t="array" ref="BN89">SUM((YEAR(Gastos!$A$2:$A$2500)=BN$1)*(MONTH(Gastos!$A$2:$A$2500)=BN$3)*(Gastos!$B$2:$B$2500=$A89)*(Gastos!$D$2:$D$2500))</f>
        <v>0</v>
      </c>
      <c r="BO89" s="75">
        <f t="array" ref="BO89">SUM((YEAR(Gastos!$A$2:$A$2500)=BO$1)*(MONTH(Gastos!$A$2:$A$2500)=BO$3)*(Gastos!$B$2:$B$2500=$A89)*(Gastos!$D$2:$D$2500))</f>
        <v>0</v>
      </c>
      <c r="BP89" s="75">
        <f t="array" ref="BP89">SUM((YEAR(Gastos!$A$2:$A$2500)=BP$1)*(MONTH(Gastos!$A$2:$A$2500)=BP$3)*(Gastos!$B$2:$B$2500=$A89)*(Gastos!$D$2:$D$2500))</f>
        <v>0</v>
      </c>
      <c r="BQ89" s="75">
        <f t="array" ref="BQ89">SUM((YEAR(Gastos!$A$2:$A$2500)=BQ$1)*(MONTH(Gastos!$A$2:$A$2500)=BQ$3)*(Gastos!$B$2:$B$2500=$A89)*(Gastos!$D$2:$D$2500))</f>
        <v>0</v>
      </c>
      <c r="BR89" s="75">
        <f t="array" ref="BR89">SUM((YEAR(Gastos!$A$2:$A$2500)=BR$1)*(MONTH(Gastos!$A$2:$A$2500)=BR$3)*(Gastos!$B$2:$B$2500=$A89)*(Gastos!$D$2:$D$2500))</f>
        <v>0</v>
      </c>
      <c r="BS89" s="75">
        <f t="array" ref="BS89">SUM((YEAR(Gastos!$A$2:$A$2500)=BS$1)*(MONTH(Gastos!$A$2:$A$2500)=BS$3)*(Gastos!$B$2:$B$2500=$A89)*(Gastos!$D$2:$D$2500))</f>
        <v>0</v>
      </c>
      <c r="BT89" s="75">
        <f t="array" ref="BT89">SUM((YEAR(Gastos!$A$2:$A$2500)=BT$1)*(MONTH(Gastos!$A$2:$A$2500)=BT$3)*(Gastos!$B$2:$B$2500=$A89)*(Gastos!$D$2:$D$2500))</f>
        <v>0</v>
      </c>
      <c r="BU89" s="75">
        <f t="array" ref="BU89">SUM((YEAR(Gastos!$A$2:$A$2500)=BU$1)*(MONTH(Gastos!$A$2:$A$2500)=BU$3)*(Gastos!$B$2:$B$2500=$A89)*(Gastos!$D$2:$D$2500))</f>
        <v>0</v>
      </c>
      <c r="BV89" s="75">
        <f t="array" ref="BV89">SUM((YEAR(Gastos!$A$2:$A$2500)=BV$1)*(MONTH(Gastos!$A$2:$A$2500)=BV$3)*(Gastos!$B$2:$B$2500=$A89)*(Gastos!$D$2:$D$2500))</f>
        <v>0</v>
      </c>
      <c r="BW89" s="75">
        <f t="array" ref="BW89">SUM((YEAR(Gastos!$A$2:$A$2500)=BW$1)*(MONTH(Gastos!$A$2:$A$2500)=BW$3)*(Gastos!$B$2:$B$2500=$A89)*(Gastos!$D$2:$D$2500))</f>
        <v>0</v>
      </c>
      <c r="BX89" s="75">
        <f t="array" ref="BX89">SUM((YEAR(Gastos!$A$2:$A$2500)=BX$1)*(MONTH(Gastos!$A$2:$A$2500)=BX$3)*(Gastos!$B$2:$B$2500=$A89)*(Gastos!$D$2:$D$2500))</f>
        <v>0</v>
      </c>
      <c r="BY89" s="75">
        <f t="array" ref="BY89">SUM((YEAR(Gastos!$A$2:$A$2500)=BY$1)*(MONTH(Gastos!$A$2:$A$2500)=BY$3)*(Gastos!$B$2:$B$2500=$A89)*(Gastos!$D$2:$D$2500))</f>
        <v>0</v>
      </c>
      <c r="BZ89" s="75">
        <f t="array" ref="BZ89">SUM((YEAR(Gastos!$A$2:$A$2500)=BZ$1)*(MONTH(Gastos!$A$2:$A$2500)=BZ$3)*(Gastos!$B$2:$B$2500=$A89)*(Gastos!$D$2:$D$2500))</f>
        <v>0</v>
      </c>
      <c r="CA89" s="75">
        <f t="array" ref="CA89">SUM((YEAR(Gastos!$A$2:$A$2500)=CA$1)*(MONTH(Gastos!$A$2:$A$2500)=CA$3)*(Gastos!$B$2:$B$2500=$A89)*(Gastos!$D$2:$D$2500))</f>
        <v>0</v>
      </c>
      <c r="CB89" s="75">
        <f t="array" ref="CB89">SUM((YEAR(Gastos!$A$2:$A$2500)=CB$1)*(MONTH(Gastos!$A$2:$A$2500)=CB$3)*(Gastos!$B$2:$B$2500=$A89)*(Gastos!$D$2:$D$2500))</f>
        <v>0</v>
      </c>
      <c r="CC89" s="75">
        <f t="array" ref="CC89">SUM((YEAR(Gastos!$A$2:$A$2500)=CC$1)*(MONTH(Gastos!$A$2:$A$2500)=CC$3)*(Gastos!$B$2:$B$2500=$A89)*(Gastos!$D$2:$D$2500))</f>
        <v>0</v>
      </c>
      <c r="CD89" s="75">
        <f t="array" ref="CD89">SUM((YEAR(Gastos!$A$2:$A$2500)=CD$1)*(MONTH(Gastos!$A$2:$A$2500)=CD$3)*(Gastos!$B$2:$B$2500=$A89)*(Gastos!$D$2:$D$2500))</f>
        <v>0</v>
      </c>
      <c r="CE89" s="75">
        <f t="array" ref="CE89">SUM((YEAR(Gastos!$A$2:$A$2500)=CE$1)*(MONTH(Gastos!$A$2:$A$2500)=CE$3)*(Gastos!$B$2:$B$2500=$A89)*(Gastos!$D$2:$D$2500))</f>
        <v>0</v>
      </c>
      <c r="CF89" s="75">
        <f t="array" ref="CF89">SUM((YEAR(Gastos!$A$2:$A$2500)=CF$1)*(MONTH(Gastos!$A$2:$A$2500)=CF$3)*(Gastos!$B$2:$B$2500=$A89)*(Gastos!$D$2:$D$2500))</f>
        <v>0</v>
      </c>
      <c r="CG89" s="75">
        <f t="array" ref="CG89">SUM((YEAR(Gastos!$A$2:$A$2500)=CG$1)*(MONTH(Gastos!$A$2:$A$2500)=CG$3)*(Gastos!$B$2:$B$2500=$A89)*(Gastos!$D$2:$D$2500))</f>
        <v>0</v>
      </c>
      <c r="CH89" s="75">
        <f t="array" ref="CH89">SUM((YEAR(Gastos!$A$2:$A$2500)=CH$1)*(MONTH(Gastos!$A$2:$A$2500)=CH$3)*(Gastos!$B$2:$B$2500=$A89)*(Gastos!$D$2:$D$2500))</f>
        <v>0</v>
      </c>
      <c r="CI89" s="75">
        <f t="array" ref="CI89">SUM((YEAR(Gastos!$A$2:$A$2500)=CI$1)*(MONTH(Gastos!$A$2:$A$2500)=CI$3)*(Gastos!$B$2:$B$2500=$A89)*(Gastos!$D$2:$D$2500))</f>
        <v>0</v>
      </c>
      <c r="CJ89" s="75">
        <f t="array" ref="CJ89">SUM((YEAR(Gastos!$A$2:$A$2500)=CJ$1)*(MONTH(Gastos!$A$2:$A$2500)=CJ$3)*(Gastos!$B$2:$B$2500=$A89)*(Gastos!$D$2:$D$2500))</f>
        <v>0</v>
      </c>
      <c r="CK89" s="75">
        <f t="array" ref="CK89">SUM((YEAR(Gastos!$A$2:$A$2500)=CK$1)*(MONTH(Gastos!$A$2:$A$2500)=CK$3)*(Gastos!$B$2:$B$2500=$A89)*(Gastos!$D$2:$D$2500))</f>
        <v>0</v>
      </c>
      <c r="CL89" s="75">
        <f t="array" ref="CL89">SUM((YEAR(Gastos!$A$2:$A$2500)=CL$1)*(MONTH(Gastos!$A$2:$A$2500)=CL$3)*(Gastos!$B$2:$B$2500=$A89)*(Gastos!$D$2:$D$2500))</f>
        <v>0</v>
      </c>
      <c r="CM89" s="75">
        <f t="array" ref="CM89">SUM((YEAR(Gastos!$A$2:$A$2500)=CM$1)*(MONTH(Gastos!$A$2:$A$2500)=CM$3)*(Gastos!$B$2:$B$2500=$A89)*(Gastos!$D$2:$D$2500))</f>
        <v>0</v>
      </c>
      <c r="CN89" s="75">
        <f t="array" ref="CN89">SUM((YEAR(Gastos!$A$2:$A$2500)=CN$1)*(MONTH(Gastos!$A$2:$A$2500)=CN$3)*(Gastos!$B$2:$B$2500=$A89)*(Gastos!$D$2:$D$2500))</f>
        <v>0</v>
      </c>
      <c r="CO89" s="75">
        <f t="array" ref="CO89">SUM((YEAR(Gastos!$A$2:$A$2500)=CO$1)*(MONTH(Gastos!$A$2:$A$2500)=CO$3)*(Gastos!$B$2:$B$2500=$A89)*(Gastos!$D$2:$D$2500))</f>
        <v>0</v>
      </c>
      <c r="CP89" s="75">
        <f t="array" ref="CP89">SUM((YEAR(Gastos!$A$2:$A$2500)=CP$1)*(MONTH(Gastos!$A$2:$A$2500)=CP$3)*(Gastos!$B$2:$B$2500=$A89)*(Gastos!$D$2:$D$2500))</f>
        <v>0</v>
      </c>
      <c r="CQ89" s="75">
        <f t="array" ref="CQ89">SUM((YEAR(Gastos!$A$2:$A$2500)=CQ$1)*(MONTH(Gastos!$A$2:$A$2500)=CQ$3)*(Gastos!$B$2:$B$2500=$A89)*(Gastos!$D$2:$D$2500))</f>
        <v>0</v>
      </c>
      <c r="CR89" s="75">
        <f t="array" ref="CR89">SUM((YEAR(Gastos!$A$2:$A$2500)=CR$1)*(MONTH(Gastos!$A$2:$A$2500)=CR$3)*(Gastos!$B$2:$B$2500=$A89)*(Gastos!$D$2:$D$2500))</f>
        <v>0</v>
      </c>
      <c r="CS89" s="75">
        <f t="array" ref="CS89">SUM((YEAR(Gastos!$A$2:$A$2500)=CS$1)*(MONTH(Gastos!$A$2:$A$2500)=CS$3)*(Gastos!$B$2:$B$2500=$A89)*(Gastos!$D$2:$D$2500))</f>
        <v>0</v>
      </c>
      <c r="CT89" s="75">
        <f t="array" ref="CT89">SUM((YEAR(Gastos!$A$2:$A$2500)=CT$1)*(MONTH(Gastos!$A$2:$A$2500)=CT$3)*(Gastos!$B$2:$B$2500=$A89)*(Gastos!$D$2:$D$2500))</f>
        <v>0</v>
      </c>
      <c r="CU89" s="75">
        <f t="array" ref="CU89">SUM((YEAR(Gastos!$A$2:$A$2500)=CU$1)*(MONTH(Gastos!$A$2:$A$2500)=CU$3)*(Gastos!$B$2:$B$2500=$A89)*(Gastos!$D$2:$D$2500))</f>
        <v>0</v>
      </c>
      <c r="CV89" s="75">
        <f t="array" ref="CV89">SUM((YEAR(Gastos!$A$2:$A$2500)=CV$1)*(MONTH(Gastos!$A$2:$A$2500)=CV$3)*(Gastos!$B$2:$B$2500=$A89)*(Gastos!$D$2:$D$2500))</f>
        <v>0</v>
      </c>
      <c r="CW89" s="75">
        <f t="array" ref="CW89">SUM((YEAR(Gastos!$A$2:$A$2500)=CW$1)*(MONTH(Gastos!$A$2:$A$2500)=CW$3)*(Gastos!$B$2:$B$2500=$A89)*(Gastos!$D$2:$D$2500))</f>
        <v>0</v>
      </c>
      <c r="CX89" s="75">
        <f t="array" ref="CX89">SUM((YEAR(Gastos!$A$2:$A$2500)=CX$1)*(MONTH(Gastos!$A$2:$A$2500)=CX$3)*(Gastos!$B$2:$B$2500=$A89)*(Gastos!$D$2:$D$2500))</f>
        <v>0</v>
      </c>
      <c r="CY89" s="75">
        <f t="array" ref="CY89">SUM((YEAR(Gastos!$A$2:$A$2500)=CY$1)*(MONTH(Gastos!$A$2:$A$2500)=CY$3)*(Gastos!$B$2:$B$2500=$A89)*(Gastos!$D$2:$D$2500))</f>
        <v>0</v>
      </c>
      <c r="CZ89" s="75">
        <f t="array" ref="CZ89">SUM((YEAR(Gastos!$A$2:$A$2500)=CZ$1)*(MONTH(Gastos!$A$2:$A$2500)=CZ$3)*(Gastos!$B$2:$B$2500=$A89)*(Gastos!$D$2:$D$2500))</f>
        <v>0</v>
      </c>
      <c r="DA89" s="75">
        <f t="array" ref="DA89">SUM((YEAR(Gastos!$A$2:$A$2500)=DA$1)*(MONTH(Gastos!$A$2:$A$2500)=DA$3)*(Gastos!$B$2:$B$2500=$A89)*(Gastos!$D$2:$D$2500))</f>
        <v>0</v>
      </c>
      <c r="DB89" s="75">
        <f t="array" ref="DB89">SUM((YEAR(Gastos!$A$2:$A$2500)=DB$1)*(MONTH(Gastos!$A$2:$A$2500)=DB$3)*(Gastos!$B$2:$B$2500=$A89)*(Gastos!$D$2:$D$2500))</f>
        <v>0</v>
      </c>
      <c r="DC89" s="75">
        <f t="array" ref="DC89">SUM((YEAR(Gastos!$A$2:$A$2500)=DC$1)*(MONTH(Gastos!$A$2:$A$2500)=DC$3)*(Gastos!$B$2:$B$2500=$A89)*(Gastos!$D$2:$D$2500))</f>
        <v>0</v>
      </c>
      <c r="DD89" s="75">
        <f t="array" ref="DD89">SUM((YEAR(Gastos!$A$2:$A$2500)=DD$1)*(MONTH(Gastos!$A$2:$A$2500)=DD$3)*(Gastos!$B$2:$B$2500=$A89)*(Gastos!$D$2:$D$2500))</f>
        <v>0</v>
      </c>
      <c r="DE89" s="75">
        <f t="array" ref="DE89">SUM((YEAR(Gastos!$A$2:$A$2500)=DE$1)*(MONTH(Gastos!$A$2:$A$2500)=DE$3)*(Gastos!$B$2:$B$2500=$A89)*(Gastos!$D$2:$D$2500))</f>
        <v>0</v>
      </c>
      <c r="DF89" s="75">
        <f t="array" ref="DF89">SUM((YEAR(Gastos!$A$2:$A$2500)=DF$1)*(MONTH(Gastos!$A$2:$A$2500)=DF$3)*(Gastos!$B$2:$B$2500=$A89)*(Gastos!$D$2:$D$2500))</f>
        <v>0</v>
      </c>
      <c r="DG89" s="75">
        <f t="array" ref="DG89">SUM((YEAR(Gastos!$A$2:$A$2500)=DG$1)*(MONTH(Gastos!$A$2:$A$2500)=DG$3)*(Gastos!$B$2:$B$2500=$A89)*(Gastos!$D$2:$D$2500))</f>
        <v>0</v>
      </c>
      <c r="DH89" s="75">
        <f t="array" ref="DH89">SUM((YEAR(Gastos!$A$2:$A$2500)=DH$1)*(MONTH(Gastos!$A$2:$A$2500)=DH$3)*(Gastos!$B$2:$B$2500=$A89)*(Gastos!$D$2:$D$2500))</f>
        <v>0</v>
      </c>
      <c r="DI89" s="75">
        <f t="array" ref="DI89">SUM((YEAR(Gastos!$A$2:$A$2500)=DI$1)*(MONTH(Gastos!$A$2:$A$2500)=DI$3)*(Gastos!$B$2:$B$2500=$A89)*(Gastos!$D$2:$D$2500))</f>
        <v>0</v>
      </c>
      <c r="DJ89" s="75">
        <f t="array" ref="DJ89">SUM((YEAR(Gastos!$A$2:$A$2500)=DJ$1)*(MONTH(Gastos!$A$2:$A$2500)=DJ$3)*(Gastos!$B$2:$B$2500=$A89)*(Gastos!$D$2:$D$2500))</f>
        <v>0</v>
      </c>
      <c r="DK89" s="75">
        <f t="array" ref="DK89">SUM((YEAR(Gastos!$A$2:$A$2500)=DK$1)*(MONTH(Gastos!$A$2:$A$2500)=DK$3)*(Gastos!$B$2:$B$2500=$A89)*(Gastos!$D$2:$D$2500))</f>
        <v>0</v>
      </c>
      <c r="DL89" s="75">
        <f t="array" ref="DL89">SUM((YEAR(Gastos!$A$2:$A$2500)=DL$1)*(MONTH(Gastos!$A$2:$A$2500)=DL$3)*(Gastos!$B$2:$B$2500=$A89)*(Gastos!$D$2:$D$2500))</f>
        <v>0</v>
      </c>
      <c r="DM89" s="75">
        <f t="array" ref="DM89">SUM((YEAR(Gastos!$A$2:$A$2500)=DM$1)*(MONTH(Gastos!$A$2:$A$2500)=DM$3)*(Gastos!$B$2:$B$2500=$A89)*(Gastos!$D$2:$D$2500))</f>
        <v>0</v>
      </c>
      <c r="DN89" s="75">
        <f t="array" ref="DN89">SUM((YEAR(Gastos!$A$2:$A$2500)=DN$1)*(MONTH(Gastos!$A$2:$A$2500)=DN$3)*(Gastos!$B$2:$B$2500=$A89)*(Gastos!$D$2:$D$2500))</f>
        <v>0</v>
      </c>
      <c r="DO89" s="75">
        <f t="array" ref="DO89">SUM((YEAR(Gastos!$A$2:$A$2500)=DO$1)*(MONTH(Gastos!$A$2:$A$2500)=DO$3)*(Gastos!$B$2:$B$2500=$A89)*(Gastos!$D$2:$D$2500))</f>
        <v>0</v>
      </c>
      <c r="DP89" s="75">
        <f t="array" ref="DP89">SUM((YEAR(Gastos!$A$2:$A$2500)=DP$1)*(MONTH(Gastos!$A$2:$A$2500)=DP$3)*(Gastos!$B$2:$B$2500=$A89)*(Gastos!$D$2:$D$2500))</f>
        <v>0</v>
      </c>
      <c r="DQ89" s="75">
        <f t="array" ref="DQ89">SUM((YEAR(Gastos!$A$2:$A$2500)=DQ$1)*(MONTH(Gastos!$A$2:$A$2500)=DQ$3)*(Gastos!$B$2:$B$2500=$A89)*(Gastos!$D$2:$D$2500))</f>
        <v>0</v>
      </c>
      <c r="DR89" s="75">
        <f t="array" ref="DR89">SUM((YEAR(Gastos!$A$2:$A$2500)=DR$1)*(MONTH(Gastos!$A$2:$A$2500)=DR$3)*(Gastos!$B$2:$B$2500=$A89)*(Gastos!$D$2:$D$2500))</f>
        <v>0</v>
      </c>
      <c r="DS89" s="75">
        <f t="array" ref="DS89">SUM((YEAR(Gastos!$A$2:$A$2500)=DS$1)*(MONTH(Gastos!$A$2:$A$2500)=DS$3)*(Gastos!$B$2:$B$2500=$A89)*(Gastos!$D$2:$D$2500))</f>
        <v>0</v>
      </c>
      <c r="DT89" s="75">
        <f t="array" ref="DT89">SUM((YEAR(Gastos!$A$2:$A$2500)=DT$1)*(MONTH(Gastos!$A$2:$A$2500)=DT$3)*(Gastos!$B$2:$B$2500=$A89)*(Gastos!$D$2:$D$2500))</f>
        <v>0</v>
      </c>
      <c r="DU89" s="75">
        <f t="array" ref="DU89">SUM((YEAR(Gastos!$A$2:$A$2500)=DU$1)*(MONTH(Gastos!$A$2:$A$2500)=DU$3)*(Gastos!$B$2:$B$2500=$A89)*(Gastos!$D$2:$D$2500))</f>
        <v>0</v>
      </c>
      <c r="DV89" s="75">
        <f t="array" ref="DV89">SUM((YEAR(Gastos!$A$2:$A$2500)=DV$1)*(MONTH(Gastos!$A$2:$A$2500)=DV$3)*(Gastos!$B$2:$B$2500=$A89)*(Gastos!$D$2:$D$2500))</f>
        <v>0</v>
      </c>
      <c r="DW89" s="75">
        <f t="array" ref="DW89">SUM((YEAR(Gastos!$A$2:$A$2500)=DW$1)*(MONTH(Gastos!$A$2:$A$2500)=DW$3)*(Gastos!$B$2:$B$2500=$A89)*(Gastos!$D$2:$D$2500))</f>
        <v>0</v>
      </c>
      <c r="DX89" s="75">
        <f t="array" ref="DX89">SUM((YEAR(Gastos!$A$2:$A$2500)=DX$1)*(MONTH(Gastos!$A$2:$A$2500)=DX$3)*(Gastos!$B$2:$B$2500=$A89)*(Gastos!$D$2:$D$2500))</f>
        <v>0</v>
      </c>
      <c r="DY89" s="75">
        <f t="array" ref="DY89">SUM((YEAR(Gastos!$A$2:$A$2500)=DY$1)*(MONTH(Gastos!$A$2:$A$2500)=DY$3)*(Gastos!$B$2:$B$2500=$A89)*(Gastos!$D$2:$D$2500))</f>
        <v>0</v>
      </c>
      <c r="DZ89" s="75">
        <f t="array" ref="DZ89">SUM((YEAR(Gastos!$A$2:$A$2500)=DZ$1)*(MONTH(Gastos!$A$2:$A$2500)=DZ$3)*(Gastos!$B$2:$B$2500=$A89)*(Gastos!$D$2:$D$2500))</f>
        <v>0</v>
      </c>
      <c r="EA89" s="75">
        <f t="array" ref="EA89">SUM((YEAR(Gastos!$A$2:$A$2500)=EA$1)*(MONTH(Gastos!$A$2:$A$2500)=EA$3)*(Gastos!$B$2:$B$2500=$A89)*(Gastos!$D$2:$D$2500))</f>
        <v>0</v>
      </c>
      <c r="EB89" s="75">
        <f t="array" ref="EB89">SUM((YEAR(Gastos!$A$2:$A$2500)=EB$1)*(MONTH(Gastos!$A$2:$A$2500)=EB$3)*(Gastos!$B$2:$B$2500=$A89)*(Gastos!$D$2:$D$2500))</f>
        <v>0</v>
      </c>
      <c r="EC89" s="75">
        <f t="array" ref="EC89">SUM((YEAR(Gastos!$A$2:$A$2500)=EC$1)*(MONTH(Gastos!$A$2:$A$2500)=EC$3)*(Gastos!$B$2:$B$2500=$A89)*(Gastos!$D$2:$D$2500))</f>
        <v>0</v>
      </c>
      <c r="ED89" s="75">
        <f t="array" ref="ED89">SUM((YEAR(Gastos!$A$2:$A$2500)=ED$1)*(MONTH(Gastos!$A$2:$A$2500)=ED$3)*(Gastos!$B$2:$B$2500=$A89)*(Gastos!$D$2:$D$2500))</f>
        <v>0</v>
      </c>
      <c r="EE89" s="75">
        <f t="array" ref="EE89">SUM((YEAR(Gastos!$A$2:$A$2500)=EE$1)*(MONTH(Gastos!$A$2:$A$2500)=EE$3)*(Gastos!$B$2:$B$2500=$A89)*(Gastos!$D$2:$D$2500))</f>
        <v>0</v>
      </c>
      <c r="EF89" s="75">
        <f t="array" ref="EF89">SUM((YEAR(Gastos!$A$2:$A$2500)=EF$1)*(MONTH(Gastos!$A$2:$A$2500)=EF$3)*(Gastos!$B$2:$B$2500=$A89)*(Gastos!$D$2:$D$2500))</f>
        <v>0</v>
      </c>
      <c r="EG89" s="75">
        <f t="array" ref="EG89">SUM((YEAR(Gastos!$A$2:$A$2500)=EG$1)*(MONTH(Gastos!$A$2:$A$2500)=EG$3)*(Gastos!$B$2:$B$2500=$A89)*(Gastos!$D$2:$D$2500))</f>
        <v>0</v>
      </c>
      <c r="EH89" s="75">
        <f t="array" ref="EH89">SUM((YEAR(Gastos!$A$2:$A$2500)=EH$1)*(MONTH(Gastos!$A$2:$A$2500)=EH$3)*(Gastos!$B$2:$B$2500=$A89)*(Gastos!$D$2:$D$2500))</f>
        <v>0</v>
      </c>
      <c r="EI89" s="75">
        <f t="array" ref="EI89">SUM((YEAR(Gastos!$A$2:$A$2500)=EI$1)*(MONTH(Gastos!$A$2:$A$2500)=EI$3)*(Gastos!$B$2:$B$2500=$A89)*(Gastos!$D$2:$D$2500))</f>
        <v>0</v>
      </c>
      <c r="EJ89" s="75">
        <f t="array" ref="EJ89">SUM((YEAR(Gastos!$A$2:$A$2500)=EJ$1)*(MONTH(Gastos!$A$2:$A$2500)=EJ$3)*(Gastos!$B$2:$B$2500=$A89)*(Gastos!$D$2:$D$2500))</f>
        <v>0</v>
      </c>
      <c r="EK89" s="75">
        <f t="array" ref="EK89">SUM((YEAR(Gastos!$A$2:$A$2500)=EK$1)*(MONTH(Gastos!$A$2:$A$2500)=EK$3)*(Gastos!$B$2:$B$2500=$A89)*(Gastos!$D$2:$D$2500))</f>
        <v>0</v>
      </c>
      <c r="EL89" s="75">
        <f t="array" ref="EL89">SUM((YEAR(Gastos!$A$2:$A$2500)=EL$1)*(MONTH(Gastos!$A$2:$A$2500)=EL$3)*(Gastos!$B$2:$B$2500=$A89)*(Gastos!$D$2:$D$2500))</f>
        <v>0</v>
      </c>
      <c r="EM89" s="75">
        <f t="array" ref="EM89">SUM((YEAR(Gastos!$A$2:$A$2500)=EM$1)*(MONTH(Gastos!$A$2:$A$2500)=EM$3)*(Gastos!$B$2:$B$2500=$A89)*(Gastos!$D$2:$D$2500))</f>
        <v>0</v>
      </c>
      <c r="EN89" s="75">
        <f t="array" ref="EN89">SUM((YEAR(Gastos!$A$2:$A$2500)=EN$1)*(MONTH(Gastos!$A$2:$A$2500)=EN$3)*(Gastos!$B$2:$B$2500=$A89)*(Gastos!$D$2:$D$2500))</f>
        <v>0</v>
      </c>
      <c r="EO89" s="75">
        <f t="array" ref="EO89">SUM((YEAR(Gastos!$A$2:$A$2500)=EO$1)*(MONTH(Gastos!$A$2:$A$2500)=EO$3)*(Gastos!$B$2:$B$2500=$A89)*(Gastos!$D$2:$D$2500))</f>
        <v>0</v>
      </c>
      <c r="EP89" s="75">
        <f t="array" ref="EP89">SUM((YEAR(Gastos!$A$2:$A$2500)=EP$1)*(MONTH(Gastos!$A$2:$A$2500)=EP$3)*(Gastos!$B$2:$B$2500=$A89)*(Gastos!$D$2:$D$2500))</f>
        <v>0</v>
      </c>
      <c r="EQ89" s="75">
        <f t="array" ref="EQ89">SUM((YEAR(Gastos!$A$2:$A$2500)=EQ$1)*(MONTH(Gastos!$A$2:$A$2500)=EQ$3)*(Gastos!$B$2:$B$2500=$A89)*(Gastos!$D$2:$D$2500))</f>
        <v>0</v>
      </c>
      <c r="ER89" s="75">
        <f t="array" ref="ER89">SUM((YEAR(Gastos!$A$2:$A$2500)=ER$1)*(MONTH(Gastos!$A$2:$A$2500)=ER$3)*(Gastos!$B$2:$B$2500=$A89)*(Gastos!$D$2:$D$2500))</f>
        <v>0</v>
      </c>
      <c r="ES89" s="75">
        <f t="array" ref="ES89">SUM((YEAR(Gastos!$A$2:$A$2500)=ES$1)*(MONTH(Gastos!$A$2:$A$2500)=ES$3)*(Gastos!$B$2:$B$2500=$A89)*(Gastos!$D$2:$D$2500))</f>
        <v>0</v>
      </c>
      <c r="ET89" s="75">
        <f t="array" ref="ET89">SUM((YEAR(Gastos!$A$2:$A$2500)=ET$1)*(MONTH(Gastos!$A$2:$A$2500)=ET$3)*(Gastos!$B$2:$B$2500=$A89)*(Gastos!$D$2:$D$2500))</f>
        <v>0</v>
      </c>
      <c r="EU89" s="75">
        <f t="array" ref="EU89">SUM((YEAR(Gastos!$A$2:$A$2500)=EU$1)*(MONTH(Gastos!$A$2:$A$2500)=EU$3)*(Gastos!$B$2:$B$2500=$A89)*(Gastos!$D$2:$D$2500))</f>
        <v>0</v>
      </c>
      <c r="EV89" s="75">
        <f t="array" ref="EV89">SUM((YEAR(Gastos!$A$2:$A$2500)=EV$1)*(MONTH(Gastos!$A$2:$A$2500)=EV$3)*(Gastos!$B$2:$B$2500=$A89)*(Gastos!$D$2:$D$2500))</f>
        <v>0</v>
      </c>
      <c r="EW89" s="75">
        <f t="array" ref="EW89">SUM((YEAR(Gastos!$A$2:$A$2500)=EW$1)*(MONTH(Gastos!$A$2:$A$2500)=EW$3)*(Gastos!$B$2:$B$2500=$A89)*(Gastos!$D$2:$D$2500))</f>
        <v>0</v>
      </c>
      <c r="EX89" s="75">
        <f t="array" ref="EX89">SUM((YEAR(Gastos!$A$2:$A$2500)=EX$1)*(MONTH(Gastos!$A$2:$A$2500)=EX$3)*(Gastos!$B$2:$B$2500=$A89)*(Gastos!$D$2:$D$2500))</f>
        <v>0</v>
      </c>
      <c r="EY89" s="75">
        <f t="array" ref="EY89">SUM((YEAR(Gastos!$A$2:$A$2500)=EY$1)*(MONTH(Gastos!$A$2:$A$2500)=EY$3)*(Gastos!$B$2:$B$2500=$A89)*(Gastos!$D$2:$D$2500))</f>
        <v>0</v>
      </c>
      <c r="EZ89" s="75">
        <f t="array" ref="EZ89">SUM((YEAR(Gastos!$A$2:$A$2500)=EZ$1)*(MONTH(Gastos!$A$2:$A$2500)=EZ$3)*(Gastos!$B$2:$B$2500=$A89)*(Gastos!$D$2:$D$2500))</f>
        <v>0</v>
      </c>
      <c r="FA89" s="75">
        <f t="array" ref="FA89">SUM((YEAR(Gastos!$A$2:$A$2500)=FA$1)*(MONTH(Gastos!$A$2:$A$2500)=FA$3)*(Gastos!$B$2:$B$2500=$A89)*(Gastos!$D$2:$D$2500))</f>
        <v>0</v>
      </c>
      <c r="FB89" s="75">
        <f t="array" ref="FB89">SUM((YEAR(Gastos!$A$2:$A$2500)=FB$1)*(MONTH(Gastos!$A$2:$A$2500)=FB$3)*(Gastos!$B$2:$B$2500=$A89)*(Gastos!$D$2:$D$2500))</f>
        <v>0</v>
      </c>
      <c r="FC89" s="75">
        <f t="array" ref="FC89">SUM((YEAR(Gastos!$A$2:$A$2500)=FC$1)*(MONTH(Gastos!$A$2:$A$2500)=FC$3)*(Gastos!$B$2:$B$2500=$A89)*(Gastos!$D$2:$D$2500))</f>
        <v>0</v>
      </c>
      <c r="FD89" s="75">
        <f t="array" ref="FD89">SUM((YEAR(Gastos!$A$2:$A$2500)=FD$1)*(MONTH(Gastos!$A$2:$A$2500)=FD$3)*(Gastos!$B$2:$B$2500=$A89)*(Gastos!$D$2:$D$2500))</f>
        <v>0</v>
      </c>
      <c r="FE89" s="75">
        <f t="array" ref="FE89">SUM((YEAR(Gastos!$A$2:$A$2500)=FE$1)*(MONTH(Gastos!$A$2:$A$2500)=FE$3)*(Gastos!$B$2:$B$2500=$A89)*(Gastos!$D$2:$D$2500))</f>
        <v>0</v>
      </c>
      <c r="FF89" s="75">
        <f t="array" ref="FF89">SUM((YEAR(Gastos!$A$2:$A$2500)=FF$1)*(MONTH(Gastos!$A$2:$A$2500)=FF$3)*(Gastos!$B$2:$B$2500=$A89)*(Gastos!$D$2:$D$2500))</f>
        <v>0</v>
      </c>
      <c r="FG89" s="75">
        <f t="array" ref="FG89">SUM((YEAR(Gastos!$A$2:$A$2500)=FG$1)*(MONTH(Gastos!$A$2:$A$2500)=FG$3)*(Gastos!$B$2:$B$2500=$A89)*(Gastos!$D$2:$D$2500))</f>
        <v>0</v>
      </c>
      <c r="FH89" s="75">
        <f t="array" ref="FH89">SUM((YEAR(Gastos!$A$2:$A$2500)=FH$1)*(MONTH(Gastos!$A$2:$A$2500)=FH$3)*(Gastos!$B$2:$B$2500=$A89)*(Gastos!$D$2:$D$2500))</f>
        <v>0</v>
      </c>
      <c r="FI89" s="75">
        <f t="array" ref="FI89">SUM((YEAR(Gastos!$A$2:$A$2500)=FI$1)*(MONTH(Gastos!$A$2:$A$2500)=FI$3)*(Gastos!$B$2:$B$2500=$A89)*(Gastos!$D$2:$D$2500))</f>
        <v>0</v>
      </c>
      <c r="FJ89" s="75">
        <f t="array" ref="FJ89">SUM((YEAR(Gastos!$A$2:$A$2500)=FJ$1)*(MONTH(Gastos!$A$2:$A$2500)=FJ$3)*(Gastos!$B$2:$B$2500=$A89)*(Gastos!$D$2:$D$2500))</f>
        <v>0</v>
      </c>
      <c r="FK89" s="75">
        <f t="array" ref="FK89">SUM((YEAR(Gastos!$A$2:$A$2500)=FK$1)*(MONTH(Gastos!$A$2:$A$2500)=FK$3)*(Gastos!$B$2:$B$2500=$A89)*(Gastos!$D$2:$D$2500))</f>
        <v>0</v>
      </c>
      <c r="FL89" s="75">
        <f t="array" ref="FL89">SUM((YEAR(Gastos!$A$2:$A$2500)=FL$1)*(MONTH(Gastos!$A$2:$A$2500)=FL$3)*(Gastos!$B$2:$B$2500=$A89)*(Gastos!$D$2:$D$2500))</f>
        <v>0</v>
      </c>
      <c r="FM89" s="75">
        <f t="array" ref="FM89">SUM((YEAR(Gastos!$A$2:$A$2500)=FM$1)*(MONTH(Gastos!$A$2:$A$2500)=FM$3)*(Gastos!$B$2:$B$2500=$A89)*(Gastos!$D$2:$D$2500))</f>
        <v>0</v>
      </c>
      <c r="FN89" s="75">
        <f t="array" ref="FN89">SUM((YEAR(Gastos!$A$2:$A$2500)=FN$1)*(MONTH(Gastos!$A$2:$A$2500)=FN$3)*(Gastos!$B$2:$B$2500=$A89)*(Gastos!$D$2:$D$2500))</f>
        <v>0</v>
      </c>
      <c r="FO89" s="75">
        <f t="array" ref="FO89">SUM((YEAR(Gastos!$A$2:$A$2500)=FO$1)*(MONTH(Gastos!$A$2:$A$2500)=FO$3)*(Gastos!$B$2:$B$2500=$A89)*(Gastos!$D$2:$D$2500))</f>
        <v>0</v>
      </c>
      <c r="FP89" s="75">
        <f t="array" ref="FP89">SUM((YEAR(Gastos!$A$2:$A$2500)=FP$1)*(MONTH(Gastos!$A$2:$A$2500)=FP$3)*(Gastos!$B$2:$B$2500=$A89)*(Gastos!$D$2:$D$2500))</f>
        <v>0</v>
      </c>
      <c r="FQ89" s="75">
        <f t="array" ref="FQ89">SUM((YEAR(Gastos!$A$2:$A$2500)=FQ$1)*(MONTH(Gastos!$A$2:$A$2500)=FQ$3)*(Gastos!$B$2:$B$2500=$A89)*(Gastos!$D$2:$D$2500))</f>
        <v>0</v>
      </c>
      <c r="FR89" s="75">
        <f t="array" ref="FR89">SUM((YEAR(Gastos!$A$2:$A$2500)=FR$1)*(MONTH(Gastos!$A$2:$A$2500)=FR$3)*(Gastos!$B$2:$B$2500=$A89)*(Gastos!$D$2:$D$2500))</f>
        <v>0</v>
      </c>
      <c r="FS89" s="75">
        <f t="array" ref="FS89">SUM((YEAR(Gastos!$A$2:$A$2500)=FS$1)*(MONTH(Gastos!$A$2:$A$2500)=FS$3)*(Gastos!$B$2:$B$2500=$A89)*(Gastos!$D$2:$D$2500))</f>
        <v>0</v>
      </c>
      <c r="FT89" s="75">
        <f t="array" ref="FT89">SUM((YEAR(Gastos!$A$2:$A$2500)=FT$1)*(MONTH(Gastos!$A$2:$A$2500)=FT$3)*(Gastos!$B$2:$B$2500=$A89)*(Gastos!$D$2:$D$2500))</f>
        <v>0</v>
      </c>
      <c r="FU89" s="75">
        <f t="array" ref="FU89">SUM((YEAR(Gastos!$A$2:$A$2500)=FU$1)*(MONTH(Gastos!$A$2:$A$2500)=FU$3)*(Gastos!$B$2:$B$2500=$A89)*(Gastos!$D$2:$D$2500))</f>
        <v>0</v>
      </c>
      <c r="FV89" s="75">
        <f t="array" ref="FV89">SUM((YEAR(Gastos!$A$2:$A$2500)=FV$1)*(MONTH(Gastos!$A$2:$A$2500)=FV$3)*(Gastos!$B$2:$B$2500=$A89)*(Gastos!$D$2:$D$2500))</f>
        <v>0</v>
      </c>
      <c r="FW89" s="75">
        <f t="array" ref="FW89">SUM((YEAR(Gastos!$A$2:$A$2500)=FW$1)*(MONTH(Gastos!$A$2:$A$2500)=FW$3)*(Gastos!$B$2:$B$2500=$A89)*(Gastos!$D$2:$D$2500))</f>
        <v>0</v>
      </c>
      <c r="FX89" s="75">
        <f t="array" ref="FX89">SUM((YEAR(Gastos!$A$2:$A$2500)=FX$1)*(MONTH(Gastos!$A$2:$A$2500)=FX$3)*(Gastos!$B$2:$B$2500=$A89)*(Gastos!$D$2:$D$2500))</f>
        <v>0</v>
      </c>
      <c r="FY89" s="75">
        <f t="array" ref="FY89">SUM((YEAR(Gastos!$A$2:$A$2500)=FY$1)*(MONTH(Gastos!$A$2:$A$2500)=FY$3)*(Gastos!$B$2:$B$2500=$A89)*(Gastos!$D$2:$D$2500))</f>
        <v>0</v>
      </c>
      <c r="FZ89" s="76">
        <f t="shared" si="68"/>
        <v>0</v>
      </c>
      <c r="GA89" s="80"/>
      <c r="GB89" s="82"/>
    </row>
    <row r="90" spans="1:184" ht="15" thickBot="1" x14ac:dyDescent="0.4">
      <c r="A90" s="74" t="str">
        <f>Gastos!AA88</f>
        <v>X</v>
      </c>
      <c r="B90" s="75">
        <f t="array" ref="B90">SUM((YEAR(Gastos!$A$2:$A$2500)=B$1)*(MONTH(Gastos!$A$2:$A$2500)=B$3)*(Gastos!$B$2:$B$2500=$A90)*(Gastos!$D$2:$D$2500))</f>
        <v>0</v>
      </c>
      <c r="C90" s="75">
        <f t="array" ref="C90">SUM((YEAR(Gastos!$A$2:$A$2500)=C$1)*(MONTH(Gastos!$A$2:$A$2500)=C$3)*(Gastos!$B$2:$B$2500=$A90)*(Gastos!$D$2:$D$2500))</f>
        <v>0</v>
      </c>
      <c r="D90" s="75">
        <f t="array" ref="D90">SUM((YEAR(Gastos!$A$2:$A$2500)=D$1)*(MONTH(Gastos!$A$2:$A$2500)=D$3)*(Gastos!$B$2:$B$2500=$A90)*(Gastos!$D$2:$D$2500))</f>
        <v>0</v>
      </c>
      <c r="E90" s="75">
        <f t="array" ref="E90">SUM((YEAR(Gastos!$A$2:$A$2500)=E$1)*(MONTH(Gastos!$A$2:$A$2500)=E$3)*(Gastos!$B$2:$B$2500=$A90)*(Gastos!$D$2:$D$2500))</f>
        <v>0</v>
      </c>
      <c r="F90" s="75">
        <f t="array" ref="F90">SUM((YEAR(Gastos!$A$2:$A$2500)=F$1)*(MONTH(Gastos!$A$2:$A$2500)=F$3)*(Gastos!$B$2:$B$2500=$A90)*(Gastos!$D$2:$D$2500))</f>
        <v>0</v>
      </c>
      <c r="G90" s="75">
        <f t="array" ref="G90">SUM((YEAR(Gastos!$A$2:$A$2500)=G$1)*(MONTH(Gastos!$A$2:$A$2500)=G$3)*(Gastos!$B$2:$B$2500=$A90)*(Gastos!$D$2:$D$2500))</f>
        <v>0</v>
      </c>
      <c r="H90" s="75">
        <f t="array" ref="H90">SUM((YEAR(Gastos!$A$2:$A$2500)=H$1)*(MONTH(Gastos!$A$2:$A$2500)=H$3)*(Gastos!$B$2:$B$2500=$A90)*(Gastos!$D$2:$D$2500))</f>
        <v>0</v>
      </c>
      <c r="I90" s="75">
        <f t="array" ref="I90">SUM((YEAR(Gastos!$A$2:$A$2500)=I$1)*(MONTH(Gastos!$A$2:$A$2500)=I$3)*(Gastos!$B$2:$B$2500=$A90)*(Gastos!$D$2:$D$2500))</f>
        <v>0</v>
      </c>
      <c r="J90" s="75">
        <f t="array" ref="J90">SUM((YEAR(Gastos!$A$2:$A$2500)=J$1)*(MONTH(Gastos!$A$2:$A$2500)=J$3)*(Gastos!$B$2:$B$2500=$A90)*(Gastos!$D$2:$D$2500))</f>
        <v>0</v>
      </c>
      <c r="K90" s="75">
        <f t="array" ref="K90">SUM((YEAR(Gastos!$A$2:$A$2500)=K$1)*(MONTH(Gastos!$A$2:$A$2500)=K$3)*(Gastos!$B$2:$B$2500=$A90)*(Gastos!$D$2:$D$2500))</f>
        <v>0</v>
      </c>
      <c r="L90" s="75">
        <f t="array" ref="L90">SUM((YEAR(Gastos!$A$2:$A$2500)=L$1)*(MONTH(Gastos!$A$2:$A$2500)=L$3)*(Gastos!$B$2:$B$2500=$A90)*(Gastos!$D$2:$D$2500))</f>
        <v>0</v>
      </c>
      <c r="M90" s="75">
        <f t="array" ref="M90">SUM((YEAR(Gastos!$A$2:$A$2500)=M$1)*(MONTH(Gastos!$A$2:$A$2500)=M$3)*(Gastos!$B$2:$B$2500=$A90)*(Gastos!$D$2:$D$2500))</f>
        <v>0</v>
      </c>
      <c r="N90" s="75">
        <f t="array" ref="N90">SUM((YEAR(Gastos!$A$2:$A$2500)=N$1)*(MONTH(Gastos!$A$2:$A$2500)=N$3)*(Gastos!$B$2:$B$2500=$A90)*(Gastos!$D$2:$D$2500))</f>
        <v>0</v>
      </c>
      <c r="O90" s="75">
        <f t="array" ref="O90">SUM((YEAR(Gastos!$A$2:$A$2500)=O$1)*(MONTH(Gastos!$A$2:$A$2500)=O$3)*(Gastos!$B$2:$B$2500=$A90)*(Gastos!$D$2:$D$2500))</f>
        <v>0</v>
      </c>
      <c r="P90" s="75">
        <f t="array" ref="P90">SUM((YEAR(Gastos!$A$2:$A$2500)=P$1)*(MONTH(Gastos!$A$2:$A$2500)=P$3)*(Gastos!$B$2:$B$2500=$A90)*(Gastos!$D$2:$D$2500))</f>
        <v>0</v>
      </c>
      <c r="Q90" s="75">
        <f t="array" ref="Q90">SUM((YEAR(Gastos!$A$2:$A$2500)=Q$1)*(MONTH(Gastos!$A$2:$A$2500)=Q$3)*(Gastos!$B$2:$B$2500=$A90)*(Gastos!$D$2:$D$2500))</f>
        <v>0</v>
      </c>
      <c r="R90" s="75">
        <f t="array" ref="R90">SUM((YEAR(Gastos!$A$2:$A$2500)=R$1)*(MONTH(Gastos!$A$2:$A$2500)=R$3)*(Gastos!$B$2:$B$2500=$A90)*(Gastos!$D$2:$D$2500))</f>
        <v>0</v>
      </c>
      <c r="S90" s="75">
        <f t="array" ref="S90">SUM((YEAR(Gastos!$A$2:$A$2500)=S$1)*(MONTH(Gastos!$A$2:$A$2500)=S$3)*(Gastos!$B$2:$B$2500=$A90)*(Gastos!$D$2:$D$2500))</f>
        <v>0</v>
      </c>
      <c r="T90" s="75">
        <f t="array" ref="T90">SUM((YEAR(Gastos!$A$2:$A$2500)=T$1)*(MONTH(Gastos!$A$2:$A$2500)=T$3)*(Gastos!$B$2:$B$2500=$A90)*(Gastos!$D$2:$D$2500))</f>
        <v>0</v>
      </c>
      <c r="U90" s="75">
        <f t="array" ref="U90">SUM((YEAR(Gastos!$A$2:$A$2500)=U$1)*(MONTH(Gastos!$A$2:$A$2500)=U$3)*(Gastos!$B$2:$B$2500=$A90)*(Gastos!$D$2:$D$2500))</f>
        <v>0</v>
      </c>
      <c r="V90" s="75">
        <f t="array" ref="V90">SUM((YEAR(Gastos!$A$2:$A$2500)=V$1)*(MONTH(Gastos!$A$2:$A$2500)=V$3)*(Gastos!$B$2:$B$2500=$A90)*(Gastos!$D$2:$D$2500))</f>
        <v>0</v>
      </c>
      <c r="W90" s="75">
        <f t="array" ref="W90">SUM((YEAR(Gastos!$A$2:$A$2500)=W$1)*(MONTH(Gastos!$A$2:$A$2500)=W$3)*(Gastos!$B$2:$B$2500=$A90)*(Gastos!$D$2:$D$2500))</f>
        <v>0</v>
      </c>
      <c r="X90" s="75">
        <f t="array" ref="X90">SUM((YEAR(Gastos!$A$2:$A$2500)=X$1)*(MONTH(Gastos!$A$2:$A$2500)=X$3)*(Gastos!$B$2:$B$2500=$A90)*(Gastos!$D$2:$D$2500))</f>
        <v>0</v>
      </c>
      <c r="Y90" s="75">
        <f t="array" ref="Y90">SUM((YEAR(Gastos!$A$2:$A$2500)=Y$1)*(MONTH(Gastos!$A$2:$A$2500)=Y$3)*(Gastos!$B$2:$B$2500=$A90)*(Gastos!$D$2:$D$2500))</f>
        <v>0</v>
      </c>
      <c r="Z90" s="75">
        <f t="array" ref="Z90">SUM((YEAR(Gastos!$A$2:$A$2500)=Z$1)*(MONTH(Gastos!$A$2:$A$2500)=Z$3)*(Gastos!$B$2:$B$2500=$A90)*(Gastos!$D$2:$D$2500))</f>
        <v>0</v>
      </c>
      <c r="AA90" s="75">
        <f t="array" ref="AA90">SUM((YEAR(Gastos!$A$2:$A$2500)=AA$1)*(MONTH(Gastos!$A$2:$A$2500)=AA$3)*(Gastos!$B$2:$B$2500=$A90)*(Gastos!$D$2:$D$2500))</f>
        <v>0</v>
      </c>
      <c r="AB90" s="75">
        <f t="array" ref="AB90">SUM((YEAR(Gastos!$A$2:$A$2500)=AB$1)*(MONTH(Gastos!$A$2:$A$2500)=AB$3)*(Gastos!$B$2:$B$2500=$A90)*(Gastos!$D$2:$D$2500))</f>
        <v>0</v>
      </c>
      <c r="AC90" s="75">
        <f t="array" ref="AC90">SUM((YEAR(Gastos!$A$2:$A$2500)=AC$1)*(MONTH(Gastos!$A$2:$A$2500)=AC$3)*(Gastos!$B$2:$B$2500=$A90)*(Gastos!$D$2:$D$2500))</f>
        <v>0</v>
      </c>
      <c r="AD90" s="75">
        <f t="array" ref="AD90">SUM((YEAR(Gastos!$A$2:$A$2500)=AD$1)*(MONTH(Gastos!$A$2:$A$2500)=AD$3)*(Gastos!$B$2:$B$2500=$A90)*(Gastos!$D$2:$D$2500))</f>
        <v>0</v>
      </c>
      <c r="AE90" s="75">
        <f t="array" ref="AE90">SUM((YEAR(Gastos!$A$2:$A$2500)=AE$1)*(MONTH(Gastos!$A$2:$A$2500)=AE$3)*(Gastos!$B$2:$B$2500=$A90)*(Gastos!$D$2:$D$2500))</f>
        <v>0</v>
      </c>
      <c r="AF90" s="75">
        <f t="array" ref="AF90">SUM((YEAR(Gastos!$A$2:$A$2500)=AF$1)*(MONTH(Gastos!$A$2:$A$2500)=AF$3)*(Gastos!$B$2:$B$2500=$A90)*(Gastos!$D$2:$D$2500))</f>
        <v>0</v>
      </c>
      <c r="AG90" s="75">
        <f t="array" ref="AG90">SUM((YEAR(Gastos!$A$2:$A$2500)=AG$1)*(MONTH(Gastos!$A$2:$A$2500)=AG$3)*(Gastos!$B$2:$B$2500=$A90)*(Gastos!$D$2:$D$2500))</f>
        <v>0</v>
      </c>
      <c r="AH90" s="75">
        <f t="array" ref="AH90">SUM((YEAR(Gastos!$A$2:$A$2500)=AH$1)*(MONTH(Gastos!$A$2:$A$2500)=AH$3)*(Gastos!$B$2:$B$2500=$A90)*(Gastos!$D$2:$D$2500))</f>
        <v>0</v>
      </c>
      <c r="AI90" s="75">
        <f t="array" ref="AI90">SUM((YEAR(Gastos!$A$2:$A$2500)=AI$1)*(MONTH(Gastos!$A$2:$A$2500)=AI$3)*(Gastos!$B$2:$B$2500=$A90)*(Gastos!$D$2:$D$2500))</f>
        <v>0</v>
      </c>
      <c r="AJ90" s="75">
        <f t="array" ref="AJ90">SUM((YEAR(Gastos!$A$2:$A$2500)=AJ$1)*(MONTH(Gastos!$A$2:$A$2500)=AJ$3)*(Gastos!$B$2:$B$2500=$A90)*(Gastos!$D$2:$D$2500))</f>
        <v>0</v>
      </c>
      <c r="AK90" s="75">
        <f t="array" ref="AK90">SUM((YEAR(Gastos!$A$2:$A$2500)=AK$1)*(MONTH(Gastos!$A$2:$A$2500)=AK$3)*(Gastos!$B$2:$B$2500=$A90)*(Gastos!$D$2:$D$2500))</f>
        <v>0</v>
      </c>
      <c r="AL90" s="75">
        <f t="array" ref="AL90">SUM((YEAR(Gastos!$A$2:$A$2500)=AL$1)*(MONTH(Gastos!$A$2:$A$2500)=AL$3)*(Gastos!$B$2:$B$2500=$A90)*(Gastos!$D$2:$D$2500))</f>
        <v>0</v>
      </c>
      <c r="AM90" s="75">
        <f t="array" ref="AM90">SUM((YEAR(Gastos!$A$2:$A$2500)=AM$1)*(MONTH(Gastos!$A$2:$A$2500)=AM$3)*(Gastos!$B$2:$B$2500=$A90)*(Gastos!$D$2:$D$2500))</f>
        <v>0</v>
      </c>
      <c r="AN90" s="75">
        <f t="array" ref="AN90">SUM((YEAR(Gastos!$A$2:$A$2500)=AN$1)*(MONTH(Gastos!$A$2:$A$2500)=AN$3)*(Gastos!$B$2:$B$2500=$A90)*(Gastos!$D$2:$D$2500))</f>
        <v>0</v>
      </c>
      <c r="AO90" s="75">
        <f t="array" ref="AO90">SUM((YEAR(Gastos!$A$2:$A$2500)=AO$1)*(MONTH(Gastos!$A$2:$A$2500)=AO$3)*(Gastos!$B$2:$B$2500=$A90)*(Gastos!$D$2:$D$2500))</f>
        <v>0</v>
      </c>
      <c r="AP90" s="75">
        <f t="array" ref="AP90">SUM((YEAR(Gastos!$A$2:$A$2500)=AP$1)*(MONTH(Gastos!$A$2:$A$2500)=AP$3)*(Gastos!$B$2:$B$2500=$A90)*(Gastos!$D$2:$D$2500))</f>
        <v>0</v>
      </c>
      <c r="AQ90" s="75">
        <f t="array" ref="AQ90">SUM((YEAR(Gastos!$A$2:$A$2500)=AQ$1)*(MONTH(Gastos!$A$2:$A$2500)=AQ$3)*(Gastos!$B$2:$B$2500=$A90)*(Gastos!$D$2:$D$2500))</f>
        <v>0</v>
      </c>
      <c r="AR90" s="75">
        <f t="array" ref="AR90">SUM((YEAR(Gastos!$A$2:$A$2500)=AR$1)*(MONTH(Gastos!$A$2:$A$2500)=AR$3)*(Gastos!$B$2:$B$2500=$A90)*(Gastos!$D$2:$D$2500))</f>
        <v>0</v>
      </c>
      <c r="AS90" s="75">
        <f t="array" ref="AS90">SUM((YEAR(Gastos!$A$2:$A$2500)=AS$1)*(MONTH(Gastos!$A$2:$A$2500)=AS$3)*(Gastos!$B$2:$B$2500=$A90)*(Gastos!$D$2:$D$2500))</f>
        <v>0</v>
      </c>
      <c r="AT90" s="75">
        <f t="array" ref="AT90">SUM((YEAR(Gastos!$A$2:$A$2500)=AT$1)*(MONTH(Gastos!$A$2:$A$2500)=AT$3)*(Gastos!$B$2:$B$2500=$A90)*(Gastos!$D$2:$D$2500))</f>
        <v>0</v>
      </c>
      <c r="AU90" s="75">
        <f t="array" ref="AU90">SUM((YEAR(Gastos!$A$2:$A$2500)=AU$1)*(MONTH(Gastos!$A$2:$A$2500)=AU$3)*(Gastos!$B$2:$B$2500=$A90)*(Gastos!$D$2:$D$2500))</f>
        <v>0</v>
      </c>
      <c r="AV90" s="75">
        <f t="array" ref="AV90">SUM((YEAR(Gastos!$A$2:$A$2500)=AV$1)*(MONTH(Gastos!$A$2:$A$2500)=AV$3)*(Gastos!$B$2:$B$2500=$A90)*(Gastos!$D$2:$D$2500))</f>
        <v>0</v>
      </c>
      <c r="AW90" s="75">
        <f t="array" ref="AW90">SUM((YEAR(Gastos!$A$2:$A$2500)=AW$1)*(MONTH(Gastos!$A$2:$A$2500)=AW$3)*(Gastos!$B$2:$B$2500=$A90)*(Gastos!$D$2:$D$2500))</f>
        <v>0</v>
      </c>
      <c r="AX90" s="75">
        <f t="array" ref="AX90">SUM((YEAR(Gastos!$A$2:$A$2500)=AX$1)*(MONTH(Gastos!$A$2:$A$2500)=AX$3)*(Gastos!$B$2:$B$2500=$A90)*(Gastos!$D$2:$D$2500))</f>
        <v>0</v>
      </c>
      <c r="AY90" s="75">
        <f t="array" ref="AY90">SUM((YEAR(Gastos!$A$2:$A$2500)=AY$1)*(MONTH(Gastos!$A$2:$A$2500)=AY$3)*(Gastos!$B$2:$B$2500=$A90)*(Gastos!$D$2:$D$2500))</f>
        <v>0</v>
      </c>
      <c r="AZ90" s="75">
        <f t="array" ref="AZ90">SUM((YEAR(Gastos!$A$2:$A$2500)=AZ$1)*(MONTH(Gastos!$A$2:$A$2500)=AZ$3)*(Gastos!$B$2:$B$2500=$A90)*(Gastos!$D$2:$D$2500))</f>
        <v>0</v>
      </c>
      <c r="BA90" s="75">
        <f t="array" ref="BA90">SUM((YEAR(Gastos!$A$2:$A$2500)=BA$1)*(MONTH(Gastos!$A$2:$A$2500)=BA$3)*(Gastos!$B$2:$B$2500=$A90)*(Gastos!$D$2:$D$2500))</f>
        <v>0</v>
      </c>
      <c r="BB90" s="75">
        <f t="array" ref="BB90">SUM((YEAR(Gastos!$A$2:$A$2500)=BB$1)*(MONTH(Gastos!$A$2:$A$2500)=BB$3)*(Gastos!$B$2:$B$2500=$A90)*(Gastos!$D$2:$D$2500))</f>
        <v>0</v>
      </c>
      <c r="BC90" s="75">
        <f t="array" ref="BC90">SUM((YEAR(Gastos!$A$2:$A$2500)=BC$1)*(MONTH(Gastos!$A$2:$A$2500)=BC$3)*(Gastos!$B$2:$B$2500=$A90)*(Gastos!$D$2:$D$2500))</f>
        <v>0</v>
      </c>
      <c r="BD90" s="75">
        <f t="array" ref="BD90">SUM((YEAR(Gastos!$A$2:$A$2500)=BD$1)*(MONTH(Gastos!$A$2:$A$2500)=BD$3)*(Gastos!$B$2:$B$2500=$A90)*(Gastos!$D$2:$D$2500))</f>
        <v>0</v>
      </c>
      <c r="BE90" s="75">
        <f t="array" ref="BE90">SUM((YEAR(Gastos!$A$2:$A$2500)=BE$1)*(MONTH(Gastos!$A$2:$A$2500)=BE$3)*(Gastos!$B$2:$B$2500=$A90)*(Gastos!$D$2:$D$2500))</f>
        <v>0</v>
      </c>
      <c r="BF90" s="75">
        <f t="array" ref="BF90">SUM((YEAR(Gastos!$A$2:$A$2500)=BF$1)*(MONTH(Gastos!$A$2:$A$2500)=BF$3)*(Gastos!$B$2:$B$2500=$A90)*(Gastos!$D$2:$D$2500))</f>
        <v>0</v>
      </c>
      <c r="BG90" s="75">
        <f t="array" ref="BG90">SUM((YEAR(Gastos!$A$2:$A$2500)=BG$1)*(MONTH(Gastos!$A$2:$A$2500)=BG$3)*(Gastos!$B$2:$B$2500=$A90)*(Gastos!$D$2:$D$2500))</f>
        <v>0</v>
      </c>
      <c r="BH90" s="75">
        <f t="array" ref="BH90">SUM((YEAR(Gastos!$A$2:$A$2500)=BH$1)*(MONTH(Gastos!$A$2:$A$2500)=BH$3)*(Gastos!$B$2:$B$2500=$A90)*(Gastos!$D$2:$D$2500))</f>
        <v>0</v>
      </c>
      <c r="BI90" s="75">
        <f t="array" ref="BI90">SUM((YEAR(Gastos!$A$2:$A$2500)=BI$1)*(MONTH(Gastos!$A$2:$A$2500)=BI$3)*(Gastos!$B$2:$B$2500=$A90)*(Gastos!$D$2:$D$2500))</f>
        <v>0</v>
      </c>
      <c r="BJ90" s="75">
        <f t="array" ref="BJ90">SUM((YEAR(Gastos!$A$2:$A$2500)=BJ$1)*(MONTH(Gastos!$A$2:$A$2500)=BJ$3)*(Gastos!$B$2:$B$2500=$A90)*(Gastos!$D$2:$D$2500))</f>
        <v>0</v>
      </c>
      <c r="BK90" s="75">
        <f t="array" ref="BK90">SUM((YEAR(Gastos!$A$2:$A$2500)=BK$1)*(MONTH(Gastos!$A$2:$A$2500)=BK$3)*(Gastos!$B$2:$B$2500=$A90)*(Gastos!$D$2:$D$2500))</f>
        <v>0</v>
      </c>
      <c r="BL90" s="75">
        <f t="array" ref="BL90">SUM((YEAR(Gastos!$A$2:$A$2500)=BL$1)*(MONTH(Gastos!$A$2:$A$2500)=BL$3)*(Gastos!$B$2:$B$2500=$A90)*(Gastos!$D$2:$D$2500))</f>
        <v>0</v>
      </c>
      <c r="BM90" s="75">
        <f t="array" ref="BM90">SUM((YEAR(Gastos!$A$2:$A$2500)=BM$1)*(MONTH(Gastos!$A$2:$A$2500)=BM$3)*(Gastos!$B$2:$B$2500=$A90)*(Gastos!$D$2:$D$2500))</f>
        <v>0</v>
      </c>
      <c r="BN90" s="75">
        <f t="array" ref="BN90">SUM((YEAR(Gastos!$A$2:$A$2500)=BN$1)*(MONTH(Gastos!$A$2:$A$2500)=BN$3)*(Gastos!$B$2:$B$2500=$A90)*(Gastos!$D$2:$D$2500))</f>
        <v>0</v>
      </c>
      <c r="BO90" s="75">
        <f t="array" ref="BO90">SUM((YEAR(Gastos!$A$2:$A$2500)=BO$1)*(MONTH(Gastos!$A$2:$A$2500)=BO$3)*(Gastos!$B$2:$B$2500=$A90)*(Gastos!$D$2:$D$2500))</f>
        <v>0</v>
      </c>
      <c r="BP90" s="75">
        <f t="array" ref="BP90">SUM((YEAR(Gastos!$A$2:$A$2500)=BP$1)*(MONTH(Gastos!$A$2:$A$2500)=BP$3)*(Gastos!$B$2:$B$2500=$A90)*(Gastos!$D$2:$D$2500))</f>
        <v>0</v>
      </c>
      <c r="BQ90" s="75">
        <f t="array" ref="BQ90">SUM((YEAR(Gastos!$A$2:$A$2500)=BQ$1)*(MONTH(Gastos!$A$2:$A$2500)=BQ$3)*(Gastos!$B$2:$B$2500=$A90)*(Gastos!$D$2:$D$2500))</f>
        <v>0</v>
      </c>
      <c r="BR90" s="75">
        <f t="array" ref="BR90">SUM((YEAR(Gastos!$A$2:$A$2500)=BR$1)*(MONTH(Gastos!$A$2:$A$2500)=BR$3)*(Gastos!$B$2:$B$2500=$A90)*(Gastos!$D$2:$D$2500))</f>
        <v>0</v>
      </c>
      <c r="BS90" s="75">
        <f t="array" ref="BS90">SUM((YEAR(Gastos!$A$2:$A$2500)=BS$1)*(MONTH(Gastos!$A$2:$A$2500)=BS$3)*(Gastos!$B$2:$B$2500=$A90)*(Gastos!$D$2:$D$2500))</f>
        <v>0</v>
      </c>
      <c r="BT90" s="75">
        <f t="array" ref="BT90">SUM((YEAR(Gastos!$A$2:$A$2500)=BT$1)*(MONTH(Gastos!$A$2:$A$2500)=BT$3)*(Gastos!$B$2:$B$2500=$A90)*(Gastos!$D$2:$D$2500))</f>
        <v>0</v>
      </c>
      <c r="BU90" s="75">
        <f t="array" ref="BU90">SUM((YEAR(Gastos!$A$2:$A$2500)=BU$1)*(MONTH(Gastos!$A$2:$A$2500)=BU$3)*(Gastos!$B$2:$B$2500=$A90)*(Gastos!$D$2:$D$2500))</f>
        <v>0</v>
      </c>
      <c r="BV90" s="75">
        <f t="array" ref="BV90">SUM((YEAR(Gastos!$A$2:$A$2500)=BV$1)*(MONTH(Gastos!$A$2:$A$2500)=BV$3)*(Gastos!$B$2:$B$2500=$A90)*(Gastos!$D$2:$D$2500))</f>
        <v>0</v>
      </c>
      <c r="BW90" s="75">
        <f t="array" ref="BW90">SUM((YEAR(Gastos!$A$2:$A$2500)=BW$1)*(MONTH(Gastos!$A$2:$A$2500)=BW$3)*(Gastos!$B$2:$B$2500=$A90)*(Gastos!$D$2:$D$2500))</f>
        <v>0</v>
      </c>
      <c r="BX90" s="75">
        <f t="array" ref="BX90">SUM((YEAR(Gastos!$A$2:$A$2500)=BX$1)*(MONTH(Gastos!$A$2:$A$2500)=BX$3)*(Gastos!$B$2:$B$2500=$A90)*(Gastos!$D$2:$D$2500))</f>
        <v>0</v>
      </c>
      <c r="BY90" s="75">
        <f t="array" ref="BY90">SUM((YEAR(Gastos!$A$2:$A$2500)=BY$1)*(MONTH(Gastos!$A$2:$A$2500)=BY$3)*(Gastos!$B$2:$B$2500=$A90)*(Gastos!$D$2:$D$2500))</f>
        <v>0</v>
      </c>
      <c r="BZ90" s="75">
        <f t="array" ref="BZ90">SUM((YEAR(Gastos!$A$2:$A$2500)=BZ$1)*(MONTH(Gastos!$A$2:$A$2500)=BZ$3)*(Gastos!$B$2:$B$2500=$A90)*(Gastos!$D$2:$D$2500))</f>
        <v>0</v>
      </c>
      <c r="CA90" s="75">
        <f t="array" ref="CA90">SUM((YEAR(Gastos!$A$2:$A$2500)=CA$1)*(MONTH(Gastos!$A$2:$A$2500)=CA$3)*(Gastos!$B$2:$B$2500=$A90)*(Gastos!$D$2:$D$2500))</f>
        <v>0</v>
      </c>
      <c r="CB90" s="75">
        <f t="array" ref="CB90">SUM((YEAR(Gastos!$A$2:$A$2500)=CB$1)*(MONTH(Gastos!$A$2:$A$2500)=CB$3)*(Gastos!$B$2:$B$2500=$A90)*(Gastos!$D$2:$D$2500))</f>
        <v>0</v>
      </c>
      <c r="CC90" s="75">
        <f t="array" ref="CC90">SUM((YEAR(Gastos!$A$2:$A$2500)=CC$1)*(MONTH(Gastos!$A$2:$A$2500)=CC$3)*(Gastos!$B$2:$B$2500=$A90)*(Gastos!$D$2:$D$2500))</f>
        <v>0</v>
      </c>
      <c r="CD90" s="75">
        <f t="array" ref="CD90">SUM((YEAR(Gastos!$A$2:$A$2500)=CD$1)*(MONTH(Gastos!$A$2:$A$2500)=CD$3)*(Gastos!$B$2:$B$2500=$A90)*(Gastos!$D$2:$D$2500))</f>
        <v>0</v>
      </c>
      <c r="CE90" s="75">
        <f t="array" ref="CE90">SUM((YEAR(Gastos!$A$2:$A$2500)=CE$1)*(MONTH(Gastos!$A$2:$A$2500)=CE$3)*(Gastos!$B$2:$B$2500=$A90)*(Gastos!$D$2:$D$2500))</f>
        <v>0</v>
      </c>
      <c r="CF90" s="75">
        <f t="array" ref="CF90">SUM((YEAR(Gastos!$A$2:$A$2500)=CF$1)*(MONTH(Gastos!$A$2:$A$2500)=CF$3)*(Gastos!$B$2:$B$2500=$A90)*(Gastos!$D$2:$D$2500))</f>
        <v>0</v>
      </c>
      <c r="CG90" s="75">
        <f t="array" ref="CG90">SUM((YEAR(Gastos!$A$2:$A$2500)=CG$1)*(MONTH(Gastos!$A$2:$A$2500)=CG$3)*(Gastos!$B$2:$B$2500=$A90)*(Gastos!$D$2:$D$2500))</f>
        <v>0</v>
      </c>
      <c r="CH90" s="75">
        <f t="array" ref="CH90">SUM((YEAR(Gastos!$A$2:$A$2500)=CH$1)*(MONTH(Gastos!$A$2:$A$2500)=CH$3)*(Gastos!$B$2:$B$2500=$A90)*(Gastos!$D$2:$D$2500))</f>
        <v>0</v>
      </c>
      <c r="CI90" s="75">
        <f t="array" ref="CI90">SUM((YEAR(Gastos!$A$2:$A$2500)=CI$1)*(MONTH(Gastos!$A$2:$A$2500)=CI$3)*(Gastos!$B$2:$B$2500=$A90)*(Gastos!$D$2:$D$2500))</f>
        <v>0</v>
      </c>
      <c r="CJ90" s="75">
        <f t="array" ref="CJ90">SUM((YEAR(Gastos!$A$2:$A$2500)=CJ$1)*(MONTH(Gastos!$A$2:$A$2500)=CJ$3)*(Gastos!$B$2:$B$2500=$A90)*(Gastos!$D$2:$D$2500))</f>
        <v>0</v>
      </c>
      <c r="CK90" s="75">
        <f t="array" ref="CK90">SUM((YEAR(Gastos!$A$2:$A$2500)=CK$1)*(MONTH(Gastos!$A$2:$A$2500)=CK$3)*(Gastos!$B$2:$B$2500=$A90)*(Gastos!$D$2:$D$2500))</f>
        <v>0</v>
      </c>
      <c r="CL90" s="75">
        <f t="array" ref="CL90">SUM((YEAR(Gastos!$A$2:$A$2500)=CL$1)*(MONTH(Gastos!$A$2:$A$2500)=CL$3)*(Gastos!$B$2:$B$2500=$A90)*(Gastos!$D$2:$D$2500))</f>
        <v>0</v>
      </c>
      <c r="CM90" s="75">
        <f t="array" ref="CM90">SUM((YEAR(Gastos!$A$2:$A$2500)=CM$1)*(MONTH(Gastos!$A$2:$A$2500)=CM$3)*(Gastos!$B$2:$B$2500=$A90)*(Gastos!$D$2:$D$2500))</f>
        <v>0</v>
      </c>
      <c r="CN90" s="75">
        <f t="array" ref="CN90">SUM((YEAR(Gastos!$A$2:$A$2500)=CN$1)*(MONTH(Gastos!$A$2:$A$2500)=CN$3)*(Gastos!$B$2:$B$2500=$A90)*(Gastos!$D$2:$D$2500))</f>
        <v>0</v>
      </c>
      <c r="CO90" s="75">
        <f t="array" ref="CO90">SUM((YEAR(Gastos!$A$2:$A$2500)=CO$1)*(MONTH(Gastos!$A$2:$A$2500)=CO$3)*(Gastos!$B$2:$B$2500=$A90)*(Gastos!$D$2:$D$2500))</f>
        <v>0</v>
      </c>
      <c r="CP90" s="75">
        <f t="array" ref="CP90">SUM((YEAR(Gastos!$A$2:$A$2500)=CP$1)*(MONTH(Gastos!$A$2:$A$2500)=CP$3)*(Gastos!$B$2:$B$2500=$A90)*(Gastos!$D$2:$D$2500))</f>
        <v>0</v>
      </c>
      <c r="CQ90" s="75">
        <f t="array" ref="CQ90">SUM((YEAR(Gastos!$A$2:$A$2500)=CQ$1)*(MONTH(Gastos!$A$2:$A$2500)=CQ$3)*(Gastos!$B$2:$B$2500=$A90)*(Gastos!$D$2:$D$2500))</f>
        <v>0</v>
      </c>
      <c r="CR90" s="75">
        <f t="array" ref="CR90">SUM((YEAR(Gastos!$A$2:$A$2500)=CR$1)*(MONTH(Gastos!$A$2:$A$2500)=CR$3)*(Gastos!$B$2:$B$2500=$A90)*(Gastos!$D$2:$D$2500))</f>
        <v>0</v>
      </c>
      <c r="CS90" s="75">
        <f t="array" ref="CS90">SUM((YEAR(Gastos!$A$2:$A$2500)=CS$1)*(MONTH(Gastos!$A$2:$A$2500)=CS$3)*(Gastos!$B$2:$B$2500=$A90)*(Gastos!$D$2:$D$2500))</f>
        <v>0</v>
      </c>
      <c r="CT90" s="75">
        <f t="array" ref="CT90">SUM((YEAR(Gastos!$A$2:$A$2500)=CT$1)*(MONTH(Gastos!$A$2:$A$2500)=CT$3)*(Gastos!$B$2:$B$2500=$A90)*(Gastos!$D$2:$D$2500))</f>
        <v>0</v>
      </c>
      <c r="CU90" s="75">
        <f t="array" ref="CU90">SUM((YEAR(Gastos!$A$2:$A$2500)=CU$1)*(MONTH(Gastos!$A$2:$A$2500)=CU$3)*(Gastos!$B$2:$B$2500=$A90)*(Gastos!$D$2:$D$2500))</f>
        <v>0</v>
      </c>
      <c r="CV90" s="75">
        <f t="array" ref="CV90">SUM((YEAR(Gastos!$A$2:$A$2500)=CV$1)*(MONTH(Gastos!$A$2:$A$2500)=CV$3)*(Gastos!$B$2:$B$2500=$A90)*(Gastos!$D$2:$D$2500))</f>
        <v>0</v>
      </c>
      <c r="CW90" s="75">
        <f t="array" ref="CW90">SUM((YEAR(Gastos!$A$2:$A$2500)=CW$1)*(MONTH(Gastos!$A$2:$A$2500)=CW$3)*(Gastos!$B$2:$B$2500=$A90)*(Gastos!$D$2:$D$2500))</f>
        <v>0</v>
      </c>
      <c r="CX90" s="75">
        <f t="array" ref="CX90">SUM((YEAR(Gastos!$A$2:$A$2500)=CX$1)*(MONTH(Gastos!$A$2:$A$2500)=CX$3)*(Gastos!$B$2:$B$2500=$A90)*(Gastos!$D$2:$D$2500))</f>
        <v>0</v>
      </c>
      <c r="CY90" s="75">
        <f t="array" ref="CY90">SUM((YEAR(Gastos!$A$2:$A$2500)=CY$1)*(MONTH(Gastos!$A$2:$A$2500)=CY$3)*(Gastos!$B$2:$B$2500=$A90)*(Gastos!$D$2:$D$2500))</f>
        <v>0</v>
      </c>
      <c r="CZ90" s="75">
        <f t="array" ref="CZ90">SUM((YEAR(Gastos!$A$2:$A$2500)=CZ$1)*(MONTH(Gastos!$A$2:$A$2500)=CZ$3)*(Gastos!$B$2:$B$2500=$A90)*(Gastos!$D$2:$D$2500))</f>
        <v>0</v>
      </c>
      <c r="DA90" s="75">
        <f t="array" ref="DA90">SUM((YEAR(Gastos!$A$2:$A$2500)=DA$1)*(MONTH(Gastos!$A$2:$A$2500)=DA$3)*(Gastos!$B$2:$B$2500=$A90)*(Gastos!$D$2:$D$2500))</f>
        <v>0</v>
      </c>
      <c r="DB90" s="75">
        <f t="array" ref="DB90">SUM((YEAR(Gastos!$A$2:$A$2500)=DB$1)*(MONTH(Gastos!$A$2:$A$2500)=DB$3)*(Gastos!$B$2:$B$2500=$A90)*(Gastos!$D$2:$D$2500))</f>
        <v>0</v>
      </c>
      <c r="DC90" s="75">
        <f t="array" ref="DC90">SUM((YEAR(Gastos!$A$2:$A$2500)=DC$1)*(MONTH(Gastos!$A$2:$A$2500)=DC$3)*(Gastos!$B$2:$B$2500=$A90)*(Gastos!$D$2:$D$2500))</f>
        <v>0</v>
      </c>
      <c r="DD90" s="75">
        <f t="array" ref="DD90">SUM((YEAR(Gastos!$A$2:$A$2500)=DD$1)*(MONTH(Gastos!$A$2:$A$2500)=DD$3)*(Gastos!$B$2:$B$2500=$A90)*(Gastos!$D$2:$D$2500))</f>
        <v>0</v>
      </c>
      <c r="DE90" s="75">
        <f t="array" ref="DE90">SUM((YEAR(Gastos!$A$2:$A$2500)=DE$1)*(MONTH(Gastos!$A$2:$A$2500)=DE$3)*(Gastos!$B$2:$B$2500=$A90)*(Gastos!$D$2:$D$2500))</f>
        <v>0</v>
      </c>
      <c r="DF90" s="75">
        <f t="array" ref="DF90">SUM((YEAR(Gastos!$A$2:$A$2500)=DF$1)*(MONTH(Gastos!$A$2:$A$2500)=DF$3)*(Gastos!$B$2:$B$2500=$A90)*(Gastos!$D$2:$D$2500))</f>
        <v>0</v>
      </c>
      <c r="DG90" s="75">
        <f t="array" ref="DG90">SUM((YEAR(Gastos!$A$2:$A$2500)=DG$1)*(MONTH(Gastos!$A$2:$A$2500)=DG$3)*(Gastos!$B$2:$B$2500=$A90)*(Gastos!$D$2:$D$2500))</f>
        <v>0</v>
      </c>
      <c r="DH90" s="75">
        <f t="array" ref="DH90">SUM((YEAR(Gastos!$A$2:$A$2500)=DH$1)*(MONTH(Gastos!$A$2:$A$2500)=DH$3)*(Gastos!$B$2:$B$2500=$A90)*(Gastos!$D$2:$D$2500))</f>
        <v>0</v>
      </c>
      <c r="DI90" s="75">
        <f t="array" ref="DI90">SUM((YEAR(Gastos!$A$2:$A$2500)=DI$1)*(MONTH(Gastos!$A$2:$A$2500)=DI$3)*(Gastos!$B$2:$B$2500=$A90)*(Gastos!$D$2:$D$2500))</f>
        <v>0</v>
      </c>
      <c r="DJ90" s="75">
        <f t="array" ref="DJ90">SUM((YEAR(Gastos!$A$2:$A$2500)=DJ$1)*(MONTH(Gastos!$A$2:$A$2500)=DJ$3)*(Gastos!$B$2:$B$2500=$A90)*(Gastos!$D$2:$D$2500))</f>
        <v>0</v>
      </c>
      <c r="DK90" s="75">
        <f t="array" ref="DK90">SUM((YEAR(Gastos!$A$2:$A$2500)=DK$1)*(MONTH(Gastos!$A$2:$A$2500)=DK$3)*(Gastos!$B$2:$B$2500=$A90)*(Gastos!$D$2:$D$2500))</f>
        <v>0</v>
      </c>
      <c r="DL90" s="75">
        <f t="array" ref="DL90">SUM((YEAR(Gastos!$A$2:$A$2500)=DL$1)*(MONTH(Gastos!$A$2:$A$2500)=DL$3)*(Gastos!$B$2:$B$2500=$A90)*(Gastos!$D$2:$D$2500))</f>
        <v>0</v>
      </c>
      <c r="DM90" s="75">
        <f t="array" ref="DM90">SUM((YEAR(Gastos!$A$2:$A$2500)=DM$1)*(MONTH(Gastos!$A$2:$A$2500)=DM$3)*(Gastos!$B$2:$B$2500=$A90)*(Gastos!$D$2:$D$2500))</f>
        <v>0</v>
      </c>
      <c r="DN90" s="75">
        <f t="array" ref="DN90">SUM((YEAR(Gastos!$A$2:$A$2500)=DN$1)*(MONTH(Gastos!$A$2:$A$2500)=DN$3)*(Gastos!$B$2:$B$2500=$A90)*(Gastos!$D$2:$D$2500))</f>
        <v>0</v>
      </c>
      <c r="DO90" s="75">
        <f t="array" ref="DO90">SUM((YEAR(Gastos!$A$2:$A$2500)=DO$1)*(MONTH(Gastos!$A$2:$A$2500)=DO$3)*(Gastos!$B$2:$B$2500=$A90)*(Gastos!$D$2:$D$2500))</f>
        <v>0</v>
      </c>
      <c r="DP90" s="75">
        <f t="array" ref="DP90">SUM((YEAR(Gastos!$A$2:$A$2500)=DP$1)*(MONTH(Gastos!$A$2:$A$2500)=DP$3)*(Gastos!$B$2:$B$2500=$A90)*(Gastos!$D$2:$D$2500))</f>
        <v>0</v>
      </c>
      <c r="DQ90" s="75">
        <f t="array" ref="DQ90">SUM((YEAR(Gastos!$A$2:$A$2500)=DQ$1)*(MONTH(Gastos!$A$2:$A$2500)=DQ$3)*(Gastos!$B$2:$B$2500=$A90)*(Gastos!$D$2:$D$2500))</f>
        <v>0</v>
      </c>
      <c r="DR90" s="75">
        <f t="array" ref="DR90">SUM((YEAR(Gastos!$A$2:$A$2500)=DR$1)*(MONTH(Gastos!$A$2:$A$2500)=DR$3)*(Gastos!$B$2:$B$2500=$A90)*(Gastos!$D$2:$D$2500))</f>
        <v>0</v>
      </c>
      <c r="DS90" s="75">
        <f t="array" ref="DS90">SUM((YEAR(Gastos!$A$2:$A$2500)=DS$1)*(MONTH(Gastos!$A$2:$A$2500)=DS$3)*(Gastos!$B$2:$B$2500=$A90)*(Gastos!$D$2:$D$2500))</f>
        <v>0</v>
      </c>
      <c r="DT90" s="75">
        <f t="array" ref="DT90">SUM((YEAR(Gastos!$A$2:$A$2500)=DT$1)*(MONTH(Gastos!$A$2:$A$2500)=DT$3)*(Gastos!$B$2:$B$2500=$A90)*(Gastos!$D$2:$D$2500))</f>
        <v>0</v>
      </c>
      <c r="DU90" s="75">
        <f t="array" ref="DU90">SUM((YEAR(Gastos!$A$2:$A$2500)=DU$1)*(MONTH(Gastos!$A$2:$A$2500)=DU$3)*(Gastos!$B$2:$B$2500=$A90)*(Gastos!$D$2:$D$2500))</f>
        <v>0</v>
      </c>
      <c r="DV90" s="75">
        <f t="array" ref="DV90">SUM((YEAR(Gastos!$A$2:$A$2500)=DV$1)*(MONTH(Gastos!$A$2:$A$2500)=DV$3)*(Gastos!$B$2:$B$2500=$A90)*(Gastos!$D$2:$D$2500))</f>
        <v>0</v>
      </c>
      <c r="DW90" s="75">
        <f t="array" ref="DW90">SUM((YEAR(Gastos!$A$2:$A$2500)=DW$1)*(MONTH(Gastos!$A$2:$A$2500)=DW$3)*(Gastos!$B$2:$B$2500=$A90)*(Gastos!$D$2:$D$2500))</f>
        <v>0</v>
      </c>
      <c r="DX90" s="75">
        <f t="array" ref="DX90">SUM((YEAR(Gastos!$A$2:$A$2500)=DX$1)*(MONTH(Gastos!$A$2:$A$2500)=DX$3)*(Gastos!$B$2:$B$2500=$A90)*(Gastos!$D$2:$D$2500))</f>
        <v>0</v>
      </c>
      <c r="DY90" s="75">
        <f t="array" ref="DY90">SUM((YEAR(Gastos!$A$2:$A$2500)=DY$1)*(MONTH(Gastos!$A$2:$A$2500)=DY$3)*(Gastos!$B$2:$B$2500=$A90)*(Gastos!$D$2:$D$2500))</f>
        <v>0</v>
      </c>
      <c r="DZ90" s="75">
        <f t="array" ref="DZ90">SUM((YEAR(Gastos!$A$2:$A$2500)=DZ$1)*(MONTH(Gastos!$A$2:$A$2500)=DZ$3)*(Gastos!$B$2:$B$2500=$A90)*(Gastos!$D$2:$D$2500))</f>
        <v>0</v>
      </c>
      <c r="EA90" s="75">
        <f t="array" ref="EA90">SUM((YEAR(Gastos!$A$2:$A$2500)=EA$1)*(MONTH(Gastos!$A$2:$A$2500)=EA$3)*(Gastos!$B$2:$B$2500=$A90)*(Gastos!$D$2:$D$2500))</f>
        <v>0</v>
      </c>
      <c r="EB90" s="75">
        <f t="array" ref="EB90">SUM((YEAR(Gastos!$A$2:$A$2500)=EB$1)*(MONTH(Gastos!$A$2:$A$2500)=EB$3)*(Gastos!$B$2:$B$2500=$A90)*(Gastos!$D$2:$D$2500))</f>
        <v>0</v>
      </c>
      <c r="EC90" s="75">
        <f t="array" ref="EC90">SUM((YEAR(Gastos!$A$2:$A$2500)=EC$1)*(MONTH(Gastos!$A$2:$A$2500)=EC$3)*(Gastos!$B$2:$B$2500=$A90)*(Gastos!$D$2:$D$2500))</f>
        <v>0</v>
      </c>
      <c r="ED90" s="75">
        <f t="array" ref="ED90">SUM((YEAR(Gastos!$A$2:$A$2500)=ED$1)*(MONTH(Gastos!$A$2:$A$2500)=ED$3)*(Gastos!$B$2:$B$2500=$A90)*(Gastos!$D$2:$D$2500))</f>
        <v>0</v>
      </c>
      <c r="EE90" s="75">
        <f t="array" ref="EE90">SUM((YEAR(Gastos!$A$2:$A$2500)=EE$1)*(MONTH(Gastos!$A$2:$A$2500)=EE$3)*(Gastos!$B$2:$B$2500=$A90)*(Gastos!$D$2:$D$2500))</f>
        <v>0</v>
      </c>
      <c r="EF90" s="75">
        <f t="array" ref="EF90">SUM((YEAR(Gastos!$A$2:$A$2500)=EF$1)*(MONTH(Gastos!$A$2:$A$2500)=EF$3)*(Gastos!$B$2:$B$2500=$A90)*(Gastos!$D$2:$D$2500))</f>
        <v>0</v>
      </c>
      <c r="EG90" s="75">
        <f t="array" ref="EG90">SUM((YEAR(Gastos!$A$2:$A$2500)=EG$1)*(MONTH(Gastos!$A$2:$A$2500)=EG$3)*(Gastos!$B$2:$B$2500=$A90)*(Gastos!$D$2:$D$2500))</f>
        <v>0</v>
      </c>
      <c r="EH90" s="75">
        <f t="array" ref="EH90">SUM((YEAR(Gastos!$A$2:$A$2500)=EH$1)*(MONTH(Gastos!$A$2:$A$2500)=EH$3)*(Gastos!$B$2:$B$2500=$A90)*(Gastos!$D$2:$D$2500))</f>
        <v>0</v>
      </c>
      <c r="EI90" s="75">
        <f t="array" ref="EI90">SUM((YEAR(Gastos!$A$2:$A$2500)=EI$1)*(MONTH(Gastos!$A$2:$A$2500)=EI$3)*(Gastos!$B$2:$B$2500=$A90)*(Gastos!$D$2:$D$2500))</f>
        <v>0</v>
      </c>
      <c r="EJ90" s="75">
        <f t="array" ref="EJ90">SUM((YEAR(Gastos!$A$2:$A$2500)=EJ$1)*(MONTH(Gastos!$A$2:$A$2500)=EJ$3)*(Gastos!$B$2:$B$2500=$A90)*(Gastos!$D$2:$D$2500))</f>
        <v>0</v>
      </c>
      <c r="EK90" s="75">
        <f t="array" ref="EK90">SUM((YEAR(Gastos!$A$2:$A$2500)=EK$1)*(MONTH(Gastos!$A$2:$A$2500)=EK$3)*(Gastos!$B$2:$B$2500=$A90)*(Gastos!$D$2:$D$2500))</f>
        <v>0</v>
      </c>
      <c r="EL90" s="75">
        <f t="array" ref="EL90">SUM((YEAR(Gastos!$A$2:$A$2500)=EL$1)*(MONTH(Gastos!$A$2:$A$2500)=EL$3)*(Gastos!$B$2:$B$2500=$A90)*(Gastos!$D$2:$D$2500))</f>
        <v>0</v>
      </c>
      <c r="EM90" s="75">
        <f t="array" ref="EM90">SUM((YEAR(Gastos!$A$2:$A$2500)=EM$1)*(MONTH(Gastos!$A$2:$A$2500)=EM$3)*(Gastos!$B$2:$B$2500=$A90)*(Gastos!$D$2:$D$2500))</f>
        <v>0</v>
      </c>
      <c r="EN90" s="75">
        <f t="array" ref="EN90">SUM((YEAR(Gastos!$A$2:$A$2500)=EN$1)*(MONTH(Gastos!$A$2:$A$2500)=EN$3)*(Gastos!$B$2:$B$2500=$A90)*(Gastos!$D$2:$D$2500))</f>
        <v>0</v>
      </c>
      <c r="EO90" s="75">
        <f t="array" ref="EO90">SUM((YEAR(Gastos!$A$2:$A$2500)=EO$1)*(MONTH(Gastos!$A$2:$A$2500)=EO$3)*(Gastos!$B$2:$B$2500=$A90)*(Gastos!$D$2:$D$2500))</f>
        <v>0</v>
      </c>
      <c r="EP90" s="75">
        <f t="array" ref="EP90">SUM((YEAR(Gastos!$A$2:$A$2500)=EP$1)*(MONTH(Gastos!$A$2:$A$2500)=EP$3)*(Gastos!$B$2:$B$2500=$A90)*(Gastos!$D$2:$D$2500))</f>
        <v>0</v>
      </c>
      <c r="EQ90" s="75">
        <f t="array" ref="EQ90">SUM((YEAR(Gastos!$A$2:$A$2500)=EQ$1)*(MONTH(Gastos!$A$2:$A$2500)=EQ$3)*(Gastos!$B$2:$B$2500=$A90)*(Gastos!$D$2:$D$2500))</f>
        <v>0</v>
      </c>
      <c r="ER90" s="75">
        <f t="array" ref="ER90">SUM((YEAR(Gastos!$A$2:$A$2500)=ER$1)*(MONTH(Gastos!$A$2:$A$2500)=ER$3)*(Gastos!$B$2:$B$2500=$A90)*(Gastos!$D$2:$D$2500))</f>
        <v>0</v>
      </c>
      <c r="ES90" s="75">
        <f t="array" ref="ES90">SUM((YEAR(Gastos!$A$2:$A$2500)=ES$1)*(MONTH(Gastos!$A$2:$A$2500)=ES$3)*(Gastos!$B$2:$B$2500=$A90)*(Gastos!$D$2:$D$2500))</f>
        <v>0</v>
      </c>
      <c r="ET90" s="75">
        <f t="array" ref="ET90">SUM((YEAR(Gastos!$A$2:$A$2500)=ET$1)*(MONTH(Gastos!$A$2:$A$2500)=ET$3)*(Gastos!$B$2:$B$2500=$A90)*(Gastos!$D$2:$D$2500))</f>
        <v>0</v>
      </c>
      <c r="EU90" s="75">
        <f t="array" ref="EU90">SUM((YEAR(Gastos!$A$2:$A$2500)=EU$1)*(MONTH(Gastos!$A$2:$A$2500)=EU$3)*(Gastos!$B$2:$B$2500=$A90)*(Gastos!$D$2:$D$2500))</f>
        <v>0</v>
      </c>
      <c r="EV90" s="75">
        <f t="array" ref="EV90">SUM((YEAR(Gastos!$A$2:$A$2500)=EV$1)*(MONTH(Gastos!$A$2:$A$2500)=EV$3)*(Gastos!$B$2:$B$2500=$A90)*(Gastos!$D$2:$D$2500))</f>
        <v>0</v>
      </c>
      <c r="EW90" s="75">
        <f t="array" ref="EW90">SUM((YEAR(Gastos!$A$2:$A$2500)=EW$1)*(MONTH(Gastos!$A$2:$A$2500)=EW$3)*(Gastos!$B$2:$B$2500=$A90)*(Gastos!$D$2:$D$2500))</f>
        <v>0</v>
      </c>
      <c r="EX90" s="75">
        <f t="array" ref="EX90">SUM((YEAR(Gastos!$A$2:$A$2500)=EX$1)*(MONTH(Gastos!$A$2:$A$2500)=EX$3)*(Gastos!$B$2:$B$2500=$A90)*(Gastos!$D$2:$D$2500))</f>
        <v>0</v>
      </c>
      <c r="EY90" s="75">
        <f t="array" ref="EY90">SUM((YEAR(Gastos!$A$2:$A$2500)=EY$1)*(MONTH(Gastos!$A$2:$A$2500)=EY$3)*(Gastos!$B$2:$B$2500=$A90)*(Gastos!$D$2:$D$2500))</f>
        <v>0</v>
      </c>
      <c r="EZ90" s="75">
        <f t="array" ref="EZ90">SUM((YEAR(Gastos!$A$2:$A$2500)=EZ$1)*(MONTH(Gastos!$A$2:$A$2500)=EZ$3)*(Gastos!$B$2:$B$2500=$A90)*(Gastos!$D$2:$D$2500))</f>
        <v>0</v>
      </c>
      <c r="FA90" s="75">
        <f t="array" ref="FA90">SUM((YEAR(Gastos!$A$2:$A$2500)=FA$1)*(MONTH(Gastos!$A$2:$A$2500)=FA$3)*(Gastos!$B$2:$B$2500=$A90)*(Gastos!$D$2:$D$2500))</f>
        <v>0</v>
      </c>
      <c r="FB90" s="75">
        <f t="array" ref="FB90">SUM((YEAR(Gastos!$A$2:$A$2500)=FB$1)*(MONTH(Gastos!$A$2:$A$2500)=FB$3)*(Gastos!$B$2:$B$2500=$A90)*(Gastos!$D$2:$D$2500))</f>
        <v>0</v>
      </c>
      <c r="FC90" s="75">
        <f t="array" ref="FC90">SUM((YEAR(Gastos!$A$2:$A$2500)=FC$1)*(MONTH(Gastos!$A$2:$A$2500)=FC$3)*(Gastos!$B$2:$B$2500=$A90)*(Gastos!$D$2:$D$2500))</f>
        <v>0</v>
      </c>
      <c r="FD90" s="75">
        <f t="array" ref="FD90">SUM((YEAR(Gastos!$A$2:$A$2500)=FD$1)*(MONTH(Gastos!$A$2:$A$2500)=FD$3)*(Gastos!$B$2:$B$2500=$A90)*(Gastos!$D$2:$D$2500))</f>
        <v>0</v>
      </c>
      <c r="FE90" s="75">
        <f t="array" ref="FE90">SUM((YEAR(Gastos!$A$2:$A$2500)=FE$1)*(MONTH(Gastos!$A$2:$A$2500)=FE$3)*(Gastos!$B$2:$B$2500=$A90)*(Gastos!$D$2:$D$2500))</f>
        <v>0</v>
      </c>
      <c r="FF90" s="75">
        <f t="array" ref="FF90">SUM((YEAR(Gastos!$A$2:$A$2500)=FF$1)*(MONTH(Gastos!$A$2:$A$2500)=FF$3)*(Gastos!$B$2:$B$2500=$A90)*(Gastos!$D$2:$D$2500))</f>
        <v>0</v>
      </c>
      <c r="FG90" s="75">
        <f t="array" ref="FG90">SUM((YEAR(Gastos!$A$2:$A$2500)=FG$1)*(MONTH(Gastos!$A$2:$A$2500)=FG$3)*(Gastos!$B$2:$B$2500=$A90)*(Gastos!$D$2:$D$2500))</f>
        <v>0</v>
      </c>
      <c r="FH90" s="75">
        <f t="array" ref="FH90">SUM((YEAR(Gastos!$A$2:$A$2500)=FH$1)*(MONTH(Gastos!$A$2:$A$2500)=FH$3)*(Gastos!$B$2:$B$2500=$A90)*(Gastos!$D$2:$D$2500))</f>
        <v>0</v>
      </c>
      <c r="FI90" s="75">
        <f t="array" ref="FI90">SUM((YEAR(Gastos!$A$2:$A$2500)=FI$1)*(MONTH(Gastos!$A$2:$A$2500)=FI$3)*(Gastos!$B$2:$B$2500=$A90)*(Gastos!$D$2:$D$2500))</f>
        <v>0</v>
      </c>
      <c r="FJ90" s="75">
        <f t="array" ref="FJ90">SUM((YEAR(Gastos!$A$2:$A$2500)=FJ$1)*(MONTH(Gastos!$A$2:$A$2500)=FJ$3)*(Gastos!$B$2:$B$2500=$A90)*(Gastos!$D$2:$D$2500))</f>
        <v>0</v>
      </c>
      <c r="FK90" s="75">
        <f t="array" ref="FK90">SUM((YEAR(Gastos!$A$2:$A$2500)=FK$1)*(MONTH(Gastos!$A$2:$A$2500)=FK$3)*(Gastos!$B$2:$B$2500=$A90)*(Gastos!$D$2:$D$2500))</f>
        <v>0</v>
      </c>
      <c r="FL90" s="75">
        <f t="array" ref="FL90">SUM((YEAR(Gastos!$A$2:$A$2500)=FL$1)*(MONTH(Gastos!$A$2:$A$2500)=FL$3)*(Gastos!$B$2:$B$2500=$A90)*(Gastos!$D$2:$D$2500))</f>
        <v>0</v>
      </c>
      <c r="FM90" s="75">
        <f t="array" ref="FM90">SUM((YEAR(Gastos!$A$2:$A$2500)=FM$1)*(MONTH(Gastos!$A$2:$A$2500)=FM$3)*(Gastos!$B$2:$B$2500=$A90)*(Gastos!$D$2:$D$2500))</f>
        <v>0</v>
      </c>
      <c r="FN90" s="75">
        <f t="array" ref="FN90">SUM((YEAR(Gastos!$A$2:$A$2500)=FN$1)*(MONTH(Gastos!$A$2:$A$2500)=FN$3)*(Gastos!$B$2:$B$2500=$A90)*(Gastos!$D$2:$D$2500))</f>
        <v>0</v>
      </c>
      <c r="FO90" s="75">
        <f t="array" ref="FO90">SUM((YEAR(Gastos!$A$2:$A$2500)=FO$1)*(MONTH(Gastos!$A$2:$A$2500)=FO$3)*(Gastos!$B$2:$B$2500=$A90)*(Gastos!$D$2:$D$2500))</f>
        <v>0</v>
      </c>
      <c r="FP90" s="75">
        <f t="array" ref="FP90">SUM((YEAR(Gastos!$A$2:$A$2500)=FP$1)*(MONTH(Gastos!$A$2:$A$2500)=FP$3)*(Gastos!$B$2:$B$2500=$A90)*(Gastos!$D$2:$D$2500))</f>
        <v>0</v>
      </c>
      <c r="FQ90" s="75">
        <f t="array" ref="FQ90">SUM((YEAR(Gastos!$A$2:$A$2500)=FQ$1)*(MONTH(Gastos!$A$2:$A$2500)=FQ$3)*(Gastos!$B$2:$B$2500=$A90)*(Gastos!$D$2:$D$2500))</f>
        <v>0</v>
      </c>
      <c r="FR90" s="75">
        <f t="array" ref="FR90">SUM((YEAR(Gastos!$A$2:$A$2500)=FR$1)*(MONTH(Gastos!$A$2:$A$2500)=FR$3)*(Gastos!$B$2:$B$2500=$A90)*(Gastos!$D$2:$D$2500))</f>
        <v>0</v>
      </c>
      <c r="FS90" s="75">
        <f t="array" ref="FS90">SUM((YEAR(Gastos!$A$2:$A$2500)=FS$1)*(MONTH(Gastos!$A$2:$A$2500)=FS$3)*(Gastos!$B$2:$B$2500=$A90)*(Gastos!$D$2:$D$2500))</f>
        <v>0</v>
      </c>
      <c r="FT90" s="75">
        <f t="array" ref="FT90">SUM((YEAR(Gastos!$A$2:$A$2500)=FT$1)*(MONTH(Gastos!$A$2:$A$2500)=FT$3)*(Gastos!$B$2:$B$2500=$A90)*(Gastos!$D$2:$D$2500))</f>
        <v>0</v>
      </c>
      <c r="FU90" s="75">
        <f t="array" ref="FU90">SUM((YEAR(Gastos!$A$2:$A$2500)=FU$1)*(MONTH(Gastos!$A$2:$A$2500)=FU$3)*(Gastos!$B$2:$B$2500=$A90)*(Gastos!$D$2:$D$2500))</f>
        <v>0</v>
      </c>
      <c r="FV90" s="75">
        <f t="array" ref="FV90">SUM((YEAR(Gastos!$A$2:$A$2500)=FV$1)*(MONTH(Gastos!$A$2:$A$2500)=FV$3)*(Gastos!$B$2:$B$2500=$A90)*(Gastos!$D$2:$D$2500))</f>
        <v>0</v>
      </c>
      <c r="FW90" s="75">
        <f t="array" ref="FW90">SUM((YEAR(Gastos!$A$2:$A$2500)=FW$1)*(MONTH(Gastos!$A$2:$A$2500)=FW$3)*(Gastos!$B$2:$B$2500=$A90)*(Gastos!$D$2:$D$2500))</f>
        <v>0</v>
      </c>
      <c r="FX90" s="75">
        <f t="array" ref="FX90">SUM((YEAR(Gastos!$A$2:$A$2500)=FX$1)*(MONTH(Gastos!$A$2:$A$2500)=FX$3)*(Gastos!$B$2:$B$2500=$A90)*(Gastos!$D$2:$D$2500))</f>
        <v>0</v>
      </c>
      <c r="FY90" s="75">
        <f t="array" ref="FY90">SUM((YEAR(Gastos!$A$2:$A$2500)=FY$1)*(MONTH(Gastos!$A$2:$A$2500)=FY$3)*(Gastos!$B$2:$B$2500=$A90)*(Gastos!$D$2:$D$2500))</f>
        <v>0</v>
      </c>
      <c r="FZ90" s="76">
        <f t="shared" si="68"/>
        <v>0</v>
      </c>
      <c r="GA90" s="80"/>
      <c r="GB90" s="82"/>
    </row>
    <row r="91" spans="1:184" ht="15" thickBot="1" x14ac:dyDescent="0.4">
      <c r="A91" s="74" t="str">
        <f>Gastos!AA89</f>
        <v>X</v>
      </c>
      <c r="B91" s="75">
        <f t="array" ref="B91">SUM((YEAR(Gastos!$A$2:$A$2500)=B$1)*(MONTH(Gastos!$A$2:$A$2500)=B$3)*(Gastos!$B$2:$B$2500=$A91)*(Gastos!$D$2:$D$2500))</f>
        <v>0</v>
      </c>
      <c r="C91" s="75">
        <f t="array" ref="C91">SUM((YEAR(Gastos!$A$2:$A$2500)=C$1)*(MONTH(Gastos!$A$2:$A$2500)=C$3)*(Gastos!$B$2:$B$2500=$A91)*(Gastos!$D$2:$D$2500))</f>
        <v>0</v>
      </c>
      <c r="D91" s="75">
        <f t="array" ref="D91">SUM((YEAR(Gastos!$A$2:$A$2500)=D$1)*(MONTH(Gastos!$A$2:$A$2500)=D$3)*(Gastos!$B$2:$B$2500=$A91)*(Gastos!$D$2:$D$2500))</f>
        <v>0</v>
      </c>
      <c r="E91" s="75">
        <f t="array" ref="E91">SUM((YEAR(Gastos!$A$2:$A$2500)=E$1)*(MONTH(Gastos!$A$2:$A$2500)=E$3)*(Gastos!$B$2:$B$2500=$A91)*(Gastos!$D$2:$D$2500))</f>
        <v>0</v>
      </c>
      <c r="F91" s="75">
        <f t="array" ref="F91">SUM((YEAR(Gastos!$A$2:$A$2500)=F$1)*(MONTH(Gastos!$A$2:$A$2500)=F$3)*(Gastos!$B$2:$B$2500=$A91)*(Gastos!$D$2:$D$2500))</f>
        <v>0</v>
      </c>
      <c r="G91" s="75">
        <f t="array" ref="G91">SUM((YEAR(Gastos!$A$2:$A$2500)=G$1)*(MONTH(Gastos!$A$2:$A$2500)=G$3)*(Gastos!$B$2:$B$2500=$A91)*(Gastos!$D$2:$D$2500))</f>
        <v>0</v>
      </c>
      <c r="H91" s="75">
        <f t="array" ref="H91">SUM((YEAR(Gastos!$A$2:$A$2500)=H$1)*(MONTH(Gastos!$A$2:$A$2500)=H$3)*(Gastos!$B$2:$B$2500=$A91)*(Gastos!$D$2:$D$2500))</f>
        <v>0</v>
      </c>
      <c r="I91" s="75">
        <f t="array" ref="I91">SUM((YEAR(Gastos!$A$2:$A$2500)=I$1)*(MONTH(Gastos!$A$2:$A$2500)=I$3)*(Gastos!$B$2:$B$2500=$A91)*(Gastos!$D$2:$D$2500))</f>
        <v>0</v>
      </c>
      <c r="J91" s="75">
        <f t="array" ref="J91">SUM((YEAR(Gastos!$A$2:$A$2500)=J$1)*(MONTH(Gastos!$A$2:$A$2500)=J$3)*(Gastos!$B$2:$B$2500=$A91)*(Gastos!$D$2:$D$2500))</f>
        <v>0</v>
      </c>
      <c r="K91" s="75">
        <f t="array" ref="K91">SUM((YEAR(Gastos!$A$2:$A$2500)=K$1)*(MONTH(Gastos!$A$2:$A$2500)=K$3)*(Gastos!$B$2:$B$2500=$A91)*(Gastos!$D$2:$D$2500))</f>
        <v>0</v>
      </c>
      <c r="L91" s="75">
        <f t="array" ref="L91">SUM((YEAR(Gastos!$A$2:$A$2500)=L$1)*(MONTH(Gastos!$A$2:$A$2500)=L$3)*(Gastos!$B$2:$B$2500=$A91)*(Gastos!$D$2:$D$2500))</f>
        <v>0</v>
      </c>
      <c r="M91" s="75">
        <f t="array" ref="M91">SUM((YEAR(Gastos!$A$2:$A$2500)=M$1)*(MONTH(Gastos!$A$2:$A$2500)=M$3)*(Gastos!$B$2:$B$2500=$A91)*(Gastos!$D$2:$D$2500))</f>
        <v>0</v>
      </c>
      <c r="N91" s="75">
        <f t="array" ref="N91">SUM((YEAR(Gastos!$A$2:$A$2500)=N$1)*(MONTH(Gastos!$A$2:$A$2500)=N$3)*(Gastos!$B$2:$B$2500=$A91)*(Gastos!$D$2:$D$2500))</f>
        <v>0</v>
      </c>
      <c r="O91" s="75">
        <f t="array" ref="O91">SUM((YEAR(Gastos!$A$2:$A$2500)=O$1)*(MONTH(Gastos!$A$2:$A$2500)=O$3)*(Gastos!$B$2:$B$2500=$A91)*(Gastos!$D$2:$D$2500))</f>
        <v>0</v>
      </c>
      <c r="P91" s="75">
        <f t="array" ref="P91">SUM((YEAR(Gastos!$A$2:$A$2500)=P$1)*(MONTH(Gastos!$A$2:$A$2500)=P$3)*(Gastos!$B$2:$B$2500=$A91)*(Gastos!$D$2:$D$2500))</f>
        <v>0</v>
      </c>
      <c r="Q91" s="75">
        <f t="array" ref="Q91">SUM((YEAR(Gastos!$A$2:$A$2500)=Q$1)*(MONTH(Gastos!$A$2:$A$2500)=Q$3)*(Gastos!$B$2:$B$2500=$A91)*(Gastos!$D$2:$D$2500))</f>
        <v>0</v>
      </c>
      <c r="R91" s="75">
        <f t="array" ref="R91">SUM((YEAR(Gastos!$A$2:$A$2500)=R$1)*(MONTH(Gastos!$A$2:$A$2500)=R$3)*(Gastos!$B$2:$B$2500=$A91)*(Gastos!$D$2:$D$2500))</f>
        <v>0</v>
      </c>
      <c r="S91" s="75">
        <f t="array" ref="S91">SUM((YEAR(Gastos!$A$2:$A$2500)=S$1)*(MONTH(Gastos!$A$2:$A$2500)=S$3)*(Gastos!$B$2:$B$2500=$A91)*(Gastos!$D$2:$D$2500))</f>
        <v>0</v>
      </c>
      <c r="T91" s="75">
        <f t="array" ref="T91">SUM((YEAR(Gastos!$A$2:$A$2500)=T$1)*(MONTH(Gastos!$A$2:$A$2500)=T$3)*(Gastos!$B$2:$B$2500=$A91)*(Gastos!$D$2:$D$2500))</f>
        <v>0</v>
      </c>
      <c r="U91" s="75">
        <f t="array" ref="U91">SUM((YEAR(Gastos!$A$2:$A$2500)=U$1)*(MONTH(Gastos!$A$2:$A$2500)=U$3)*(Gastos!$B$2:$B$2500=$A91)*(Gastos!$D$2:$D$2500))</f>
        <v>0</v>
      </c>
      <c r="V91" s="75">
        <f t="array" ref="V91">SUM((YEAR(Gastos!$A$2:$A$2500)=V$1)*(MONTH(Gastos!$A$2:$A$2500)=V$3)*(Gastos!$B$2:$B$2500=$A91)*(Gastos!$D$2:$D$2500))</f>
        <v>0</v>
      </c>
      <c r="W91" s="75">
        <f t="array" ref="W91">SUM((YEAR(Gastos!$A$2:$A$2500)=W$1)*(MONTH(Gastos!$A$2:$A$2500)=W$3)*(Gastos!$B$2:$B$2500=$A91)*(Gastos!$D$2:$D$2500))</f>
        <v>0</v>
      </c>
      <c r="X91" s="75">
        <f t="array" ref="X91">SUM((YEAR(Gastos!$A$2:$A$2500)=X$1)*(MONTH(Gastos!$A$2:$A$2500)=X$3)*(Gastos!$B$2:$B$2500=$A91)*(Gastos!$D$2:$D$2500))</f>
        <v>0</v>
      </c>
      <c r="Y91" s="75">
        <f t="array" ref="Y91">SUM((YEAR(Gastos!$A$2:$A$2500)=Y$1)*(MONTH(Gastos!$A$2:$A$2500)=Y$3)*(Gastos!$B$2:$B$2500=$A91)*(Gastos!$D$2:$D$2500))</f>
        <v>0</v>
      </c>
      <c r="Z91" s="75">
        <f t="array" ref="Z91">SUM((YEAR(Gastos!$A$2:$A$2500)=Z$1)*(MONTH(Gastos!$A$2:$A$2500)=Z$3)*(Gastos!$B$2:$B$2500=$A91)*(Gastos!$D$2:$D$2500))</f>
        <v>0</v>
      </c>
      <c r="AA91" s="75">
        <f t="array" ref="AA91">SUM((YEAR(Gastos!$A$2:$A$2500)=AA$1)*(MONTH(Gastos!$A$2:$A$2500)=AA$3)*(Gastos!$B$2:$B$2500=$A91)*(Gastos!$D$2:$D$2500))</f>
        <v>0</v>
      </c>
      <c r="AB91" s="75">
        <f t="array" ref="AB91">SUM((YEAR(Gastos!$A$2:$A$2500)=AB$1)*(MONTH(Gastos!$A$2:$A$2500)=AB$3)*(Gastos!$B$2:$B$2500=$A91)*(Gastos!$D$2:$D$2500))</f>
        <v>0</v>
      </c>
      <c r="AC91" s="75">
        <f t="array" ref="AC91">SUM((YEAR(Gastos!$A$2:$A$2500)=AC$1)*(MONTH(Gastos!$A$2:$A$2500)=AC$3)*(Gastos!$B$2:$B$2500=$A91)*(Gastos!$D$2:$D$2500))</f>
        <v>0</v>
      </c>
      <c r="AD91" s="75">
        <f t="array" ref="AD91">SUM((YEAR(Gastos!$A$2:$A$2500)=AD$1)*(MONTH(Gastos!$A$2:$A$2500)=AD$3)*(Gastos!$B$2:$B$2500=$A91)*(Gastos!$D$2:$D$2500))</f>
        <v>0</v>
      </c>
      <c r="AE91" s="75">
        <f t="array" ref="AE91">SUM((YEAR(Gastos!$A$2:$A$2500)=AE$1)*(MONTH(Gastos!$A$2:$A$2500)=AE$3)*(Gastos!$B$2:$B$2500=$A91)*(Gastos!$D$2:$D$2500))</f>
        <v>0</v>
      </c>
      <c r="AF91" s="75">
        <f t="array" ref="AF91">SUM((YEAR(Gastos!$A$2:$A$2500)=AF$1)*(MONTH(Gastos!$A$2:$A$2500)=AF$3)*(Gastos!$B$2:$B$2500=$A91)*(Gastos!$D$2:$D$2500))</f>
        <v>0</v>
      </c>
      <c r="AG91" s="75">
        <f t="array" ref="AG91">SUM((YEAR(Gastos!$A$2:$A$2500)=AG$1)*(MONTH(Gastos!$A$2:$A$2500)=AG$3)*(Gastos!$B$2:$B$2500=$A91)*(Gastos!$D$2:$D$2500))</f>
        <v>0</v>
      </c>
      <c r="AH91" s="75">
        <f t="array" ref="AH91">SUM((YEAR(Gastos!$A$2:$A$2500)=AH$1)*(MONTH(Gastos!$A$2:$A$2500)=AH$3)*(Gastos!$B$2:$B$2500=$A91)*(Gastos!$D$2:$D$2500))</f>
        <v>0</v>
      </c>
      <c r="AI91" s="75">
        <f t="array" ref="AI91">SUM((YEAR(Gastos!$A$2:$A$2500)=AI$1)*(MONTH(Gastos!$A$2:$A$2500)=AI$3)*(Gastos!$B$2:$B$2500=$A91)*(Gastos!$D$2:$D$2500))</f>
        <v>0</v>
      </c>
      <c r="AJ91" s="75">
        <f t="array" ref="AJ91">SUM((YEAR(Gastos!$A$2:$A$2500)=AJ$1)*(MONTH(Gastos!$A$2:$A$2500)=AJ$3)*(Gastos!$B$2:$B$2500=$A91)*(Gastos!$D$2:$D$2500))</f>
        <v>0</v>
      </c>
      <c r="AK91" s="75">
        <f t="array" ref="AK91">SUM((YEAR(Gastos!$A$2:$A$2500)=AK$1)*(MONTH(Gastos!$A$2:$A$2500)=AK$3)*(Gastos!$B$2:$B$2500=$A91)*(Gastos!$D$2:$D$2500))</f>
        <v>0</v>
      </c>
      <c r="AL91" s="75">
        <f t="array" ref="AL91">SUM((YEAR(Gastos!$A$2:$A$2500)=AL$1)*(MONTH(Gastos!$A$2:$A$2500)=AL$3)*(Gastos!$B$2:$B$2500=$A91)*(Gastos!$D$2:$D$2500))</f>
        <v>0</v>
      </c>
      <c r="AM91" s="75">
        <f t="array" ref="AM91">SUM((YEAR(Gastos!$A$2:$A$2500)=AM$1)*(MONTH(Gastos!$A$2:$A$2500)=AM$3)*(Gastos!$B$2:$B$2500=$A91)*(Gastos!$D$2:$D$2500))</f>
        <v>0</v>
      </c>
      <c r="AN91" s="75">
        <f t="array" ref="AN91">SUM((YEAR(Gastos!$A$2:$A$2500)=AN$1)*(MONTH(Gastos!$A$2:$A$2500)=AN$3)*(Gastos!$B$2:$B$2500=$A91)*(Gastos!$D$2:$D$2500))</f>
        <v>0</v>
      </c>
      <c r="AO91" s="75">
        <f t="array" ref="AO91">SUM((YEAR(Gastos!$A$2:$A$2500)=AO$1)*(MONTH(Gastos!$A$2:$A$2500)=AO$3)*(Gastos!$B$2:$B$2500=$A91)*(Gastos!$D$2:$D$2500))</f>
        <v>0</v>
      </c>
      <c r="AP91" s="75">
        <f t="array" ref="AP91">SUM((YEAR(Gastos!$A$2:$A$2500)=AP$1)*(MONTH(Gastos!$A$2:$A$2500)=AP$3)*(Gastos!$B$2:$B$2500=$A91)*(Gastos!$D$2:$D$2500))</f>
        <v>0</v>
      </c>
      <c r="AQ91" s="75">
        <f t="array" ref="AQ91">SUM((YEAR(Gastos!$A$2:$A$2500)=AQ$1)*(MONTH(Gastos!$A$2:$A$2500)=AQ$3)*(Gastos!$B$2:$B$2500=$A91)*(Gastos!$D$2:$D$2500))</f>
        <v>0</v>
      </c>
      <c r="AR91" s="75">
        <f t="array" ref="AR91">SUM((YEAR(Gastos!$A$2:$A$2500)=AR$1)*(MONTH(Gastos!$A$2:$A$2500)=AR$3)*(Gastos!$B$2:$B$2500=$A91)*(Gastos!$D$2:$D$2500))</f>
        <v>0</v>
      </c>
      <c r="AS91" s="75">
        <f t="array" ref="AS91">SUM((YEAR(Gastos!$A$2:$A$2500)=AS$1)*(MONTH(Gastos!$A$2:$A$2500)=AS$3)*(Gastos!$B$2:$B$2500=$A91)*(Gastos!$D$2:$D$2500))</f>
        <v>0</v>
      </c>
      <c r="AT91" s="75">
        <f t="array" ref="AT91">SUM((YEAR(Gastos!$A$2:$A$2500)=AT$1)*(MONTH(Gastos!$A$2:$A$2500)=AT$3)*(Gastos!$B$2:$B$2500=$A91)*(Gastos!$D$2:$D$2500))</f>
        <v>0</v>
      </c>
      <c r="AU91" s="75">
        <f t="array" ref="AU91">SUM((YEAR(Gastos!$A$2:$A$2500)=AU$1)*(MONTH(Gastos!$A$2:$A$2500)=AU$3)*(Gastos!$B$2:$B$2500=$A91)*(Gastos!$D$2:$D$2500))</f>
        <v>0</v>
      </c>
      <c r="AV91" s="75">
        <f t="array" ref="AV91">SUM((YEAR(Gastos!$A$2:$A$2500)=AV$1)*(MONTH(Gastos!$A$2:$A$2500)=AV$3)*(Gastos!$B$2:$B$2500=$A91)*(Gastos!$D$2:$D$2500))</f>
        <v>0</v>
      </c>
      <c r="AW91" s="75">
        <f t="array" ref="AW91">SUM((YEAR(Gastos!$A$2:$A$2500)=AW$1)*(MONTH(Gastos!$A$2:$A$2500)=AW$3)*(Gastos!$B$2:$B$2500=$A91)*(Gastos!$D$2:$D$2500))</f>
        <v>0</v>
      </c>
      <c r="AX91" s="75">
        <f t="array" ref="AX91">SUM((YEAR(Gastos!$A$2:$A$2500)=AX$1)*(MONTH(Gastos!$A$2:$A$2500)=AX$3)*(Gastos!$B$2:$B$2500=$A91)*(Gastos!$D$2:$D$2500))</f>
        <v>0</v>
      </c>
      <c r="AY91" s="75">
        <f t="array" ref="AY91">SUM((YEAR(Gastos!$A$2:$A$2500)=AY$1)*(MONTH(Gastos!$A$2:$A$2500)=AY$3)*(Gastos!$B$2:$B$2500=$A91)*(Gastos!$D$2:$D$2500))</f>
        <v>0</v>
      </c>
      <c r="AZ91" s="75">
        <f t="array" ref="AZ91">SUM((YEAR(Gastos!$A$2:$A$2500)=AZ$1)*(MONTH(Gastos!$A$2:$A$2500)=AZ$3)*(Gastos!$B$2:$B$2500=$A91)*(Gastos!$D$2:$D$2500))</f>
        <v>0</v>
      </c>
      <c r="BA91" s="75">
        <f t="array" ref="BA91">SUM((YEAR(Gastos!$A$2:$A$2500)=BA$1)*(MONTH(Gastos!$A$2:$A$2500)=BA$3)*(Gastos!$B$2:$B$2500=$A91)*(Gastos!$D$2:$D$2500))</f>
        <v>0</v>
      </c>
      <c r="BB91" s="75">
        <f t="array" ref="BB91">SUM((YEAR(Gastos!$A$2:$A$2500)=BB$1)*(MONTH(Gastos!$A$2:$A$2500)=BB$3)*(Gastos!$B$2:$B$2500=$A91)*(Gastos!$D$2:$D$2500))</f>
        <v>0</v>
      </c>
      <c r="BC91" s="75">
        <f t="array" ref="BC91">SUM((YEAR(Gastos!$A$2:$A$2500)=BC$1)*(MONTH(Gastos!$A$2:$A$2500)=BC$3)*(Gastos!$B$2:$B$2500=$A91)*(Gastos!$D$2:$D$2500))</f>
        <v>0</v>
      </c>
      <c r="BD91" s="75">
        <f t="array" ref="BD91">SUM((YEAR(Gastos!$A$2:$A$2500)=BD$1)*(MONTH(Gastos!$A$2:$A$2500)=BD$3)*(Gastos!$B$2:$B$2500=$A91)*(Gastos!$D$2:$D$2500))</f>
        <v>0</v>
      </c>
      <c r="BE91" s="75">
        <f t="array" ref="BE91">SUM((YEAR(Gastos!$A$2:$A$2500)=BE$1)*(MONTH(Gastos!$A$2:$A$2500)=BE$3)*(Gastos!$B$2:$B$2500=$A91)*(Gastos!$D$2:$D$2500))</f>
        <v>0</v>
      </c>
      <c r="BF91" s="75">
        <f t="array" ref="BF91">SUM((YEAR(Gastos!$A$2:$A$2500)=BF$1)*(MONTH(Gastos!$A$2:$A$2500)=BF$3)*(Gastos!$B$2:$B$2500=$A91)*(Gastos!$D$2:$D$2500))</f>
        <v>0</v>
      </c>
      <c r="BG91" s="75">
        <f t="array" ref="BG91">SUM((YEAR(Gastos!$A$2:$A$2500)=BG$1)*(MONTH(Gastos!$A$2:$A$2500)=BG$3)*(Gastos!$B$2:$B$2500=$A91)*(Gastos!$D$2:$D$2500))</f>
        <v>0</v>
      </c>
      <c r="BH91" s="75">
        <f t="array" ref="BH91">SUM((YEAR(Gastos!$A$2:$A$2500)=BH$1)*(MONTH(Gastos!$A$2:$A$2500)=BH$3)*(Gastos!$B$2:$B$2500=$A91)*(Gastos!$D$2:$D$2500))</f>
        <v>0</v>
      </c>
      <c r="BI91" s="75">
        <f t="array" ref="BI91">SUM((YEAR(Gastos!$A$2:$A$2500)=BI$1)*(MONTH(Gastos!$A$2:$A$2500)=BI$3)*(Gastos!$B$2:$B$2500=$A91)*(Gastos!$D$2:$D$2500))</f>
        <v>0</v>
      </c>
      <c r="BJ91" s="75">
        <f t="array" ref="BJ91">SUM((YEAR(Gastos!$A$2:$A$2500)=BJ$1)*(MONTH(Gastos!$A$2:$A$2500)=BJ$3)*(Gastos!$B$2:$B$2500=$A91)*(Gastos!$D$2:$D$2500))</f>
        <v>0</v>
      </c>
      <c r="BK91" s="75">
        <f t="array" ref="BK91">SUM((YEAR(Gastos!$A$2:$A$2500)=BK$1)*(MONTH(Gastos!$A$2:$A$2500)=BK$3)*(Gastos!$B$2:$B$2500=$A91)*(Gastos!$D$2:$D$2500))</f>
        <v>0</v>
      </c>
      <c r="BL91" s="75">
        <f t="array" ref="BL91">SUM((YEAR(Gastos!$A$2:$A$2500)=BL$1)*(MONTH(Gastos!$A$2:$A$2500)=BL$3)*(Gastos!$B$2:$B$2500=$A91)*(Gastos!$D$2:$D$2500))</f>
        <v>0</v>
      </c>
      <c r="BM91" s="75">
        <f t="array" ref="BM91">SUM((YEAR(Gastos!$A$2:$A$2500)=BM$1)*(MONTH(Gastos!$A$2:$A$2500)=BM$3)*(Gastos!$B$2:$B$2500=$A91)*(Gastos!$D$2:$D$2500))</f>
        <v>0</v>
      </c>
      <c r="BN91" s="75">
        <f t="array" ref="BN91">SUM((YEAR(Gastos!$A$2:$A$2500)=BN$1)*(MONTH(Gastos!$A$2:$A$2500)=BN$3)*(Gastos!$B$2:$B$2500=$A91)*(Gastos!$D$2:$D$2500))</f>
        <v>0</v>
      </c>
      <c r="BO91" s="75">
        <f t="array" ref="BO91">SUM((YEAR(Gastos!$A$2:$A$2500)=BO$1)*(MONTH(Gastos!$A$2:$A$2500)=BO$3)*(Gastos!$B$2:$B$2500=$A91)*(Gastos!$D$2:$D$2500))</f>
        <v>0</v>
      </c>
      <c r="BP91" s="75">
        <f t="array" ref="BP91">SUM((YEAR(Gastos!$A$2:$A$2500)=BP$1)*(MONTH(Gastos!$A$2:$A$2500)=BP$3)*(Gastos!$B$2:$B$2500=$A91)*(Gastos!$D$2:$D$2500))</f>
        <v>0</v>
      </c>
      <c r="BQ91" s="75">
        <f t="array" ref="BQ91">SUM((YEAR(Gastos!$A$2:$A$2500)=BQ$1)*(MONTH(Gastos!$A$2:$A$2500)=BQ$3)*(Gastos!$B$2:$B$2500=$A91)*(Gastos!$D$2:$D$2500))</f>
        <v>0</v>
      </c>
      <c r="BR91" s="75">
        <f t="array" ref="BR91">SUM((YEAR(Gastos!$A$2:$A$2500)=BR$1)*(MONTH(Gastos!$A$2:$A$2500)=BR$3)*(Gastos!$B$2:$B$2500=$A91)*(Gastos!$D$2:$D$2500))</f>
        <v>0</v>
      </c>
      <c r="BS91" s="75">
        <f t="array" ref="BS91">SUM((YEAR(Gastos!$A$2:$A$2500)=BS$1)*(MONTH(Gastos!$A$2:$A$2500)=BS$3)*(Gastos!$B$2:$B$2500=$A91)*(Gastos!$D$2:$D$2500))</f>
        <v>0</v>
      </c>
      <c r="BT91" s="75">
        <f t="array" ref="BT91">SUM((YEAR(Gastos!$A$2:$A$2500)=BT$1)*(MONTH(Gastos!$A$2:$A$2500)=BT$3)*(Gastos!$B$2:$B$2500=$A91)*(Gastos!$D$2:$D$2500))</f>
        <v>0</v>
      </c>
      <c r="BU91" s="75">
        <f t="array" ref="BU91">SUM((YEAR(Gastos!$A$2:$A$2500)=BU$1)*(MONTH(Gastos!$A$2:$A$2500)=BU$3)*(Gastos!$B$2:$B$2500=$A91)*(Gastos!$D$2:$D$2500))</f>
        <v>0</v>
      </c>
      <c r="BV91" s="75">
        <f t="array" ref="BV91">SUM((YEAR(Gastos!$A$2:$A$2500)=BV$1)*(MONTH(Gastos!$A$2:$A$2500)=BV$3)*(Gastos!$B$2:$B$2500=$A91)*(Gastos!$D$2:$D$2500))</f>
        <v>0</v>
      </c>
      <c r="BW91" s="75">
        <f t="array" ref="BW91">SUM((YEAR(Gastos!$A$2:$A$2500)=BW$1)*(MONTH(Gastos!$A$2:$A$2500)=BW$3)*(Gastos!$B$2:$B$2500=$A91)*(Gastos!$D$2:$D$2500))</f>
        <v>0</v>
      </c>
      <c r="BX91" s="75">
        <f t="array" ref="BX91">SUM((YEAR(Gastos!$A$2:$A$2500)=BX$1)*(MONTH(Gastos!$A$2:$A$2500)=BX$3)*(Gastos!$B$2:$B$2500=$A91)*(Gastos!$D$2:$D$2500))</f>
        <v>0</v>
      </c>
      <c r="BY91" s="75">
        <f t="array" ref="BY91">SUM((YEAR(Gastos!$A$2:$A$2500)=BY$1)*(MONTH(Gastos!$A$2:$A$2500)=BY$3)*(Gastos!$B$2:$B$2500=$A91)*(Gastos!$D$2:$D$2500))</f>
        <v>0</v>
      </c>
      <c r="BZ91" s="75">
        <f t="array" ref="BZ91">SUM((YEAR(Gastos!$A$2:$A$2500)=BZ$1)*(MONTH(Gastos!$A$2:$A$2500)=BZ$3)*(Gastos!$B$2:$B$2500=$A91)*(Gastos!$D$2:$D$2500))</f>
        <v>0</v>
      </c>
      <c r="CA91" s="75">
        <f t="array" ref="CA91">SUM((YEAR(Gastos!$A$2:$A$2500)=CA$1)*(MONTH(Gastos!$A$2:$A$2500)=CA$3)*(Gastos!$B$2:$B$2500=$A91)*(Gastos!$D$2:$D$2500))</f>
        <v>0</v>
      </c>
      <c r="CB91" s="75">
        <f t="array" ref="CB91">SUM((YEAR(Gastos!$A$2:$A$2500)=CB$1)*(MONTH(Gastos!$A$2:$A$2500)=CB$3)*(Gastos!$B$2:$B$2500=$A91)*(Gastos!$D$2:$D$2500))</f>
        <v>0</v>
      </c>
      <c r="CC91" s="75">
        <f t="array" ref="CC91">SUM((YEAR(Gastos!$A$2:$A$2500)=CC$1)*(MONTH(Gastos!$A$2:$A$2500)=CC$3)*(Gastos!$B$2:$B$2500=$A91)*(Gastos!$D$2:$D$2500))</f>
        <v>0</v>
      </c>
      <c r="CD91" s="75">
        <f t="array" ref="CD91">SUM((YEAR(Gastos!$A$2:$A$2500)=CD$1)*(MONTH(Gastos!$A$2:$A$2500)=CD$3)*(Gastos!$B$2:$B$2500=$A91)*(Gastos!$D$2:$D$2500))</f>
        <v>0</v>
      </c>
      <c r="CE91" s="75">
        <f t="array" ref="CE91">SUM((YEAR(Gastos!$A$2:$A$2500)=CE$1)*(MONTH(Gastos!$A$2:$A$2500)=CE$3)*(Gastos!$B$2:$B$2500=$A91)*(Gastos!$D$2:$D$2500))</f>
        <v>0</v>
      </c>
      <c r="CF91" s="75">
        <f t="array" ref="CF91">SUM((YEAR(Gastos!$A$2:$A$2500)=CF$1)*(MONTH(Gastos!$A$2:$A$2500)=CF$3)*(Gastos!$B$2:$B$2500=$A91)*(Gastos!$D$2:$D$2500))</f>
        <v>0</v>
      </c>
      <c r="CG91" s="75">
        <f t="array" ref="CG91">SUM((YEAR(Gastos!$A$2:$A$2500)=CG$1)*(MONTH(Gastos!$A$2:$A$2500)=CG$3)*(Gastos!$B$2:$B$2500=$A91)*(Gastos!$D$2:$D$2500))</f>
        <v>0</v>
      </c>
      <c r="CH91" s="75">
        <f t="array" ref="CH91">SUM((YEAR(Gastos!$A$2:$A$2500)=CH$1)*(MONTH(Gastos!$A$2:$A$2500)=CH$3)*(Gastos!$B$2:$B$2500=$A91)*(Gastos!$D$2:$D$2500))</f>
        <v>0</v>
      </c>
      <c r="CI91" s="75">
        <f t="array" ref="CI91">SUM((YEAR(Gastos!$A$2:$A$2500)=CI$1)*(MONTH(Gastos!$A$2:$A$2500)=CI$3)*(Gastos!$B$2:$B$2500=$A91)*(Gastos!$D$2:$D$2500))</f>
        <v>0</v>
      </c>
      <c r="CJ91" s="75">
        <f t="array" ref="CJ91">SUM((YEAR(Gastos!$A$2:$A$2500)=CJ$1)*(MONTH(Gastos!$A$2:$A$2500)=CJ$3)*(Gastos!$B$2:$B$2500=$A91)*(Gastos!$D$2:$D$2500))</f>
        <v>0</v>
      </c>
      <c r="CK91" s="75">
        <f t="array" ref="CK91">SUM((YEAR(Gastos!$A$2:$A$2500)=CK$1)*(MONTH(Gastos!$A$2:$A$2500)=CK$3)*(Gastos!$B$2:$B$2500=$A91)*(Gastos!$D$2:$D$2500))</f>
        <v>0</v>
      </c>
      <c r="CL91" s="75">
        <f t="array" ref="CL91">SUM((YEAR(Gastos!$A$2:$A$2500)=CL$1)*(MONTH(Gastos!$A$2:$A$2500)=CL$3)*(Gastos!$B$2:$B$2500=$A91)*(Gastos!$D$2:$D$2500))</f>
        <v>0</v>
      </c>
      <c r="CM91" s="75">
        <f t="array" ref="CM91">SUM((YEAR(Gastos!$A$2:$A$2500)=CM$1)*(MONTH(Gastos!$A$2:$A$2500)=CM$3)*(Gastos!$B$2:$B$2500=$A91)*(Gastos!$D$2:$D$2500))</f>
        <v>0</v>
      </c>
      <c r="CN91" s="75">
        <f t="array" ref="CN91">SUM((YEAR(Gastos!$A$2:$A$2500)=CN$1)*(MONTH(Gastos!$A$2:$A$2500)=CN$3)*(Gastos!$B$2:$B$2500=$A91)*(Gastos!$D$2:$D$2500))</f>
        <v>0</v>
      </c>
      <c r="CO91" s="75">
        <f t="array" ref="CO91">SUM((YEAR(Gastos!$A$2:$A$2500)=CO$1)*(MONTH(Gastos!$A$2:$A$2500)=CO$3)*(Gastos!$B$2:$B$2500=$A91)*(Gastos!$D$2:$D$2500))</f>
        <v>0</v>
      </c>
      <c r="CP91" s="75">
        <f t="array" ref="CP91">SUM((YEAR(Gastos!$A$2:$A$2500)=CP$1)*(MONTH(Gastos!$A$2:$A$2500)=CP$3)*(Gastos!$B$2:$B$2500=$A91)*(Gastos!$D$2:$D$2500))</f>
        <v>0</v>
      </c>
      <c r="CQ91" s="75">
        <f t="array" ref="CQ91">SUM((YEAR(Gastos!$A$2:$A$2500)=CQ$1)*(MONTH(Gastos!$A$2:$A$2500)=CQ$3)*(Gastos!$B$2:$B$2500=$A91)*(Gastos!$D$2:$D$2500))</f>
        <v>0</v>
      </c>
      <c r="CR91" s="75">
        <f t="array" ref="CR91">SUM((YEAR(Gastos!$A$2:$A$2500)=CR$1)*(MONTH(Gastos!$A$2:$A$2500)=CR$3)*(Gastos!$B$2:$B$2500=$A91)*(Gastos!$D$2:$D$2500))</f>
        <v>0</v>
      </c>
      <c r="CS91" s="75">
        <f t="array" ref="CS91">SUM((YEAR(Gastos!$A$2:$A$2500)=CS$1)*(MONTH(Gastos!$A$2:$A$2500)=CS$3)*(Gastos!$B$2:$B$2500=$A91)*(Gastos!$D$2:$D$2500))</f>
        <v>0</v>
      </c>
      <c r="CT91" s="75">
        <f t="array" ref="CT91">SUM((YEAR(Gastos!$A$2:$A$2500)=CT$1)*(MONTH(Gastos!$A$2:$A$2500)=CT$3)*(Gastos!$B$2:$B$2500=$A91)*(Gastos!$D$2:$D$2500))</f>
        <v>0</v>
      </c>
      <c r="CU91" s="75">
        <f t="array" ref="CU91">SUM((YEAR(Gastos!$A$2:$A$2500)=CU$1)*(MONTH(Gastos!$A$2:$A$2500)=CU$3)*(Gastos!$B$2:$B$2500=$A91)*(Gastos!$D$2:$D$2500))</f>
        <v>0</v>
      </c>
      <c r="CV91" s="75">
        <f t="array" ref="CV91">SUM((YEAR(Gastos!$A$2:$A$2500)=CV$1)*(MONTH(Gastos!$A$2:$A$2500)=CV$3)*(Gastos!$B$2:$B$2500=$A91)*(Gastos!$D$2:$D$2500))</f>
        <v>0</v>
      </c>
      <c r="CW91" s="75">
        <f t="array" ref="CW91">SUM((YEAR(Gastos!$A$2:$A$2500)=CW$1)*(MONTH(Gastos!$A$2:$A$2500)=CW$3)*(Gastos!$B$2:$B$2500=$A91)*(Gastos!$D$2:$D$2500))</f>
        <v>0</v>
      </c>
      <c r="CX91" s="75">
        <f t="array" ref="CX91">SUM((YEAR(Gastos!$A$2:$A$2500)=CX$1)*(MONTH(Gastos!$A$2:$A$2500)=CX$3)*(Gastos!$B$2:$B$2500=$A91)*(Gastos!$D$2:$D$2500))</f>
        <v>0</v>
      </c>
      <c r="CY91" s="75">
        <f t="array" ref="CY91">SUM((YEAR(Gastos!$A$2:$A$2500)=CY$1)*(MONTH(Gastos!$A$2:$A$2500)=CY$3)*(Gastos!$B$2:$B$2500=$A91)*(Gastos!$D$2:$D$2500))</f>
        <v>0</v>
      </c>
      <c r="CZ91" s="75">
        <f t="array" ref="CZ91">SUM((YEAR(Gastos!$A$2:$A$2500)=CZ$1)*(MONTH(Gastos!$A$2:$A$2500)=CZ$3)*(Gastos!$B$2:$B$2500=$A91)*(Gastos!$D$2:$D$2500))</f>
        <v>0</v>
      </c>
      <c r="DA91" s="75">
        <f t="array" ref="DA91">SUM((YEAR(Gastos!$A$2:$A$2500)=DA$1)*(MONTH(Gastos!$A$2:$A$2500)=DA$3)*(Gastos!$B$2:$B$2500=$A91)*(Gastos!$D$2:$D$2500))</f>
        <v>0</v>
      </c>
      <c r="DB91" s="75">
        <f t="array" ref="DB91">SUM((YEAR(Gastos!$A$2:$A$2500)=DB$1)*(MONTH(Gastos!$A$2:$A$2500)=DB$3)*(Gastos!$B$2:$B$2500=$A91)*(Gastos!$D$2:$D$2500))</f>
        <v>0</v>
      </c>
      <c r="DC91" s="75">
        <f t="array" ref="DC91">SUM((YEAR(Gastos!$A$2:$A$2500)=DC$1)*(MONTH(Gastos!$A$2:$A$2500)=DC$3)*(Gastos!$B$2:$B$2500=$A91)*(Gastos!$D$2:$D$2500))</f>
        <v>0</v>
      </c>
      <c r="DD91" s="75">
        <f t="array" ref="DD91">SUM((YEAR(Gastos!$A$2:$A$2500)=DD$1)*(MONTH(Gastos!$A$2:$A$2500)=DD$3)*(Gastos!$B$2:$B$2500=$A91)*(Gastos!$D$2:$D$2500))</f>
        <v>0</v>
      </c>
      <c r="DE91" s="75">
        <f t="array" ref="DE91">SUM((YEAR(Gastos!$A$2:$A$2500)=DE$1)*(MONTH(Gastos!$A$2:$A$2500)=DE$3)*(Gastos!$B$2:$B$2500=$A91)*(Gastos!$D$2:$D$2500))</f>
        <v>0</v>
      </c>
      <c r="DF91" s="75">
        <f t="array" ref="DF91">SUM((YEAR(Gastos!$A$2:$A$2500)=DF$1)*(MONTH(Gastos!$A$2:$A$2500)=DF$3)*(Gastos!$B$2:$B$2500=$A91)*(Gastos!$D$2:$D$2500))</f>
        <v>0</v>
      </c>
      <c r="DG91" s="75">
        <f t="array" ref="DG91">SUM((YEAR(Gastos!$A$2:$A$2500)=DG$1)*(MONTH(Gastos!$A$2:$A$2500)=DG$3)*(Gastos!$B$2:$B$2500=$A91)*(Gastos!$D$2:$D$2500))</f>
        <v>0</v>
      </c>
      <c r="DH91" s="75">
        <f t="array" ref="DH91">SUM((YEAR(Gastos!$A$2:$A$2500)=DH$1)*(MONTH(Gastos!$A$2:$A$2500)=DH$3)*(Gastos!$B$2:$B$2500=$A91)*(Gastos!$D$2:$D$2500))</f>
        <v>0</v>
      </c>
      <c r="DI91" s="75">
        <f t="array" ref="DI91">SUM((YEAR(Gastos!$A$2:$A$2500)=DI$1)*(MONTH(Gastos!$A$2:$A$2500)=DI$3)*(Gastos!$B$2:$B$2500=$A91)*(Gastos!$D$2:$D$2500))</f>
        <v>0</v>
      </c>
      <c r="DJ91" s="75">
        <f t="array" ref="DJ91">SUM((YEAR(Gastos!$A$2:$A$2500)=DJ$1)*(MONTH(Gastos!$A$2:$A$2500)=DJ$3)*(Gastos!$B$2:$B$2500=$A91)*(Gastos!$D$2:$D$2500))</f>
        <v>0</v>
      </c>
      <c r="DK91" s="75">
        <f t="array" ref="DK91">SUM((YEAR(Gastos!$A$2:$A$2500)=DK$1)*(MONTH(Gastos!$A$2:$A$2500)=DK$3)*(Gastos!$B$2:$B$2500=$A91)*(Gastos!$D$2:$D$2500))</f>
        <v>0</v>
      </c>
      <c r="DL91" s="75">
        <f t="array" ref="DL91">SUM((YEAR(Gastos!$A$2:$A$2500)=DL$1)*(MONTH(Gastos!$A$2:$A$2500)=DL$3)*(Gastos!$B$2:$B$2500=$A91)*(Gastos!$D$2:$D$2500))</f>
        <v>0</v>
      </c>
      <c r="DM91" s="75">
        <f t="array" ref="DM91">SUM((YEAR(Gastos!$A$2:$A$2500)=DM$1)*(MONTH(Gastos!$A$2:$A$2500)=DM$3)*(Gastos!$B$2:$B$2500=$A91)*(Gastos!$D$2:$D$2500))</f>
        <v>0</v>
      </c>
      <c r="DN91" s="75">
        <f t="array" ref="DN91">SUM((YEAR(Gastos!$A$2:$A$2500)=DN$1)*(MONTH(Gastos!$A$2:$A$2500)=DN$3)*(Gastos!$B$2:$B$2500=$A91)*(Gastos!$D$2:$D$2500))</f>
        <v>0</v>
      </c>
      <c r="DO91" s="75">
        <f t="array" ref="DO91">SUM((YEAR(Gastos!$A$2:$A$2500)=DO$1)*(MONTH(Gastos!$A$2:$A$2500)=DO$3)*(Gastos!$B$2:$B$2500=$A91)*(Gastos!$D$2:$D$2500))</f>
        <v>0</v>
      </c>
      <c r="DP91" s="75">
        <f t="array" ref="DP91">SUM((YEAR(Gastos!$A$2:$A$2500)=DP$1)*(MONTH(Gastos!$A$2:$A$2500)=DP$3)*(Gastos!$B$2:$B$2500=$A91)*(Gastos!$D$2:$D$2500))</f>
        <v>0</v>
      </c>
      <c r="DQ91" s="75">
        <f t="array" ref="DQ91">SUM((YEAR(Gastos!$A$2:$A$2500)=DQ$1)*(MONTH(Gastos!$A$2:$A$2500)=DQ$3)*(Gastos!$B$2:$B$2500=$A91)*(Gastos!$D$2:$D$2500))</f>
        <v>0</v>
      </c>
      <c r="DR91" s="75">
        <f t="array" ref="DR91">SUM((YEAR(Gastos!$A$2:$A$2500)=DR$1)*(MONTH(Gastos!$A$2:$A$2500)=DR$3)*(Gastos!$B$2:$B$2500=$A91)*(Gastos!$D$2:$D$2500))</f>
        <v>0</v>
      </c>
      <c r="DS91" s="75">
        <f t="array" ref="DS91">SUM((YEAR(Gastos!$A$2:$A$2500)=DS$1)*(MONTH(Gastos!$A$2:$A$2500)=DS$3)*(Gastos!$B$2:$B$2500=$A91)*(Gastos!$D$2:$D$2500))</f>
        <v>0</v>
      </c>
      <c r="DT91" s="75">
        <f t="array" ref="DT91">SUM((YEAR(Gastos!$A$2:$A$2500)=DT$1)*(MONTH(Gastos!$A$2:$A$2500)=DT$3)*(Gastos!$B$2:$B$2500=$A91)*(Gastos!$D$2:$D$2500))</f>
        <v>0</v>
      </c>
      <c r="DU91" s="75">
        <f t="array" ref="DU91">SUM((YEAR(Gastos!$A$2:$A$2500)=DU$1)*(MONTH(Gastos!$A$2:$A$2500)=DU$3)*(Gastos!$B$2:$B$2500=$A91)*(Gastos!$D$2:$D$2500))</f>
        <v>0</v>
      </c>
      <c r="DV91" s="75">
        <f t="array" ref="DV91">SUM((YEAR(Gastos!$A$2:$A$2500)=DV$1)*(MONTH(Gastos!$A$2:$A$2500)=DV$3)*(Gastos!$B$2:$B$2500=$A91)*(Gastos!$D$2:$D$2500))</f>
        <v>0</v>
      </c>
      <c r="DW91" s="75">
        <f t="array" ref="DW91">SUM((YEAR(Gastos!$A$2:$A$2500)=DW$1)*(MONTH(Gastos!$A$2:$A$2500)=DW$3)*(Gastos!$B$2:$B$2500=$A91)*(Gastos!$D$2:$D$2500))</f>
        <v>0</v>
      </c>
      <c r="DX91" s="75">
        <f t="array" ref="DX91">SUM((YEAR(Gastos!$A$2:$A$2500)=DX$1)*(MONTH(Gastos!$A$2:$A$2500)=DX$3)*(Gastos!$B$2:$B$2500=$A91)*(Gastos!$D$2:$D$2500))</f>
        <v>0</v>
      </c>
      <c r="DY91" s="75">
        <f t="array" ref="DY91">SUM((YEAR(Gastos!$A$2:$A$2500)=DY$1)*(MONTH(Gastos!$A$2:$A$2500)=DY$3)*(Gastos!$B$2:$B$2500=$A91)*(Gastos!$D$2:$D$2500))</f>
        <v>0</v>
      </c>
      <c r="DZ91" s="75">
        <f t="array" ref="DZ91">SUM((YEAR(Gastos!$A$2:$A$2500)=DZ$1)*(MONTH(Gastos!$A$2:$A$2500)=DZ$3)*(Gastos!$B$2:$B$2500=$A91)*(Gastos!$D$2:$D$2500))</f>
        <v>0</v>
      </c>
      <c r="EA91" s="75">
        <f t="array" ref="EA91">SUM((YEAR(Gastos!$A$2:$A$2500)=EA$1)*(MONTH(Gastos!$A$2:$A$2500)=EA$3)*(Gastos!$B$2:$B$2500=$A91)*(Gastos!$D$2:$D$2500))</f>
        <v>0</v>
      </c>
      <c r="EB91" s="75">
        <f t="array" ref="EB91">SUM((YEAR(Gastos!$A$2:$A$2500)=EB$1)*(MONTH(Gastos!$A$2:$A$2500)=EB$3)*(Gastos!$B$2:$B$2500=$A91)*(Gastos!$D$2:$D$2500))</f>
        <v>0</v>
      </c>
      <c r="EC91" s="75">
        <f t="array" ref="EC91">SUM((YEAR(Gastos!$A$2:$A$2500)=EC$1)*(MONTH(Gastos!$A$2:$A$2500)=EC$3)*(Gastos!$B$2:$B$2500=$A91)*(Gastos!$D$2:$D$2500))</f>
        <v>0</v>
      </c>
      <c r="ED91" s="75">
        <f t="array" ref="ED91">SUM((YEAR(Gastos!$A$2:$A$2500)=ED$1)*(MONTH(Gastos!$A$2:$A$2500)=ED$3)*(Gastos!$B$2:$B$2500=$A91)*(Gastos!$D$2:$D$2500))</f>
        <v>0</v>
      </c>
      <c r="EE91" s="75">
        <f t="array" ref="EE91">SUM((YEAR(Gastos!$A$2:$A$2500)=EE$1)*(MONTH(Gastos!$A$2:$A$2500)=EE$3)*(Gastos!$B$2:$B$2500=$A91)*(Gastos!$D$2:$D$2500))</f>
        <v>0</v>
      </c>
      <c r="EF91" s="75">
        <f t="array" ref="EF91">SUM((YEAR(Gastos!$A$2:$A$2500)=EF$1)*(MONTH(Gastos!$A$2:$A$2500)=EF$3)*(Gastos!$B$2:$B$2500=$A91)*(Gastos!$D$2:$D$2500))</f>
        <v>0</v>
      </c>
      <c r="EG91" s="75">
        <f t="array" ref="EG91">SUM((YEAR(Gastos!$A$2:$A$2500)=EG$1)*(MONTH(Gastos!$A$2:$A$2500)=EG$3)*(Gastos!$B$2:$B$2500=$A91)*(Gastos!$D$2:$D$2500))</f>
        <v>0</v>
      </c>
      <c r="EH91" s="75">
        <f t="array" ref="EH91">SUM((YEAR(Gastos!$A$2:$A$2500)=EH$1)*(MONTH(Gastos!$A$2:$A$2500)=EH$3)*(Gastos!$B$2:$B$2500=$A91)*(Gastos!$D$2:$D$2500))</f>
        <v>0</v>
      </c>
      <c r="EI91" s="75">
        <f t="array" ref="EI91">SUM((YEAR(Gastos!$A$2:$A$2500)=EI$1)*(MONTH(Gastos!$A$2:$A$2500)=EI$3)*(Gastos!$B$2:$B$2500=$A91)*(Gastos!$D$2:$D$2500))</f>
        <v>0</v>
      </c>
      <c r="EJ91" s="75">
        <f t="array" ref="EJ91">SUM((YEAR(Gastos!$A$2:$A$2500)=EJ$1)*(MONTH(Gastos!$A$2:$A$2500)=EJ$3)*(Gastos!$B$2:$B$2500=$A91)*(Gastos!$D$2:$D$2500))</f>
        <v>0</v>
      </c>
      <c r="EK91" s="75">
        <f t="array" ref="EK91">SUM((YEAR(Gastos!$A$2:$A$2500)=EK$1)*(MONTH(Gastos!$A$2:$A$2500)=EK$3)*(Gastos!$B$2:$B$2500=$A91)*(Gastos!$D$2:$D$2500))</f>
        <v>0</v>
      </c>
      <c r="EL91" s="75">
        <f t="array" ref="EL91">SUM((YEAR(Gastos!$A$2:$A$2500)=EL$1)*(MONTH(Gastos!$A$2:$A$2500)=EL$3)*(Gastos!$B$2:$B$2500=$A91)*(Gastos!$D$2:$D$2500))</f>
        <v>0</v>
      </c>
      <c r="EM91" s="75">
        <f t="array" ref="EM91">SUM((YEAR(Gastos!$A$2:$A$2500)=EM$1)*(MONTH(Gastos!$A$2:$A$2500)=EM$3)*(Gastos!$B$2:$B$2500=$A91)*(Gastos!$D$2:$D$2500))</f>
        <v>0</v>
      </c>
      <c r="EN91" s="75">
        <f t="array" ref="EN91">SUM((YEAR(Gastos!$A$2:$A$2500)=EN$1)*(MONTH(Gastos!$A$2:$A$2500)=EN$3)*(Gastos!$B$2:$B$2500=$A91)*(Gastos!$D$2:$D$2500))</f>
        <v>0</v>
      </c>
      <c r="EO91" s="75">
        <f t="array" ref="EO91">SUM((YEAR(Gastos!$A$2:$A$2500)=EO$1)*(MONTH(Gastos!$A$2:$A$2500)=EO$3)*(Gastos!$B$2:$B$2500=$A91)*(Gastos!$D$2:$D$2500))</f>
        <v>0</v>
      </c>
      <c r="EP91" s="75">
        <f t="array" ref="EP91">SUM((YEAR(Gastos!$A$2:$A$2500)=EP$1)*(MONTH(Gastos!$A$2:$A$2500)=EP$3)*(Gastos!$B$2:$B$2500=$A91)*(Gastos!$D$2:$D$2500))</f>
        <v>0</v>
      </c>
      <c r="EQ91" s="75">
        <f t="array" ref="EQ91">SUM((YEAR(Gastos!$A$2:$A$2500)=EQ$1)*(MONTH(Gastos!$A$2:$A$2500)=EQ$3)*(Gastos!$B$2:$B$2500=$A91)*(Gastos!$D$2:$D$2500))</f>
        <v>0</v>
      </c>
      <c r="ER91" s="75">
        <f t="array" ref="ER91">SUM((YEAR(Gastos!$A$2:$A$2500)=ER$1)*(MONTH(Gastos!$A$2:$A$2500)=ER$3)*(Gastos!$B$2:$B$2500=$A91)*(Gastos!$D$2:$D$2500))</f>
        <v>0</v>
      </c>
      <c r="ES91" s="75">
        <f t="array" ref="ES91">SUM((YEAR(Gastos!$A$2:$A$2500)=ES$1)*(MONTH(Gastos!$A$2:$A$2500)=ES$3)*(Gastos!$B$2:$B$2500=$A91)*(Gastos!$D$2:$D$2500))</f>
        <v>0</v>
      </c>
      <c r="ET91" s="75">
        <f t="array" ref="ET91">SUM((YEAR(Gastos!$A$2:$A$2500)=ET$1)*(MONTH(Gastos!$A$2:$A$2500)=ET$3)*(Gastos!$B$2:$B$2500=$A91)*(Gastos!$D$2:$D$2500))</f>
        <v>0</v>
      </c>
      <c r="EU91" s="75">
        <f t="array" ref="EU91">SUM((YEAR(Gastos!$A$2:$A$2500)=EU$1)*(MONTH(Gastos!$A$2:$A$2500)=EU$3)*(Gastos!$B$2:$B$2500=$A91)*(Gastos!$D$2:$D$2500))</f>
        <v>0</v>
      </c>
      <c r="EV91" s="75">
        <f t="array" ref="EV91">SUM((YEAR(Gastos!$A$2:$A$2500)=EV$1)*(MONTH(Gastos!$A$2:$A$2500)=EV$3)*(Gastos!$B$2:$B$2500=$A91)*(Gastos!$D$2:$D$2500))</f>
        <v>0</v>
      </c>
      <c r="EW91" s="75">
        <f t="array" ref="EW91">SUM((YEAR(Gastos!$A$2:$A$2500)=EW$1)*(MONTH(Gastos!$A$2:$A$2500)=EW$3)*(Gastos!$B$2:$B$2500=$A91)*(Gastos!$D$2:$D$2500))</f>
        <v>0</v>
      </c>
      <c r="EX91" s="75">
        <f t="array" ref="EX91">SUM((YEAR(Gastos!$A$2:$A$2500)=EX$1)*(MONTH(Gastos!$A$2:$A$2500)=EX$3)*(Gastos!$B$2:$B$2500=$A91)*(Gastos!$D$2:$D$2500))</f>
        <v>0</v>
      </c>
      <c r="EY91" s="75">
        <f t="array" ref="EY91">SUM((YEAR(Gastos!$A$2:$A$2500)=EY$1)*(MONTH(Gastos!$A$2:$A$2500)=EY$3)*(Gastos!$B$2:$B$2500=$A91)*(Gastos!$D$2:$D$2500))</f>
        <v>0</v>
      </c>
      <c r="EZ91" s="75">
        <f t="array" ref="EZ91">SUM((YEAR(Gastos!$A$2:$A$2500)=EZ$1)*(MONTH(Gastos!$A$2:$A$2500)=EZ$3)*(Gastos!$B$2:$B$2500=$A91)*(Gastos!$D$2:$D$2500))</f>
        <v>0</v>
      </c>
      <c r="FA91" s="75">
        <f t="array" ref="FA91">SUM((YEAR(Gastos!$A$2:$A$2500)=FA$1)*(MONTH(Gastos!$A$2:$A$2500)=FA$3)*(Gastos!$B$2:$B$2500=$A91)*(Gastos!$D$2:$D$2500))</f>
        <v>0</v>
      </c>
      <c r="FB91" s="75">
        <f t="array" ref="FB91">SUM((YEAR(Gastos!$A$2:$A$2500)=FB$1)*(MONTH(Gastos!$A$2:$A$2500)=FB$3)*(Gastos!$B$2:$B$2500=$A91)*(Gastos!$D$2:$D$2500))</f>
        <v>0</v>
      </c>
      <c r="FC91" s="75">
        <f t="array" ref="FC91">SUM((YEAR(Gastos!$A$2:$A$2500)=FC$1)*(MONTH(Gastos!$A$2:$A$2500)=FC$3)*(Gastos!$B$2:$B$2500=$A91)*(Gastos!$D$2:$D$2500))</f>
        <v>0</v>
      </c>
      <c r="FD91" s="75">
        <f t="array" ref="FD91">SUM((YEAR(Gastos!$A$2:$A$2500)=FD$1)*(MONTH(Gastos!$A$2:$A$2500)=FD$3)*(Gastos!$B$2:$B$2500=$A91)*(Gastos!$D$2:$D$2500))</f>
        <v>0</v>
      </c>
      <c r="FE91" s="75">
        <f t="array" ref="FE91">SUM((YEAR(Gastos!$A$2:$A$2500)=FE$1)*(MONTH(Gastos!$A$2:$A$2500)=FE$3)*(Gastos!$B$2:$B$2500=$A91)*(Gastos!$D$2:$D$2500))</f>
        <v>0</v>
      </c>
      <c r="FF91" s="75">
        <f t="array" ref="FF91">SUM((YEAR(Gastos!$A$2:$A$2500)=FF$1)*(MONTH(Gastos!$A$2:$A$2500)=FF$3)*(Gastos!$B$2:$B$2500=$A91)*(Gastos!$D$2:$D$2500))</f>
        <v>0</v>
      </c>
      <c r="FG91" s="75">
        <f t="array" ref="FG91">SUM((YEAR(Gastos!$A$2:$A$2500)=FG$1)*(MONTH(Gastos!$A$2:$A$2500)=FG$3)*(Gastos!$B$2:$B$2500=$A91)*(Gastos!$D$2:$D$2500))</f>
        <v>0</v>
      </c>
      <c r="FH91" s="75">
        <f t="array" ref="FH91">SUM((YEAR(Gastos!$A$2:$A$2500)=FH$1)*(MONTH(Gastos!$A$2:$A$2500)=FH$3)*(Gastos!$B$2:$B$2500=$A91)*(Gastos!$D$2:$D$2500))</f>
        <v>0</v>
      </c>
      <c r="FI91" s="75">
        <f t="array" ref="FI91">SUM((YEAR(Gastos!$A$2:$A$2500)=FI$1)*(MONTH(Gastos!$A$2:$A$2500)=FI$3)*(Gastos!$B$2:$B$2500=$A91)*(Gastos!$D$2:$D$2500))</f>
        <v>0</v>
      </c>
      <c r="FJ91" s="75">
        <f t="array" ref="FJ91">SUM((YEAR(Gastos!$A$2:$A$2500)=FJ$1)*(MONTH(Gastos!$A$2:$A$2500)=FJ$3)*(Gastos!$B$2:$B$2500=$A91)*(Gastos!$D$2:$D$2500))</f>
        <v>0</v>
      </c>
      <c r="FK91" s="75">
        <f t="array" ref="FK91">SUM((YEAR(Gastos!$A$2:$A$2500)=FK$1)*(MONTH(Gastos!$A$2:$A$2500)=FK$3)*(Gastos!$B$2:$B$2500=$A91)*(Gastos!$D$2:$D$2500))</f>
        <v>0</v>
      </c>
      <c r="FL91" s="75">
        <f t="array" ref="FL91">SUM((YEAR(Gastos!$A$2:$A$2500)=FL$1)*(MONTH(Gastos!$A$2:$A$2500)=FL$3)*(Gastos!$B$2:$B$2500=$A91)*(Gastos!$D$2:$D$2500))</f>
        <v>0</v>
      </c>
      <c r="FM91" s="75">
        <f t="array" ref="FM91">SUM((YEAR(Gastos!$A$2:$A$2500)=FM$1)*(MONTH(Gastos!$A$2:$A$2500)=FM$3)*(Gastos!$B$2:$B$2500=$A91)*(Gastos!$D$2:$D$2500))</f>
        <v>0</v>
      </c>
      <c r="FN91" s="75">
        <f t="array" ref="FN91">SUM((YEAR(Gastos!$A$2:$A$2500)=FN$1)*(MONTH(Gastos!$A$2:$A$2500)=FN$3)*(Gastos!$B$2:$B$2500=$A91)*(Gastos!$D$2:$D$2500))</f>
        <v>0</v>
      </c>
      <c r="FO91" s="75">
        <f t="array" ref="FO91">SUM((YEAR(Gastos!$A$2:$A$2500)=FO$1)*(MONTH(Gastos!$A$2:$A$2500)=FO$3)*(Gastos!$B$2:$B$2500=$A91)*(Gastos!$D$2:$D$2500))</f>
        <v>0</v>
      </c>
      <c r="FP91" s="75">
        <f t="array" ref="FP91">SUM((YEAR(Gastos!$A$2:$A$2500)=FP$1)*(MONTH(Gastos!$A$2:$A$2500)=FP$3)*(Gastos!$B$2:$B$2500=$A91)*(Gastos!$D$2:$D$2500))</f>
        <v>0</v>
      </c>
      <c r="FQ91" s="75">
        <f t="array" ref="FQ91">SUM((YEAR(Gastos!$A$2:$A$2500)=FQ$1)*(MONTH(Gastos!$A$2:$A$2500)=FQ$3)*(Gastos!$B$2:$B$2500=$A91)*(Gastos!$D$2:$D$2500))</f>
        <v>0</v>
      </c>
      <c r="FR91" s="75">
        <f t="array" ref="FR91">SUM((YEAR(Gastos!$A$2:$A$2500)=FR$1)*(MONTH(Gastos!$A$2:$A$2500)=FR$3)*(Gastos!$B$2:$B$2500=$A91)*(Gastos!$D$2:$D$2500))</f>
        <v>0</v>
      </c>
      <c r="FS91" s="75">
        <f t="array" ref="FS91">SUM((YEAR(Gastos!$A$2:$A$2500)=FS$1)*(MONTH(Gastos!$A$2:$A$2500)=FS$3)*(Gastos!$B$2:$B$2500=$A91)*(Gastos!$D$2:$D$2500))</f>
        <v>0</v>
      </c>
      <c r="FT91" s="75">
        <f t="array" ref="FT91">SUM((YEAR(Gastos!$A$2:$A$2500)=FT$1)*(MONTH(Gastos!$A$2:$A$2500)=FT$3)*(Gastos!$B$2:$B$2500=$A91)*(Gastos!$D$2:$D$2500))</f>
        <v>0</v>
      </c>
      <c r="FU91" s="75">
        <f t="array" ref="FU91">SUM((YEAR(Gastos!$A$2:$A$2500)=FU$1)*(MONTH(Gastos!$A$2:$A$2500)=FU$3)*(Gastos!$B$2:$B$2500=$A91)*(Gastos!$D$2:$D$2500))</f>
        <v>0</v>
      </c>
      <c r="FV91" s="75">
        <f t="array" ref="FV91">SUM((YEAR(Gastos!$A$2:$A$2500)=FV$1)*(MONTH(Gastos!$A$2:$A$2500)=FV$3)*(Gastos!$B$2:$B$2500=$A91)*(Gastos!$D$2:$D$2500))</f>
        <v>0</v>
      </c>
      <c r="FW91" s="75">
        <f t="array" ref="FW91">SUM((YEAR(Gastos!$A$2:$A$2500)=FW$1)*(MONTH(Gastos!$A$2:$A$2500)=FW$3)*(Gastos!$B$2:$B$2500=$A91)*(Gastos!$D$2:$D$2500))</f>
        <v>0</v>
      </c>
      <c r="FX91" s="75">
        <f t="array" ref="FX91">SUM((YEAR(Gastos!$A$2:$A$2500)=FX$1)*(MONTH(Gastos!$A$2:$A$2500)=FX$3)*(Gastos!$B$2:$B$2500=$A91)*(Gastos!$D$2:$D$2500))</f>
        <v>0</v>
      </c>
      <c r="FY91" s="75">
        <f t="array" ref="FY91">SUM((YEAR(Gastos!$A$2:$A$2500)=FY$1)*(MONTH(Gastos!$A$2:$A$2500)=FY$3)*(Gastos!$B$2:$B$2500=$A91)*(Gastos!$D$2:$D$2500))</f>
        <v>0</v>
      </c>
      <c r="FZ91" s="76">
        <f t="shared" si="68"/>
        <v>0</v>
      </c>
      <c r="GA91" s="80"/>
      <c r="GB91" s="82"/>
    </row>
    <row r="92" spans="1:184" ht="15" thickBot="1" x14ac:dyDescent="0.4">
      <c r="A92" s="74" t="str">
        <f>Gastos!AA90</f>
        <v>X</v>
      </c>
      <c r="B92" s="75">
        <f t="array" ref="B92">SUM((YEAR(Gastos!$A$2:$A$2500)=B$1)*(MONTH(Gastos!$A$2:$A$2500)=B$3)*(Gastos!$B$2:$B$2500=$A92)*(Gastos!$D$2:$D$2500))</f>
        <v>0</v>
      </c>
      <c r="C92" s="75">
        <f t="array" ref="C92">SUM((YEAR(Gastos!$A$2:$A$2500)=C$1)*(MONTH(Gastos!$A$2:$A$2500)=C$3)*(Gastos!$B$2:$B$2500=$A92)*(Gastos!$D$2:$D$2500))</f>
        <v>0</v>
      </c>
      <c r="D92" s="75">
        <f t="array" ref="D92">SUM((YEAR(Gastos!$A$2:$A$2500)=D$1)*(MONTH(Gastos!$A$2:$A$2500)=D$3)*(Gastos!$B$2:$B$2500=$A92)*(Gastos!$D$2:$D$2500))</f>
        <v>0</v>
      </c>
      <c r="E92" s="75">
        <f t="array" ref="E92">SUM((YEAR(Gastos!$A$2:$A$2500)=E$1)*(MONTH(Gastos!$A$2:$A$2500)=E$3)*(Gastos!$B$2:$B$2500=$A92)*(Gastos!$D$2:$D$2500))</f>
        <v>0</v>
      </c>
      <c r="F92" s="75">
        <f t="array" ref="F92">SUM((YEAR(Gastos!$A$2:$A$2500)=F$1)*(MONTH(Gastos!$A$2:$A$2500)=F$3)*(Gastos!$B$2:$B$2500=$A92)*(Gastos!$D$2:$D$2500))</f>
        <v>0</v>
      </c>
      <c r="G92" s="75">
        <f t="array" ref="G92">SUM((YEAR(Gastos!$A$2:$A$2500)=G$1)*(MONTH(Gastos!$A$2:$A$2500)=G$3)*(Gastos!$B$2:$B$2500=$A92)*(Gastos!$D$2:$D$2500))</f>
        <v>0</v>
      </c>
      <c r="H92" s="75">
        <f t="array" ref="H92">SUM((YEAR(Gastos!$A$2:$A$2500)=H$1)*(MONTH(Gastos!$A$2:$A$2500)=H$3)*(Gastos!$B$2:$B$2500=$A92)*(Gastos!$D$2:$D$2500))</f>
        <v>0</v>
      </c>
      <c r="I92" s="75">
        <f t="array" ref="I92">SUM((YEAR(Gastos!$A$2:$A$2500)=I$1)*(MONTH(Gastos!$A$2:$A$2500)=I$3)*(Gastos!$B$2:$B$2500=$A92)*(Gastos!$D$2:$D$2500))</f>
        <v>0</v>
      </c>
      <c r="J92" s="75">
        <f t="array" ref="J92">SUM((YEAR(Gastos!$A$2:$A$2500)=J$1)*(MONTH(Gastos!$A$2:$A$2500)=J$3)*(Gastos!$B$2:$B$2500=$A92)*(Gastos!$D$2:$D$2500))</f>
        <v>0</v>
      </c>
      <c r="K92" s="75">
        <f t="array" ref="K92">SUM((YEAR(Gastos!$A$2:$A$2500)=K$1)*(MONTH(Gastos!$A$2:$A$2500)=K$3)*(Gastos!$B$2:$B$2500=$A92)*(Gastos!$D$2:$D$2500))</f>
        <v>0</v>
      </c>
      <c r="L92" s="75">
        <f t="array" ref="L92">SUM((YEAR(Gastos!$A$2:$A$2500)=L$1)*(MONTH(Gastos!$A$2:$A$2500)=L$3)*(Gastos!$B$2:$B$2500=$A92)*(Gastos!$D$2:$D$2500))</f>
        <v>0</v>
      </c>
      <c r="M92" s="75">
        <f t="array" ref="M92">SUM((YEAR(Gastos!$A$2:$A$2500)=M$1)*(MONTH(Gastos!$A$2:$A$2500)=M$3)*(Gastos!$B$2:$B$2500=$A92)*(Gastos!$D$2:$D$2500))</f>
        <v>0</v>
      </c>
      <c r="N92" s="75">
        <f t="array" ref="N92">SUM((YEAR(Gastos!$A$2:$A$2500)=N$1)*(MONTH(Gastos!$A$2:$A$2500)=N$3)*(Gastos!$B$2:$B$2500=$A92)*(Gastos!$D$2:$D$2500))</f>
        <v>0</v>
      </c>
      <c r="O92" s="75">
        <f t="array" ref="O92">SUM((YEAR(Gastos!$A$2:$A$2500)=O$1)*(MONTH(Gastos!$A$2:$A$2500)=O$3)*(Gastos!$B$2:$B$2500=$A92)*(Gastos!$D$2:$D$2500))</f>
        <v>0</v>
      </c>
      <c r="P92" s="75">
        <f t="array" ref="P92">SUM((YEAR(Gastos!$A$2:$A$2500)=P$1)*(MONTH(Gastos!$A$2:$A$2500)=P$3)*(Gastos!$B$2:$B$2500=$A92)*(Gastos!$D$2:$D$2500))</f>
        <v>0</v>
      </c>
      <c r="Q92" s="75">
        <f t="array" ref="Q92">SUM((YEAR(Gastos!$A$2:$A$2500)=Q$1)*(MONTH(Gastos!$A$2:$A$2500)=Q$3)*(Gastos!$B$2:$B$2500=$A92)*(Gastos!$D$2:$D$2500))</f>
        <v>0</v>
      </c>
      <c r="R92" s="75">
        <f t="array" ref="R92">SUM((YEAR(Gastos!$A$2:$A$2500)=R$1)*(MONTH(Gastos!$A$2:$A$2500)=R$3)*(Gastos!$B$2:$B$2500=$A92)*(Gastos!$D$2:$D$2500))</f>
        <v>0</v>
      </c>
      <c r="S92" s="75">
        <f t="array" ref="S92">SUM((YEAR(Gastos!$A$2:$A$2500)=S$1)*(MONTH(Gastos!$A$2:$A$2500)=S$3)*(Gastos!$B$2:$B$2500=$A92)*(Gastos!$D$2:$D$2500))</f>
        <v>0</v>
      </c>
      <c r="T92" s="75">
        <f t="array" ref="T92">SUM((YEAR(Gastos!$A$2:$A$2500)=T$1)*(MONTH(Gastos!$A$2:$A$2500)=T$3)*(Gastos!$B$2:$B$2500=$A92)*(Gastos!$D$2:$D$2500))</f>
        <v>0</v>
      </c>
      <c r="U92" s="75">
        <f t="array" ref="U92">SUM((YEAR(Gastos!$A$2:$A$2500)=U$1)*(MONTH(Gastos!$A$2:$A$2500)=U$3)*(Gastos!$B$2:$B$2500=$A92)*(Gastos!$D$2:$D$2500))</f>
        <v>0</v>
      </c>
      <c r="V92" s="75">
        <f t="array" ref="V92">SUM((YEAR(Gastos!$A$2:$A$2500)=V$1)*(MONTH(Gastos!$A$2:$A$2500)=V$3)*(Gastos!$B$2:$B$2500=$A92)*(Gastos!$D$2:$D$2500))</f>
        <v>0</v>
      </c>
      <c r="W92" s="75">
        <f t="array" ref="W92">SUM((YEAR(Gastos!$A$2:$A$2500)=W$1)*(MONTH(Gastos!$A$2:$A$2500)=W$3)*(Gastos!$B$2:$B$2500=$A92)*(Gastos!$D$2:$D$2500))</f>
        <v>0</v>
      </c>
      <c r="X92" s="75">
        <f t="array" ref="X92">SUM((YEAR(Gastos!$A$2:$A$2500)=X$1)*(MONTH(Gastos!$A$2:$A$2500)=X$3)*(Gastos!$B$2:$B$2500=$A92)*(Gastos!$D$2:$D$2500))</f>
        <v>0</v>
      </c>
      <c r="Y92" s="75">
        <f t="array" ref="Y92">SUM((YEAR(Gastos!$A$2:$A$2500)=Y$1)*(MONTH(Gastos!$A$2:$A$2500)=Y$3)*(Gastos!$B$2:$B$2500=$A92)*(Gastos!$D$2:$D$2500))</f>
        <v>0</v>
      </c>
      <c r="Z92" s="75">
        <f t="array" ref="Z92">SUM((YEAR(Gastos!$A$2:$A$2500)=Z$1)*(MONTH(Gastos!$A$2:$A$2500)=Z$3)*(Gastos!$B$2:$B$2500=$A92)*(Gastos!$D$2:$D$2500))</f>
        <v>0</v>
      </c>
      <c r="AA92" s="75">
        <f t="array" ref="AA92">SUM((YEAR(Gastos!$A$2:$A$2500)=AA$1)*(MONTH(Gastos!$A$2:$A$2500)=AA$3)*(Gastos!$B$2:$B$2500=$A92)*(Gastos!$D$2:$D$2500))</f>
        <v>0</v>
      </c>
      <c r="AB92" s="75">
        <f t="array" ref="AB92">SUM((YEAR(Gastos!$A$2:$A$2500)=AB$1)*(MONTH(Gastos!$A$2:$A$2500)=AB$3)*(Gastos!$B$2:$B$2500=$A92)*(Gastos!$D$2:$D$2500))</f>
        <v>0</v>
      </c>
      <c r="AC92" s="75">
        <f t="array" ref="AC92">SUM((YEAR(Gastos!$A$2:$A$2500)=AC$1)*(MONTH(Gastos!$A$2:$A$2500)=AC$3)*(Gastos!$B$2:$B$2500=$A92)*(Gastos!$D$2:$D$2500))</f>
        <v>0</v>
      </c>
      <c r="AD92" s="75">
        <f t="array" ref="AD92">SUM((YEAR(Gastos!$A$2:$A$2500)=AD$1)*(MONTH(Gastos!$A$2:$A$2500)=AD$3)*(Gastos!$B$2:$B$2500=$A92)*(Gastos!$D$2:$D$2500))</f>
        <v>0</v>
      </c>
      <c r="AE92" s="75">
        <f t="array" ref="AE92">SUM((YEAR(Gastos!$A$2:$A$2500)=AE$1)*(MONTH(Gastos!$A$2:$A$2500)=AE$3)*(Gastos!$B$2:$B$2500=$A92)*(Gastos!$D$2:$D$2500))</f>
        <v>0</v>
      </c>
      <c r="AF92" s="75">
        <f t="array" ref="AF92">SUM((YEAR(Gastos!$A$2:$A$2500)=AF$1)*(MONTH(Gastos!$A$2:$A$2500)=AF$3)*(Gastos!$B$2:$B$2500=$A92)*(Gastos!$D$2:$D$2500))</f>
        <v>0</v>
      </c>
      <c r="AG92" s="75">
        <f t="array" ref="AG92">SUM((YEAR(Gastos!$A$2:$A$2500)=AG$1)*(MONTH(Gastos!$A$2:$A$2500)=AG$3)*(Gastos!$B$2:$B$2500=$A92)*(Gastos!$D$2:$D$2500))</f>
        <v>0</v>
      </c>
      <c r="AH92" s="75">
        <f t="array" ref="AH92">SUM((YEAR(Gastos!$A$2:$A$2500)=AH$1)*(MONTH(Gastos!$A$2:$A$2500)=AH$3)*(Gastos!$B$2:$B$2500=$A92)*(Gastos!$D$2:$D$2500))</f>
        <v>0</v>
      </c>
      <c r="AI92" s="75">
        <f t="array" ref="AI92">SUM((YEAR(Gastos!$A$2:$A$2500)=AI$1)*(MONTH(Gastos!$A$2:$A$2500)=AI$3)*(Gastos!$B$2:$B$2500=$A92)*(Gastos!$D$2:$D$2500))</f>
        <v>0</v>
      </c>
      <c r="AJ92" s="75">
        <f t="array" ref="AJ92">SUM((YEAR(Gastos!$A$2:$A$2500)=AJ$1)*(MONTH(Gastos!$A$2:$A$2500)=AJ$3)*(Gastos!$B$2:$B$2500=$A92)*(Gastos!$D$2:$D$2500))</f>
        <v>0</v>
      </c>
      <c r="AK92" s="75">
        <f t="array" ref="AK92">SUM((YEAR(Gastos!$A$2:$A$2500)=AK$1)*(MONTH(Gastos!$A$2:$A$2500)=AK$3)*(Gastos!$B$2:$B$2500=$A92)*(Gastos!$D$2:$D$2500))</f>
        <v>0</v>
      </c>
      <c r="AL92" s="75">
        <f t="array" ref="AL92">SUM((YEAR(Gastos!$A$2:$A$2500)=AL$1)*(MONTH(Gastos!$A$2:$A$2500)=AL$3)*(Gastos!$B$2:$B$2500=$A92)*(Gastos!$D$2:$D$2500))</f>
        <v>0</v>
      </c>
      <c r="AM92" s="75">
        <f t="array" ref="AM92">SUM((YEAR(Gastos!$A$2:$A$2500)=AM$1)*(MONTH(Gastos!$A$2:$A$2500)=AM$3)*(Gastos!$B$2:$B$2500=$A92)*(Gastos!$D$2:$D$2500))</f>
        <v>0</v>
      </c>
      <c r="AN92" s="75">
        <f t="array" ref="AN92">SUM((YEAR(Gastos!$A$2:$A$2500)=AN$1)*(MONTH(Gastos!$A$2:$A$2500)=AN$3)*(Gastos!$B$2:$B$2500=$A92)*(Gastos!$D$2:$D$2500))</f>
        <v>0</v>
      </c>
      <c r="AO92" s="75">
        <f t="array" ref="AO92">SUM((YEAR(Gastos!$A$2:$A$2500)=AO$1)*(MONTH(Gastos!$A$2:$A$2500)=AO$3)*(Gastos!$B$2:$B$2500=$A92)*(Gastos!$D$2:$D$2500))</f>
        <v>0</v>
      </c>
      <c r="AP92" s="75">
        <f t="array" ref="AP92">SUM((YEAR(Gastos!$A$2:$A$2500)=AP$1)*(MONTH(Gastos!$A$2:$A$2500)=AP$3)*(Gastos!$B$2:$B$2500=$A92)*(Gastos!$D$2:$D$2500))</f>
        <v>0</v>
      </c>
      <c r="AQ92" s="75">
        <f t="array" ref="AQ92">SUM((YEAR(Gastos!$A$2:$A$2500)=AQ$1)*(MONTH(Gastos!$A$2:$A$2500)=AQ$3)*(Gastos!$B$2:$B$2500=$A92)*(Gastos!$D$2:$D$2500))</f>
        <v>0</v>
      </c>
      <c r="AR92" s="75">
        <f t="array" ref="AR92">SUM((YEAR(Gastos!$A$2:$A$2500)=AR$1)*(MONTH(Gastos!$A$2:$A$2500)=AR$3)*(Gastos!$B$2:$B$2500=$A92)*(Gastos!$D$2:$D$2500))</f>
        <v>0</v>
      </c>
      <c r="AS92" s="75">
        <f t="array" ref="AS92">SUM((YEAR(Gastos!$A$2:$A$2500)=AS$1)*(MONTH(Gastos!$A$2:$A$2500)=AS$3)*(Gastos!$B$2:$B$2500=$A92)*(Gastos!$D$2:$D$2500))</f>
        <v>0</v>
      </c>
      <c r="AT92" s="75">
        <f t="array" ref="AT92">SUM((YEAR(Gastos!$A$2:$A$2500)=AT$1)*(MONTH(Gastos!$A$2:$A$2500)=AT$3)*(Gastos!$B$2:$B$2500=$A92)*(Gastos!$D$2:$D$2500))</f>
        <v>0</v>
      </c>
      <c r="AU92" s="75">
        <f t="array" ref="AU92">SUM((YEAR(Gastos!$A$2:$A$2500)=AU$1)*(MONTH(Gastos!$A$2:$A$2500)=AU$3)*(Gastos!$B$2:$B$2500=$A92)*(Gastos!$D$2:$D$2500))</f>
        <v>0</v>
      </c>
      <c r="AV92" s="75">
        <f t="array" ref="AV92">SUM((YEAR(Gastos!$A$2:$A$2500)=AV$1)*(MONTH(Gastos!$A$2:$A$2500)=AV$3)*(Gastos!$B$2:$B$2500=$A92)*(Gastos!$D$2:$D$2500))</f>
        <v>0</v>
      </c>
      <c r="AW92" s="75">
        <f t="array" ref="AW92">SUM((YEAR(Gastos!$A$2:$A$2500)=AW$1)*(MONTH(Gastos!$A$2:$A$2500)=AW$3)*(Gastos!$B$2:$B$2500=$A92)*(Gastos!$D$2:$D$2500))</f>
        <v>0</v>
      </c>
      <c r="AX92" s="75">
        <f t="array" ref="AX92">SUM((YEAR(Gastos!$A$2:$A$2500)=AX$1)*(MONTH(Gastos!$A$2:$A$2500)=AX$3)*(Gastos!$B$2:$B$2500=$A92)*(Gastos!$D$2:$D$2500))</f>
        <v>0</v>
      </c>
      <c r="AY92" s="75">
        <f t="array" ref="AY92">SUM((YEAR(Gastos!$A$2:$A$2500)=AY$1)*(MONTH(Gastos!$A$2:$A$2500)=AY$3)*(Gastos!$B$2:$B$2500=$A92)*(Gastos!$D$2:$D$2500))</f>
        <v>0</v>
      </c>
      <c r="AZ92" s="75">
        <f t="array" ref="AZ92">SUM((YEAR(Gastos!$A$2:$A$2500)=AZ$1)*(MONTH(Gastos!$A$2:$A$2500)=AZ$3)*(Gastos!$B$2:$B$2500=$A92)*(Gastos!$D$2:$D$2500))</f>
        <v>0</v>
      </c>
      <c r="BA92" s="75">
        <f t="array" ref="BA92">SUM((YEAR(Gastos!$A$2:$A$2500)=BA$1)*(MONTH(Gastos!$A$2:$A$2500)=BA$3)*(Gastos!$B$2:$B$2500=$A92)*(Gastos!$D$2:$D$2500))</f>
        <v>0</v>
      </c>
      <c r="BB92" s="75">
        <f t="array" ref="BB92">SUM((YEAR(Gastos!$A$2:$A$2500)=BB$1)*(MONTH(Gastos!$A$2:$A$2500)=BB$3)*(Gastos!$B$2:$B$2500=$A92)*(Gastos!$D$2:$D$2500))</f>
        <v>0</v>
      </c>
      <c r="BC92" s="75">
        <f t="array" ref="BC92">SUM((YEAR(Gastos!$A$2:$A$2500)=BC$1)*(MONTH(Gastos!$A$2:$A$2500)=BC$3)*(Gastos!$B$2:$B$2500=$A92)*(Gastos!$D$2:$D$2500))</f>
        <v>0</v>
      </c>
      <c r="BD92" s="75">
        <f t="array" ref="BD92">SUM((YEAR(Gastos!$A$2:$A$2500)=BD$1)*(MONTH(Gastos!$A$2:$A$2500)=BD$3)*(Gastos!$B$2:$B$2500=$A92)*(Gastos!$D$2:$D$2500))</f>
        <v>0</v>
      </c>
      <c r="BE92" s="75">
        <f t="array" ref="BE92">SUM((YEAR(Gastos!$A$2:$A$2500)=BE$1)*(MONTH(Gastos!$A$2:$A$2500)=BE$3)*(Gastos!$B$2:$B$2500=$A92)*(Gastos!$D$2:$D$2500))</f>
        <v>0</v>
      </c>
      <c r="BF92" s="75">
        <f t="array" ref="BF92">SUM((YEAR(Gastos!$A$2:$A$2500)=BF$1)*(MONTH(Gastos!$A$2:$A$2500)=BF$3)*(Gastos!$B$2:$B$2500=$A92)*(Gastos!$D$2:$D$2500))</f>
        <v>0</v>
      </c>
      <c r="BG92" s="75">
        <f t="array" ref="BG92">SUM((YEAR(Gastos!$A$2:$A$2500)=BG$1)*(MONTH(Gastos!$A$2:$A$2500)=BG$3)*(Gastos!$B$2:$B$2500=$A92)*(Gastos!$D$2:$D$2500))</f>
        <v>0</v>
      </c>
      <c r="BH92" s="75">
        <f t="array" ref="BH92">SUM((YEAR(Gastos!$A$2:$A$2500)=BH$1)*(MONTH(Gastos!$A$2:$A$2500)=BH$3)*(Gastos!$B$2:$B$2500=$A92)*(Gastos!$D$2:$D$2500))</f>
        <v>0</v>
      </c>
      <c r="BI92" s="75">
        <f t="array" ref="BI92">SUM((YEAR(Gastos!$A$2:$A$2500)=BI$1)*(MONTH(Gastos!$A$2:$A$2500)=BI$3)*(Gastos!$B$2:$B$2500=$A92)*(Gastos!$D$2:$D$2500))</f>
        <v>0</v>
      </c>
      <c r="BJ92" s="75">
        <f t="array" ref="BJ92">SUM((YEAR(Gastos!$A$2:$A$2500)=BJ$1)*(MONTH(Gastos!$A$2:$A$2500)=BJ$3)*(Gastos!$B$2:$B$2500=$A92)*(Gastos!$D$2:$D$2500))</f>
        <v>0</v>
      </c>
      <c r="BK92" s="75">
        <f t="array" ref="BK92">SUM((YEAR(Gastos!$A$2:$A$2500)=BK$1)*(MONTH(Gastos!$A$2:$A$2500)=BK$3)*(Gastos!$B$2:$B$2500=$A92)*(Gastos!$D$2:$D$2500))</f>
        <v>0</v>
      </c>
      <c r="BL92" s="75">
        <f t="array" ref="BL92">SUM((YEAR(Gastos!$A$2:$A$2500)=BL$1)*(MONTH(Gastos!$A$2:$A$2500)=BL$3)*(Gastos!$B$2:$B$2500=$A92)*(Gastos!$D$2:$D$2500))</f>
        <v>0</v>
      </c>
      <c r="BM92" s="75">
        <f t="array" ref="BM92">SUM((YEAR(Gastos!$A$2:$A$2500)=BM$1)*(MONTH(Gastos!$A$2:$A$2500)=BM$3)*(Gastos!$B$2:$B$2500=$A92)*(Gastos!$D$2:$D$2500))</f>
        <v>0</v>
      </c>
      <c r="BN92" s="75">
        <f t="array" ref="BN92">SUM((YEAR(Gastos!$A$2:$A$2500)=BN$1)*(MONTH(Gastos!$A$2:$A$2500)=BN$3)*(Gastos!$B$2:$B$2500=$A92)*(Gastos!$D$2:$D$2500))</f>
        <v>0</v>
      </c>
      <c r="BO92" s="75">
        <f t="array" ref="BO92">SUM((YEAR(Gastos!$A$2:$A$2500)=BO$1)*(MONTH(Gastos!$A$2:$A$2500)=BO$3)*(Gastos!$B$2:$B$2500=$A92)*(Gastos!$D$2:$D$2500))</f>
        <v>0</v>
      </c>
      <c r="BP92" s="75">
        <f t="array" ref="BP92">SUM((YEAR(Gastos!$A$2:$A$2500)=BP$1)*(MONTH(Gastos!$A$2:$A$2500)=BP$3)*(Gastos!$B$2:$B$2500=$A92)*(Gastos!$D$2:$D$2500))</f>
        <v>0</v>
      </c>
      <c r="BQ92" s="75">
        <f t="array" ref="BQ92">SUM((YEAR(Gastos!$A$2:$A$2500)=BQ$1)*(MONTH(Gastos!$A$2:$A$2500)=BQ$3)*(Gastos!$B$2:$B$2500=$A92)*(Gastos!$D$2:$D$2500))</f>
        <v>0</v>
      </c>
      <c r="BR92" s="75">
        <f t="array" ref="BR92">SUM((YEAR(Gastos!$A$2:$A$2500)=BR$1)*(MONTH(Gastos!$A$2:$A$2500)=BR$3)*(Gastos!$B$2:$B$2500=$A92)*(Gastos!$D$2:$D$2500))</f>
        <v>0</v>
      </c>
      <c r="BS92" s="75">
        <f t="array" ref="BS92">SUM((YEAR(Gastos!$A$2:$A$2500)=BS$1)*(MONTH(Gastos!$A$2:$A$2500)=BS$3)*(Gastos!$B$2:$B$2500=$A92)*(Gastos!$D$2:$D$2500))</f>
        <v>0</v>
      </c>
      <c r="BT92" s="75">
        <f t="array" ref="BT92">SUM((YEAR(Gastos!$A$2:$A$2500)=BT$1)*(MONTH(Gastos!$A$2:$A$2500)=BT$3)*(Gastos!$B$2:$B$2500=$A92)*(Gastos!$D$2:$D$2500))</f>
        <v>0</v>
      </c>
      <c r="BU92" s="75">
        <f t="array" ref="BU92">SUM((YEAR(Gastos!$A$2:$A$2500)=BU$1)*(MONTH(Gastos!$A$2:$A$2500)=BU$3)*(Gastos!$B$2:$B$2500=$A92)*(Gastos!$D$2:$D$2500))</f>
        <v>0</v>
      </c>
      <c r="BV92" s="75">
        <f t="array" ref="BV92">SUM((YEAR(Gastos!$A$2:$A$2500)=BV$1)*(MONTH(Gastos!$A$2:$A$2500)=BV$3)*(Gastos!$B$2:$B$2500=$A92)*(Gastos!$D$2:$D$2500))</f>
        <v>0</v>
      </c>
      <c r="BW92" s="75">
        <f t="array" ref="BW92">SUM((YEAR(Gastos!$A$2:$A$2500)=BW$1)*(MONTH(Gastos!$A$2:$A$2500)=BW$3)*(Gastos!$B$2:$B$2500=$A92)*(Gastos!$D$2:$D$2500))</f>
        <v>0</v>
      </c>
      <c r="BX92" s="75">
        <f t="array" ref="BX92">SUM((YEAR(Gastos!$A$2:$A$2500)=BX$1)*(MONTH(Gastos!$A$2:$A$2500)=BX$3)*(Gastos!$B$2:$B$2500=$A92)*(Gastos!$D$2:$D$2500))</f>
        <v>0</v>
      </c>
      <c r="BY92" s="75">
        <f t="array" ref="BY92">SUM((YEAR(Gastos!$A$2:$A$2500)=BY$1)*(MONTH(Gastos!$A$2:$A$2500)=BY$3)*(Gastos!$B$2:$B$2500=$A92)*(Gastos!$D$2:$D$2500))</f>
        <v>0</v>
      </c>
      <c r="BZ92" s="75">
        <f t="array" ref="BZ92">SUM((YEAR(Gastos!$A$2:$A$2500)=BZ$1)*(MONTH(Gastos!$A$2:$A$2500)=BZ$3)*(Gastos!$B$2:$B$2500=$A92)*(Gastos!$D$2:$D$2500))</f>
        <v>0</v>
      </c>
      <c r="CA92" s="75">
        <f t="array" ref="CA92">SUM((YEAR(Gastos!$A$2:$A$2500)=CA$1)*(MONTH(Gastos!$A$2:$A$2500)=CA$3)*(Gastos!$B$2:$B$2500=$A92)*(Gastos!$D$2:$D$2500))</f>
        <v>0</v>
      </c>
      <c r="CB92" s="75">
        <f t="array" ref="CB92">SUM((YEAR(Gastos!$A$2:$A$2500)=CB$1)*(MONTH(Gastos!$A$2:$A$2500)=CB$3)*(Gastos!$B$2:$B$2500=$A92)*(Gastos!$D$2:$D$2500))</f>
        <v>0</v>
      </c>
      <c r="CC92" s="75">
        <f t="array" ref="CC92">SUM((YEAR(Gastos!$A$2:$A$2500)=CC$1)*(MONTH(Gastos!$A$2:$A$2500)=CC$3)*(Gastos!$B$2:$B$2500=$A92)*(Gastos!$D$2:$D$2500))</f>
        <v>0</v>
      </c>
      <c r="CD92" s="75">
        <f t="array" ref="CD92">SUM((YEAR(Gastos!$A$2:$A$2500)=CD$1)*(MONTH(Gastos!$A$2:$A$2500)=CD$3)*(Gastos!$B$2:$B$2500=$A92)*(Gastos!$D$2:$D$2500))</f>
        <v>0</v>
      </c>
      <c r="CE92" s="75">
        <f t="array" ref="CE92">SUM((YEAR(Gastos!$A$2:$A$2500)=CE$1)*(MONTH(Gastos!$A$2:$A$2500)=CE$3)*(Gastos!$B$2:$B$2500=$A92)*(Gastos!$D$2:$D$2500))</f>
        <v>0</v>
      </c>
      <c r="CF92" s="75">
        <f t="array" ref="CF92">SUM((YEAR(Gastos!$A$2:$A$2500)=CF$1)*(MONTH(Gastos!$A$2:$A$2500)=CF$3)*(Gastos!$B$2:$B$2500=$A92)*(Gastos!$D$2:$D$2500))</f>
        <v>0</v>
      </c>
      <c r="CG92" s="75">
        <f t="array" ref="CG92">SUM((YEAR(Gastos!$A$2:$A$2500)=CG$1)*(MONTH(Gastos!$A$2:$A$2500)=CG$3)*(Gastos!$B$2:$B$2500=$A92)*(Gastos!$D$2:$D$2500))</f>
        <v>0</v>
      </c>
      <c r="CH92" s="75">
        <f t="array" ref="CH92">SUM((YEAR(Gastos!$A$2:$A$2500)=CH$1)*(MONTH(Gastos!$A$2:$A$2500)=CH$3)*(Gastos!$B$2:$B$2500=$A92)*(Gastos!$D$2:$D$2500))</f>
        <v>0</v>
      </c>
      <c r="CI92" s="75">
        <f t="array" ref="CI92">SUM((YEAR(Gastos!$A$2:$A$2500)=CI$1)*(MONTH(Gastos!$A$2:$A$2500)=CI$3)*(Gastos!$B$2:$B$2500=$A92)*(Gastos!$D$2:$D$2500))</f>
        <v>0</v>
      </c>
      <c r="CJ92" s="75">
        <f t="array" ref="CJ92">SUM((YEAR(Gastos!$A$2:$A$2500)=CJ$1)*(MONTH(Gastos!$A$2:$A$2500)=CJ$3)*(Gastos!$B$2:$B$2500=$A92)*(Gastos!$D$2:$D$2500))</f>
        <v>0</v>
      </c>
      <c r="CK92" s="75">
        <f t="array" ref="CK92">SUM((YEAR(Gastos!$A$2:$A$2500)=CK$1)*(MONTH(Gastos!$A$2:$A$2500)=CK$3)*(Gastos!$B$2:$B$2500=$A92)*(Gastos!$D$2:$D$2500))</f>
        <v>0</v>
      </c>
      <c r="CL92" s="75">
        <f t="array" ref="CL92">SUM((YEAR(Gastos!$A$2:$A$2500)=CL$1)*(MONTH(Gastos!$A$2:$A$2500)=CL$3)*(Gastos!$B$2:$B$2500=$A92)*(Gastos!$D$2:$D$2500))</f>
        <v>0</v>
      </c>
      <c r="CM92" s="75">
        <f t="array" ref="CM92">SUM((YEAR(Gastos!$A$2:$A$2500)=CM$1)*(MONTH(Gastos!$A$2:$A$2500)=CM$3)*(Gastos!$B$2:$B$2500=$A92)*(Gastos!$D$2:$D$2500))</f>
        <v>0</v>
      </c>
      <c r="CN92" s="75">
        <f t="array" ref="CN92">SUM((YEAR(Gastos!$A$2:$A$2500)=CN$1)*(MONTH(Gastos!$A$2:$A$2500)=CN$3)*(Gastos!$B$2:$B$2500=$A92)*(Gastos!$D$2:$D$2500))</f>
        <v>0</v>
      </c>
      <c r="CO92" s="75">
        <f t="array" ref="CO92">SUM((YEAR(Gastos!$A$2:$A$2500)=CO$1)*(MONTH(Gastos!$A$2:$A$2500)=CO$3)*(Gastos!$B$2:$B$2500=$A92)*(Gastos!$D$2:$D$2500))</f>
        <v>0</v>
      </c>
      <c r="CP92" s="75">
        <f t="array" ref="CP92">SUM((YEAR(Gastos!$A$2:$A$2500)=CP$1)*(MONTH(Gastos!$A$2:$A$2500)=CP$3)*(Gastos!$B$2:$B$2500=$A92)*(Gastos!$D$2:$D$2500))</f>
        <v>0</v>
      </c>
      <c r="CQ92" s="75">
        <f t="array" ref="CQ92">SUM((YEAR(Gastos!$A$2:$A$2500)=CQ$1)*(MONTH(Gastos!$A$2:$A$2500)=CQ$3)*(Gastos!$B$2:$B$2500=$A92)*(Gastos!$D$2:$D$2500))</f>
        <v>0</v>
      </c>
      <c r="CR92" s="75">
        <f t="array" ref="CR92">SUM((YEAR(Gastos!$A$2:$A$2500)=CR$1)*(MONTH(Gastos!$A$2:$A$2500)=CR$3)*(Gastos!$B$2:$B$2500=$A92)*(Gastos!$D$2:$D$2500))</f>
        <v>0</v>
      </c>
      <c r="CS92" s="75">
        <f t="array" ref="CS92">SUM((YEAR(Gastos!$A$2:$A$2500)=CS$1)*(MONTH(Gastos!$A$2:$A$2500)=CS$3)*(Gastos!$B$2:$B$2500=$A92)*(Gastos!$D$2:$D$2500))</f>
        <v>0</v>
      </c>
      <c r="CT92" s="75">
        <f t="array" ref="CT92">SUM((YEAR(Gastos!$A$2:$A$2500)=CT$1)*(MONTH(Gastos!$A$2:$A$2500)=CT$3)*(Gastos!$B$2:$B$2500=$A92)*(Gastos!$D$2:$D$2500))</f>
        <v>0</v>
      </c>
      <c r="CU92" s="75">
        <f t="array" ref="CU92">SUM((YEAR(Gastos!$A$2:$A$2500)=CU$1)*(MONTH(Gastos!$A$2:$A$2500)=CU$3)*(Gastos!$B$2:$B$2500=$A92)*(Gastos!$D$2:$D$2500))</f>
        <v>0</v>
      </c>
      <c r="CV92" s="75">
        <f t="array" ref="CV92">SUM((YEAR(Gastos!$A$2:$A$2500)=CV$1)*(MONTH(Gastos!$A$2:$A$2500)=CV$3)*(Gastos!$B$2:$B$2500=$A92)*(Gastos!$D$2:$D$2500))</f>
        <v>0</v>
      </c>
      <c r="CW92" s="75">
        <f t="array" ref="CW92">SUM((YEAR(Gastos!$A$2:$A$2500)=CW$1)*(MONTH(Gastos!$A$2:$A$2500)=CW$3)*(Gastos!$B$2:$B$2500=$A92)*(Gastos!$D$2:$D$2500))</f>
        <v>0</v>
      </c>
      <c r="CX92" s="75">
        <f t="array" ref="CX92">SUM((YEAR(Gastos!$A$2:$A$2500)=CX$1)*(MONTH(Gastos!$A$2:$A$2500)=CX$3)*(Gastos!$B$2:$B$2500=$A92)*(Gastos!$D$2:$D$2500))</f>
        <v>0</v>
      </c>
      <c r="CY92" s="75">
        <f t="array" ref="CY92">SUM((YEAR(Gastos!$A$2:$A$2500)=CY$1)*(MONTH(Gastos!$A$2:$A$2500)=CY$3)*(Gastos!$B$2:$B$2500=$A92)*(Gastos!$D$2:$D$2500))</f>
        <v>0</v>
      </c>
      <c r="CZ92" s="75">
        <f t="array" ref="CZ92">SUM((YEAR(Gastos!$A$2:$A$2500)=CZ$1)*(MONTH(Gastos!$A$2:$A$2500)=CZ$3)*(Gastos!$B$2:$B$2500=$A92)*(Gastos!$D$2:$D$2500))</f>
        <v>0</v>
      </c>
      <c r="DA92" s="75">
        <f t="array" ref="DA92">SUM((YEAR(Gastos!$A$2:$A$2500)=DA$1)*(MONTH(Gastos!$A$2:$A$2500)=DA$3)*(Gastos!$B$2:$B$2500=$A92)*(Gastos!$D$2:$D$2500))</f>
        <v>0</v>
      </c>
      <c r="DB92" s="75">
        <f t="array" ref="DB92">SUM((YEAR(Gastos!$A$2:$A$2500)=DB$1)*(MONTH(Gastos!$A$2:$A$2500)=DB$3)*(Gastos!$B$2:$B$2500=$A92)*(Gastos!$D$2:$D$2500))</f>
        <v>0</v>
      </c>
      <c r="DC92" s="75">
        <f t="array" ref="DC92">SUM((YEAR(Gastos!$A$2:$A$2500)=DC$1)*(MONTH(Gastos!$A$2:$A$2500)=DC$3)*(Gastos!$B$2:$B$2500=$A92)*(Gastos!$D$2:$D$2500))</f>
        <v>0</v>
      </c>
      <c r="DD92" s="75">
        <f t="array" ref="DD92">SUM((YEAR(Gastos!$A$2:$A$2500)=DD$1)*(MONTH(Gastos!$A$2:$A$2500)=DD$3)*(Gastos!$B$2:$B$2500=$A92)*(Gastos!$D$2:$D$2500))</f>
        <v>0</v>
      </c>
      <c r="DE92" s="75">
        <f t="array" ref="DE92">SUM((YEAR(Gastos!$A$2:$A$2500)=DE$1)*(MONTH(Gastos!$A$2:$A$2500)=DE$3)*(Gastos!$B$2:$B$2500=$A92)*(Gastos!$D$2:$D$2500))</f>
        <v>0</v>
      </c>
      <c r="DF92" s="75">
        <f t="array" ref="DF92">SUM((YEAR(Gastos!$A$2:$A$2500)=DF$1)*(MONTH(Gastos!$A$2:$A$2500)=DF$3)*(Gastos!$B$2:$B$2500=$A92)*(Gastos!$D$2:$D$2500))</f>
        <v>0</v>
      </c>
      <c r="DG92" s="75">
        <f t="array" ref="DG92">SUM((YEAR(Gastos!$A$2:$A$2500)=DG$1)*(MONTH(Gastos!$A$2:$A$2500)=DG$3)*(Gastos!$B$2:$B$2500=$A92)*(Gastos!$D$2:$D$2500))</f>
        <v>0</v>
      </c>
      <c r="DH92" s="75">
        <f t="array" ref="DH92">SUM((YEAR(Gastos!$A$2:$A$2500)=DH$1)*(MONTH(Gastos!$A$2:$A$2500)=DH$3)*(Gastos!$B$2:$B$2500=$A92)*(Gastos!$D$2:$D$2500))</f>
        <v>0</v>
      </c>
      <c r="DI92" s="75">
        <f t="array" ref="DI92">SUM((YEAR(Gastos!$A$2:$A$2500)=DI$1)*(MONTH(Gastos!$A$2:$A$2500)=DI$3)*(Gastos!$B$2:$B$2500=$A92)*(Gastos!$D$2:$D$2500))</f>
        <v>0</v>
      </c>
      <c r="DJ92" s="75">
        <f t="array" ref="DJ92">SUM((YEAR(Gastos!$A$2:$A$2500)=DJ$1)*(MONTH(Gastos!$A$2:$A$2500)=DJ$3)*(Gastos!$B$2:$B$2500=$A92)*(Gastos!$D$2:$D$2500))</f>
        <v>0</v>
      </c>
      <c r="DK92" s="75">
        <f t="array" ref="DK92">SUM((YEAR(Gastos!$A$2:$A$2500)=DK$1)*(MONTH(Gastos!$A$2:$A$2500)=DK$3)*(Gastos!$B$2:$B$2500=$A92)*(Gastos!$D$2:$D$2500))</f>
        <v>0</v>
      </c>
      <c r="DL92" s="75">
        <f t="array" ref="DL92">SUM((YEAR(Gastos!$A$2:$A$2500)=DL$1)*(MONTH(Gastos!$A$2:$A$2500)=DL$3)*(Gastos!$B$2:$B$2500=$A92)*(Gastos!$D$2:$D$2500))</f>
        <v>0</v>
      </c>
      <c r="DM92" s="75">
        <f t="array" ref="DM92">SUM((YEAR(Gastos!$A$2:$A$2500)=DM$1)*(MONTH(Gastos!$A$2:$A$2500)=DM$3)*(Gastos!$B$2:$B$2500=$A92)*(Gastos!$D$2:$D$2500))</f>
        <v>0</v>
      </c>
      <c r="DN92" s="75">
        <f t="array" ref="DN92">SUM((YEAR(Gastos!$A$2:$A$2500)=DN$1)*(MONTH(Gastos!$A$2:$A$2500)=DN$3)*(Gastos!$B$2:$B$2500=$A92)*(Gastos!$D$2:$D$2500))</f>
        <v>0</v>
      </c>
      <c r="DO92" s="75">
        <f t="array" ref="DO92">SUM((YEAR(Gastos!$A$2:$A$2500)=DO$1)*(MONTH(Gastos!$A$2:$A$2500)=DO$3)*(Gastos!$B$2:$B$2500=$A92)*(Gastos!$D$2:$D$2500))</f>
        <v>0</v>
      </c>
      <c r="DP92" s="75">
        <f t="array" ref="DP92">SUM((YEAR(Gastos!$A$2:$A$2500)=DP$1)*(MONTH(Gastos!$A$2:$A$2500)=DP$3)*(Gastos!$B$2:$B$2500=$A92)*(Gastos!$D$2:$D$2500))</f>
        <v>0</v>
      </c>
      <c r="DQ92" s="75">
        <f t="array" ref="DQ92">SUM((YEAR(Gastos!$A$2:$A$2500)=DQ$1)*(MONTH(Gastos!$A$2:$A$2500)=DQ$3)*(Gastos!$B$2:$B$2500=$A92)*(Gastos!$D$2:$D$2500))</f>
        <v>0</v>
      </c>
      <c r="DR92" s="75">
        <f t="array" ref="DR92">SUM((YEAR(Gastos!$A$2:$A$2500)=DR$1)*(MONTH(Gastos!$A$2:$A$2500)=DR$3)*(Gastos!$B$2:$B$2500=$A92)*(Gastos!$D$2:$D$2500))</f>
        <v>0</v>
      </c>
      <c r="DS92" s="75">
        <f t="array" ref="DS92">SUM((YEAR(Gastos!$A$2:$A$2500)=DS$1)*(MONTH(Gastos!$A$2:$A$2500)=DS$3)*(Gastos!$B$2:$B$2500=$A92)*(Gastos!$D$2:$D$2500))</f>
        <v>0</v>
      </c>
      <c r="DT92" s="75">
        <f t="array" ref="DT92">SUM((YEAR(Gastos!$A$2:$A$2500)=DT$1)*(MONTH(Gastos!$A$2:$A$2500)=DT$3)*(Gastos!$B$2:$B$2500=$A92)*(Gastos!$D$2:$D$2500))</f>
        <v>0</v>
      </c>
      <c r="DU92" s="75">
        <f t="array" ref="DU92">SUM((YEAR(Gastos!$A$2:$A$2500)=DU$1)*(MONTH(Gastos!$A$2:$A$2500)=DU$3)*(Gastos!$B$2:$B$2500=$A92)*(Gastos!$D$2:$D$2500))</f>
        <v>0</v>
      </c>
      <c r="DV92" s="75">
        <f t="array" ref="DV92">SUM((YEAR(Gastos!$A$2:$A$2500)=DV$1)*(MONTH(Gastos!$A$2:$A$2500)=DV$3)*(Gastos!$B$2:$B$2500=$A92)*(Gastos!$D$2:$D$2500))</f>
        <v>0</v>
      </c>
      <c r="DW92" s="75">
        <f t="array" ref="DW92">SUM((YEAR(Gastos!$A$2:$A$2500)=DW$1)*(MONTH(Gastos!$A$2:$A$2500)=DW$3)*(Gastos!$B$2:$B$2500=$A92)*(Gastos!$D$2:$D$2500))</f>
        <v>0</v>
      </c>
      <c r="DX92" s="75">
        <f t="array" ref="DX92">SUM((YEAR(Gastos!$A$2:$A$2500)=DX$1)*(MONTH(Gastos!$A$2:$A$2500)=DX$3)*(Gastos!$B$2:$B$2500=$A92)*(Gastos!$D$2:$D$2500))</f>
        <v>0</v>
      </c>
      <c r="DY92" s="75">
        <f t="array" ref="DY92">SUM((YEAR(Gastos!$A$2:$A$2500)=DY$1)*(MONTH(Gastos!$A$2:$A$2500)=DY$3)*(Gastos!$B$2:$B$2500=$A92)*(Gastos!$D$2:$D$2500))</f>
        <v>0</v>
      </c>
      <c r="DZ92" s="75">
        <f t="array" ref="DZ92">SUM((YEAR(Gastos!$A$2:$A$2500)=DZ$1)*(MONTH(Gastos!$A$2:$A$2500)=DZ$3)*(Gastos!$B$2:$B$2500=$A92)*(Gastos!$D$2:$D$2500))</f>
        <v>0</v>
      </c>
      <c r="EA92" s="75">
        <f t="array" ref="EA92">SUM((YEAR(Gastos!$A$2:$A$2500)=EA$1)*(MONTH(Gastos!$A$2:$A$2500)=EA$3)*(Gastos!$B$2:$B$2500=$A92)*(Gastos!$D$2:$D$2500))</f>
        <v>0</v>
      </c>
      <c r="EB92" s="75">
        <f t="array" ref="EB92">SUM((YEAR(Gastos!$A$2:$A$2500)=EB$1)*(MONTH(Gastos!$A$2:$A$2500)=EB$3)*(Gastos!$B$2:$B$2500=$A92)*(Gastos!$D$2:$D$2500))</f>
        <v>0</v>
      </c>
      <c r="EC92" s="75">
        <f t="array" ref="EC92">SUM((YEAR(Gastos!$A$2:$A$2500)=EC$1)*(MONTH(Gastos!$A$2:$A$2500)=EC$3)*(Gastos!$B$2:$B$2500=$A92)*(Gastos!$D$2:$D$2500))</f>
        <v>0</v>
      </c>
      <c r="ED92" s="75">
        <f t="array" ref="ED92">SUM((YEAR(Gastos!$A$2:$A$2500)=ED$1)*(MONTH(Gastos!$A$2:$A$2500)=ED$3)*(Gastos!$B$2:$B$2500=$A92)*(Gastos!$D$2:$D$2500))</f>
        <v>0</v>
      </c>
      <c r="EE92" s="75">
        <f t="array" ref="EE92">SUM((YEAR(Gastos!$A$2:$A$2500)=EE$1)*(MONTH(Gastos!$A$2:$A$2500)=EE$3)*(Gastos!$B$2:$B$2500=$A92)*(Gastos!$D$2:$D$2500))</f>
        <v>0</v>
      </c>
      <c r="EF92" s="75">
        <f t="array" ref="EF92">SUM((YEAR(Gastos!$A$2:$A$2500)=EF$1)*(MONTH(Gastos!$A$2:$A$2500)=EF$3)*(Gastos!$B$2:$B$2500=$A92)*(Gastos!$D$2:$D$2500))</f>
        <v>0</v>
      </c>
      <c r="EG92" s="75">
        <f t="array" ref="EG92">SUM((YEAR(Gastos!$A$2:$A$2500)=EG$1)*(MONTH(Gastos!$A$2:$A$2500)=EG$3)*(Gastos!$B$2:$B$2500=$A92)*(Gastos!$D$2:$D$2500))</f>
        <v>0</v>
      </c>
      <c r="EH92" s="75">
        <f t="array" ref="EH92">SUM((YEAR(Gastos!$A$2:$A$2500)=EH$1)*(MONTH(Gastos!$A$2:$A$2500)=EH$3)*(Gastos!$B$2:$B$2500=$A92)*(Gastos!$D$2:$D$2500))</f>
        <v>0</v>
      </c>
      <c r="EI92" s="75">
        <f t="array" ref="EI92">SUM((YEAR(Gastos!$A$2:$A$2500)=EI$1)*(MONTH(Gastos!$A$2:$A$2500)=EI$3)*(Gastos!$B$2:$B$2500=$A92)*(Gastos!$D$2:$D$2500))</f>
        <v>0</v>
      </c>
      <c r="EJ92" s="75">
        <f t="array" ref="EJ92">SUM((YEAR(Gastos!$A$2:$A$2500)=EJ$1)*(MONTH(Gastos!$A$2:$A$2500)=EJ$3)*(Gastos!$B$2:$B$2500=$A92)*(Gastos!$D$2:$D$2500))</f>
        <v>0</v>
      </c>
      <c r="EK92" s="75">
        <f t="array" ref="EK92">SUM((YEAR(Gastos!$A$2:$A$2500)=EK$1)*(MONTH(Gastos!$A$2:$A$2500)=EK$3)*(Gastos!$B$2:$B$2500=$A92)*(Gastos!$D$2:$D$2500))</f>
        <v>0</v>
      </c>
      <c r="EL92" s="75">
        <f t="array" ref="EL92">SUM((YEAR(Gastos!$A$2:$A$2500)=EL$1)*(MONTH(Gastos!$A$2:$A$2500)=EL$3)*(Gastos!$B$2:$B$2500=$A92)*(Gastos!$D$2:$D$2500))</f>
        <v>0</v>
      </c>
      <c r="EM92" s="75">
        <f t="array" ref="EM92">SUM((YEAR(Gastos!$A$2:$A$2500)=EM$1)*(MONTH(Gastos!$A$2:$A$2500)=EM$3)*(Gastos!$B$2:$B$2500=$A92)*(Gastos!$D$2:$D$2500))</f>
        <v>0</v>
      </c>
      <c r="EN92" s="75">
        <f t="array" ref="EN92">SUM((YEAR(Gastos!$A$2:$A$2500)=EN$1)*(MONTH(Gastos!$A$2:$A$2500)=EN$3)*(Gastos!$B$2:$B$2500=$A92)*(Gastos!$D$2:$D$2500))</f>
        <v>0</v>
      </c>
      <c r="EO92" s="75">
        <f t="array" ref="EO92">SUM((YEAR(Gastos!$A$2:$A$2500)=EO$1)*(MONTH(Gastos!$A$2:$A$2500)=EO$3)*(Gastos!$B$2:$B$2500=$A92)*(Gastos!$D$2:$D$2500))</f>
        <v>0</v>
      </c>
      <c r="EP92" s="75">
        <f t="array" ref="EP92">SUM((YEAR(Gastos!$A$2:$A$2500)=EP$1)*(MONTH(Gastos!$A$2:$A$2500)=EP$3)*(Gastos!$B$2:$B$2500=$A92)*(Gastos!$D$2:$D$2500))</f>
        <v>0</v>
      </c>
      <c r="EQ92" s="75">
        <f t="array" ref="EQ92">SUM((YEAR(Gastos!$A$2:$A$2500)=EQ$1)*(MONTH(Gastos!$A$2:$A$2500)=EQ$3)*(Gastos!$B$2:$B$2500=$A92)*(Gastos!$D$2:$D$2500))</f>
        <v>0</v>
      </c>
      <c r="ER92" s="75">
        <f t="array" ref="ER92">SUM((YEAR(Gastos!$A$2:$A$2500)=ER$1)*(MONTH(Gastos!$A$2:$A$2500)=ER$3)*(Gastos!$B$2:$B$2500=$A92)*(Gastos!$D$2:$D$2500))</f>
        <v>0</v>
      </c>
      <c r="ES92" s="75">
        <f t="array" ref="ES92">SUM((YEAR(Gastos!$A$2:$A$2500)=ES$1)*(MONTH(Gastos!$A$2:$A$2500)=ES$3)*(Gastos!$B$2:$B$2500=$A92)*(Gastos!$D$2:$D$2500))</f>
        <v>0</v>
      </c>
      <c r="ET92" s="75">
        <f t="array" ref="ET92">SUM((YEAR(Gastos!$A$2:$A$2500)=ET$1)*(MONTH(Gastos!$A$2:$A$2500)=ET$3)*(Gastos!$B$2:$B$2500=$A92)*(Gastos!$D$2:$D$2500))</f>
        <v>0</v>
      </c>
      <c r="EU92" s="75">
        <f t="array" ref="EU92">SUM((YEAR(Gastos!$A$2:$A$2500)=EU$1)*(MONTH(Gastos!$A$2:$A$2500)=EU$3)*(Gastos!$B$2:$B$2500=$A92)*(Gastos!$D$2:$D$2500))</f>
        <v>0</v>
      </c>
      <c r="EV92" s="75">
        <f t="array" ref="EV92">SUM((YEAR(Gastos!$A$2:$A$2500)=EV$1)*(MONTH(Gastos!$A$2:$A$2500)=EV$3)*(Gastos!$B$2:$B$2500=$A92)*(Gastos!$D$2:$D$2500))</f>
        <v>0</v>
      </c>
      <c r="EW92" s="75">
        <f t="array" ref="EW92">SUM((YEAR(Gastos!$A$2:$A$2500)=EW$1)*(MONTH(Gastos!$A$2:$A$2500)=EW$3)*(Gastos!$B$2:$B$2500=$A92)*(Gastos!$D$2:$D$2500))</f>
        <v>0</v>
      </c>
      <c r="EX92" s="75">
        <f t="array" ref="EX92">SUM((YEAR(Gastos!$A$2:$A$2500)=EX$1)*(MONTH(Gastos!$A$2:$A$2500)=EX$3)*(Gastos!$B$2:$B$2500=$A92)*(Gastos!$D$2:$D$2500))</f>
        <v>0</v>
      </c>
      <c r="EY92" s="75">
        <f t="array" ref="EY92">SUM((YEAR(Gastos!$A$2:$A$2500)=EY$1)*(MONTH(Gastos!$A$2:$A$2500)=EY$3)*(Gastos!$B$2:$B$2500=$A92)*(Gastos!$D$2:$D$2500))</f>
        <v>0</v>
      </c>
      <c r="EZ92" s="75">
        <f t="array" ref="EZ92">SUM((YEAR(Gastos!$A$2:$A$2500)=EZ$1)*(MONTH(Gastos!$A$2:$A$2500)=EZ$3)*(Gastos!$B$2:$B$2500=$A92)*(Gastos!$D$2:$D$2500))</f>
        <v>0</v>
      </c>
      <c r="FA92" s="75">
        <f t="array" ref="FA92">SUM((YEAR(Gastos!$A$2:$A$2500)=FA$1)*(MONTH(Gastos!$A$2:$A$2500)=FA$3)*(Gastos!$B$2:$B$2500=$A92)*(Gastos!$D$2:$D$2500))</f>
        <v>0</v>
      </c>
      <c r="FB92" s="75">
        <f t="array" ref="FB92">SUM((YEAR(Gastos!$A$2:$A$2500)=FB$1)*(MONTH(Gastos!$A$2:$A$2500)=FB$3)*(Gastos!$B$2:$B$2500=$A92)*(Gastos!$D$2:$D$2500))</f>
        <v>0</v>
      </c>
      <c r="FC92" s="75">
        <f t="array" ref="FC92">SUM((YEAR(Gastos!$A$2:$A$2500)=FC$1)*(MONTH(Gastos!$A$2:$A$2500)=FC$3)*(Gastos!$B$2:$B$2500=$A92)*(Gastos!$D$2:$D$2500))</f>
        <v>0</v>
      </c>
      <c r="FD92" s="75">
        <f t="array" ref="FD92">SUM((YEAR(Gastos!$A$2:$A$2500)=FD$1)*(MONTH(Gastos!$A$2:$A$2500)=FD$3)*(Gastos!$B$2:$B$2500=$A92)*(Gastos!$D$2:$D$2500))</f>
        <v>0</v>
      </c>
      <c r="FE92" s="75">
        <f t="array" ref="FE92">SUM((YEAR(Gastos!$A$2:$A$2500)=FE$1)*(MONTH(Gastos!$A$2:$A$2500)=FE$3)*(Gastos!$B$2:$B$2500=$A92)*(Gastos!$D$2:$D$2500))</f>
        <v>0</v>
      </c>
      <c r="FF92" s="75">
        <f t="array" ref="FF92">SUM((YEAR(Gastos!$A$2:$A$2500)=FF$1)*(MONTH(Gastos!$A$2:$A$2500)=FF$3)*(Gastos!$B$2:$B$2500=$A92)*(Gastos!$D$2:$D$2500))</f>
        <v>0</v>
      </c>
      <c r="FG92" s="75">
        <f t="array" ref="FG92">SUM((YEAR(Gastos!$A$2:$A$2500)=FG$1)*(MONTH(Gastos!$A$2:$A$2500)=FG$3)*(Gastos!$B$2:$B$2500=$A92)*(Gastos!$D$2:$D$2500))</f>
        <v>0</v>
      </c>
      <c r="FH92" s="75">
        <f t="array" ref="FH92">SUM((YEAR(Gastos!$A$2:$A$2500)=FH$1)*(MONTH(Gastos!$A$2:$A$2500)=FH$3)*(Gastos!$B$2:$B$2500=$A92)*(Gastos!$D$2:$D$2500))</f>
        <v>0</v>
      </c>
      <c r="FI92" s="75">
        <f t="array" ref="FI92">SUM((YEAR(Gastos!$A$2:$A$2500)=FI$1)*(MONTH(Gastos!$A$2:$A$2500)=FI$3)*(Gastos!$B$2:$B$2500=$A92)*(Gastos!$D$2:$D$2500))</f>
        <v>0</v>
      </c>
      <c r="FJ92" s="75">
        <f t="array" ref="FJ92">SUM((YEAR(Gastos!$A$2:$A$2500)=FJ$1)*(MONTH(Gastos!$A$2:$A$2500)=FJ$3)*(Gastos!$B$2:$B$2500=$A92)*(Gastos!$D$2:$D$2500))</f>
        <v>0</v>
      </c>
      <c r="FK92" s="75">
        <f t="array" ref="FK92">SUM((YEAR(Gastos!$A$2:$A$2500)=FK$1)*(MONTH(Gastos!$A$2:$A$2500)=FK$3)*(Gastos!$B$2:$B$2500=$A92)*(Gastos!$D$2:$D$2500))</f>
        <v>0</v>
      </c>
      <c r="FL92" s="75">
        <f t="array" ref="FL92">SUM((YEAR(Gastos!$A$2:$A$2500)=FL$1)*(MONTH(Gastos!$A$2:$A$2500)=FL$3)*(Gastos!$B$2:$B$2500=$A92)*(Gastos!$D$2:$D$2500))</f>
        <v>0</v>
      </c>
      <c r="FM92" s="75">
        <f t="array" ref="FM92">SUM((YEAR(Gastos!$A$2:$A$2500)=FM$1)*(MONTH(Gastos!$A$2:$A$2500)=FM$3)*(Gastos!$B$2:$B$2500=$A92)*(Gastos!$D$2:$D$2500))</f>
        <v>0</v>
      </c>
      <c r="FN92" s="75">
        <f t="array" ref="FN92">SUM((YEAR(Gastos!$A$2:$A$2500)=FN$1)*(MONTH(Gastos!$A$2:$A$2500)=FN$3)*(Gastos!$B$2:$B$2500=$A92)*(Gastos!$D$2:$D$2500))</f>
        <v>0</v>
      </c>
      <c r="FO92" s="75">
        <f t="array" ref="FO92">SUM((YEAR(Gastos!$A$2:$A$2500)=FO$1)*(MONTH(Gastos!$A$2:$A$2500)=FO$3)*(Gastos!$B$2:$B$2500=$A92)*(Gastos!$D$2:$D$2500))</f>
        <v>0</v>
      </c>
      <c r="FP92" s="75">
        <f t="array" ref="FP92">SUM((YEAR(Gastos!$A$2:$A$2500)=FP$1)*(MONTH(Gastos!$A$2:$A$2500)=FP$3)*(Gastos!$B$2:$B$2500=$A92)*(Gastos!$D$2:$D$2500))</f>
        <v>0</v>
      </c>
      <c r="FQ92" s="75">
        <f t="array" ref="FQ92">SUM((YEAR(Gastos!$A$2:$A$2500)=FQ$1)*(MONTH(Gastos!$A$2:$A$2500)=FQ$3)*(Gastos!$B$2:$B$2500=$A92)*(Gastos!$D$2:$D$2500))</f>
        <v>0</v>
      </c>
      <c r="FR92" s="75">
        <f t="array" ref="FR92">SUM((YEAR(Gastos!$A$2:$A$2500)=FR$1)*(MONTH(Gastos!$A$2:$A$2500)=FR$3)*(Gastos!$B$2:$B$2500=$A92)*(Gastos!$D$2:$D$2500))</f>
        <v>0</v>
      </c>
      <c r="FS92" s="75">
        <f t="array" ref="FS92">SUM((YEAR(Gastos!$A$2:$A$2500)=FS$1)*(MONTH(Gastos!$A$2:$A$2500)=FS$3)*(Gastos!$B$2:$B$2500=$A92)*(Gastos!$D$2:$D$2500))</f>
        <v>0</v>
      </c>
      <c r="FT92" s="75">
        <f t="array" ref="FT92">SUM((YEAR(Gastos!$A$2:$A$2500)=FT$1)*(MONTH(Gastos!$A$2:$A$2500)=FT$3)*(Gastos!$B$2:$B$2500=$A92)*(Gastos!$D$2:$D$2500))</f>
        <v>0</v>
      </c>
      <c r="FU92" s="75">
        <f t="array" ref="FU92">SUM((YEAR(Gastos!$A$2:$A$2500)=FU$1)*(MONTH(Gastos!$A$2:$A$2500)=FU$3)*(Gastos!$B$2:$B$2500=$A92)*(Gastos!$D$2:$D$2500))</f>
        <v>0</v>
      </c>
      <c r="FV92" s="75">
        <f t="array" ref="FV92">SUM((YEAR(Gastos!$A$2:$A$2500)=FV$1)*(MONTH(Gastos!$A$2:$A$2500)=FV$3)*(Gastos!$B$2:$B$2500=$A92)*(Gastos!$D$2:$D$2500))</f>
        <v>0</v>
      </c>
      <c r="FW92" s="75">
        <f t="array" ref="FW92">SUM((YEAR(Gastos!$A$2:$A$2500)=FW$1)*(MONTH(Gastos!$A$2:$A$2500)=FW$3)*(Gastos!$B$2:$B$2500=$A92)*(Gastos!$D$2:$D$2500))</f>
        <v>0</v>
      </c>
      <c r="FX92" s="75">
        <f t="array" ref="FX92">SUM((YEAR(Gastos!$A$2:$A$2500)=FX$1)*(MONTH(Gastos!$A$2:$A$2500)=FX$3)*(Gastos!$B$2:$B$2500=$A92)*(Gastos!$D$2:$D$2500))</f>
        <v>0</v>
      </c>
      <c r="FY92" s="75">
        <f t="array" ref="FY92">SUM((YEAR(Gastos!$A$2:$A$2500)=FY$1)*(MONTH(Gastos!$A$2:$A$2500)=FY$3)*(Gastos!$B$2:$B$2500=$A92)*(Gastos!$D$2:$D$2500))</f>
        <v>0</v>
      </c>
      <c r="FZ92" s="76">
        <f t="shared" si="68"/>
        <v>0</v>
      </c>
      <c r="GA92" s="80"/>
      <c r="GB92" s="82"/>
    </row>
    <row r="93" spans="1:184" ht="15" thickBot="1" x14ac:dyDescent="0.4">
      <c r="A93" s="74" t="str">
        <f>Gastos!AA91</f>
        <v>V. DEPOSITOS A CUENTA ***3693</v>
      </c>
      <c r="B93" s="75">
        <f t="array" ref="B93">SUM((YEAR(Gastos!$A$2:$A$2500)=B$1)*(MONTH(Gastos!$A$2:$A$2500)=B$3)*(Gastos!$B$2:$B$2500=$A93)*(Gastos!$D$2:$D$2500))</f>
        <v>0</v>
      </c>
      <c r="C93" s="75">
        <f t="array" ref="C93">SUM((YEAR(Gastos!$A$2:$A$2500)=C$1)*(MONTH(Gastos!$A$2:$A$2500)=C$3)*(Gastos!$B$2:$B$2500=$A93)*(Gastos!$D$2:$D$2500))</f>
        <v>0</v>
      </c>
      <c r="D93" s="75">
        <f t="array" ref="D93">SUM((YEAR(Gastos!$A$2:$A$2500)=D$1)*(MONTH(Gastos!$A$2:$A$2500)=D$3)*(Gastos!$B$2:$B$2500=$A93)*(Gastos!$D$2:$D$2500))</f>
        <v>0</v>
      </c>
      <c r="E93" s="75">
        <f t="array" ref="E93">SUM((YEAR(Gastos!$A$2:$A$2500)=E$1)*(MONTH(Gastos!$A$2:$A$2500)=E$3)*(Gastos!$B$2:$B$2500=$A93)*(Gastos!$D$2:$D$2500))</f>
        <v>0</v>
      </c>
      <c r="F93" s="75">
        <f t="array" ref="F93">SUM((YEAR(Gastos!$A$2:$A$2500)=F$1)*(MONTH(Gastos!$A$2:$A$2500)=F$3)*(Gastos!$B$2:$B$2500=$A93)*(Gastos!$D$2:$D$2500))</f>
        <v>0</v>
      </c>
      <c r="G93" s="75">
        <f t="array" ref="G93">SUM((YEAR(Gastos!$A$2:$A$2500)=G$1)*(MONTH(Gastos!$A$2:$A$2500)=G$3)*(Gastos!$B$2:$B$2500=$A93)*(Gastos!$D$2:$D$2500))</f>
        <v>0</v>
      </c>
      <c r="H93" s="75">
        <f t="array" ref="H93">SUM((YEAR(Gastos!$A$2:$A$2500)=H$1)*(MONTH(Gastos!$A$2:$A$2500)=H$3)*(Gastos!$B$2:$B$2500=$A93)*(Gastos!$D$2:$D$2500))</f>
        <v>0</v>
      </c>
      <c r="I93" s="75">
        <f t="array" ref="I93">SUM((YEAR(Gastos!$A$2:$A$2500)=I$1)*(MONTH(Gastos!$A$2:$A$2500)=I$3)*(Gastos!$B$2:$B$2500=$A93)*(Gastos!$D$2:$D$2500))</f>
        <v>0</v>
      </c>
      <c r="J93" s="75">
        <f t="array" ref="J93">SUM((YEAR(Gastos!$A$2:$A$2500)=J$1)*(MONTH(Gastos!$A$2:$A$2500)=J$3)*(Gastos!$B$2:$B$2500=$A93)*(Gastos!$D$2:$D$2500))</f>
        <v>0</v>
      </c>
      <c r="K93" s="75">
        <f t="array" ref="K93">SUM((YEAR(Gastos!$A$2:$A$2500)=K$1)*(MONTH(Gastos!$A$2:$A$2500)=K$3)*(Gastos!$B$2:$B$2500=$A93)*(Gastos!$D$2:$D$2500))</f>
        <v>0</v>
      </c>
      <c r="L93" s="75">
        <f t="array" ref="L93">SUM((YEAR(Gastos!$A$2:$A$2500)=L$1)*(MONTH(Gastos!$A$2:$A$2500)=L$3)*(Gastos!$B$2:$B$2500=$A93)*(Gastos!$D$2:$D$2500))</f>
        <v>0</v>
      </c>
      <c r="M93" s="75">
        <f t="array" ref="M93">SUM((YEAR(Gastos!$A$2:$A$2500)=M$1)*(MONTH(Gastos!$A$2:$A$2500)=M$3)*(Gastos!$B$2:$B$2500=$A93)*(Gastos!$D$2:$D$2500))</f>
        <v>0</v>
      </c>
      <c r="N93" s="75">
        <f t="array" ref="N93">SUM((YEAR(Gastos!$A$2:$A$2500)=N$1)*(MONTH(Gastos!$A$2:$A$2500)=N$3)*(Gastos!$B$2:$B$2500=$A93)*(Gastos!$D$2:$D$2500))</f>
        <v>0</v>
      </c>
      <c r="O93" s="75">
        <f t="array" ref="O93">SUM((YEAR(Gastos!$A$2:$A$2500)=O$1)*(MONTH(Gastos!$A$2:$A$2500)=O$3)*(Gastos!$B$2:$B$2500=$A93)*(Gastos!$D$2:$D$2500))</f>
        <v>0</v>
      </c>
      <c r="P93" s="75">
        <f t="array" ref="P93">SUM((YEAR(Gastos!$A$2:$A$2500)=P$1)*(MONTH(Gastos!$A$2:$A$2500)=P$3)*(Gastos!$B$2:$B$2500=$A93)*(Gastos!$D$2:$D$2500))</f>
        <v>0</v>
      </c>
      <c r="Q93" s="75">
        <f t="array" ref="Q93">SUM((YEAR(Gastos!$A$2:$A$2500)=Q$1)*(MONTH(Gastos!$A$2:$A$2500)=Q$3)*(Gastos!$B$2:$B$2500=$A93)*(Gastos!$D$2:$D$2500))</f>
        <v>0</v>
      </c>
      <c r="R93" s="75">
        <f t="array" ref="R93">SUM((YEAR(Gastos!$A$2:$A$2500)=R$1)*(MONTH(Gastos!$A$2:$A$2500)=R$3)*(Gastos!$B$2:$B$2500=$A93)*(Gastos!$D$2:$D$2500))</f>
        <v>1691.19</v>
      </c>
      <c r="S93" s="75">
        <f t="array" ref="S93">SUM((YEAR(Gastos!$A$2:$A$2500)=S$1)*(MONTH(Gastos!$A$2:$A$2500)=S$3)*(Gastos!$B$2:$B$2500=$A93)*(Gastos!$D$2:$D$2500))</f>
        <v>0</v>
      </c>
      <c r="T93" s="75">
        <f t="array" ref="T93">SUM((YEAR(Gastos!$A$2:$A$2500)=T$1)*(MONTH(Gastos!$A$2:$A$2500)=T$3)*(Gastos!$B$2:$B$2500=$A93)*(Gastos!$D$2:$D$2500))</f>
        <v>0</v>
      </c>
      <c r="U93" s="75">
        <f t="array" ref="U93">SUM((YEAR(Gastos!$A$2:$A$2500)=U$1)*(MONTH(Gastos!$A$2:$A$2500)=U$3)*(Gastos!$B$2:$B$2500=$A93)*(Gastos!$D$2:$D$2500))</f>
        <v>0</v>
      </c>
      <c r="V93" s="75">
        <f t="array" ref="V93">SUM((YEAR(Gastos!$A$2:$A$2500)=V$1)*(MONTH(Gastos!$A$2:$A$2500)=V$3)*(Gastos!$B$2:$B$2500=$A93)*(Gastos!$D$2:$D$2500))</f>
        <v>0</v>
      </c>
      <c r="W93" s="75">
        <f t="array" ref="W93">SUM((YEAR(Gastos!$A$2:$A$2500)=W$1)*(MONTH(Gastos!$A$2:$A$2500)=W$3)*(Gastos!$B$2:$B$2500=$A93)*(Gastos!$D$2:$D$2500))</f>
        <v>0</v>
      </c>
      <c r="X93" s="75">
        <f t="array" ref="X93">SUM((YEAR(Gastos!$A$2:$A$2500)=X$1)*(MONTH(Gastos!$A$2:$A$2500)=X$3)*(Gastos!$B$2:$B$2500=$A93)*(Gastos!$D$2:$D$2500))</f>
        <v>0</v>
      </c>
      <c r="Y93" s="75">
        <f t="array" ref="Y93">SUM((YEAR(Gastos!$A$2:$A$2500)=Y$1)*(MONTH(Gastos!$A$2:$A$2500)=Y$3)*(Gastos!$B$2:$B$2500=$A93)*(Gastos!$D$2:$D$2500))</f>
        <v>0</v>
      </c>
      <c r="Z93" s="75">
        <f t="array" ref="Z93">SUM((YEAR(Gastos!$A$2:$A$2500)=Z$1)*(MONTH(Gastos!$A$2:$A$2500)=Z$3)*(Gastos!$B$2:$B$2500=$A93)*(Gastos!$D$2:$D$2500))</f>
        <v>0</v>
      </c>
      <c r="AA93" s="75">
        <f t="array" ref="AA93">SUM((YEAR(Gastos!$A$2:$A$2500)=AA$1)*(MONTH(Gastos!$A$2:$A$2500)=AA$3)*(Gastos!$B$2:$B$2500=$A93)*(Gastos!$D$2:$D$2500))</f>
        <v>0</v>
      </c>
      <c r="AB93" s="75">
        <f t="array" ref="AB93">SUM((YEAR(Gastos!$A$2:$A$2500)=AB$1)*(MONTH(Gastos!$A$2:$A$2500)=AB$3)*(Gastos!$B$2:$B$2500=$A93)*(Gastos!$D$2:$D$2500))</f>
        <v>0</v>
      </c>
      <c r="AC93" s="75">
        <f t="array" ref="AC93">SUM((YEAR(Gastos!$A$2:$A$2500)=AC$1)*(MONTH(Gastos!$A$2:$A$2500)=AC$3)*(Gastos!$B$2:$B$2500=$A93)*(Gastos!$D$2:$D$2500))</f>
        <v>0</v>
      </c>
      <c r="AD93" s="75">
        <f t="array" ref="AD93">SUM((YEAR(Gastos!$A$2:$A$2500)=AD$1)*(MONTH(Gastos!$A$2:$A$2500)=AD$3)*(Gastos!$B$2:$B$2500=$A93)*(Gastos!$D$2:$D$2500))</f>
        <v>0</v>
      </c>
      <c r="AE93" s="75">
        <f t="array" ref="AE93">SUM((YEAR(Gastos!$A$2:$A$2500)=AE$1)*(MONTH(Gastos!$A$2:$A$2500)=AE$3)*(Gastos!$B$2:$B$2500=$A93)*(Gastos!$D$2:$D$2500))</f>
        <v>0</v>
      </c>
      <c r="AF93" s="75">
        <f t="array" ref="AF93">SUM((YEAR(Gastos!$A$2:$A$2500)=AF$1)*(MONTH(Gastos!$A$2:$A$2500)=AF$3)*(Gastos!$B$2:$B$2500=$A93)*(Gastos!$D$2:$D$2500))</f>
        <v>0</v>
      </c>
      <c r="AG93" s="75">
        <f t="array" ref="AG93">SUM((YEAR(Gastos!$A$2:$A$2500)=AG$1)*(MONTH(Gastos!$A$2:$A$2500)=AG$3)*(Gastos!$B$2:$B$2500=$A93)*(Gastos!$D$2:$D$2500))</f>
        <v>0</v>
      </c>
      <c r="AH93" s="75">
        <f t="array" ref="AH93">SUM((YEAR(Gastos!$A$2:$A$2500)=AH$1)*(MONTH(Gastos!$A$2:$A$2500)=AH$3)*(Gastos!$B$2:$B$2500=$A93)*(Gastos!$D$2:$D$2500))</f>
        <v>0</v>
      </c>
      <c r="AI93" s="75">
        <f t="array" ref="AI93">SUM((YEAR(Gastos!$A$2:$A$2500)=AI$1)*(MONTH(Gastos!$A$2:$A$2500)=AI$3)*(Gastos!$B$2:$B$2500=$A93)*(Gastos!$D$2:$D$2500))</f>
        <v>0</v>
      </c>
      <c r="AJ93" s="75">
        <f t="array" ref="AJ93">SUM((YEAR(Gastos!$A$2:$A$2500)=AJ$1)*(MONTH(Gastos!$A$2:$A$2500)=AJ$3)*(Gastos!$B$2:$B$2500=$A93)*(Gastos!$D$2:$D$2500))</f>
        <v>0</v>
      </c>
      <c r="AK93" s="75">
        <f t="array" ref="AK93">SUM((YEAR(Gastos!$A$2:$A$2500)=AK$1)*(MONTH(Gastos!$A$2:$A$2500)=AK$3)*(Gastos!$B$2:$B$2500=$A93)*(Gastos!$D$2:$D$2500))</f>
        <v>0</v>
      </c>
      <c r="AL93" s="75">
        <f t="array" ref="AL93">SUM((YEAR(Gastos!$A$2:$A$2500)=AL$1)*(MONTH(Gastos!$A$2:$A$2500)=AL$3)*(Gastos!$B$2:$B$2500=$A93)*(Gastos!$D$2:$D$2500))</f>
        <v>0</v>
      </c>
      <c r="AM93" s="75">
        <f t="array" ref="AM93">SUM((YEAR(Gastos!$A$2:$A$2500)=AM$1)*(MONTH(Gastos!$A$2:$A$2500)=AM$3)*(Gastos!$B$2:$B$2500=$A93)*(Gastos!$D$2:$D$2500))</f>
        <v>0</v>
      </c>
      <c r="AN93" s="75">
        <f t="array" ref="AN93">SUM((YEAR(Gastos!$A$2:$A$2500)=AN$1)*(MONTH(Gastos!$A$2:$A$2500)=AN$3)*(Gastos!$B$2:$B$2500=$A93)*(Gastos!$D$2:$D$2500))</f>
        <v>0</v>
      </c>
      <c r="AO93" s="75">
        <f t="array" ref="AO93">SUM((YEAR(Gastos!$A$2:$A$2500)=AO$1)*(MONTH(Gastos!$A$2:$A$2500)=AO$3)*(Gastos!$B$2:$B$2500=$A93)*(Gastos!$D$2:$D$2500))</f>
        <v>0</v>
      </c>
      <c r="AP93" s="75">
        <f t="array" ref="AP93">SUM((YEAR(Gastos!$A$2:$A$2500)=AP$1)*(MONTH(Gastos!$A$2:$A$2500)=AP$3)*(Gastos!$B$2:$B$2500=$A93)*(Gastos!$D$2:$D$2500))</f>
        <v>0</v>
      </c>
      <c r="AQ93" s="75">
        <f t="array" ref="AQ93">SUM((YEAR(Gastos!$A$2:$A$2500)=AQ$1)*(MONTH(Gastos!$A$2:$A$2500)=AQ$3)*(Gastos!$B$2:$B$2500=$A93)*(Gastos!$D$2:$D$2500))</f>
        <v>0</v>
      </c>
      <c r="AR93" s="75">
        <f t="array" ref="AR93">SUM((YEAR(Gastos!$A$2:$A$2500)=AR$1)*(MONTH(Gastos!$A$2:$A$2500)=AR$3)*(Gastos!$B$2:$B$2500=$A93)*(Gastos!$D$2:$D$2500))</f>
        <v>0</v>
      </c>
      <c r="AS93" s="75">
        <f t="array" ref="AS93">SUM((YEAR(Gastos!$A$2:$A$2500)=AS$1)*(MONTH(Gastos!$A$2:$A$2500)=AS$3)*(Gastos!$B$2:$B$2500=$A93)*(Gastos!$D$2:$D$2500))</f>
        <v>0</v>
      </c>
      <c r="AT93" s="75">
        <f t="array" ref="AT93">SUM((YEAR(Gastos!$A$2:$A$2500)=AT$1)*(MONTH(Gastos!$A$2:$A$2500)=AT$3)*(Gastos!$B$2:$B$2500=$A93)*(Gastos!$D$2:$D$2500))</f>
        <v>0</v>
      </c>
      <c r="AU93" s="75">
        <f t="array" ref="AU93">SUM((YEAR(Gastos!$A$2:$A$2500)=AU$1)*(MONTH(Gastos!$A$2:$A$2500)=AU$3)*(Gastos!$B$2:$B$2500=$A93)*(Gastos!$D$2:$D$2500))</f>
        <v>0</v>
      </c>
      <c r="AV93" s="75">
        <f t="array" ref="AV93">SUM((YEAR(Gastos!$A$2:$A$2500)=AV$1)*(MONTH(Gastos!$A$2:$A$2500)=AV$3)*(Gastos!$B$2:$B$2500=$A93)*(Gastos!$D$2:$D$2500))</f>
        <v>0</v>
      </c>
      <c r="AW93" s="75">
        <f t="array" ref="AW93">SUM((YEAR(Gastos!$A$2:$A$2500)=AW$1)*(MONTH(Gastos!$A$2:$A$2500)=AW$3)*(Gastos!$B$2:$B$2500=$A93)*(Gastos!$D$2:$D$2500))</f>
        <v>0</v>
      </c>
      <c r="AX93" s="75">
        <f t="array" ref="AX93">SUM((YEAR(Gastos!$A$2:$A$2500)=AX$1)*(MONTH(Gastos!$A$2:$A$2500)=AX$3)*(Gastos!$B$2:$B$2500=$A93)*(Gastos!$D$2:$D$2500))</f>
        <v>0</v>
      </c>
      <c r="AY93" s="75">
        <f t="array" ref="AY93">SUM((YEAR(Gastos!$A$2:$A$2500)=AY$1)*(MONTH(Gastos!$A$2:$A$2500)=AY$3)*(Gastos!$B$2:$B$2500=$A93)*(Gastos!$D$2:$D$2500))</f>
        <v>0</v>
      </c>
      <c r="AZ93" s="75">
        <f t="array" ref="AZ93">SUM((YEAR(Gastos!$A$2:$A$2500)=AZ$1)*(MONTH(Gastos!$A$2:$A$2500)=AZ$3)*(Gastos!$B$2:$B$2500=$A93)*(Gastos!$D$2:$D$2500))</f>
        <v>0</v>
      </c>
      <c r="BA93" s="75">
        <f t="array" ref="BA93">SUM((YEAR(Gastos!$A$2:$A$2500)=BA$1)*(MONTH(Gastos!$A$2:$A$2500)=BA$3)*(Gastos!$B$2:$B$2500=$A93)*(Gastos!$D$2:$D$2500))</f>
        <v>0</v>
      </c>
      <c r="BB93" s="75">
        <f t="array" ref="BB93">SUM((YEAR(Gastos!$A$2:$A$2500)=BB$1)*(MONTH(Gastos!$A$2:$A$2500)=BB$3)*(Gastos!$B$2:$B$2500=$A93)*(Gastos!$D$2:$D$2500))</f>
        <v>0</v>
      </c>
      <c r="BC93" s="75">
        <f t="array" ref="BC93">SUM((YEAR(Gastos!$A$2:$A$2500)=BC$1)*(MONTH(Gastos!$A$2:$A$2500)=BC$3)*(Gastos!$B$2:$B$2500=$A93)*(Gastos!$D$2:$D$2500))</f>
        <v>0</v>
      </c>
      <c r="BD93" s="75">
        <f t="array" ref="BD93">SUM((YEAR(Gastos!$A$2:$A$2500)=BD$1)*(MONTH(Gastos!$A$2:$A$2500)=BD$3)*(Gastos!$B$2:$B$2500=$A93)*(Gastos!$D$2:$D$2500))</f>
        <v>0</v>
      </c>
      <c r="BE93" s="75">
        <f t="array" ref="BE93">SUM((YEAR(Gastos!$A$2:$A$2500)=BE$1)*(MONTH(Gastos!$A$2:$A$2500)=BE$3)*(Gastos!$B$2:$B$2500=$A93)*(Gastos!$D$2:$D$2500))</f>
        <v>0</v>
      </c>
      <c r="BF93" s="75">
        <f t="array" ref="BF93">SUM((YEAR(Gastos!$A$2:$A$2500)=BF$1)*(MONTH(Gastos!$A$2:$A$2500)=BF$3)*(Gastos!$B$2:$B$2500=$A93)*(Gastos!$D$2:$D$2500))</f>
        <v>0</v>
      </c>
      <c r="BG93" s="75">
        <f t="array" ref="BG93">SUM((YEAR(Gastos!$A$2:$A$2500)=BG$1)*(MONTH(Gastos!$A$2:$A$2500)=BG$3)*(Gastos!$B$2:$B$2500=$A93)*(Gastos!$D$2:$D$2500))</f>
        <v>0</v>
      </c>
      <c r="BH93" s="75">
        <f t="array" ref="BH93">SUM((YEAR(Gastos!$A$2:$A$2500)=BH$1)*(MONTH(Gastos!$A$2:$A$2500)=BH$3)*(Gastos!$B$2:$B$2500=$A93)*(Gastos!$D$2:$D$2500))</f>
        <v>0</v>
      </c>
      <c r="BI93" s="75">
        <f t="array" ref="BI93">SUM((YEAR(Gastos!$A$2:$A$2500)=BI$1)*(MONTH(Gastos!$A$2:$A$2500)=BI$3)*(Gastos!$B$2:$B$2500=$A93)*(Gastos!$D$2:$D$2500))</f>
        <v>0</v>
      </c>
      <c r="BJ93" s="75">
        <f t="array" ref="BJ93">SUM((YEAR(Gastos!$A$2:$A$2500)=BJ$1)*(MONTH(Gastos!$A$2:$A$2500)=BJ$3)*(Gastos!$B$2:$B$2500=$A93)*(Gastos!$D$2:$D$2500))</f>
        <v>0</v>
      </c>
      <c r="BK93" s="75">
        <f t="array" ref="BK93">SUM((YEAR(Gastos!$A$2:$A$2500)=BK$1)*(MONTH(Gastos!$A$2:$A$2500)=BK$3)*(Gastos!$B$2:$B$2500=$A93)*(Gastos!$D$2:$D$2500))</f>
        <v>0</v>
      </c>
      <c r="BL93" s="75">
        <f t="array" ref="BL93">SUM((YEAR(Gastos!$A$2:$A$2500)=BL$1)*(MONTH(Gastos!$A$2:$A$2500)=BL$3)*(Gastos!$B$2:$B$2500=$A93)*(Gastos!$D$2:$D$2500))</f>
        <v>0</v>
      </c>
      <c r="BM93" s="75">
        <f t="array" ref="BM93">SUM((YEAR(Gastos!$A$2:$A$2500)=BM$1)*(MONTH(Gastos!$A$2:$A$2500)=BM$3)*(Gastos!$B$2:$B$2500=$A93)*(Gastos!$D$2:$D$2500))</f>
        <v>0</v>
      </c>
      <c r="BN93" s="75">
        <f t="array" ref="BN93">SUM((YEAR(Gastos!$A$2:$A$2500)=BN$1)*(MONTH(Gastos!$A$2:$A$2500)=BN$3)*(Gastos!$B$2:$B$2500=$A93)*(Gastos!$D$2:$D$2500))</f>
        <v>0</v>
      </c>
      <c r="BO93" s="75">
        <f t="array" ref="BO93">SUM((YEAR(Gastos!$A$2:$A$2500)=BO$1)*(MONTH(Gastos!$A$2:$A$2500)=BO$3)*(Gastos!$B$2:$B$2500=$A93)*(Gastos!$D$2:$D$2500))</f>
        <v>0</v>
      </c>
      <c r="BP93" s="75">
        <f t="array" ref="BP93">SUM((YEAR(Gastos!$A$2:$A$2500)=BP$1)*(MONTH(Gastos!$A$2:$A$2500)=BP$3)*(Gastos!$B$2:$B$2500=$A93)*(Gastos!$D$2:$D$2500))</f>
        <v>0</v>
      </c>
      <c r="BQ93" s="75">
        <f t="array" ref="BQ93">SUM((YEAR(Gastos!$A$2:$A$2500)=BQ$1)*(MONTH(Gastos!$A$2:$A$2500)=BQ$3)*(Gastos!$B$2:$B$2500=$A93)*(Gastos!$D$2:$D$2500))</f>
        <v>0</v>
      </c>
      <c r="BR93" s="75">
        <f t="array" ref="BR93">SUM((YEAR(Gastos!$A$2:$A$2500)=BR$1)*(MONTH(Gastos!$A$2:$A$2500)=BR$3)*(Gastos!$B$2:$B$2500=$A93)*(Gastos!$D$2:$D$2500))</f>
        <v>0</v>
      </c>
      <c r="BS93" s="75">
        <f t="array" ref="BS93">SUM((YEAR(Gastos!$A$2:$A$2500)=BS$1)*(MONTH(Gastos!$A$2:$A$2500)=BS$3)*(Gastos!$B$2:$B$2500=$A93)*(Gastos!$D$2:$D$2500))</f>
        <v>0</v>
      </c>
      <c r="BT93" s="75">
        <f t="array" ref="BT93">SUM((YEAR(Gastos!$A$2:$A$2500)=BT$1)*(MONTH(Gastos!$A$2:$A$2500)=BT$3)*(Gastos!$B$2:$B$2500=$A93)*(Gastos!$D$2:$D$2500))</f>
        <v>0</v>
      </c>
      <c r="BU93" s="75">
        <f t="array" ref="BU93">SUM((YEAR(Gastos!$A$2:$A$2500)=BU$1)*(MONTH(Gastos!$A$2:$A$2500)=BU$3)*(Gastos!$B$2:$B$2500=$A93)*(Gastos!$D$2:$D$2500))</f>
        <v>0</v>
      </c>
      <c r="BV93" s="75">
        <f t="array" ref="BV93">SUM((YEAR(Gastos!$A$2:$A$2500)=BV$1)*(MONTH(Gastos!$A$2:$A$2500)=BV$3)*(Gastos!$B$2:$B$2500=$A93)*(Gastos!$D$2:$D$2500))</f>
        <v>0</v>
      </c>
      <c r="BW93" s="75">
        <f t="array" ref="BW93">SUM((YEAR(Gastos!$A$2:$A$2500)=BW$1)*(MONTH(Gastos!$A$2:$A$2500)=BW$3)*(Gastos!$B$2:$B$2500=$A93)*(Gastos!$D$2:$D$2500))</f>
        <v>0</v>
      </c>
      <c r="BX93" s="75">
        <f t="array" ref="BX93">SUM((YEAR(Gastos!$A$2:$A$2500)=BX$1)*(MONTH(Gastos!$A$2:$A$2500)=BX$3)*(Gastos!$B$2:$B$2500=$A93)*(Gastos!$D$2:$D$2500))</f>
        <v>0</v>
      </c>
      <c r="BY93" s="75">
        <f t="array" ref="BY93">SUM((YEAR(Gastos!$A$2:$A$2500)=BY$1)*(MONTH(Gastos!$A$2:$A$2500)=BY$3)*(Gastos!$B$2:$B$2500=$A93)*(Gastos!$D$2:$D$2500))</f>
        <v>0</v>
      </c>
      <c r="BZ93" s="75">
        <f t="array" ref="BZ93">SUM((YEAR(Gastos!$A$2:$A$2500)=BZ$1)*(MONTH(Gastos!$A$2:$A$2500)=BZ$3)*(Gastos!$B$2:$B$2500=$A93)*(Gastos!$D$2:$D$2500))</f>
        <v>0</v>
      </c>
      <c r="CA93" s="75">
        <f t="array" ref="CA93">SUM((YEAR(Gastos!$A$2:$A$2500)=CA$1)*(MONTH(Gastos!$A$2:$A$2500)=CA$3)*(Gastos!$B$2:$B$2500=$A93)*(Gastos!$D$2:$D$2500))</f>
        <v>0</v>
      </c>
      <c r="CB93" s="75">
        <f t="array" ref="CB93">SUM((YEAR(Gastos!$A$2:$A$2500)=CB$1)*(MONTH(Gastos!$A$2:$A$2500)=CB$3)*(Gastos!$B$2:$B$2500=$A93)*(Gastos!$D$2:$D$2500))</f>
        <v>0</v>
      </c>
      <c r="CC93" s="75">
        <f t="array" ref="CC93">SUM((YEAR(Gastos!$A$2:$A$2500)=CC$1)*(MONTH(Gastos!$A$2:$A$2500)=CC$3)*(Gastos!$B$2:$B$2500=$A93)*(Gastos!$D$2:$D$2500))</f>
        <v>0</v>
      </c>
      <c r="CD93" s="75">
        <f t="array" ref="CD93">SUM((YEAR(Gastos!$A$2:$A$2500)=CD$1)*(MONTH(Gastos!$A$2:$A$2500)=CD$3)*(Gastos!$B$2:$B$2500=$A93)*(Gastos!$D$2:$D$2500))</f>
        <v>0</v>
      </c>
      <c r="CE93" s="75">
        <f t="array" ref="CE93">SUM((YEAR(Gastos!$A$2:$A$2500)=CE$1)*(MONTH(Gastos!$A$2:$A$2500)=CE$3)*(Gastos!$B$2:$B$2500=$A93)*(Gastos!$D$2:$D$2500))</f>
        <v>0</v>
      </c>
      <c r="CF93" s="75">
        <f t="array" ref="CF93">SUM((YEAR(Gastos!$A$2:$A$2500)=CF$1)*(MONTH(Gastos!$A$2:$A$2500)=CF$3)*(Gastos!$B$2:$B$2500=$A93)*(Gastos!$D$2:$D$2500))</f>
        <v>0</v>
      </c>
      <c r="CG93" s="75">
        <f t="array" ref="CG93">SUM((YEAR(Gastos!$A$2:$A$2500)=CG$1)*(MONTH(Gastos!$A$2:$A$2500)=CG$3)*(Gastos!$B$2:$B$2500=$A93)*(Gastos!$D$2:$D$2500))</f>
        <v>0</v>
      </c>
      <c r="CH93" s="75">
        <f t="array" ref="CH93">SUM((YEAR(Gastos!$A$2:$A$2500)=CH$1)*(MONTH(Gastos!$A$2:$A$2500)=CH$3)*(Gastos!$B$2:$B$2500=$A93)*(Gastos!$D$2:$D$2500))</f>
        <v>0</v>
      </c>
      <c r="CI93" s="75">
        <f t="array" ref="CI93">SUM((YEAR(Gastos!$A$2:$A$2500)=CI$1)*(MONTH(Gastos!$A$2:$A$2500)=CI$3)*(Gastos!$B$2:$B$2500=$A93)*(Gastos!$D$2:$D$2500))</f>
        <v>0</v>
      </c>
      <c r="CJ93" s="75">
        <f t="array" ref="CJ93">SUM((YEAR(Gastos!$A$2:$A$2500)=CJ$1)*(MONTH(Gastos!$A$2:$A$2500)=CJ$3)*(Gastos!$B$2:$B$2500=$A93)*(Gastos!$D$2:$D$2500))</f>
        <v>0</v>
      </c>
      <c r="CK93" s="75">
        <f t="array" ref="CK93">SUM((YEAR(Gastos!$A$2:$A$2500)=CK$1)*(MONTH(Gastos!$A$2:$A$2500)=CK$3)*(Gastos!$B$2:$B$2500=$A93)*(Gastos!$D$2:$D$2500))</f>
        <v>0</v>
      </c>
      <c r="CL93" s="75">
        <f t="array" ref="CL93">SUM((YEAR(Gastos!$A$2:$A$2500)=CL$1)*(MONTH(Gastos!$A$2:$A$2500)=CL$3)*(Gastos!$B$2:$B$2500=$A93)*(Gastos!$D$2:$D$2500))</f>
        <v>0</v>
      </c>
      <c r="CM93" s="75">
        <f t="array" ref="CM93">SUM((YEAR(Gastos!$A$2:$A$2500)=CM$1)*(MONTH(Gastos!$A$2:$A$2500)=CM$3)*(Gastos!$B$2:$B$2500=$A93)*(Gastos!$D$2:$D$2500))</f>
        <v>0</v>
      </c>
      <c r="CN93" s="75">
        <f t="array" ref="CN93">SUM((YEAR(Gastos!$A$2:$A$2500)=CN$1)*(MONTH(Gastos!$A$2:$A$2500)=CN$3)*(Gastos!$B$2:$B$2500=$A93)*(Gastos!$D$2:$D$2500))</f>
        <v>0</v>
      </c>
      <c r="CO93" s="75">
        <f t="array" ref="CO93">SUM((YEAR(Gastos!$A$2:$A$2500)=CO$1)*(MONTH(Gastos!$A$2:$A$2500)=CO$3)*(Gastos!$B$2:$B$2500=$A93)*(Gastos!$D$2:$D$2500))</f>
        <v>0</v>
      </c>
      <c r="CP93" s="75">
        <f t="array" ref="CP93">SUM((YEAR(Gastos!$A$2:$A$2500)=CP$1)*(MONTH(Gastos!$A$2:$A$2500)=CP$3)*(Gastos!$B$2:$B$2500=$A93)*(Gastos!$D$2:$D$2500))</f>
        <v>0</v>
      </c>
      <c r="CQ93" s="75">
        <f t="array" ref="CQ93">SUM((YEAR(Gastos!$A$2:$A$2500)=CQ$1)*(MONTH(Gastos!$A$2:$A$2500)=CQ$3)*(Gastos!$B$2:$B$2500=$A93)*(Gastos!$D$2:$D$2500))</f>
        <v>0</v>
      </c>
      <c r="CR93" s="75">
        <f t="array" ref="CR93">SUM((YEAR(Gastos!$A$2:$A$2500)=CR$1)*(MONTH(Gastos!$A$2:$A$2500)=CR$3)*(Gastos!$B$2:$B$2500=$A93)*(Gastos!$D$2:$D$2500))</f>
        <v>0</v>
      </c>
      <c r="CS93" s="75">
        <f t="array" ref="CS93">SUM((YEAR(Gastos!$A$2:$A$2500)=CS$1)*(MONTH(Gastos!$A$2:$A$2500)=CS$3)*(Gastos!$B$2:$B$2500=$A93)*(Gastos!$D$2:$D$2500))</f>
        <v>0</v>
      </c>
      <c r="CT93" s="75">
        <f t="array" ref="CT93">SUM((YEAR(Gastos!$A$2:$A$2500)=CT$1)*(MONTH(Gastos!$A$2:$A$2500)=CT$3)*(Gastos!$B$2:$B$2500=$A93)*(Gastos!$D$2:$D$2500))</f>
        <v>0</v>
      </c>
      <c r="CU93" s="75">
        <f t="array" ref="CU93">SUM((YEAR(Gastos!$A$2:$A$2500)=CU$1)*(MONTH(Gastos!$A$2:$A$2500)=CU$3)*(Gastos!$B$2:$B$2500=$A93)*(Gastos!$D$2:$D$2500))</f>
        <v>0</v>
      </c>
      <c r="CV93" s="75">
        <f t="array" ref="CV93">SUM((YEAR(Gastos!$A$2:$A$2500)=CV$1)*(MONTH(Gastos!$A$2:$A$2500)=CV$3)*(Gastos!$B$2:$B$2500=$A93)*(Gastos!$D$2:$D$2500))</f>
        <v>0</v>
      </c>
      <c r="CW93" s="75">
        <f t="array" ref="CW93">SUM((YEAR(Gastos!$A$2:$A$2500)=CW$1)*(MONTH(Gastos!$A$2:$A$2500)=CW$3)*(Gastos!$B$2:$B$2500=$A93)*(Gastos!$D$2:$D$2500))</f>
        <v>0</v>
      </c>
      <c r="CX93" s="75">
        <f t="array" ref="CX93">SUM((YEAR(Gastos!$A$2:$A$2500)=CX$1)*(MONTH(Gastos!$A$2:$A$2500)=CX$3)*(Gastos!$B$2:$B$2500=$A93)*(Gastos!$D$2:$D$2500))</f>
        <v>0</v>
      </c>
      <c r="CY93" s="75">
        <f t="array" ref="CY93">SUM((YEAR(Gastos!$A$2:$A$2500)=CY$1)*(MONTH(Gastos!$A$2:$A$2500)=CY$3)*(Gastos!$B$2:$B$2500=$A93)*(Gastos!$D$2:$D$2500))</f>
        <v>0</v>
      </c>
      <c r="CZ93" s="75">
        <f t="array" ref="CZ93">SUM((YEAR(Gastos!$A$2:$A$2500)=CZ$1)*(MONTH(Gastos!$A$2:$A$2500)=CZ$3)*(Gastos!$B$2:$B$2500=$A93)*(Gastos!$D$2:$D$2500))</f>
        <v>0</v>
      </c>
      <c r="DA93" s="75">
        <f t="array" ref="DA93">SUM((YEAR(Gastos!$A$2:$A$2500)=DA$1)*(MONTH(Gastos!$A$2:$A$2500)=DA$3)*(Gastos!$B$2:$B$2500=$A93)*(Gastos!$D$2:$D$2500))</f>
        <v>0</v>
      </c>
      <c r="DB93" s="75">
        <f t="array" ref="DB93">SUM((YEAR(Gastos!$A$2:$A$2500)=DB$1)*(MONTH(Gastos!$A$2:$A$2500)=DB$3)*(Gastos!$B$2:$B$2500=$A93)*(Gastos!$D$2:$D$2500))</f>
        <v>0</v>
      </c>
      <c r="DC93" s="75">
        <f t="array" ref="DC93">SUM((YEAR(Gastos!$A$2:$A$2500)=DC$1)*(MONTH(Gastos!$A$2:$A$2500)=DC$3)*(Gastos!$B$2:$B$2500=$A93)*(Gastos!$D$2:$D$2500))</f>
        <v>0</v>
      </c>
      <c r="DD93" s="75">
        <f t="array" ref="DD93">SUM((YEAR(Gastos!$A$2:$A$2500)=DD$1)*(MONTH(Gastos!$A$2:$A$2500)=DD$3)*(Gastos!$B$2:$B$2500=$A93)*(Gastos!$D$2:$D$2500))</f>
        <v>0</v>
      </c>
      <c r="DE93" s="75">
        <f t="array" ref="DE93">SUM((YEAR(Gastos!$A$2:$A$2500)=DE$1)*(MONTH(Gastos!$A$2:$A$2500)=DE$3)*(Gastos!$B$2:$B$2500=$A93)*(Gastos!$D$2:$D$2500))</f>
        <v>0</v>
      </c>
      <c r="DF93" s="75">
        <f t="array" ref="DF93">SUM((YEAR(Gastos!$A$2:$A$2500)=DF$1)*(MONTH(Gastos!$A$2:$A$2500)=DF$3)*(Gastos!$B$2:$B$2500=$A93)*(Gastos!$D$2:$D$2500))</f>
        <v>0</v>
      </c>
      <c r="DG93" s="75">
        <f t="array" ref="DG93">SUM((YEAR(Gastos!$A$2:$A$2500)=DG$1)*(MONTH(Gastos!$A$2:$A$2500)=DG$3)*(Gastos!$B$2:$B$2500=$A93)*(Gastos!$D$2:$D$2500))</f>
        <v>0</v>
      </c>
      <c r="DH93" s="75">
        <f t="array" ref="DH93">SUM((YEAR(Gastos!$A$2:$A$2500)=DH$1)*(MONTH(Gastos!$A$2:$A$2500)=DH$3)*(Gastos!$B$2:$B$2500=$A93)*(Gastos!$D$2:$D$2500))</f>
        <v>0</v>
      </c>
      <c r="DI93" s="75">
        <f t="array" ref="DI93">SUM((YEAR(Gastos!$A$2:$A$2500)=DI$1)*(MONTH(Gastos!$A$2:$A$2500)=DI$3)*(Gastos!$B$2:$B$2500=$A93)*(Gastos!$D$2:$D$2500))</f>
        <v>0</v>
      </c>
      <c r="DJ93" s="75">
        <f t="array" ref="DJ93">SUM((YEAR(Gastos!$A$2:$A$2500)=DJ$1)*(MONTH(Gastos!$A$2:$A$2500)=DJ$3)*(Gastos!$B$2:$B$2500=$A93)*(Gastos!$D$2:$D$2500))</f>
        <v>0</v>
      </c>
      <c r="DK93" s="75">
        <f t="array" ref="DK93">SUM((YEAR(Gastos!$A$2:$A$2500)=DK$1)*(MONTH(Gastos!$A$2:$A$2500)=DK$3)*(Gastos!$B$2:$B$2500=$A93)*(Gastos!$D$2:$D$2500))</f>
        <v>0</v>
      </c>
      <c r="DL93" s="75">
        <f t="array" ref="DL93">SUM((YEAR(Gastos!$A$2:$A$2500)=DL$1)*(MONTH(Gastos!$A$2:$A$2500)=DL$3)*(Gastos!$B$2:$B$2500=$A93)*(Gastos!$D$2:$D$2500))</f>
        <v>0</v>
      </c>
      <c r="DM93" s="75">
        <f t="array" ref="DM93">SUM((YEAR(Gastos!$A$2:$A$2500)=DM$1)*(MONTH(Gastos!$A$2:$A$2500)=DM$3)*(Gastos!$B$2:$B$2500=$A93)*(Gastos!$D$2:$D$2500))</f>
        <v>0</v>
      </c>
      <c r="DN93" s="75">
        <f t="array" ref="DN93">SUM((YEAR(Gastos!$A$2:$A$2500)=DN$1)*(MONTH(Gastos!$A$2:$A$2500)=DN$3)*(Gastos!$B$2:$B$2500=$A93)*(Gastos!$D$2:$D$2500))</f>
        <v>0</v>
      </c>
      <c r="DO93" s="75">
        <f t="array" ref="DO93">SUM((YEAR(Gastos!$A$2:$A$2500)=DO$1)*(MONTH(Gastos!$A$2:$A$2500)=DO$3)*(Gastos!$B$2:$B$2500=$A93)*(Gastos!$D$2:$D$2500))</f>
        <v>0</v>
      </c>
      <c r="DP93" s="75">
        <f t="array" ref="DP93">SUM((YEAR(Gastos!$A$2:$A$2500)=DP$1)*(MONTH(Gastos!$A$2:$A$2500)=DP$3)*(Gastos!$B$2:$B$2500=$A93)*(Gastos!$D$2:$D$2500))</f>
        <v>0</v>
      </c>
      <c r="DQ93" s="75">
        <f t="array" ref="DQ93">SUM((YEAR(Gastos!$A$2:$A$2500)=DQ$1)*(MONTH(Gastos!$A$2:$A$2500)=DQ$3)*(Gastos!$B$2:$B$2500=$A93)*(Gastos!$D$2:$D$2500))</f>
        <v>0</v>
      </c>
      <c r="DR93" s="75">
        <f t="array" ref="DR93">SUM((YEAR(Gastos!$A$2:$A$2500)=DR$1)*(MONTH(Gastos!$A$2:$A$2500)=DR$3)*(Gastos!$B$2:$B$2500=$A93)*(Gastos!$D$2:$D$2500))</f>
        <v>0</v>
      </c>
      <c r="DS93" s="75">
        <f t="array" ref="DS93">SUM((YEAR(Gastos!$A$2:$A$2500)=DS$1)*(MONTH(Gastos!$A$2:$A$2500)=DS$3)*(Gastos!$B$2:$B$2500=$A93)*(Gastos!$D$2:$D$2500))</f>
        <v>0</v>
      </c>
      <c r="DT93" s="75">
        <f t="array" ref="DT93">SUM((YEAR(Gastos!$A$2:$A$2500)=DT$1)*(MONTH(Gastos!$A$2:$A$2500)=DT$3)*(Gastos!$B$2:$B$2500=$A93)*(Gastos!$D$2:$D$2500))</f>
        <v>0</v>
      </c>
      <c r="DU93" s="75">
        <f t="array" ref="DU93">SUM((YEAR(Gastos!$A$2:$A$2500)=DU$1)*(MONTH(Gastos!$A$2:$A$2500)=DU$3)*(Gastos!$B$2:$B$2500=$A93)*(Gastos!$D$2:$D$2500))</f>
        <v>0</v>
      </c>
      <c r="DV93" s="75">
        <f t="array" ref="DV93">SUM((YEAR(Gastos!$A$2:$A$2500)=DV$1)*(MONTH(Gastos!$A$2:$A$2500)=DV$3)*(Gastos!$B$2:$B$2500=$A93)*(Gastos!$D$2:$D$2500))</f>
        <v>0</v>
      </c>
      <c r="DW93" s="75">
        <f t="array" ref="DW93">SUM((YEAR(Gastos!$A$2:$A$2500)=DW$1)*(MONTH(Gastos!$A$2:$A$2500)=DW$3)*(Gastos!$B$2:$B$2500=$A93)*(Gastos!$D$2:$D$2500))</f>
        <v>0</v>
      </c>
      <c r="DX93" s="75">
        <f t="array" ref="DX93">SUM((YEAR(Gastos!$A$2:$A$2500)=DX$1)*(MONTH(Gastos!$A$2:$A$2500)=DX$3)*(Gastos!$B$2:$B$2500=$A93)*(Gastos!$D$2:$D$2500))</f>
        <v>0</v>
      </c>
      <c r="DY93" s="75">
        <f t="array" ref="DY93">SUM((YEAR(Gastos!$A$2:$A$2500)=DY$1)*(MONTH(Gastos!$A$2:$A$2500)=DY$3)*(Gastos!$B$2:$B$2500=$A93)*(Gastos!$D$2:$D$2500))</f>
        <v>0</v>
      </c>
      <c r="DZ93" s="75">
        <f t="array" ref="DZ93">SUM((YEAR(Gastos!$A$2:$A$2500)=DZ$1)*(MONTH(Gastos!$A$2:$A$2500)=DZ$3)*(Gastos!$B$2:$B$2500=$A93)*(Gastos!$D$2:$D$2500))</f>
        <v>0</v>
      </c>
      <c r="EA93" s="75">
        <f t="array" ref="EA93">SUM((YEAR(Gastos!$A$2:$A$2500)=EA$1)*(MONTH(Gastos!$A$2:$A$2500)=EA$3)*(Gastos!$B$2:$B$2500=$A93)*(Gastos!$D$2:$D$2500))</f>
        <v>0</v>
      </c>
      <c r="EB93" s="75">
        <f t="array" ref="EB93">SUM((YEAR(Gastos!$A$2:$A$2500)=EB$1)*(MONTH(Gastos!$A$2:$A$2500)=EB$3)*(Gastos!$B$2:$B$2500=$A93)*(Gastos!$D$2:$D$2500))</f>
        <v>0</v>
      </c>
      <c r="EC93" s="75">
        <f t="array" ref="EC93">SUM((YEAR(Gastos!$A$2:$A$2500)=EC$1)*(MONTH(Gastos!$A$2:$A$2500)=EC$3)*(Gastos!$B$2:$B$2500=$A93)*(Gastos!$D$2:$D$2500))</f>
        <v>0</v>
      </c>
      <c r="ED93" s="75">
        <f t="array" ref="ED93">SUM((YEAR(Gastos!$A$2:$A$2500)=ED$1)*(MONTH(Gastos!$A$2:$A$2500)=ED$3)*(Gastos!$B$2:$B$2500=$A93)*(Gastos!$D$2:$D$2500))</f>
        <v>0</v>
      </c>
      <c r="EE93" s="75">
        <f t="array" ref="EE93">SUM((YEAR(Gastos!$A$2:$A$2500)=EE$1)*(MONTH(Gastos!$A$2:$A$2500)=EE$3)*(Gastos!$B$2:$B$2500=$A93)*(Gastos!$D$2:$D$2500))</f>
        <v>0</v>
      </c>
      <c r="EF93" s="75">
        <f t="array" ref="EF93">SUM((YEAR(Gastos!$A$2:$A$2500)=EF$1)*(MONTH(Gastos!$A$2:$A$2500)=EF$3)*(Gastos!$B$2:$B$2500=$A93)*(Gastos!$D$2:$D$2500))</f>
        <v>0</v>
      </c>
      <c r="EG93" s="75">
        <f t="array" ref="EG93">SUM((YEAR(Gastos!$A$2:$A$2500)=EG$1)*(MONTH(Gastos!$A$2:$A$2500)=EG$3)*(Gastos!$B$2:$B$2500=$A93)*(Gastos!$D$2:$D$2500))</f>
        <v>0</v>
      </c>
      <c r="EH93" s="75">
        <f t="array" ref="EH93">SUM((YEAR(Gastos!$A$2:$A$2500)=EH$1)*(MONTH(Gastos!$A$2:$A$2500)=EH$3)*(Gastos!$B$2:$B$2500=$A93)*(Gastos!$D$2:$D$2500))</f>
        <v>0</v>
      </c>
      <c r="EI93" s="75">
        <f t="array" ref="EI93">SUM((YEAR(Gastos!$A$2:$A$2500)=EI$1)*(MONTH(Gastos!$A$2:$A$2500)=EI$3)*(Gastos!$B$2:$B$2500=$A93)*(Gastos!$D$2:$D$2500))</f>
        <v>0</v>
      </c>
      <c r="EJ93" s="75">
        <f t="array" ref="EJ93">SUM((YEAR(Gastos!$A$2:$A$2500)=EJ$1)*(MONTH(Gastos!$A$2:$A$2500)=EJ$3)*(Gastos!$B$2:$B$2500=$A93)*(Gastos!$D$2:$D$2500))</f>
        <v>0</v>
      </c>
      <c r="EK93" s="75">
        <f t="array" ref="EK93">SUM((YEAR(Gastos!$A$2:$A$2500)=EK$1)*(MONTH(Gastos!$A$2:$A$2500)=EK$3)*(Gastos!$B$2:$B$2500=$A93)*(Gastos!$D$2:$D$2500))</f>
        <v>0</v>
      </c>
      <c r="EL93" s="75">
        <f t="array" ref="EL93">SUM((YEAR(Gastos!$A$2:$A$2500)=EL$1)*(MONTH(Gastos!$A$2:$A$2500)=EL$3)*(Gastos!$B$2:$B$2500=$A93)*(Gastos!$D$2:$D$2500))</f>
        <v>0</v>
      </c>
      <c r="EM93" s="75">
        <f t="array" ref="EM93">SUM((YEAR(Gastos!$A$2:$A$2500)=EM$1)*(MONTH(Gastos!$A$2:$A$2500)=EM$3)*(Gastos!$B$2:$B$2500=$A93)*(Gastos!$D$2:$D$2500))</f>
        <v>0</v>
      </c>
      <c r="EN93" s="75">
        <f t="array" ref="EN93">SUM((YEAR(Gastos!$A$2:$A$2500)=EN$1)*(MONTH(Gastos!$A$2:$A$2500)=EN$3)*(Gastos!$B$2:$B$2500=$A93)*(Gastos!$D$2:$D$2500))</f>
        <v>0</v>
      </c>
      <c r="EO93" s="75">
        <f t="array" ref="EO93">SUM((YEAR(Gastos!$A$2:$A$2500)=EO$1)*(MONTH(Gastos!$A$2:$A$2500)=EO$3)*(Gastos!$B$2:$B$2500=$A93)*(Gastos!$D$2:$D$2500))</f>
        <v>0</v>
      </c>
      <c r="EP93" s="75">
        <f t="array" ref="EP93">SUM((YEAR(Gastos!$A$2:$A$2500)=EP$1)*(MONTH(Gastos!$A$2:$A$2500)=EP$3)*(Gastos!$B$2:$B$2500=$A93)*(Gastos!$D$2:$D$2500))</f>
        <v>0</v>
      </c>
      <c r="EQ93" s="75">
        <f t="array" ref="EQ93">SUM((YEAR(Gastos!$A$2:$A$2500)=EQ$1)*(MONTH(Gastos!$A$2:$A$2500)=EQ$3)*(Gastos!$B$2:$B$2500=$A93)*(Gastos!$D$2:$D$2500))</f>
        <v>0</v>
      </c>
      <c r="ER93" s="75">
        <f t="array" ref="ER93">SUM((YEAR(Gastos!$A$2:$A$2500)=ER$1)*(MONTH(Gastos!$A$2:$A$2500)=ER$3)*(Gastos!$B$2:$B$2500=$A93)*(Gastos!$D$2:$D$2500))</f>
        <v>0</v>
      </c>
      <c r="ES93" s="75">
        <f t="array" ref="ES93">SUM((YEAR(Gastos!$A$2:$A$2500)=ES$1)*(MONTH(Gastos!$A$2:$A$2500)=ES$3)*(Gastos!$B$2:$B$2500=$A93)*(Gastos!$D$2:$D$2500))</f>
        <v>0</v>
      </c>
      <c r="ET93" s="75">
        <f t="array" ref="ET93">SUM((YEAR(Gastos!$A$2:$A$2500)=ET$1)*(MONTH(Gastos!$A$2:$A$2500)=ET$3)*(Gastos!$B$2:$B$2500=$A93)*(Gastos!$D$2:$D$2500))</f>
        <v>0</v>
      </c>
      <c r="EU93" s="75">
        <f t="array" ref="EU93">SUM((YEAR(Gastos!$A$2:$A$2500)=EU$1)*(MONTH(Gastos!$A$2:$A$2500)=EU$3)*(Gastos!$B$2:$B$2500=$A93)*(Gastos!$D$2:$D$2500))</f>
        <v>0</v>
      </c>
      <c r="EV93" s="75">
        <f t="array" ref="EV93">SUM((YEAR(Gastos!$A$2:$A$2500)=EV$1)*(MONTH(Gastos!$A$2:$A$2500)=EV$3)*(Gastos!$B$2:$B$2500=$A93)*(Gastos!$D$2:$D$2500))</f>
        <v>0</v>
      </c>
      <c r="EW93" s="75">
        <f t="array" ref="EW93">SUM((YEAR(Gastos!$A$2:$A$2500)=EW$1)*(MONTH(Gastos!$A$2:$A$2500)=EW$3)*(Gastos!$B$2:$B$2500=$A93)*(Gastos!$D$2:$D$2500))</f>
        <v>0</v>
      </c>
      <c r="EX93" s="75">
        <f t="array" ref="EX93">SUM((YEAR(Gastos!$A$2:$A$2500)=EX$1)*(MONTH(Gastos!$A$2:$A$2500)=EX$3)*(Gastos!$B$2:$B$2500=$A93)*(Gastos!$D$2:$D$2500))</f>
        <v>0</v>
      </c>
      <c r="EY93" s="75">
        <f t="array" ref="EY93">SUM((YEAR(Gastos!$A$2:$A$2500)=EY$1)*(MONTH(Gastos!$A$2:$A$2500)=EY$3)*(Gastos!$B$2:$B$2500=$A93)*(Gastos!$D$2:$D$2500))</f>
        <v>0</v>
      </c>
      <c r="EZ93" s="75">
        <f t="array" ref="EZ93">SUM((YEAR(Gastos!$A$2:$A$2500)=EZ$1)*(MONTH(Gastos!$A$2:$A$2500)=EZ$3)*(Gastos!$B$2:$B$2500=$A93)*(Gastos!$D$2:$D$2500))</f>
        <v>0</v>
      </c>
      <c r="FA93" s="75">
        <f t="array" ref="FA93">SUM((YEAR(Gastos!$A$2:$A$2500)=FA$1)*(MONTH(Gastos!$A$2:$A$2500)=FA$3)*(Gastos!$B$2:$B$2500=$A93)*(Gastos!$D$2:$D$2500))</f>
        <v>0</v>
      </c>
      <c r="FB93" s="75">
        <f t="array" ref="FB93">SUM((YEAR(Gastos!$A$2:$A$2500)=FB$1)*(MONTH(Gastos!$A$2:$A$2500)=FB$3)*(Gastos!$B$2:$B$2500=$A93)*(Gastos!$D$2:$D$2500))</f>
        <v>0</v>
      </c>
      <c r="FC93" s="75">
        <f t="array" ref="FC93">SUM((YEAR(Gastos!$A$2:$A$2500)=FC$1)*(MONTH(Gastos!$A$2:$A$2500)=FC$3)*(Gastos!$B$2:$B$2500=$A93)*(Gastos!$D$2:$D$2500))</f>
        <v>0</v>
      </c>
      <c r="FD93" s="75">
        <f t="array" ref="FD93">SUM((YEAR(Gastos!$A$2:$A$2500)=FD$1)*(MONTH(Gastos!$A$2:$A$2500)=FD$3)*(Gastos!$B$2:$B$2500=$A93)*(Gastos!$D$2:$D$2500))</f>
        <v>0</v>
      </c>
      <c r="FE93" s="75">
        <f t="array" ref="FE93">SUM((YEAR(Gastos!$A$2:$A$2500)=FE$1)*(MONTH(Gastos!$A$2:$A$2500)=FE$3)*(Gastos!$B$2:$B$2500=$A93)*(Gastos!$D$2:$D$2500))</f>
        <v>0</v>
      </c>
      <c r="FF93" s="75">
        <f t="array" ref="FF93">SUM((YEAR(Gastos!$A$2:$A$2500)=FF$1)*(MONTH(Gastos!$A$2:$A$2500)=FF$3)*(Gastos!$B$2:$B$2500=$A93)*(Gastos!$D$2:$D$2500))</f>
        <v>0</v>
      </c>
      <c r="FG93" s="75">
        <f t="array" ref="FG93">SUM((YEAR(Gastos!$A$2:$A$2500)=FG$1)*(MONTH(Gastos!$A$2:$A$2500)=FG$3)*(Gastos!$B$2:$B$2500=$A93)*(Gastos!$D$2:$D$2500))</f>
        <v>0</v>
      </c>
      <c r="FH93" s="75">
        <f t="array" ref="FH93">SUM((YEAR(Gastos!$A$2:$A$2500)=FH$1)*(MONTH(Gastos!$A$2:$A$2500)=FH$3)*(Gastos!$B$2:$B$2500=$A93)*(Gastos!$D$2:$D$2500))</f>
        <v>0</v>
      </c>
      <c r="FI93" s="75">
        <f t="array" ref="FI93">SUM((YEAR(Gastos!$A$2:$A$2500)=FI$1)*(MONTH(Gastos!$A$2:$A$2500)=FI$3)*(Gastos!$B$2:$B$2500=$A93)*(Gastos!$D$2:$D$2500))</f>
        <v>0</v>
      </c>
      <c r="FJ93" s="75">
        <f t="array" ref="FJ93">SUM((YEAR(Gastos!$A$2:$A$2500)=FJ$1)*(MONTH(Gastos!$A$2:$A$2500)=FJ$3)*(Gastos!$B$2:$B$2500=$A93)*(Gastos!$D$2:$D$2500))</f>
        <v>0</v>
      </c>
      <c r="FK93" s="75">
        <f t="array" ref="FK93">SUM((YEAR(Gastos!$A$2:$A$2500)=FK$1)*(MONTH(Gastos!$A$2:$A$2500)=FK$3)*(Gastos!$B$2:$B$2500=$A93)*(Gastos!$D$2:$D$2500))</f>
        <v>0</v>
      </c>
      <c r="FL93" s="75">
        <f t="array" ref="FL93">SUM((YEAR(Gastos!$A$2:$A$2500)=FL$1)*(MONTH(Gastos!$A$2:$A$2500)=FL$3)*(Gastos!$B$2:$B$2500=$A93)*(Gastos!$D$2:$D$2500))</f>
        <v>0</v>
      </c>
      <c r="FM93" s="75">
        <f t="array" ref="FM93">SUM((YEAR(Gastos!$A$2:$A$2500)=FM$1)*(MONTH(Gastos!$A$2:$A$2500)=FM$3)*(Gastos!$B$2:$B$2500=$A93)*(Gastos!$D$2:$D$2500))</f>
        <v>0</v>
      </c>
      <c r="FN93" s="75">
        <f t="array" ref="FN93">SUM((YEAR(Gastos!$A$2:$A$2500)=FN$1)*(MONTH(Gastos!$A$2:$A$2500)=FN$3)*(Gastos!$B$2:$B$2500=$A93)*(Gastos!$D$2:$D$2500))</f>
        <v>0</v>
      </c>
      <c r="FO93" s="75">
        <f t="array" ref="FO93">SUM((YEAR(Gastos!$A$2:$A$2500)=FO$1)*(MONTH(Gastos!$A$2:$A$2500)=FO$3)*(Gastos!$B$2:$B$2500=$A93)*(Gastos!$D$2:$D$2500))</f>
        <v>0</v>
      </c>
      <c r="FP93" s="75">
        <f t="array" ref="FP93">SUM((YEAR(Gastos!$A$2:$A$2500)=FP$1)*(MONTH(Gastos!$A$2:$A$2500)=FP$3)*(Gastos!$B$2:$B$2500=$A93)*(Gastos!$D$2:$D$2500))</f>
        <v>0</v>
      </c>
      <c r="FQ93" s="75">
        <f t="array" ref="FQ93">SUM((YEAR(Gastos!$A$2:$A$2500)=FQ$1)*(MONTH(Gastos!$A$2:$A$2500)=FQ$3)*(Gastos!$B$2:$B$2500=$A93)*(Gastos!$D$2:$D$2500))</f>
        <v>0</v>
      </c>
      <c r="FR93" s="75">
        <f t="array" ref="FR93">SUM((YEAR(Gastos!$A$2:$A$2500)=FR$1)*(MONTH(Gastos!$A$2:$A$2500)=FR$3)*(Gastos!$B$2:$B$2500=$A93)*(Gastos!$D$2:$D$2500))</f>
        <v>0</v>
      </c>
      <c r="FS93" s="75">
        <f t="array" ref="FS93">SUM((YEAR(Gastos!$A$2:$A$2500)=FS$1)*(MONTH(Gastos!$A$2:$A$2500)=FS$3)*(Gastos!$B$2:$B$2500=$A93)*(Gastos!$D$2:$D$2500))</f>
        <v>0</v>
      </c>
      <c r="FT93" s="75">
        <f t="array" ref="FT93">SUM((YEAR(Gastos!$A$2:$A$2500)=FT$1)*(MONTH(Gastos!$A$2:$A$2500)=FT$3)*(Gastos!$B$2:$B$2500=$A93)*(Gastos!$D$2:$D$2500))</f>
        <v>0</v>
      </c>
      <c r="FU93" s="75">
        <f t="array" ref="FU93">SUM((YEAR(Gastos!$A$2:$A$2500)=FU$1)*(MONTH(Gastos!$A$2:$A$2500)=FU$3)*(Gastos!$B$2:$B$2500=$A93)*(Gastos!$D$2:$D$2500))</f>
        <v>0</v>
      </c>
      <c r="FV93" s="75">
        <f t="array" ref="FV93">SUM((YEAR(Gastos!$A$2:$A$2500)=FV$1)*(MONTH(Gastos!$A$2:$A$2500)=FV$3)*(Gastos!$B$2:$B$2500=$A93)*(Gastos!$D$2:$D$2500))</f>
        <v>0</v>
      </c>
      <c r="FW93" s="75">
        <f t="array" ref="FW93">SUM((YEAR(Gastos!$A$2:$A$2500)=FW$1)*(MONTH(Gastos!$A$2:$A$2500)=FW$3)*(Gastos!$B$2:$B$2500=$A93)*(Gastos!$D$2:$D$2500))</f>
        <v>0</v>
      </c>
      <c r="FX93" s="75">
        <f t="array" ref="FX93">SUM((YEAR(Gastos!$A$2:$A$2500)=FX$1)*(MONTH(Gastos!$A$2:$A$2500)=FX$3)*(Gastos!$B$2:$B$2500=$A93)*(Gastos!$D$2:$D$2500))</f>
        <v>0</v>
      </c>
      <c r="FY93" s="75">
        <f t="array" ref="FY93">SUM((YEAR(Gastos!$A$2:$A$2500)=FY$1)*(MONTH(Gastos!$A$2:$A$2500)=FY$3)*(Gastos!$B$2:$B$2500=$A93)*(Gastos!$D$2:$D$2500))</f>
        <v>0</v>
      </c>
      <c r="FZ93" s="76">
        <f t="shared" si="68"/>
        <v>1691.19</v>
      </c>
      <c r="GA93" s="80"/>
      <c r="GB93" s="82"/>
    </row>
    <row r="94" spans="1:184" ht="15" thickBot="1" x14ac:dyDescent="0.4">
      <c r="A94" s="74" t="str">
        <f>Gastos!AA92</f>
        <v>V. DEPOSITOS A CUENTA 0001517322 JENNIFER CABRERA</v>
      </c>
      <c r="B94" s="75">
        <f t="array" ref="B94">SUM((YEAR(Gastos!$A$2:$A$2500)=B$1)*(MONTH(Gastos!$A$2:$A$2500)=B$3)*(Gastos!$B$2:$B$2500=$A94)*(Gastos!$D$2:$D$2500))</f>
        <v>0</v>
      </c>
      <c r="C94" s="75">
        <f t="array" ref="C94">SUM((YEAR(Gastos!$A$2:$A$2500)=C$1)*(MONTH(Gastos!$A$2:$A$2500)=C$3)*(Gastos!$B$2:$B$2500=$A94)*(Gastos!$D$2:$D$2500))</f>
        <v>0</v>
      </c>
      <c r="D94" s="75">
        <f t="array" ref="D94">SUM((YEAR(Gastos!$A$2:$A$2500)=D$1)*(MONTH(Gastos!$A$2:$A$2500)=D$3)*(Gastos!$B$2:$B$2500=$A94)*(Gastos!$D$2:$D$2500))</f>
        <v>0</v>
      </c>
      <c r="E94" s="75">
        <f t="array" ref="E94">SUM((YEAR(Gastos!$A$2:$A$2500)=E$1)*(MONTH(Gastos!$A$2:$A$2500)=E$3)*(Gastos!$B$2:$B$2500=$A94)*(Gastos!$D$2:$D$2500))</f>
        <v>0</v>
      </c>
      <c r="F94" s="75">
        <f t="array" ref="F94">SUM((YEAR(Gastos!$A$2:$A$2500)=F$1)*(MONTH(Gastos!$A$2:$A$2500)=F$3)*(Gastos!$B$2:$B$2500=$A94)*(Gastos!$D$2:$D$2500))</f>
        <v>0</v>
      </c>
      <c r="G94" s="75">
        <f t="array" ref="G94">SUM((YEAR(Gastos!$A$2:$A$2500)=G$1)*(MONTH(Gastos!$A$2:$A$2500)=G$3)*(Gastos!$B$2:$B$2500=$A94)*(Gastos!$D$2:$D$2500))</f>
        <v>0</v>
      </c>
      <c r="H94" s="75">
        <f t="array" ref="H94">SUM((YEAR(Gastos!$A$2:$A$2500)=H$1)*(MONTH(Gastos!$A$2:$A$2500)=H$3)*(Gastos!$B$2:$B$2500=$A94)*(Gastos!$D$2:$D$2500))</f>
        <v>0</v>
      </c>
      <c r="I94" s="75">
        <f t="array" ref="I94">SUM((YEAR(Gastos!$A$2:$A$2500)=I$1)*(MONTH(Gastos!$A$2:$A$2500)=I$3)*(Gastos!$B$2:$B$2500=$A94)*(Gastos!$D$2:$D$2500))</f>
        <v>0</v>
      </c>
      <c r="J94" s="75">
        <f t="array" ref="J94">SUM((YEAR(Gastos!$A$2:$A$2500)=J$1)*(MONTH(Gastos!$A$2:$A$2500)=J$3)*(Gastos!$B$2:$B$2500=$A94)*(Gastos!$D$2:$D$2500))</f>
        <v>0</v>
      </c>
      <c r="K94" s="75">
        <f t="array" ref="K94">SUM((YEAR(Gastos!$A$2:$A$2500)=K$1)*(MONTH(Gastos!$A$2:$A$2500)=K$3)*(Gastos!$B$2:$B$2500=$A94)*(Gastos!$D$2:$D$2500))</f>
        <v>0</v>
      </c>
      <c r="L94" s="75">
        <f t="array" ref="L94">SUM((YEAR(Gastos!$A$2:$A$2500)=L$1)*(MONTH(Gastos!$A$2:$A$2500)=L$3)*(Gastos!$B$2:$B$2500=$A94)*(Gastos!$D$2:$D$2500))</f>
        <v>0</v>
      </c>
      <c r="M94" s="75">
        <f t="array" ref="M94">SUM((YEAR(Gastos!$A$2:$A$2500)=M$1)*(MONTH(Gastos!$A$2:$A$2500)=M$3)*(Gastos!$B$2:$B$2500=$A94)*(Gastos!$D$2:$D$2500))</f>
        <v>0</v>
      </c>
      <c r="N94" s="75">
        <f t="array" ref="N94">SUM((YEAR(Gastos!$A$2:$A$2500)=N$1)*(MONTH(Gastos!$A$2:$A$2500)=N$3)*(Gastos!$B$2:$B$2500=$A94)*(Gastos!$D$2:$D$2500))</f>
        <v>0</v>
      </c>
      <c r="O94" s="75">
        <f t="array" ref="O94">SUM((YEAR(Gastos!$A$2:$A$2500)=O$1)*(MONTH(Gastos!$A$2:$A$2500)=O$3)*(Gastos!$B$2:$B$2500=$A94)*(Gastos!$D$2:$D$2500))</f>
        <v>0</v>
      </c>
      <c r="P94" s="75">
        <f t="array" ref="P94">SUM((YEAR(Gastos!$A$2:$A$2500)=P$1)*(MONTH(Gastos!$A$2:$A$2500)=P$3)*(Gastos!$B$2:$B$2500=$A94)*(Gastos!$D$2:$D$2500))</f>
        <v>0</v>
      </c>
      <c r="Q94" s="75">
        <f t="array" ref="Q94">SUM((YEAR(Gastos!$A$2:$A$2500)=Q$1)*(MONTH(Gastos!$A$2:$A$2500)=Q$3)*(Gastos!$B$2:$B$2500=$A94)*(Gastos!$D$2:$D$2500))</f>
        <v>0</v>
      </c>
      <c r="R94" s="75">
        <f t="array" ref="R94">SUM((YEAR(Gastos!$A$2:$A$2500)=R$1)*(MONTH(Gastos!$A$2:$A$2500)=R$3)*(Gastos!$B$2:$B$2500=$A94)*(Gastos!$D$2:$D$2500))</f>
        <v>0</v>
      </c>
      <c r="S94" s="75">
        <f t="array" ref="S94">SUM((YEAR(Gastos!$A$2:$A$2500)=S$1)*(MONTH(Gastos!$A$2:$A$2500)=S$3)*(Gastos!$B$2:$B$2500=$A94)*(Gastos!$D$2:$D$2500))</f>
        <v>0</v>
      </c>
      <c r="T94" s="75">
        <f t="array" ref="T94">SUM((YEAR(Gastos!$A$2:$A$2500)=T$1)*(MONTH(Gastos!$A$2:$A$2500)=T$3)*(Gastos!$B$2:$B$2500=$A94)*(Gastos!$D$2:$D$2500))</f>
        <v>0</v>
      </c>
      <c r="U94" s="75">
        <f t="array" ref="U94">SUM((YEAR(Gastos!$A$2:$A$2500)=U$1)*(MONTH(Gastos!$A$2:$A$2500)=U$3)*(Gastos!$B$2:$B$2500=$A94)*(Gastos!$D$2:$D$2500))</f>
        <v>0</v>
      </c>
      <c r="V94" s="75">
        <f t="array" ref="V94">SUM((YEAR(Gastos!$A$2:$A$2500)=V$1)*(MONTH(Gastos!$A$2:$A$2500)=V$3)*(Gastos!$B$2:$B$2500=$A94)*(Gastos!$D$2:$D$2500))</f>
        <v>0</v>
      </c>
      <c r="W94" s="75">
        <f t="array" ref="W94">SUM((YEAR(Gastos!$A$2:$A$2500)=W$1)*(MONTH(Gastos!$A$2:$A$2500)=W$3)*(Gastos!$B$2:$B$2500=$A94)*(Gastos!$D$2:$D$2500))</f>
        <v>0</v>
      </c>
      <c r="X94" s="75">
        <f t="array" ref="X94">SUM((YEAR(Gastos!$A$2:$A$2500)=X$1)*(MONTH(Gastos!$A$2:$A$2500)=X$3)*(Gastos!$B$2:$B$2500=$A94)*(Gastos!$D$2:$D$2500))</f>
        <v>0</v>
      </c>
      <c r="Y94" s="75">
        <f t="array" ref="Y94">SUM((YEAR(Gastos!$A$2:$A$2500)=Y$1)*(MONTH(Gastos!$A$2:$A$2500)=Y$3)*(Gastos!$B$2:$B$2500=$A94)*(Gastos!$D$2:$D$2500))</f>
        <v>0</v>
      </c>
      <c r="Z94" s="75">
        <f t="array" ref="Z94">SUM((YEAR(Gastos!$A$2:$A$2500)=Z$1)*(MONTH(Gastos!$A$2:$A$2500)=Z$3)*(Gastos!$B$2:$B$2500=$A94)*(Gastos!$D$2:$D$2500))</f>
        <v>0</v>
      </c>
      <c r="AA94" s="75">
        <f t="array" ref="AA94">SUM((YEAR(Gastos!$A$2:$A$2500)=AA$1)*(MONTH(Gastos!$A$2:$A$2500)=AA$3)*(Gastos!$B$2:$B$2500=$A94)*(Gastos!$D$2:$D$2500))</f>
        <v>0</v>
      </c>
      <c r="AB94" s="75">
        <f t="array" ref="AB94">SUM((YEAR(Gastos!$A$2:$A$2500)=AB$1)*(MONTH(Gastos!$A$2:$A$2500)=AB$3)*(Gastos!$B$2:$B$2500=$A94)*(Gastos!$D$2:$D$2500))</f>
        <v>0</v>
      </c>
      <c r="AC94" s="75">
        <f t="array" ref="AC94">SUM((YEAR(Gastos!$A$2:$A$2500)=AC$1)*(MONTH(Gastos!$A$2:$A$2500)=AC$3)*(Gastos!$B$2:$B$2500=$A94)*(Gastos!$D$2:$D$2500))</f>
        <v>0</v>
      </c>
      <c r="AD94" s="75">
        <f t="array" ref="AD94">SUM((YEAR(Gastos!$A$2:$A$2500)=AD$1)*(MONTH(Gastos!$A$2:$A$2500)=AD$3)*(Gastos!$B$2:$B$2500=$A94)*(Gastos!$D$2:$D$2500))</f>
        <v>0</v>
      </c>
      <c r="AE94" s="75">
        <f t="array" ref="AE94">SUM((YEAR(Gastos!$A$2:$A$2500)=AE$1)*(MONTH(Gastos!$A$2:$A$2500)=AE$3)*(Gastos!$B$2:$B$2500=$A94)*(Gastos!$D$2:$D$2500))</f>
        <v>0</v>
      </c>
      <c r="AF94" s="75">
        <f t="array" ref="AF94">SUM((YEAR(Gastos!$A$2:$A$2500)=AF$1)*(MONTH(Gastos!$A$2:$A$2500)=AF$3)*(Gastos!$B$2:$B$2500=$A94)*(Gastos!$D$2:$D$2500))</f>
        <v>0</v>
      </c>
      <c r="AG94" s="75">
        <f t="array" ref="AG94">SUM((YEAR(Gastos!$A$2:$A$2500)=AG$1)*(MONTH(Gastos!$A$2:$A$2500)=AG$3)*(Gastos!$B$2:$B$2500=$A94)*(Gastos!$D$2:$D$2500))</f>
        <v>0</v>
      </c>
      <c r="AH94" s="75">
        <f t="array" ref="AH94">SUM((YEAR(Gastos!$A$2:$A$2500)=AH$1)*(MONTH(Gastos!$A$2:$A$2500)=AH$3)*(Gastos!$B$2:$B$2500=$A94)*(Gastos!$D$2:$D$2500))</f>
        <v>0</v>
      </c>
      <c r="AI94" s="75">
        <f t="array" ref="AI94">SUM((YEAR(Gastos!$A$2:$A$2500)=AI$1)*(MONTH(Gastos!$A$2:$A$2500)=AI$3)*(Gastos!$B$2:$B$2500=$A94)*(Gastos!$D$2:$D$2500))</f>
        <v>0</v>
      </c>
      <c r="AJ94" s="75">
        <f t="array" ref="AJ94">SUM((YEAR(Gastos!$A$2:$A$2500)=AJ$1)*(MONTH(Gastos!$A$2:$A$2500)=AJ$3)*(Gastos!$B$2:$B$2500=$A94)*(Gastos!$D$2:$D$2500))</f>
        <v>0</v>
      </c>
      <c r="AK94" s="75">
        <f t="array" ref="AK94">SUM((YEAR(Gastos!$A$2:$A$2500)=AK$1)*(MONTH(Gastos!$A$2:$A$2500)=AK$3)*(Gastos!$B$2:$B$2500=$A94)*(Gastos!$D$2:$D$2500))</f>
        <v>0</v>
      </c>
      <c r="AL94" s="75">
        <f t="array" ref="AL94">SUM((YEAR(Gastos!$A$2:$A$2500)=AL$1)*(MONTH(Gastos!$A$2:$A$2500)=AL$3)*(Gastos!$B$2:$B$2500=$A94)*(Gastos!$D$2:$D$2500))</f>
        <v>0</v>
      </c>
      <c r="AM94" s="75">
        <f t="array" ref="AM94">SUM((YEAR(Gastos!$A$2:$A$2500)=AM$1)*(MONTH(Gastos!$A$2:$A$2500)=AM$3)*(Gastos!$B$2:$B$2500=$A94)*(Gastos!$D$2:$D$2500))</f>
        <v>0</v>
      </c>
      <c r="AN94" s="75">
        <f t="array" ref="AN94">SUM((YEAR(Gastos!$A$2:$A$2500)=AN$1)*(MONTH(Gastos!$A$2:$A$2500)=AN$3)*(Gastos!$B$2:$B$2500=$A94)*(Gastos!$D$2:$D$2500))</f>
        <v>0</v>
      </c>
      <c r="AO94" s="75">
        <f t="array" ref="AO94">SUM((YEAR(Gastos!$A$2:$A$2500)=AO$1)*(MONTH(Gastos!$A$2:$A$2500)=AO$3)*(Gastos!$B$2:$B$2500=$A94)*(Gastos!$D$2:$D$2500))</f>
        <v>0</v>
      </c>
      <c r="AP94" s="75">
        <f t="array" ref="AP94">SUM((YEAR(Gastos!$A$2:$A$2500)=AP$1)*(MONTH(Gastos!$A$2:$A$2500)=AP$3)*(Gastos!$B$2:$B$2500=$A94)*(Gastos!$D$2:$D$2500))</f>
        <v>0</v>
      </c>
      <c r="AQ94" s="75">
        <f t="array" ref="AQ94">SUM((YEAR(Gastos!$A$2:$A$2500)=AQ$1)*(MONTH(Gastos!$A$2:$A$2500)=AQ$3)*(Gastos!$B$2:$B$2500=$A94)*(Gastos!$D$2:$D$2500))</f>
        <v>0</v>
      </c>
      <c r="AR94" s="75">
        <f t="array" ref="AR94">SUM((YEAR(Gastos!$A$2:$A$2500)=AR$1)*(MONTH(Gastos!$A$2:$A$2500)=AR$3)*(Gastos!$B$2:$B$2500=$A94)*(Gastos!$D$2:$D$2500))</f>
        <v>0</v>
      </c>
      <c r="AS94" s="75">
        <f t="array" ref="AS94">SUM((YEAR(Gastos!$A$2:$A$2500)=AS$1)*(MONTH(Gastos!$A$2:$A$2500)=AS$3)*(Gastos!$B$2:$B$2500=$A94)*(Gastos!$D$2:$D$2500))</f>
        <v>0</v>
      </c>
      <c r="AT94" s="75">
        <f t="array" ref="AT94">SUM((YEAR(Gastos!$A$2:$A$2500)=AT$1)*(MONTH(Gastos!$A$2:$A$2500)=AT$3)*(Gastos!$B$2:$B$2500=$A94)*(Gastos!$D$2:$D$2500))</f>
        <v>0</v>
      </c>
      <c r="AU94" s="75">
        <f t="array" ref="AU94">SUM((YEAR(Gastos!$A$2:$A$2500)=AU$1)*(MONTH(Gastos!$A$2:$A$2500)=AU$3)*(Gastos!$B$2:$B$2500=$A94)*(Gastos!$D$2:$D$2500))</f>
        <v>0</v>
      </c>
      <c r="AV94" s="75">
        <f t="array" ref="AV94">SUM((YEAR(Gastos!$A$2:$A$2500)=AV$1)*(MONTH(Gastos!$A$2:$A$2500)=AV$3)*(Gastos!$B$2:$B$2500=$A94)*(Gastos!$D$2:$D$2500))</f>
        <v>0</v>
      </c>
      <c r="AW94" s="75">
        <f t="array" ref="AW94">SUM((YEAR(Gastos!$A$2:$A$2500)=AW$1)*(MONTH(Gastos!$A$2:$A$2500)=AW$3)*(Gastos!$B$2:$B$2500=$A94)*(Gastos!$D$2:$D$2500))</f>
        <v>0</v>
      </c>
      <c r="AX94" s="75">
        <f t="array" ref="AX94">SUM((YEAR(Gastos!$A$2:$A$2500)=AX$1)*(MONTH(Gastos!$A$2:$A$2500)=AX$3)*(Gastos!$B$2:$B$2500=$A94)*(Gastos!$D$2:$D$2500))</f>
        <v>0</v>
      </c>
      <c r="AY94" s="75">
        <f t="array" ref="AY94">SUM((YEAR(Gastos!$A$2:$A$2500)=AY$1)*(MONTH(Gastos!$A$2:$A$2500)=AY$3)*(Gastos!$B$2:$B$2500=$A94)*(Gastos!$D$2:$D$2500))</f>
        <v>0</v>
      </c>
      <c r="AZ94" s="75">
        <f t="array" ref="AZ94">SUM((YEAR(Gastos!$A$2:$A$2500)=AZ$1)*(MONTH(Gastos!$A$2:$A$2500)=AZ$3)*(Gastos!$B$2:$B$2500=$A94)*(Gastos!$D$2:$D$2500))</f>
        <v>0</v>
      </c>
      <c r="BA94" s="75">
        <f t="array" ref="BA94">SUM((YEAR(Gastos!$A$2:$A$2500)=BA$1)*(MONTH(Gastos!$A$2:$A$2500)=BA$3)*(Gastos!$B$2:$B$2500=$A94)*(Gastos!$D$2:$D$2500))</f>
        <v>0</v>
      </c>
      <c r="BB94" s="75">
        <f t="array" ref="BB94">SUM((YEAR(Gastos!$A$2:$A$2500)=BB$1)*(MONTH(Gastos!$A$2:$A$2500)=BB$3)*(Gastos!$B$2:$B$2500=$A94)*(Gastos!$D$2:$D$2500))</f>
        <v>0</v>
      </c>
      <c r="BC94" s="75">
        <f t="array" ref="BC94">SUM((YEAR(Gastos!$A$2:$A$2500)=BC$1)*(MONTH(Gastos!$A$2:$A$2500)=BC$3)*(Gastos!$B$2:$B$2500=$A94)*(Gastos!$D$2:$D$2500))</f>
        <v>0</v>
      </c>
      <c r="BD94" s="75">
        <f t="array" ref="BD94">SUM((YEAR(Gastos!$A$2:$A$2500)=BD$1)*(MONTH(Gastos!$A$2:$A$2500)=BD$3)*(Gastos!$B$2:$B$2500=$A94)*(Gastos!$D$2:$D$2500))</f>
        <v>0</v>
      </c>
      <c r="BE94" s="75">
        <f t="array" ref="BE94">SUM((YEAR(Gastos!$A$2:$A$2500)=BE$1)*(MONTH(Gastos!$A$2:$A$2500)=BE$3)*(Gastos!$B$2:$B$2500=$A94)*(Gastos!$D$2:$D$2500))</f>
        <v>0</v>
      </c>
      <c r="BF94" s="75">
        <f t="array" ref="BF94">SUM((YEAR(Gastos!$A$2:$A$2500)=BF$1)*(MONTH(Gastos!$A$2:$A$2500)=BF$3)*(Gastos!$B$2:$B$2500=$A94)*(Gastos!$D$2:$D$2500))</f>
        <v>0</v>
      </c>
      <c r="BG94" s="75">
        <f t="array" ref="BG94">SUM((YEAR(Gastos!$A$2:$A$2500)=BG$1)*(MONTH(Gastos!$A$2:$A$2500)=BG$3)*(Gastos!$B$2:$B$2500=$A94)*(Gastos!$D$2:$D$2500))</f>
        <v>0</v>
      </c>
      <c r="BH94" s="75">
        <f t="array" ref="BH94">SUM((YEAR(Gastos!$A$2:$A$2500)=BH$1)*(MONTH(Gastos!$A$2:$A$2500)=BH$3)*(Gastos!$B$2:$B$2500=$A94)*(Gastos!$D$2:$D$2500))</f>
        <v>0</v>
      </c>
      <c r="BI94" s="75">
        <f t="array" ref="BI94">SUM((YEAR(Gastos!$A$2:$A$2500)=BI$1)*(MONTH(Gastos!$A$2:$A$2500)=BI$3)*(Gastos!$B$2:$B$2500=$A94)*(Gastos!$D$2:$D$2500))</f>
        <v>0</v>
      </c>
      <c r="BJ94" s="75">
        <f t="array" ref="BJ94">SUM((YEAR(Gastos!$A$2:$A$2500)=BJ$1)*(MONTH(Gastos!$A$2:$A$2500)=BJ$3)*(Gastos!$B$2:$B$2500=$A94)*(Gastos!$D$2:$D$2500))</f>
        <v>0</v>
      </c>
      <c r="BK94" s="75">
        <f t="array" ref="BK94">SUM((YEAR(Gastos!$A$2:$A$2500)=BK$1)*(MONTH(Gastos!$A$2:$A$2500)=BK$3)*(Gastos!$B$2:$B$2500=$A94)*(Gastos!$D$2:$D$2500))</f>
        <v>0</v>
      </c>
      <c r="BL94" s="75">
        <f t="array" ref="BL94">SUM((YEAR(Gastos!$A$2:$A$2500)=BL$1)*(MONTH(Gastos!$A$2:$A$2500)=BL$3)*(Gastos!$B$2:$B$2500=$A94)*(Gastos!$D$2:$D$2500))</f>
        <v>0</v>
      </c>
      <c r="BM94" s="75">
        <f t="array" ref="BM94">SUM((YEAR(Gastos!$A$2:$A$2500)=BM$1)*(MONTH(Gastos!$A$2:$A$2500)=BM$3)*(Gastos!$B$2:$B$2500=$A94)*(Gastos!$D$2:$D$2500))</f>
        <v>0</v>
      </c>
      <c r="BN94" s="75">
        <f t="array" ref="BN94">SUM((YEAR(Gastos!$A$2:$A$2500)=BN$1)*(MONTH(Gastos!$A$2:$A$2500)=BN$3)*(Gastos!$B$2:$B$2500=$A94)*(Gastos!$D$2:$D$2500))</f>
        <v>0</v>
      </c>
      <c r="BO94" s="75">
        <f t="array" ref="BO94">SUM((YEAR(Gastos!$A$2:$A$2500)=BO$1)*(MONTH(Gastos!$A$2:$A$2500)=BO$3)*(Gastos!$B$2:$B$2500=$A94)*(Gastos!$D$2:$D$2500))</f>
        <v>0</v>
      </c>
      <c r="BP94" s="75">
        <f t="array" ref="BP94">SUM((YEAR(Gastos!$A$2:$A$2500)=BP$1)*(MONTH(Gastos!$A$2:$A$2500)=BP$3)*(Gastos!$B$2:$B$2500=$A94)*(Gastos!$D$2:$D$2500))</f>
        <v>0</v>
      </c>
      <c r="BQ94" s="75">
        <f t="array" ref="BQ94">SUM((YEAR(Gastos!$A$2:$A$2500)=BQ$1)*(MONTH(Gastos!$A$2:$A$2500)=BQ$3)*(Gastos!$B$2:$B$2500=$A94)*(Gastos!$D$2:$D$2500))</f>
        <v>0</v>
      </c>
      <c r="BR94" s="75">
        <f t="array" ref="BR94">SUM((YEAR(Gastos!$A$2:$A$2500)=BR$1)*(MONTH(Gastos!$A$2:$A$2500)=BR$3)*(Gastos!$B$2:$B$2500=$A94)*(Gastos!$D$2:$D$2500))</f>
        <v>0</v>
      </c>
      <c r="BS94" s="75">
        <f t="array" ref="BS94">SUM((YEAR(Gastos!$A$2:$A$2500)=BS$1)*(MONTH(Gastos!$A$2:$A$2500)=BS$3)*(Gastos!$B$2:$B$2500=$A94)*(Gastos!$D$2:$D$2500))</f>
        <v>0</v>
      </c>
      <c r="BT94" s="75">
        <f t="array" ref="BT94">SUM((YEAR(Gastos!$A$2:$A$2500)=BT$1)*(MONTH(Gastos!$A$2:$A$2500)=BT$3)*(Gastos!$B$2:$B$2500=$A94)*(Gastos!$D$2:$D$2500))</f>
        <v>0</v>
      </c>
      <c r="BU94" s="75">
        <f t="array" ref="BU94">SUM((YEAR(Gastos!$A$2:$A$2500)=BU$1)*(MONTH(Gastos!$A$2:$A$2500)=BU$3)*(Gastos!$B$2:$B$2500=$A94)*(Gastos!$D$2:$D$2500))</f>
        <v>6000</v>
      </c>
      <c r="BV94" s="75">
        <f t="array" ref="BV94">SUM((YEAR(Gastos!$A$2:$A$2500)=BV$1)*(MONTH(Gastos!$A$2:$A$2500)=BV$3)*(Gastos!$B$2:$B$2500=$A94)*(Gastos!$D$2:$D$2500))</f>
        <v>0</v>
      </c>
      <c r="BW94" s="75">
        <f t="array" ref="BW94">SUM((YEAR(Gastos!$A$2:$A$2500)=BW$1)*(MONTH(Gastos!$A$2:$A$2500)=BW$3)*(Gastos!$B$2:$B$2500=$A94)*(Gastos!$D$2:$D$2500))</f>
        <v>0</v>
      </c>
      <c r="BX94" s="75">
        <f t="array" ref="BX94">SUM((YEAR(Gastos!$A$2:$A$2500)=BX$1)*(MONTH(Gastos!$A$2:$A$2500)=BX$3)*(Gastos!$B$2:$B$2500=$A94)*(Gastos!$D$2:$D$2500))</f>
        <v>3954</v>
      </c>
      <c r="BY94" s="75">
        <f t="array" ref="BY94">SUM((YEAR(Gastos!$A$2:$A$2500)=BY$1)*(MONTH(Gastos!$A$2:$A$2500)=BY$3)*(Gastos!$B$2:$B$2500=$A94)*(Gastos!$D$2:$D$2500))</f>
        <v>0</v>
      </c>
      <c r="BZ94" s="75">
        <f t="array" ref="BZ94">SUM((YEAR(Gastos!$A$2:$A$2500)=BZ$1)*(MONTH(Gastos!$A$2:$A$2500)=BZ$3)*(Gastos!$B$2:$B$2500=$A94)*(Gastos!$D$2:$D$2500))</f>
        <v>0</v>
      </c>
      <c r="CA94" s="75">
        <f t="array" ref="CA94">SUM((YEAR(Gastos!$A$2:$A$2500)=CA$1)*(MONTH(Gastos!$A$2:$A$2500)=CA$3)*(Gastos!$B$2:$B$2500=$A94)*(Gastos!$D$2:$D$2500))</f>
        <v>0</v>
      </c>
      <c r="CB94" s="75">
        <f t="array" ref="CB94">SUM((YEAR(Gastos!$A$2:$A$2500)=CB$1)*(MONTH(Gastos!$A$2:$A$2500)=CB$3)*(Gastos!$B$2:$B$2500=$A94)*(Gastos!$D$2:$D$2500))</f>
        <v>0</v>
      </c>
      <c r="CC94" s="75">
        <f t="array" ref="CC94">SUM((YEAR(Gastos!$A$2:$A$2500)=CC$1)*(MONTH(Gastos!$A$2:$A$2500)=CC$3)*(Gastos!$B$2:$B$2500=$A94)*(Gastos!$D$2:$D$2500))</f>
        <v>0</v>
      </c>
      <c r="CD94" s="75">
        <f t="array" ref="CD94">SUM((YEAR(Gastos!$A$2:$A$2500)=CD$1)*(MONTH(Gastos!$A$2:$A$2500)=CD$3)*(Gastos!$B$2:$B$2500=$A94)*(Gastos!$D$2:$D$2500))</f>
        <v>0</v>
      </c>
      <c r="CE94" s="75">
        <f t="array" ref="CE94">SUM((YEAR(Gastos!$A$2:$A$2500)=CE$1)*(MONTH(Gastos!$A$2:$A$2500)=CE$3)*(Gastos!$B$2:$B$2500=$A94)*(Gastos!$D$2:$D$2500))</f>
        <v>0</v>
      </c>
      <c r="CF94" s="75">
        <f t="array" ref="CF94">SUM((YEAR(Gastos!$A$2:$A$2500)=CF$1)*(MONTH(Gastos!$A$2:$A$2500)=CF$3)*(Gastos!$B$2:$B$2500=$A94)*(Gastos!$D$2:$D$2500))</f>
        <v>0</v>
      </c>
      <c r="CG94" s="75">
        <f t="array" ref="CG94">SUM((YEAR(Gastos!$A$2:$A$2500)=CG$1)*(MONTH(Gastos!$A$2:$A$2500)=CG$3)*(Gastos!$B$2:$B$2500=$A94)*(Gastos!$D$2:$D$2500))</f>
        <v>0</v>
      </c>
      <c r="CH94" s="75">
        <f t="array" ref="CH94">SUM((YEAR(Gastos!$A$2:$A$2500)=CH$1)*(MONTH(Gastos!$A$2:$A$2500)=CH$3)*(Gastos!$B$2:$B$2500=$A94)*(Gastos!$D$2:$D$2500))</f>
        <v>0</v>
      </c>
      <c r="CI94" s="75">
        <f t="array" ref="CI94">SUM((YEAR(Gastos!$A$2:$A$2500)=CI$1)*(MONTH(Gastos!$A$2:$A$2500)=CI$3)*(Gastos!$B$2:$B$2500=$A94)*(Gastos!$D$2:$D$2500))</f>
        <v>0</v>
      </c>
      <c r="CJ94" s="75">
        <f t="array" ref="CJ94">SUM((YEAR(Gastos!$A$2:$A$2500)=CJ$1)*(MONTH(Gastos!$A$2:$A$2500)=CJ$3)*(Gastos!$B$2:$B$2500=$A94)*(Gastos!$D$2:$D$2500))</f>
        <v>0</v>
      </c>
      <c r="CK94" s="75">
        <f t="array" ref="CK94">SUM((YEAR(Gastos!$A$2:$A$2500)=CK$1)*(MONTH(Gastos!$A$2:$A$2500)=CK$3)*(Gastos!$B$2:$B$2500=$A94)*(Gastos!$D$2:$D$2500))</f>
        <v>0</v>
      </c>
      <c r="CL94" s="75">
        <f t="array" ref="CL94">SUM((YEAR(Gastos!$A$2:$A$2500)=CL$1)*(MONTH(Gastos!$A$2:$A$2500)=CL$3)*(Gastos!$B$2:$B$2500=$A94)*(Gastos!$D$2:$D$2500))</f>
        <v>0</v>
      </c>
      <c r="CM94" s="75">
        <f t="array" ref="CM94">SUM((YEAR(Gastos!$A$2:$A$2500)=CM$1)*(MONTH(Gastos!$A$2:$A$2500)=CM$3)*(Gastos!$B$2:$B$2500=$A94)*(Gastos!$D$2:$D$2500))</f>
        <v>0</v>
      </c>
      <c r="CN94" s="75">
        <f t="array" ref="CN94">SUM((YEAR(Gastos!$A$2:$A$2500)=CN$1)*(MONTH(Gastos!$A$2:$A$2500)=CN$3)*(Gastos!$B$2:$B$2500=$A94)*(Gastos!$D$2:$D$2500))</f>
        <v>0</v>
      </c>
      <c r="CO94" s="75">
        <f t="array" ref="CO94">SUM((YEAR(Gastos!$A$2:$A$2500)=CO$1)*(MONTH(Gastos!$A$2:$A$2500)=CO$3)*(Gastos!$B$2:$B$2500=$A94)*(Gastos!$D$2:$D$2500))</f>
        <v>0</v>
      </c>
      <c r="CP94" s="75">
        <f t="array" ref="CP94">SUM((YEAR(Gastos!$A$2:$A$2500)=CP$1)*(MONTH(Gastos!$A$2:$A$2500)=CP$3)*(Gastos!$B$2:$B$2500=$A94)*(Gastos!$D$2:$D$2500))</f>
        <v>0</v>
      </c>
      <c r="CQ94" s="75">
        <f t="array" ref="CQ94">SUM((YEAR(Gastos!$A$2:$A$2500)=CQ$1)*(MONTH(Gastos!$A$2:$A$2500)=CQ$3)*(Gastos!$B$2:$B$2500=$A94)*(Gastos!$D$2:$D$2500))</f>
        <v>0</v>
      </c>
      <c r="CR94" s="75">
        <f t="array" ref="CR94">SUM((YEAR(Gastos!$A$2:$A$2500)=CR$1)*(MONTH(Gastos!$A$2:$A$2500)=CR$3)*(Gastos!$B$2:$B$2500=$A94)*(Gastos!$D$2:$D$2500))</f>
        <v>0</v>
      </c>
      <c r="CS94" s="75">
        <f t="array" ref="CS94">SUM((YEAR(Gastos!$A$2:$A$2500)=CS$1)*(MONTH(Gastos!$A$2:$A$2500)=CS$3)*(Gastos!$B$2:$B$2500=$A94)*(Gastos!$D$2:$D$2500))</f>
        <v>0</v>
      </c>
      <c r="CT94" s="75">
        <f t="array" ref="CT94">SUM((YEAR(Gastos!$A$2:$A$2500)=CT$1)*(MONTH(Gastos!$A$2:$A$2500)=CT$3)*(Gastos!$B$2:$B$2500=$A94)*(Gastos!$D$2:$D$2500))</f>
        <v>0</v>
      </c>
      <c r="CU94" s="75">
        <f t="array" ref="CU94">SUM((YEAR(Gastos!$A$2:$A$2500)=CU$1)*(MONTH(Gastos!$A$2:$A$2500)=CU$3)*(Gastos!$B$2:$B$2500=$A94)*(Gastos!$D$2:$D$2500))</f>
        <v>0</v>
      </c>
      <c r="CV94" s="75">
        <f t="array" ref="CV94">SUM((YEAR(Gastos!$A$2:$A$2500)=CV$1)*(MONTH(Gastos!$A$2:$A$2500)=CV$3)*(Gastos!$B$2:$B$2500=$A94)*(Gastos!$D$2:$D$2500))</f>
        <v>0</v>
      </c>
      <c r="CW94" s="75">
        <f t="array" ref="CW94">SUM((YEAR(Gastos!$A$2:$A$2500)=CW$1)*(MONTH(Gastos!$A$2:$A$2500)=CW$3)*(Gastos!$B$2:$B$2500=$A94)*(Gastos!$D$2:$D$2500))</f>
        <v>0</v>
      </c>
      <c r="CX94" s="75">
        <f t="array" ref="CX94">SUM((YEAR(Gastos!$A$2:$A$2500)=CX$1)*(MONTH(Gastos!$A$2:$A$2500)=CX$3)*(Gastos!$B$2:$B$2500=$A94)*(Gastos!$D$2:$D$2500))</f>
        <v>0</v>
      </c>
      <c r="CY94" s="75">
        <f t="array" ref="CY94">SUM((YEAR(Gastos!$A$2:$A$2500)=CY$1)*(MONTH(Gastos!$A$2:$A$2500)=CY$3)*(Gastos!$B$2:$B$2500=$A94)*(Gastos!$D$2:$D$2500))</f>
        <v>0</v>
      </c>
      <c r="CZ94" s="75">
        <f t="array" ref="CZ94">SUM((YEAR(Gastos!$A$2:$A$2500)=CZ$1)*(MONTH(Gastos!$A$2:$A$2500)=CZ$3)*(Gastos!$B$2:$B$2500=$A94)*(Gastos!$D$2:$D$2500))</f>
        <v>0</v>
      </c>
      <c r="DA94" s="75">
        <f t="array" ref="DA94">SUM((YEAR(Gastos!$A$2:$A$2500)=DA$1)*(MONTH(Gastos!$A$2:$A$2500)=DA$3)*(Gastos!$B$2:$B$2500=$A94)*(Gastos!$D$2:$D$2500))</f>
        <v>0</v>
      </c>
      <c r="DB94" s="75">
        <f t="array" ref="DB94">SUM((YEAR(Gastos!$A$2:$A$2500)=DB$1)*(MONTH(Gastos!$A$2:$A$2500)=DB$3)*(Gastos!$B$2:$B$2500=$A94)*(Gastos!$D$2:$D$2500))</f>
        <v>0</v>
      </c>
      <c r="DC94" s="75">
        <f t="array" ref="DC94">SUM((YEAR(Gastos!$A$2:$A$2500)=DC$1)*(MONTH(Gastos!$A$2:$A$2500)=DC$3)*(Gastos!$B$2:$B$2500=$A94)*(Gastos!$D$2:$D$2500))</f>
        <v>0</v>
      </c>
      <c r="DD94" s="75">
        <f t="array" ref="DD94">SUM((YEAR(Gastos!$A$2:$A$2500)=DD$1)*(MONTH(Gastos!$A$2:$A$2500)=DD$3)*(Gastos!$B$2:$B$2500=$A94)*(Gastos!$D$2:$D$2500))</f>
        <v>0</v>
      </c>
      <c r="DE94" s="75">
        <f t="array" ref="DE94">SUM((YEAR(Gastos!$A$2:$A$2500)=DE$1)*(MONTH(Gastos!$A$2:$A$2500)=DE$3)*(Gastos!$B$2:$B$2500=$A94)*(Gastos!$D$2:$D$2500))</f>
        <v>0</v>
      </c>
      <c r="DF94" s="75">
        <f t="array" ref="DF94">SUM((YEAR(Gastos!$A$2:$A$2500)=DF$1)*(MONTH(Gastos!$A$2:$A$2500)=DF$3)*(Gastos!$B$2:$B$2500=$A94)*(Gastos!$D$2:$D$2500))</f>
        <v>0</v>
      </c>
      <c r="DG94" s="75">
        <f t="array" ref="DG94">SUM((YEAR(Gastos!$A$2:$A$2500)=DG$1)*(MONTH(Gastos!$A$2:$A$2500)=DG$3)*(Gastos!$B$2:$B$2500=$A94)*(Gastos!$D$2:$D$2500))</f>
        <v>0</v>
      </c>
      <c r="DH94" s="75">
        <f t="array" ref="DH94">SUM((YEAR(Gastos!$A$2:$A$2500)=DH$1)*(MONTH(Gastos!$A$2:$A$2500)=DH$3)*(Gastos!$B$2:$B$2500=$A94)*(Gastos!$D$2:$D$2500))</f>
        <v>0</v>
      </c>
      <c r="DI94" s="75">
        <f t="array" ref="DI94">SUM((YEAR(Gastos!$A$2:$A$2500)=DI$1)*(MONTH(Gastos!$A$2:$A$2500)=DI$3)*(Gastos!$B$2:$B$2500=$A94)*(Gastos!$D$2:$D$2500))</f>
        <v>0</v>
      </c>
      <c r="DJ94" s="75">
        <f t="array" ref="DJ94">SUM((YEAR(Gastos!$A$2:$A$2500)=DJ$1)*(MONTH(Gastos!$A$2:$A$2500)=DJ$3)*(Gastos!$B$2:$B$2500=$A94)*(Gastos!$D$2:$D$2500))</f>
        <v>0</v>
      </c>
      <c r="DK94" s="75">
        <f t="array" ref="DK94">SUM((YEAR(Gastos!$A$2:$A$2500)=DK$1)*(MONTH(Gastos!$A$2:$A$2500)=DK$3)*(Gastos!$B$2:$B$2500=$A94)*(Gastos!$D$2:$D$2500))</f>
        <v>0</v>
      </c>
      <c r="DL94" s="75">
        <f t="array" ref="DL94">SUM((YEAR(Gastos!$A$2:$A$2500)=DL$1)*(MONTH(Gastos!$A$2:$A$2500)=DL$3)*(Gastos!$B$2:$B$2500=$A94)*(Gastos!$D$2:$D$2500))</f>
        <v>0</v>
      </c>
      <c r="DM94" s="75">
        <f t="array" ref="DM94">SUM((YEAR(Gastos!$A$2:$A$2500)=DM$1)*(MONTH(Gastos!$A$2:$A$2500)=DM$3)*(Gastos!$B$2:$B$2500=$A94)*(Gastos!$D$2:$D$2500))</f>
        <v>0</v>
      </c>
      <c r="DN94" s="75">
        <f t="array" ref="DN94">SUM((YEAR(Gastos!$A$2:$A$2500)=DN$1)*(MONTH(Gastos!$A$2:$A$2500)=DN$3)*(Gastos!$B$2:$B$2500=$A94)*(Gastos!$D$2:$D$2500))</f>
        <v>0</v>
      </c>
      <c r="DO94" s="75">
        <f t="array" ref="DO94">SUM((YEAR(Gastos!$A$2:$A$2500)=DO$1)*(MONTH(Gastos!$A$2:$A$2500)=DO$3)*(Gastos!$B$2:$B$2500=$A94)*(Gastos!$D$2:$D$2500))</f>
        <v>0</v>
      </c>
      <c r="DP94" s="75">
        <f t="array" ref="DP94">SUM((YEAR(Gastos!$A$2:$A$2500)=DP$1)*(MONTH(Gastos!$A$2:$A$2500)=DP$3)*(Gastos!$B$2:$B$2500=$A94)*(Gastos!$D$2:$D$2500))</f>
        <v>0</v>
      </c>
      <c r="DQ94" s="75">
        <f t="array" ref="DQ94">SUM((YEAR(Gastos!$A$2:$A$2500)=DQ$1)*(MONTH(Gastos!$A$2:$A$2500)=DQ$3)*(Gastos!$B$2:$B$2500=$A94)*(Gastos!$D$2:$D$2500))</f>
        <v>0</v>
      </c>
      <c r="DR94" s="75">
        <f t="array" ref="DR94">SUM((YEAR(Gastos!$A$2:$A$2500)=DR$1)*(MONTH(Gastos!$A$2:$A$2500)=DR$3)*(Gastos!$B$2:$B$2500=$A94)*(Gastos!$D$2:$D$2500))</f>
        <v>0</v>
      </c>
      <c r="DS94" s="75">
        <f t="array" ref="DS94">SUM((YEAR(Gastos!$A$2:$A$2500)=DS$1)*(MONTH(Gastos!$A$2:$A$2500)=DS$3)*(Gastos!$B$2:$B$2500=$A94)*(Gastos!$D$2:$D$2500))</f>
        <v>0</v>
      </c>
      <c r="DT94" s="75">
        <f t="array" ref="DT94">SUM((YEAR(Gastos!$A$2:$A$2500)=DT$1)*(MONTH(Gastos!$A$2:$A$2500)=DT$3)*(Gastos!$B$2:$B$2500=$A94)*(Gastos!$D$2:$D$2500))</f>
        <v>0</v>
      </c>
      <c r="DU94" s="75">
        <f t="array" ref="DU94">SUM((YEAR(Gastos!$A$2:$A$2500)=DU$1)*(MONTH(Gastos!$A$2:$A$2500)=DU$3)*(Gastos!$B$2:$B$2500=$A94)*(Gastos!$D$2:$D$2500))</f>
        <v>0</v>
      </c>
      <c r="DV94" s="75">
        <f t="array" ref="DV94">SUM((YEAR(Gastos!$A$2:$A$2500)=DV$1)*(MONTH(Gastos!$A$2:$A$2500)=DV$3)*(Gastos!$B$2:$B$2500=$A94)*(Gastos!$D$2:$D$2500))</f>
        <v>0</v>
      </c>
      <c r="DW94" s="75">
        <f t="array" ref="DW94">SUM((YEAR(Gastos!$A$2:$A$2500)=DW$1)*(MONTH(Gastos!$A$2:$A$2500)=DW$3)*(Gastos!$B$2:$B$2500=$A94)*(Gastos!$D$2:$D$2500))</f>
        <v>0</v>
      </c>
      <c r="DX94" s="75">
        <f t="array" ref="DX94">SUM((YEAR(Gastos!$A$2:$A$2500)=DX$1)*(MONTH(Gastos!$A$2:$A$2500)=DX$3)*(Gastos!$B$2:$B$2500=$A94)*(Gastos!$D$2:$D$2500))</f>
        <v>0</v>
      </c>
      <c r="DY94" s="75">
        <f t="array" ref="DY94">SUM((YEAR(Gastos!$A$2:$A$2500)=DY$1)*(MONTH(Gastos!$A$2:$A$2500)=DY$3)*(Gastos!$B$2:$B$2500=$A94)*(Gastos!$D$2:$D$2500))</f>
        <v>0</v>
      </c>
      <c r="DZ94" s="75">
        <f t="array" ref="DZ94">SUM((YEAR(Gastos!$A$2:$A$2500)=DZ$1)*(MONTH(Gastos!$A$2:$A$2500)=DZ$3)*(Gastos!$B$2:$B$2500=$A94)*(Gastos!$D$2:$D$2500))</f>
        <v>0</v>
      </c>
      <c r="EA94" s="75">
        <f t="array" ref="EA94">SUM((YEAR(Gastos!$A$2:$A$2500)=EA$1)*(MONTH(Gastos!$A$2:$A$2500)=EA$3)*(Gastos!$B$2:$B$2500=$A94)*(Gastos!$D$2:$D$2500))</f>
        <v>0</v>
      </c>
      <c r="EB94" s="75">
        <f t="array" ref="EB94">SUM((YEAR(Gastos!$A$2:$A$2500)=EB$1)*(MONTH(Gastos!$A$2:$A$2500)=EB$3)*(Gastos!$B$2:$B$2500=$A94)*(Gastos!$D$2:$D$2500))</f>
        <v>0</v>
      </c>
      <c r="EC94" s="75">
        <f t="array" ref="EC94">SUM((YEAR(Gastos!$A$2:$A$2500)=EC$1)*(MONTH(Gastos!$A$2:$A$2500)=EC$3)*(Gastos!$B$2:$B$2500=$A94)*(Gastos!$D$2:$D$2500))</f>
        <v>0</v>
      </c>
      <c r="ED94" s="75">
        <f t="array" ref="ED94">SUM((YEAR(Gastos!$A$2:$A$2500)=ED$1)*(MONTH(Gastos!$A$2:$A$2500)=ED$3)*(Gastos!$B$2:$B$2500=$A94)*(Gastos!$D$2:$D$2500))</f>
        <v>0</v>
      </c>
      <c r="EE94" s="75">
        <f t="array" ref="EE94">SUM((YEAR(Gastos!$A$2:$A$2500)=EE$1)*(MONTH(Gastos!$A$2:$A$2500)=EE$3)*(Gastos!$B$2:$B$2500=$A94)*(Gastos!$D$2:$D$2500))</f>
        <v>0</v>
      </c>
      <c r="EF94" s="75">
        <f t="array" ref="EF94">SUM((YEAR(Gastos!$A$2:$A$2500)=EF$1)*(MONTH(Gastos!$A$2:$A$2500)=EF$3)*(Gastos!$B$2:$B$2500=$A94)*(Gastos!$D$2:$D$2500))</f>
        <v>0</v>
      </c>
      <c r="EG94" s="75">
        <f t="array" ref="EG94">SUM((YEAR(Gastos!$A$2:$A$2500)=EG$1)*(MONTH(Gastos!$A$2:$A$2500)=EG$3)*(Gastos!$B$2:$B$2500=$A94)*(Gastos!$D$2:$D$2500))</f>
        <v>0</v>
      </c>
      <c r="EH94" s="75">
        <f t="array" ref="EH94">SUM((YEAR(Gastos!$A$2:$A$2500)=EH$1)*(MONTH(Gastos!$A$2:$A$2500)=EH$3)*(Gastos!$B$2:$B$2500=$A94)*(Gastos!$D$2:$D$2500))</f>
        <v>0</v>
      </c>
      <c r="EI94" s="75">
        <f t="array" ref="EI94">SUM((YEAR(Gastos!$A$2:$A$2500)=EI$1)*(MONTH(Gastos!$A$2:$A$2500)=EI$3)*(Gastos!$B$2:$B$2500=$A94)*(Gastos!$D$2:$D$2500))</f>
        <v>0</v>
      </c>
      <c r="EJ94" s="75">
        <f t="array" ref="EJ94">SUM((YEAR(Gastos!$A$2:$A$2500)=EJ$1)*(MONTH(Gastos!$A$2:$A$2500)=EJ$3)*(Gastos!$B$2:$B$2500=$A94)*(Gastos!$D$2:$D$2500))</f>
        <v>0</v>
      </c>
      <c r="EK94" s="75">
        <f t="array" ref="EK94">SUM((YEAR(Gastos!$A$2:$A$2500)=EK$1)*(MONTH(Gastos!$A$2:$A$2500)=EK$3)*(Gastos!$B$2:$B$2500=$A94)*(Gastos!$D$2:$D$2500))</f>
        <v>0</v>
      </c>
      <c r="EL94" s="75">
        <f t="array" ref="EL94">SUM((YEAR(Gastos!$A$2:$A$2500)=EL$1)*(MONTH(Gastos!$A$2:$A$2500)=EL$3)*(Gastos!$B$2:$B$2500=$A94)*(Gastos!$D$2:$D$2500))</f>
        <v>0</v>
      </c>
      <c r="EM94" s="75">
        <f t="array" ref="EM94">SUM((YEAR(Gastos!$A$2:$A$2500)=EM$1)*(MONTH(Gastos!$A$2:$A$2500)=EM$3)*(Gastos!$B$2:$B$2500=$A94)*(Gastos!$D$2:$D$2500))</f>
        <v>0</v>
      </c>
      <c r="EN94" s="75">
        <f t="array" ref="EN94">SUM((YEAR(Gastos!$A$2:$A$2500)=EN$1)*(MONTH(Gastos!$A$2:$A$2500)=EN$3)*(Gastos!$B$2:$B$2500=$A94)*(Gastos!$D$2:$D$2500))</f>
        <v>0</v>
      </c>
      <c r="EO94" s="75">
        <f t="array" ref="EO94">SUM((YEAR(Gastos!$A$2:$A$2500)=EO$1)*(MONTH(Gastos!$A$2:$A$2500)=EO$3)*(Gastos!$B$2:$B$2500=$A94)*(Gastos!$D$2:$D$2500))</f>
        <v>0</v>
      </c>
      <c r="EP94" s="75">
        <f t="array" ref="EP94">SUM((YEAR(Gastos!$A$2:$A$2500)=EP$1)*(MONTH(Gastos!$A$2:$A$2500)=EP$3)*(Gastos!$B$2:$B$2500=$A94)*(Gastos!$D$2:$D$2500))</f>
        <v>0</v>
      </c>
      <c r="EQ94" s="75">
        <f t="array" ref="EQ94">SUM((YEAR(Gastos!$A$2:$A$2500)=EQ$1)*(MONTH(Gastos!$A$2:$A$2500)=EQ$3)*(Gastos!$B$2:$B$2500=$A94)*(Gastos!$D$2:$D$2500))</f>
        <v>0</v>
      </c>
      <c r="ER94" s="75">
        <f t="array" ref="ER94">SUM((YEAR(Gastos!$A$2:$A$2500)=ER$1)*(MONTH(Gastos!$A$2:$A$2500)=ER$3)*(Gastos!$B$2:$B$2500=$A94)*(Gastos!$D$2:$D$2500))</f>
        <v>0</v>
      </c>
      <c r="ES94" s="75">
        <f t="array" ref="ES94">SUM((YEAR(Gastos!$A$2:$A$2500)=ES$1)*(MONTH(Gastos!$A$2:$A$2500)=ES$3)*(Gastos!$B$2:$B$2500=$A94)*(Gastos!$D$2:$D$2500))</f>
        <v>0</v>
      </c>
      <c r="ET94" s="75">
        <f t="array" ref="ET94">SUM((YEAR(Gastos!$A$2:$A$2500)=ET$1)*(MONTH(Gastos!$A$2:$A$2500)=ET$3)*(Gastos!$B$2:$B$2500=$A94)*(Gastos!$D$2:$D$2500))</f>
        <v>0</v>
      </c>
      <c r="EU94" s="75">
        <f t="array" ref="EU94">SUM((YEAR(Gastos!$A$2:$A$2500)=EU$1)*(MONTH(Gastos!$A$2:$A$2500)=EU$3)*(Gastos!$B$2:$B$2500=$A94)*(Gastos!$D$2:$D$2500))</f>
        <v>0</v>
      </c>
      <c r="EV94" s="75">
        <f t="array" ref="EV94">SUM((YEAR(Gastos!$A$2:$A$2500)=EV$1)*(MONTH(Gastos!$A$2:$A$2500)=EV$3)*(Gastos!$B$2:$B$2500=$A94)*(Gastos!$D$2:$D$2500))</f>
        <v>0</v>
      </c>
      <c r="EW94" s="75">
        <f t="array" ref="EW94">SUM((YEAR(Gastos!$A$2:$A$2500)=EW$1)*(MONTH(Gastos!$A$2:$A$2500)=EW$3)*(Gastos!$B$2:$B$2500=$A94)*(Gastos!$D$2:$D$2500))</f>
        <v>0</v>
      </c>
      <c r="EX94" s="75">
        <f t="array" ref="EX94">SUM((YEAR(Gastos!$A$2:$A$2500)=EX$1)*(MONTH(Gastos!$A$2:$A$2500)=EX$3)*(Gastos!$B$2:$B$2500=$A94)*(Gastos!$D$2:$D$2500))</f>
        <v>0</v>
      </c>
      <c r="EY94" s="75">
        <f t="array" ref="EY94">SUM((YEAR(Gastos!$A$2:$A$2500)=EY$1)*(MONTH(Gastos!$A$2:$A$2500)=EY$3)*(Gastos!$B$2:$B$2500=$A94)*(Gastos!$D$2:$D$2500))</f>
        <v>0</v>
      </c>
      <c r="EZ94" s="75">
        <f t="array" ref="EZ94">SUM((YEAR(Gastos!$A$2:$A$2500)=EZ$1)*(MONTH(Gastos!$A$2:$A$2500)=EZ$3)*(Gastos!$B$2:$B$2500=$A94)*(Gastos!$D$2:$D$2500))</f>
        <v>0</v>
      </c>
      <c r="FA94" s="75">
        <f t="array" ref="FA94">SUM((YEAR(Gastos!$A$2:$A$2500)=FA$1)*(MONTH(Gastos!$A$2:$A$2500)=FA$3)*(Gastos!$B$2:$B$2500=$A94)*(Gastos!$D$2:$D$2500))</f>
        <v>0</v>
      </c>
      <c r="FB94" s="75">
        <f t="array" ref="FB94">SUM((YEAR(Gastos!$A$2:$A$2500)=FB$1)*(MONTH(Gastos!$A$2:$A$2500)=FB$3)*(Gastos!$B$2:$B$2500=$A94)*(Gastos!$D$2:$D$2500))</f>
        <v>0</v>
      </c>
      <c r="FC94" s="75">
        <f t="array" ref="FC94">SUM((YEAR(Gastos!$A$2:$A$2500)=FC$1)*(MONTH(Gastos!$A$2:$A$2500)=FC$3)*(Gastos!$B$2:$B$2500=$A94)*(Gastos!$D$2:$D$2500))</f>
        <v>0</v>
      </c>
      <c r="FD94" s="75">
        <f t="array" ref="FD94">SUM((YEAR(Gastos!$A$2:$A$2500)=FD$1)*(MONTH(Gastos!$A$2:$A$2500)=FD$3)*(Gastos!$B$2:$B$2500=$A94)*(Gastos!$D$2:$D$2500))</f>
        <v>0</v>
      </c>
      <c r="FE94" s="75">
        <f t="array" ref="FE94">SUM((YEAR(Gastos!$A$2:$A$2500)=FE$1)*(MONTH(Gastos!$A$2:$A$2500)=FE$3)*(Gastos!$B$2:$B$2500=$A94)*(Gastos!$D$2:$D$2500))</f>
        <v>0</v>
      </c>
      <c r="FF94" s="75">
        <f t="array" ref="FF94">SUM((YEAR(Gastos!$A$2:$A$2500)=FF$1)*(MONTH(Gastos!$A$2:$A$2500)=FF$3)*(Gastos!$B$2:$B$2500=$A94)*(Gastos!$D$2:$D$2500))</f>
        <v>0</v>
      </c>
      <c r="FG94" s="75">
        <f t="array" ref="FG94">SUM((YEAR(Gastos!$A$2:$A$2500)=FG$1)*(MONTH(Gastos!$A$2:$A$2500)=FG$3)*(Gastos!$B$2:$B$2500=$A94)*(Gastos!$D$2:$D$2500))</f>
        <v>0</v>
      </c>
      <c r="FH94" s="75">
        <f t="array" ref="FH94">SUM((YEAR(Gastos!$A$2:$A$2500)=FH$1)*(MONTH(Gastos!$A$2:$A$2500)=FH$3)*(Gastos!$B$2:$B$2500=$A94)*(Gastos!$D$2:$D$2500))</f>
        <v>0</v>
      </c>
      <c r="FI94" s="75">
        <f t="array" ref="FI94">SUM((YEAR(Gastos!$A$2:$A$2500)=FI$1)*(MONTH(Gastos!$A$2:$A$2500)=FI$3)*(Gastos!$B$2:$B$2500=$A94)*(Gastos!$D$2:$D$2500))</f>
        <v>0</v>
      </c>
      <c r="FJ94" s="75">
        <f t="array" ref="FJ94">SUM((YEAR(Gastos!$A$2:$A$2500)=FJ$1)*(MONTH(Gastos!$A$2:$A$2500)=FJ$3)*(Gastos!$B$2:$B$2500=$A94)*(Gastos!$D$2:$D$2500))</f>
        <v>0</v>
      </c>
      <c r="FK94" s="75">
        <f t="array" ref="FK94">SUM((YEAR(Gastos!$A$2:$A$2500)=FK$1)*(MONTH(Gastos!$A$2:$A$2500)=FK$3)*(Gastos!$B$2:$B$2500=$A94)*(Gastos!$D$2:$D$2500))</f>
        <v>0</v>
      </c>
      <c r="FL94" s="75">
        <f t="array" ref="FL94">SUM((YEAR(Gastos!$A$2:$A$2500)=FL$1)*(MONTH(Gastos!$A$2:$A$2500)=FL$3)*(Gastos!$B$2:$B$2500=$A94)*(Gastos!$D$2:$D$2500))</f>
        <v>0</v>
      </c>
      <c r="FM94" s="75">
        <f t="array" ref="FM94">SUM((YEAR(Gastos!$A$2:$A$2500)=FM$1)*(MONTH(Gastos!$A$2:$A$2500)=FM$3)*(Gastos!$B$2:$B$2500=$A94)*(Gastos!$D$2:$D$2500))</f>
        <v>0</v>
      </c>
      <c r="FN94" s="75">
        <f t="array" ref="FN94">SUM((YEAR(Gastos!$A$2:$A$2500)=FN$1)*(MONTH(Gastos!$A$2:$A$2500)=FN$3)*(Gastos!$B$2:$B$2500=$A94)*(Gastos!$D$2:$D$2500))</f>
        <v>0</v>
      </c>
      <c r="FO94" s="75">
        <f t="array" ref="FO94">SUM((YEAR(Gastos!$A$2:$A$2500)=FO$1)*(MONTH(Gastos!$A$2:$A$2500)=FO$3)*(Gastos!$B$2:$B$2500=$A94)*(Gastos!$D$2:$D$2500))</f>
        <v>0</v>
      </c>
      <c r="FP94" s="75">
        <f t="array" ref="FP94">SUM((YEAR(Gastos!$A$2:$A$2500)=FP$1)*(MONTH(Gastos!$A$2:$A$2500)=FP$3)*(Gastos!$B$2:$B$2500=$A94)*(Gastos!$D$2:$D$2500))</f>
        <v>0</v>
      </c>
      <c r="FQ94" s="75">
        <f t="array" ref="FQ94">SUM((YEAR(Gastos!$A$2:$A$2500)=FQ$1)*(MONTH(Gastos!$A$2:$A$2500)=FQ$3)*(Gastos!$B$2:$B$2500=$A94)*(Gastos!$D$2:$D$2500))</f>
        <v>0</v>
      </c>
      <c r="FR94" s="75">
        <f t="array" ref="FR94">SUM((YEAR(Gastos!$A$2:$A$2500)=FR$1)*(MONTH(Gastos!$A$2:$A$2500)=FR$3)*(Gastos!$B$2:$B$2500=$A94)*(Gastos!$D$2:$D$2500))</f>
        <v>0</v>
      </c>
      <c r="FS94" s="75">
        <f t="array" ref="FS94">SUM((YEAR(Gastos!$A$2:$A$2500)=FS$1)*(MONTH(Gastos!$A$2:$A$2500)=FS$3)*(Gastos!$B$2:$B$2500=$A94)*(Gastos!$D$2:$D$2500))</f>
        <v>0</v>
      </c>
      <c r="FT94" s="75">
        <f t="array" ref="FT94">SUM((YEAR(Gastos!$A$2:$A$2500)=FT$1)*(MONTH(Gastos!$A$2:$A$2500)=FT$3)*(Gastos!$B$2:$B$2500=$A94)*(Gastos!$D$2:$D$2500))</f>
        <v>0</v>
      </c>
      <c r="FU94" s="75">
        <f t="array" ref="FU94">SUM((YEAR(Gastos!$A$2:$A$2500)=FU$1)*(MONTH(Gastos!$A$2:$A$2500)=FU$3)*(Gastos!$B$2:$B$2500=$A94)*(Gastos!$D$2:$D$2500))</f>
        <v>0</v>
      </c>
      <c r="FV94" s="75">
        <f t="array" ref="FV94">SUM((YEAR(Gastos!$A$2:$A$2500)=FV$1)*(MONTH(Gastos!$A$2:$A$2500)=FV$3)*(Gastos!$B$2:$B$2500=$A94)*(Gastos!$D$2:$D$2500))</f>
        <v>0</v>
      </c>
      <c r="FW94" s="75">
        <f t="array" ref="FW94">SUM((YEAR(Gastos!$A$2:$A$2500)=FW$1)*(MONTH(Gastos!$A$2:$A$2500)=FW$3)*(Gastos!$B$2:$B$2500=$A94)*(Gastos!$D$2:$D$2500))</f>
        <v>0</v>
      </c>
      <c r="FX94" s="75">
        <f t="array" ref="FX94">SUM((YEAR(Gastos!$A$2:$A$2500)=FX$1)*(MONTH(Gastos!$A$2:$A$2500)=FX$3)*(Gastos!$B$2:$B$2500=$A94)*(Gastos!$D$2:$D$2500))</f>
        <v>0</v>
      </c>
      <c r="FY94" s="75">
        <f t="array" ref="FY94">SUM((YEAR(Gastos!$A$2:$A$2500)=FY$1)*(MONTH(Gastos!$A$2:$A$2500)=FY$3)*(Gastos!$B$2:$B$2500=$A94)*(Gastos!$D$2:$D$2500))</f>
        <v>0</v>
      </c>
      <c r="FZ94" s="76">
        <f t="shared" si="68"/>
        <v>9954</v>
      </c>
      <c r="GA94" s="80"/>
      <c r="GB94" s="82"/>
    </row>
    <row r="95" spans="1:184" ht="15" thickBot="1" x14ac:dyDescent="0.4">
      <c r="A95" s="74" t="str">
        <f>Gastos!AA93</f>
        <v>V. DEPOSITOS A CUENTA 0002710856 PATRICIA</v>
      </c>
      <c r="B95" s="75">
        <f t="array" ref="B95">SUM((YEAR(Gastos!$A$2:$A$2500)=B$1)*(MONTH(Gastos!$A$2:$A$2500)=B$3)*(Gastos!$B$2:$B$2500=$A95)*(Gastos!$D$2:$D$2500))</f>
        <v>0</v>
      </c>
      <c r="C95" s="75">
        <f t="array" ref="C95">SUM((YEAR(Gastos!$A$2:$A$2500)=C$1)*(MONTH(Gastos!$A$2:$A$2500)=C$3)*(Gastos!$B$2:$B$2500=$A95)*(Gastos!$D$2:$D$2500))</f>
        <v>0</v>
      </c>
      <c r="D95" s="75">
        <f t="array" ref="D95">SUM((YEAR(Gastos!$A$2:$A$2500)=D$1)*(MONTH(Gastos!$A$2:$A$2500)=D$3)*(Gastos!$B$2:$B$2500=$A95)*(Gastos!$D$2:$D$2500))</f>
        <v>0</v>
      </c>
      <c r="E95" s="75">
        <f t="array" ref="E95">SUM((YEAR(Gastos!$A$2:$A$2500)=E$1)*(MONTH(Gastos!$A$2:$A$2500)=E$3)*(Gastos!$B$2:$B$2500=$A95)*(Gastos!$D$2:$D$2500))</f>
        <v>0</v>
      </c>
      <c r="F95" s="75">
        <f t="array" ref="F95">SUM((YEAR(Gastos!$A$2:$A$2500)=F$1)*(MONTH(Gastos!$A$2:$A$2500)=F$3)*(Gastos!$B$2:$B$2500=$A95)*(Gastos!$D$2:$D$2500))</f>
        <v>0</v>
      </c>
      <c r="G95" s="75">
        <f t="array" ref="G95">SUM((YEAR(Gastos!$A$2:$A$2500)=G$1)*(MONTH(Gastos!$A$2:$A$2500)=G$3)*(Gastos!$B$2:$B$2500=$A95)*(Gastos!$D$2:$D$2500))</f>
        <v>0</v>
      </c>
      <c r="H95" s="75">
        <f t="array" ref="H95">SUM((YEAR(Gastos!$A$2:$A$2500)=H$1)*(MONTH(Gastos!$A$2:$A$2500)=H$3)*(Gastos!$B$2:$B$2500=$A95)*(Gastos!$D$2:$D$2500))</f>
        <v>0</v>
      </c>
      <c r="I95" s="75">
        <f t="array" ref="I95">SUM((YEAR(Gastos!$A$2:$A$2500)=I$1)*(MONTH(Gastos!$A$2:$A$2500)=I$3)*(Gastos!$B$2:$B$2500=$A95)*(Gastos!$D$2:$D$2500))</f>
        <v>0</v>
      </c>
      <c r="J95" s="75">
        <f t="array" ref="J95">SUM((YEAR(Gastos!$A$2:$A$2500)=J$1)*(MONTH(Gastos!$A$2:$A$2500)=J$3)*(Gastos!$B$2:$B$2500=$A95)*(Gastos!$D$2:$D$2500))</f>
        <v>0</v>
      </c>
      <c r="K95" s="75">
        <f t="array" ref="K95">SUM((YEAR(Gastos!$A$2:$A$2500)=K$1)*(MONTH(Gastos!$A$2:$A$2500)=K$3)*(Gastos!$B$2:$B$2500=$A95)*(Gastos!$D$2:$D$2500))</f>
        <v>0</v>
      </c>
      <c r="L95" s="75">
        <f t="array" ref="L95">SUM((YEAR(Gastos!$A$2:$A$2500)=L$1)*(MONTH(Gastos!$A$2:$A$2500)=L$3)*(Gastos!$B$2:$B$2500=$A95)*(Gastos!$D$2:$D$2500))</f>
        <v>0</v>
      </c>
      <c r="M95" s="75">
        <f t="array" ref="M95">SUM((YEAR(Gastos!$A$2:$A$2500)=M$1)*(MONTH(Gastos!$A$2:$A$2500)=M$3)*(Gastos!$B$2:$B$2500=$A95)*(Gastos!$D$2:$D$2500))</f>
        <v>0</v>
      </c>
      <c r="N95" s="75">
        <f t="array" ref="N95">SUM((YEAR(Gastos!$A$2:$A$2500)=N$1)*(MONTH(Gastos!$A$2:$A$2500)=N$3)*(Gastos!$B$2:$B$2500=$A95)*(Gastos!$D$2:$D$2500))</f>
        <v>0</v>
      </c>
      <c r="O95" s="75">
        <f t="array" ref="O95">SUM((YEAR(Gastos!$A$2:$A$2500)=O$1)*(MONTH(Gastos!$A$2:$A$2500)=O$3)*(Gastos!$B$2:$B$2500=$A95)*(Gastos!$D$2:$D$2500))</f>
        <v>0</v>
      </c>
      <c r="P95" s="75">
        <f t="array" ref="P95">SUM((YEAR(Gastos!$A$2:$A$2500)=P$1)*(MONTH(Gastos!$A$2:$A$2500)=P$3)*(Gastos!$B$2:$B$2500=$A95)*(Gastos!$D$2:$D$2500))</f>
        <v>0</v>
      </c>
      <c r="Q95" s="75">
        <f t="array" ref="Q95">SUM((YEAR(Gastos!$A$2:$A$2500)=Q$1)*(MONTH(Gastos!$A$2:$A$2500)=Q$3)*(Gastos!$B$2:$B$2500=$A95)*(Gastos!$D$2:$D$2500))</f>
        <v>0</v>
      </c>
      <c r="R95" s="75">
        <f t="array" ref="R95">SUM((YEAR(Gastos!$A$2:$A$2500)=R$1)*(MONTH(Gastos!$A$2:$A$2500)=R$3)*(Gastos!$B$2:$B$2500=$A95)*(Gastos!$D$2:$D$2500))</f>
        <v>0</v>
      </c>
      <c r="S95" s="75">
        <f t="array" ref="S95">SUM((YEAR(Gastos!$A$2:$A$2500)=S$1)*(MONTH(Gastos!$A$2:$A$2500)=S$3)*(Gastos!$B$2:$B$2500=$A95)*(Gastos!$D$2:$D$2500))</f>
        <v>0</v>
      </c>
      <c r="T95" s="75">
        <f t="array" ref="T95">SUM((YEAR(Gastos!$A$2:$A$2500)=T$1)*(MONTH(Gastos!$A$2:$A$2500)=T$3)*(Gastos!$B$2:$B$2500=$A95)*(Gastos!$D$2:$D$2500))</f>
        <v>0</v>
      </c>
      <c r="U95" s="75">
        <f t="array" ref="U95">SUM((YEAR(Gastos!$A$2:$A$2500)=U$1)*(MONTH(Gastos!$A$2:$A$2500)=U$3)*(Gastos!$B$2:$B$2500=$A95)*(Gastos!$D$2:$D$2500))</f>
        <v>0</v>
      </c>
      <c r="V95" s="75">
        <f t="array" ref="V95">SUM((YEAR(Gastos!$A$2:$A$2500)=V$1)*(MONTH(Gastos!$A$2:$A$2500)=V$3)*(Gastos!$B$2:$B$2500=$A95)*(Gastos!$D$2:$D$2500))</f>
        <v>0</v>
      </c>
      <c r="W95" s="75">
        <f t="array" ref="W95">SUM((YEAR(Gastos!$A$2:$A$2500)=W$1)*(MONTH(Gastos!$A$2:$A$2500)=W$3)*(Gastos!$B$2:$B$2500=$A95)*(Gastos!$D$2:$D$2500))</f>
        <v>0</v>
      </c>
      <c r="X95" s="75">
        <f t="array" ref="X95">SUM((YEAR(Gastos!$A$2:$A$2500)=X$1)*(MONTH(Gastos!$A$2:$A$2500)=X$3)*(Gastos!$B$2:$B$2500=$A95)*(Gastos!$D$2:$D$2500))</f>
        <v>0</v>
      </c>
      <c r="Y95" s="75">
        <f t="array" ref="Y95">SUM((YEAR(Gastos!$A$2:$A$2500)=Y$1)*(MONTH(Gastos!$A$2:$A$2500)=Y$3)*(Gastos!$B$2:$B$2500=$A95)*(Gastos!$D$2:$D$2500))</f>
        <v>0</v>
      </c>
      <c r="Z95" s="75">
        <f t="array" ref="Z95">SUM((YEAR(Gastos!$A$2:$A$2500)=Z$1)*(MONTH(Gastos!$A$2:$A$2500)=Z$3)*(Gastos!$B$2:$B$2500=$A95)*(Gastos!$D$2:$D$2500))</f>
        <v>0</v>
      </c>
      <c r="AA95" s="75">
        <f t="array" ref="AA95">SUM((YEAR(Gastos!$A$2:$A$2500)=AA$1)*(MONTH(Gastos!$A$2:$A$2500)=AA$3)*(Gastos!$B$2:$B$2500=$A95)*(Gastos!$D$2:$D$2500))</f>
        <v>0</v>
      </c>
      <c r="AB95" s="75">
        <f t="array" ref="AB95">SUM((YEAR(Gastos!$A$2:$A$2500)=AB$1)*(MONTH(Gastos!$A$2:$A$2500)=AB$3)*(Gastos!$B$2:$B$2500=$A95)*(Gastos!$D$2:$D$2500))</f>
        <v>0</v>
      </c>
      <c r="AC95" s="75">
        <f t="array" ref="AC95">SUM((YEAR(Gastos!$A$2:$A$2500)=AC$1)*(MONTH(Gastos!$A$2:$A$2500)=AC$3)*(Gastos!$B$2:$B$2500=$A95)*(Gastos!$D$2:$D$2500))</f>
        <v>0</v>
      </c>
      <c r="AD95" s="75">
        <f t="array" ref="AD95">SUM((YEAR(Gastos!$A$2:$A$2500)=AD$1)*(MONTH(Gastos!$A$2:$A$2500)=AD$3)*(Gastos!$B$2:$B$2500=$A95)*(Gastos!$D$2:$D$2500))</f>
        <v>0</v>
      </c>
      <c r="AE95" s="75">
        <f t="array" ref="AE95">SUM((YEAR(Gastos!$A$2:$A$2500)=AE$1)*(MONTH(Gastos!$A$2:$A$2500)=AE$3)*(Gastos!$B$2:$B$2500=$A95)*(Gastos!$D$2:$D$2500))</f>
        <v>0</v>
      </c>
      <c r="AF95" s="75">
        <f t="array" ref="AF95">SUM((YEAR(Gastos!$A$2:$A$2500)=AF$1)*(MONTH(Gastos!$A$2:$A$2500)=AF$3)*(Gastos!$B$2:$B$2500=$A95)*(Gastos!$D$2:$D$2500))</f>
        <v>0</v>
      </c>
      <c r="AG95" s="75">
        <f t="array" ref="AG95">SUM((YEAR(Gastos!$A$2:$A$2500)=AG$1)*(MONTH(Gastos!$A$2:$A$2500)=AG$3)*(Gastos!$B$2:$B$2500=$A95)*(Gastos!$D$2:$D$2500))</f>
        <v>0</v>
      </c>
      <c r="AH95" s="75">
        <f t="array" ref="AH95">SUM((YEAR(Gastos!$A$2:$A$2500)=AH$1)*(MONTH(Gastos!$A$2:$A$2500)=AH$3)*(Gastos!$B$2:$B$2500=$A95)*(Gastos!$D$2:$D$2500))</f>
        <v>0</v>
      </c>
      <c r="AI95" s="75">
        <f t="array" ref="AI95">SUM((YEAR(Gastos!$A$2:$A$2500)=AI$1)*(MONTH(Gastos!$A$2:$A$2500)=AI$3)*(Gastos!$B$2:$B$2500=$A95)*(Gastos!$D$2:$D$2500))</f>
        <v>0</v>
      </c>
      <c r="AJ95" s="75">
        <f t="array" ref="AJ95">SUM((YEAR(Gastos!$A$2:$A$2500)=AJ$1)*(MONTH(Gastos!$A$2:$A$2500)=AJ$3)*(Gastos!$B$2:$B$2500=$A95)*(Gastos!$D$2:$D$2500))</f>
        <v>0</v>
      </c>
      <c r="AK95" s="75">
        <f t="array" ref="AK95">SUM((YEAR(Gastos!$A$2:$A$2500)=AK$1)*(MONTH(Gastos!$A$2:$A$2500)=AK$3)*(Gastos!$B$2:$B$2500=$A95)*(Gastos!$D$2:$D$2500))</f>
        <v>0</v>
      </c>
      <c r="AL95" s="75">
        <f t="array" ref="AL95">SUM((YEAR(Gastos!$A$2:$A$2500)=AL$1)*(MONTH(Gastos!$A$2:$A$2500)=AL$3)*(Gastos!$B$2:$B$2500=$A95)*(Gastos!$D$2:$D$2500))</f>
        <v>0</v>
      </c>
      <c r="AM95" s="75">
        <f t="array" ref="AM95">SUM((YEAR(Gastos!$A$2:$A$2500)=AM$1)*(MONTH(Gastos!$A$2:$A$2500)=AM$3)*(Gastos!$B$2:$B$2500=$A95)*(Gastos!$D$2:$D$2500))</f>
        <v>0</v>
      </c>
      <c r="AN95" s="75">
        <f t="array" ref="AN95">SUM((YEAR(Gastos!$A$2:$A$2500)=AN$1)*(MONTH(Gastos!$A$2:$A$2500)=AN$3)*(Gastos!$B$2:$B$2500=$A95)*(Gastos!$D$2:$D$2500))</f>
        <v>0</v>
      </c>
      <c r="AO95" s="75">
        <f t="array" ref="AO95">SUM((YEAR(Gastos!$A$2:$A$2500)=AO$1)*(MONTH(Gastos!$A$2:$A$2500)=AO$3)*(Gastos!$B$2:$B$2500=$A95)*(Gastos!$D$2:$D$2500))</f>
        <v>0</v>
      </c>
      <c r="AP95" s="75">
        <f t="array" ref="AP95">SUM((YEAR(Gastos!$A$2:$A$2500)=AP$1)*(MONTH(Gastos!$A$2:$A$2500)=AP$3)*(Gastos!$B$2:$B$2500=$A95)*(Gastos!$D$2:$D$2500))</f>
        <v>0</v>
      </c>
      <c r="AQ95" s="75">
        <f t="array" ref="AQ95">SUM((YEAR(Gastos!$A$2:$A$2500)=AQ$1)*(MONTH(Gastos!$A$2:$A$2500)=AQ$3)*(Gastos!$B$2:$B$2500=$A95)*(Gastos!$D$2:$D$2500))</f>
        <v>0</v>
      </c>
      <c r="AR95" s="75">
        <f t="array" ref="AR95">SUM((YEAR(Gastos!$A$2:$A$2500)=AR$1)*(MONTH(Gastos!$A$2:$A$2500)=AR$3)*(Gastos!$B$2:$B$2500=$A95)*(Gastos!$D$2:$D$2500))</f>
        <v>0</v>
      </c>
      <c r="AS95" s="75">
        <f t="array" ref="AS95">SUM((YEAR(Gastos!$A$2:$A$2500)=AS$1)*(MONTH(Gastos!$A$2:$A$2500)=AS$3)*(Gastos!$B$2:$B$2500=$A95)*(Gastos!$D$2:$D$2500))</f>
        <v>0</v>
      </c>
      <c r="AT95" s="75">
        <f t="array" ref="AT95">SUM((YEAR(Gastos!$A$2:$A$2500)=AT$1)*(MONTH(Gastos!$A$2:$A$2500)=AT$3)*(Gastos!$B$2:$B$2500=$A95)*(Gastos!$D$2:$D$2500))</f>
        <v>0</v>
      </c>
      <c r="AU95" s="75">
        <f t="array" ref="AU95">SUM((YEAR(Gastos!$A$2:$A$2500)=AU$1)*(MONTH(Gastos!$A$2:$A$2500)=AU$3)*(Gastos!$B$2:$B$2500=$A95)*(Gastos!$D$2:$D$2500))</f>
        <v>0</v>
      </c>
      <c r="AV95" s="75">
        <f t="array" ref="AV95">SUM((YEAR(Gastos!$A$2:$A$2500)=AV$1)*(MONTH(Gastos!$A$2:$A$2500)=AV$3)*(Gastos!$B$2:$B$2500=$A95)*(Gastos!$D$2:$D$2500))</f>
        <v>0</v>
      </c>
      <c r="AW95" s="75">
        <f t="array" ref="AW95">SUM((YEAR(Gastos!$A$2:$A$2500)=AW$1)*(MONTH(Gastos!$A$2:$A$2500)=AW$3)*(Gastos!$B$2:$B$2500=$A95)*(Gastos!$D$2:$D$2500))</f>
        <v>0</v>
      </c>
      <c r="AX95" s="75">
        <f t="array" ref="AX95">SUM((YEAR(Gastos!$A$2:$A$2500)=AX$1)*(MONTH(Gastos!$A$2:$A$2500)=AX$3)*(Gastos!$B$2:$B$2500=$A95)*(Gastos!$D$2:$D$2500))</f>
        <v>0</v>
      </c>
      <c r="AY95" s="75">
        <f t="array" ref="AY95">SUM((YEAR(Gastos!$A$2:$A$2500)=AY$1)*(MONTH(Gastos!$A$2:$A$2500)=AY$3)*(Gastos!$B$2:$B$2500=$A95)*(Gastos!$D$2:$D$2500))</f>
        <v>0</v>
      </c>
      <c r="AZ95" s="75">
        <f t="array" ref="AZ95">SUM((YEAR(Gastos!$A$2:$A$2500)=AZ$1)*(MONTH(Gastos!$A$2:$A$2500)=AZ$3)*(Gastos!$B$2:$B$2500=$A95)*(Gastos!$D$2:$D$2500))</f>
        <v>0</v>
      </c>
      <c r="BA95" s="75">
        <f t="array" ref="BA95">SUM((YEAR(Gastos!$A$2:$A$2500)=BA$1)*(MONTH(Gastos!$A$2:$A$2500)=BA$3)*(Gastos!$B$2:$B$2500=$A95)*(Gastos!$D$2:$D$2500))</f>
        <v>0</v>
      </c>
      <c r="BB95" s="75">
        <f t="array" ref="BB95">SUM((YEAR(Gastos!$A$2:$A$2500)=BB$1)*(MONTH(Gastos!$A$2:$A$2500)=BB$3)*(Gastos!$B$2:$B$2500=$A95)*(Gastos!$D$2:$D$2500))</f>
        <v>0</v>
      </c>
      <c r="BC95" s="75">
        <f t="array" ref="BC95">SUM((YEAR(Gastos!$A$2:$A$2500)=BC$1)*(MONTH(Gastos!$A$2:$A$2500)=BC$3)*(Gastos!$B$2:$B$2500=$A95)*(Gastos!$D$2:$D$2500))</f>
        <v>0</v>
      </c>
      <c r="BD95" s="75">
        <f t="array" ref="BD95">SUM((YEAR(Gastos!$A$2:$A$2500)=BD$1)*(MONTH(Gastos!$A$2:$A$2500)=BD$3)*(Gastos!$B$2:$B$2500=$A95)*(Gastos!$D$2:$D$2500))</f>
        <v>0</v>
      </c>
      <c r="BE95" s="75">
        <f t="array" ref="BE95">SUM((YEAR(Gastos!$A$2:$A$2500)=BE$1)*(MONTH(Gastos!$A$2:$A$2500)=BE$3)*(Gastos!$B$2:$B$2500=$A95)*(Gastos!$D$2:$D$2500))</f>
        <v>0</v>
      </c>
      <c r="BF95" s="75">
        <f t="array" ref="BF95">SUM((YEAR(Gastos!$A$2:$A$2500)=BF$1)*(MONTH(Gastos!$A$2:$A$2500)=BF$3)*(Gastos!$B$2:$B$2500=$A95)*(Gastos!$D$2:$D$2500))</f>
        <v>0</v>
      </c>
      <c r="BG95" s="75">
        <f t="array" ref="BG95">SUM((YEAR(Gastos!$A$2:$A$2500)=BG$1)*(MONTH(Gastos!$A$2:$A$2500)=BG$3)*(Gastos!$B$2:$B$2500=$A95)*(Gastos!$D$2:$D$2500))</f>
        <v>0</v>
      </c>
      <c r="BH95" s="75">
        <f t="array" ref="BH95">SUM((YEAR(Gastos!$A$2:$A$2500)=BH$1)*(MONTH(Gastos!$A$2:$A$2500)=BH$3)*(Gastos!$B$2:$B$2500=$A95)*(Gastos!$D$2:$D$2500))</f>
        <v>0</v>
      </c>
      <c r="BI95" s="75">
        <f t="array" ref="BI95">SUM((YEAR(Gastos!$A$2:$A$2500)=BI$1)*(MONTH(Gastos!$A$2:$A$2500)=BI$3)*(Gastos!$B$2:$B$2500=$A95)*(Gastos!$D$2:$D$2500))</f>
        <v>0</v>
      </c>
      <c r="BJ95" s="75">
        <f t="array" ref="BJ95">SUM((YEAR(Gastos!$A$2:$A$2500)=BJ$1)*(MONTH(Gastos!$A$2:$A$2500)=BJ$3)*(Gastos!$B$2:$B$2500=$A95)*(Gastos!$D$2:$D$2500))</f>
        <v>0</v>
      </c>
      <c r="BK95" s="75">
        <f t="array" ref="BK95">SUM((YEAR(Gastos!$A$2:$A$2500)=BK$1)*(MONTH(Gastos!$A$2:$A$2500)=BK$3)*(Gastos!$B$2:$B$2500=$A95)*(Gastos!$D$2:$D$2500))</f>
        <v>0</v>
      </c>
      <c r="BL95" s="75">
        <f t="array" ref="BL95">SUM((YEAR(Gastos!$A$2:$A$2500)=BL$1)*(MONTH(Gastos!$A$2:$A$2500)=BL$3)*(Gastos!$B$2:$B$2500=$A95)*(Gastos!$D$2:$D$2500))</f>
        <v>0</v>
      </c>
      <c r="BM95" s="75">
        <f t="array" ref="BM95">SUM((YEAR(Gastos!$A$2:$A$2500)=BM$1)*(MONTH(Gastos!$A$2:$A$2500)=BM$3)*(Gastos!$B$2:$B$2500=$A95)*(Gastos!$D$2:$D$2500))</f>
        <v>0</v>
      </c>
      <c r="BN95" s="75">
        <f t="array" ref="BN95">SUM((YEAR(Gastos!$A$2:$A$2500)=BN$1)*(MONTH(Gastos!$A$2:$A$2500)=BN$3)*(Gastos!$B$2:$B$2500=$A95)*(Gastos!$D$2:$D$2500))</f>
        <v>144</v>
      </c>
      <c r="BO95" s="75">
        <f t="array" ref="BO95">SUM((YEAR(Gastos!$A$2:$A$2500)=BO$1)*(MONTH(Gastos!$A$2:$A$2500)=BO$3)*(Gastos!$B$2:$B$2500=$A95)*(Gastos!$D$2:$D$2500))</f>
        <v>0</v>
      </c>
      <c r="BP95" s="75">
        <f t="array" ref="BP95">SUM((YEAR(Gastos!$A$2:$A$2500)=BP$1)*(MONTH(Gastos!$A$2:$A$2500)=BP$3)*(Gastos!$B$2:$B$2500=$A95)*(Gastos!$D$2:$D$2500))</f>
        <v>0</v>
      </c>
      <c r="BQ95" s="75">
        <f t="array" ref="BQ95">SUM((YEAR(Gastos!$A$2:$A$2500)=BQ$1)*(MONTH(Gastos!$A$2:$A$2500)=BQ$3)*(Gastos!$B$2:$B$2500=$A95)*(Gastos!$D$2:$D$2500))</f>
        <v>0</v>
      </c>
      <c r="BR95" s="75">
        <f t="array" ref="BR95">SUM((YEAR(Gastos!$A$2:$A$2500)=BR$1)*(MONTH(Gastos!$A$2:$A$2500)=BR$3)*(Gastos!$B$2:$B$2500=$A95)*(Gastos!$D$2:$D$2500))</f>
        <v>0</v>
      </c>
      <c r="BS95" s="75">
        <f t="array" ref="BS95">SUM((YEAR(Gastos!$A$2:$A$2500)=BS$1)*(MONTH(Gastos!$A$2:$A$2500)=BS$3)*(Gastos!$B$2:$B$2500=$A95)*(Gastos!$D$2:$D$2500))</f>
        <v>0</v>
      </c>
      <c r="BT95" s="75">
        <f t="array" ref="BT95">SUM((YEAR(Gastos!$A$2:$A$2500)=BT$1)*(MONTH(Gastos!$A$2:$A$2500)=BT$3)*(Gastos!$B$2:$B$2500=$A95)*(Gastos!$D$2:$D$2500))</f>
        <v>0</v>
      </c>
      <c r="BU95" s="75">
        <f t="array" ref="BU95">SUM((YEAR(Gastos!$A$2:$A$2500)=BU$1)*(MONTH(Gastos!$A$2:$A$2500)=BU$3)*(Gastos!$B$2:$B$2500=$A95)*(Gastos!$D$2:$D$2500))</f>
        <v>0</v>
      </c>
      <c r="BV95" s="75">
        <f t="array" ref="BV95">SUM((YEAR(Gastos!$A$2:$A$2500)=BV$1)*(MONTH(Gastos!$A$2:$A$2500)=BV$3)*(Gastos!$B$2:$B$2500=$A95)*(Gastos!$D$2:$D$2500))</f>
        <v>0</v>
      </c>
      <c r="BW95" s="75">
        <f t="array" ref="BW95">SUM((YEAR(Gastos!$A$2:$A$2500)=BW$1)*(MONTH(Gastos!$A$2:$A$2500)=BW$3)*(Gastos!$B$2:$B$2500=$A95)*(Gastos!$D$2:$D$2500))</f>
        <v>0</v>
      </c>
      <c r="BX95" s="75">
        <f t="array" ref="BX95">SUM((YEAR(Gastos!$A$2:$A$2500)=BX$1)*(MONTH(Gastos!$A$2:$A$2500)=BX$3)*(Gastos!$B$2:$B$2500=$A95)*(Gastos!$D$2:$D$2500))</f>
        <v>0</v>
      </c>
      <c r="BY95" s="75">
        <f t="array" ref="BY95">SUM((YEAR(Gastos!$A$2:$A$2500)=BY$1)*(MONTH(Gastos!$A$2:$A$2500)=BY$3)*(Gastos!$B$2:$B$2500=$A95)*(Gastos!$D$2:$D$2500))</f>
        <v>0</v>
      </c>
      <c r="BZ95" s="75">
        <f t="array" ref="BZ95">SUM((YEAR(Gastos!$A$2:$A$2500)=BZ$1)*(MONTH(Gastos!$A$2:$A$2500)=BZ$3)*(Gastos!$B$2:$B$2500=$A95)*(Gastos!$D$2:$D$2500))</f>
        <v>0</v>
      </c>
      <c r="CA95" s="75">
        <f t="array" ref="CA95">SUM((YEAR(Gastos!$A$2:$A$2500)=CA$1)*(MONTH(Gastos!$A$2:$A$2500)=CA$3)*(Gastos!$B$2:$B$2500=$A95)*(Gastos!$D$2:$D$2500))</f>
        <v>0</v>
      </c>
      <c r="CB95" s="75">
        <f t="array" ref="CB95">SUM((YEAR(Gastos!$A$2:$A$2500)=CB$1)*(MONTH(Gastos!$A$2:$A$2500)=CB$3)*(Gastos!$B$2:$B$2500=$A95)*(Gastos!$D$2:$D$2500))</f>
        <v>0</v>
      </c>
      <c r="CC95" s="75">
        <f t="array" ref="CC95">SUM((YEAR(Gastos!$A$2:$A$2500)=CC$1)*(MONTH(Gastos!$A$2:$A$2500)=CC$3)*(Gastos!$B$2:$B$2500=$A95)*(Gastos!$D$2:$D$2500))</f>
        <v>0</v>
      </c>
      <c r="CD95" s="75">
        <f t="array" ref="CD95">SUM((YEAR(Gastos!$A$2:$A$2500)=CD$1)*(MONTH(Gastos!$A$2:$A$2500)=CD$3)*(Gastos!$B$2:$B$2500=$A95)*(Gastos!$D$2:$D$2500))</f>
        <v>0</v>
      </c>
      <c r="CE95" s="75">
        <f t="array" ref="CE95">SUM((YEAR(Gastos!$A$2:$A$2500)=CE$1)*(MONTH(Gastos!$A$2:$A$2500)=CE$3)*(Gastos!$B$2:$B$2500=$A95)*(Gastos!$D$2:$D$2500))</f>
        <v>0</v>
      </c>
      <c r="CF95" s="75">
        <f t="array" ref="CF95">SUM((YEAR(Gastos!$A$2:$A$2500)=CF$1)*(MONTH(Gastos!$A$2:$A$2500)=CF$3)*(Gastos!$B$2:$B$2500=$A95)*(Gastos!$D$2:$D$2500))</f>
        <v>0</v>
      </c>
      <c r="CG95" s="75">
        <f t="array" ref="CG95">SUM((YEAR(Gastos!$A$2:$A$2500)=CG$1)*(MONTH(Gastos!$A$2:$A$2500)=CG$3)*(Gastos!$B$2:$B$2500=$A95)*(Gastos!$D$2:$D$2500))</f>
        <v>0</v>
      </c>
      <c r="CH95" s="75">
        <f t="array" ref="CH95">SUM((YEAR(Gastos!$A$2:$A$2500)=CH$1)*(MONTH(Gastos!$A$2:$A$2500)=CH$3)*(Gastos!$B$2:$B$2500=$A95)*(Gastos!$D$2:$D$2500))</f>
        <v>0</v>
      </c>
      <c r="CI95" s="75">
        <f t="array" ref="CI95">SUM((YEAR(Gastos!$A$2:$A$2500)=CI$1)*(MONTH(Gastos!$A$2:$A$2500)=CI$3)*(Gastos!$B$2:$B$2500=$A95)*(Gastos!$D$2:$D$2500))</f>
        <v>0</v>
      </c>
      <c r="CJ95" s="75">
        <f t="array" ref="CJ95">SUM((YEAR(Gastos!$A$2:$A$2500)=CJ$1)*(MONTH(Gastos!$A$2:$A$2500)=CJ$3)*(Gastos!$B$2:$B$2500=$A95)*(Gastos!$D$2:$D$2500))</f>
        <v>0</v>
      </c>
      <c r="CK95" s="75">
        <f t="array" ref="CK95">SUM((YEAR(Gastos!$A$2:$A$2500)=CK$1)*(MONTH(Gastos!$A$2:$A$2500)=CK$3)*(Gastos!$B$2:$B$2500=$A95)*(Gastos!$D$2:$D$2500))</f>
        <v>0</v>
      </c>
      <c r="CL95" s="75">
        <f t="array" ref="CL95">SUM((YEAR(Gastos!$A$2:$A$2500)=CL$1)*(MONTH(Gastos!$A$2:$A$2500)=CL$3)*(Gastos!$B$2:$B$2500=$A95)*(Gastos!$D$2:$D$2500))</f>
        <v>0</v>
      </c>
      <c r="CM95" s="75">
        <f t="array" ref="CM95">SUM((YEAR(Gastos!$A$2:$A$2500)=CM$1)*(MONTH(Gastos!$A$2:$A$2500)=CM$3)*(Gastos!$B$2:$B$2500=$A95)*(Gastos!$D$2:$D$2500))</f>
        <v>0</v>
      </c>
      <c r="CN95" s="75">
        <f t="array" ref="CN95">SUM((YEAR(Gastos!$A$2:$A$2500)=CN$1)*(MONTH(Gastos!$A$2:$A$2500)=CN$3)*(Gastos!$B$2:$B$2500=$A95)*(Gastos!$D$2:$D$2500))</f>
        <v>0</v>
      </c>
      <c r="CO95" s="75">
        <f t="array" ref="CO95">SUM((YEAR(Gastos!$A$2:$A$2500)=CO$1)*(MONTH(Gastos!$A$2:$A$2500)=CO$3)*(Gastos!$B$2:$B$2500=$A95)*(Gastos!$D$2:$D$2500))</f>
        <v>0</v>
      </c>
      <c r="CP95" s="75">
        <f t="array" ref="CP95">SUM((YEAR(Gastos!$A$2:$A$2500)=CP$1)*(MONTH(Gastos!$A$2:$A$2500)=CP$3)*(Gastos!$B$2:$B$2500=$A95)*(Gastos!$D$2:$D$2500))</f>
        <v>0</v>
      </c>
      <c r="CQ95" s="75">
        <f t="array" ref="CQ95">SUM((YEAR(Gastos!$A$2:$A$2500)=CQ$1)*(MONTH(Gastos!$A$2:$A$2500)=CQ$3)*(Gastos!$B$2:$B$2500=$A95)*(Gastos!$D$2:$D$2500))</f>
        <v>0</v>
      </c>
      <c r="CR95" s="75">
        <f t="array" ref="CR95">SUM((YEAR(Gastos!$A$2:$A$2500)=CR$1)*(MONTH(Gastos!$A$2:$A$2500)=CR$3)*(Gastos!$B$2:$B$2500=$A95)*(Gastos!$D$2:$D$2500))</f>
        <v>0</v>
      </c>
      <c r="CS95" s="75">
        <f t="array" ref="CS95">SUM((YEAR(Gastos!$A$2:$A$2500)=CS$1)*(MONTH(Gastos!$A$2:$A$2500)=CS$3)*(Gastos!$B$2:$B$2500=$A95)*(Gastos!$D$2:$D$2500))</f>
        <v>0</v>
      </c>
      <c r="CT95" s="75">
        <f t="array" ref="CT95">SUM((YEAR(Gastos!$A$2:$A$2500)=CT$1)*(MONTH(Gastos!$A$2:$A$2500)=CT$3)*(Gastos!$B$2:$B$2500=$A95)*(Gastos!$D$2:$D$2500))</f>
        <v>0</v>
      </c>
      <c r="CU95" s="75">
        <f t="array" ref="CU95">SUM((YEAR(Gastos!$A$2:$A$2500)=CU$1)*(MONTH(Gastos!$A$2:$A$2500)=CU$3)*(Gastos!$B$2:$B$2500=$A95)*(Gastos!$D$2:$D$2500))</f>
        <v>0</v>
      </c>
      <c r="CV95" s="75">
        <f t="array" ref="CV95">SUM((YEAR(Gastos!$A$2:$A$2500)=CV$1)*(MONTH(Gastos!$A$2:$A$2500)=CV$3)*(Gastos!$B$2:$B$2500=$A95)*(Gastos!$D$2:$D$2500))</f>
        <v>0</v>
      </c>
      <c r="CW95" s="75">
        <f t="array" ref="CW95">SUM((YEAR(Gastos!$A$2:$A$2500)=CW$1)*(MONTH(Gastos!$A$2:$A$2500)=CW$3)*(Gastos!$B$2:$B$2500=$A95)*(Gastos!$D$2:$D$2500))</f>
        <v>0</v>
      </c>
      <c r="CX95" s="75">
        <f t="array" ref="CX95">SUM((YEAR(Gastos!$A$2:$A$2500)=CX$1)*(MONTH(Gastos!$A$2:$A$2500)=CX$3)*(Gastos!$B$2:$B$2500=$A95)*(Gastos!$D$2:$D$2500))</f>
        <v>0</v>
      </c>
      <c r="CY95" s="75">
        <f t="array" ref="CY95">SUM((YEAR(Gastos!$A$2:$A$2500)=CY$1)*(MONTH(Gastos!$A$2:$A$2500)=CY$3)*(Gastos!$B$2:$B$2500=$A95)*(Gastos!$D$2:$D$2500))</f>
        <v>0</v>
      </c>
      <c r="CZ95" s="75">
        <f t="array" ref="CZ95">SUM((YEAR(Gastos!$A$2:$A$2500)=CZ$1)*(MONTH(Gastos!$A$2:$A$2500)=CZ$3)*(Gastos!$B$2:$B$2500=$A95)*(Gastos!$D$2:$D$2500))</f>
        <v>0</v>
      </c>
      <c r="DA95" s="75">
        <f t="array" ref="DA95">SUM((YEAR(Gastos!$A$2:$A$2500)=DA$1)*(MONTH(Gastos!$A$2:$A$2500)=DA$3)*(Gastos!$B$2:$B$2500=$A95)*(Gastos!$D$2:$D$2500))</f>
        <v>0</v>
      </c>
      <c r="DB95" s="75">
        <f t="array" ref="DB95">SUM((YEAR(Gastos!$A$2:$A$2500)=DB$1)*(MONTH(Gastos!$A$2:$A$2500)=DB$3)*(Gastos!$B$2:$B$2500=$A95)*(Gastos!$D$2:$D$2500))</f>
        <v>0</v>
      </c>
      <c r="DC95" s="75">
        <f t="array" ref="DC95">SUM((YEAR(Gastos!$A$2:$A$2500)=DC$1)*(MONTH(Gastos!$A$2:$A$2500)=DC$3)*(Gastos!$B$2:$B$2500=$A95)*(Gastos!$D$2:$D$2500))</f>
        <v>0</v>
      </c>
      <c r="DD95" s="75">
        <f t="array" ref="DD95">SUM((YEAR(Gastos!$A$2:$A$2500)=DD$1)*(MONTH(Gastos!$A$2:$A$2500)=DD$3)*(Gastos!$B$2:$B$2500=$A95)*(Gastos!$D$2:$D$2500))</f>
        <v>0</v>
      </c>
      <c r="DE95" s="75">
        <f t="array" ref="DE95">SUM((YEAR(Gastos!$A$2:$A$2500)=DE$1)*(MONTH(Gastos!$A$2:$A$2500)=DE$3)*(Gastos!$B$2:$B$2500=$A95)*(Gastos!$D$2:$D$2500))</f>
        <v>0</v>
      </c>
      <c r="DF95" s="75">
        <f t="array" ref="DF95">SUM((YEAR(Gastos!$A$2:$A$2500)=DF$1)*(MONTH(Gastos!$A$2:$A$2500)=DF$3)*(Gastos!$B$2:$B$2500=$A95)*(Gastos!$D$2:$D$2500))</f>
        <v>0</v>
      </c>
      <c r="DG95" s="75">
        <f t="array" ref="DG95">SUM((YEAR(Gastos!$A$2:$A$2500)=DG$1)*(MONTH(Gastos!$A$2:$A$2500)=DG$3)*(Gastos!$B$2:$B$2500=$A95)*(Gastos!$D$2:$D$2500))</f>
        <v>0</v>
      </c>
      <c r="DH95" s="75">
        <f t="array" ref="DH95">SUM((YEAR(Gastos!$A$2:$A$2500)=DH$1)*(MONTH(Gastos!$A$2:$A$2500)=DH$3)*(Gastos!$B$2:$B$2500=$A95)*(Gastos!$D$2:$D$2500))</f>
        <v>0</v>
      </c>
      <c r="DI95" s="75">
        <f t="array" ref="DI95">SUM((YEAR(Gastos!$A$2:$A$2500)=DI$1)*(MONTH(Gastos!$A$2:$A$2500)=DI$3)*(Gastos!$B$2:$B$2500=$A95)*(Gastos!$D$2:$D$2500))</f>
        <v>0</v>
      </c>
      <c r="DJ95" s="75">
        <f t="array" ref="DJ95">SUM((YEAR(Gastos!$A$2:$A$2500)=DJ$1)*(MONTH(Gastos!$A$2:$A$2500)=DJ$3)*(Gastos!$B$2:$B$2500=$A95)*(Gastos!$D$2:$D$2500))</f>
        <v>0</v>
      </c>
      <c r="DK95" s="75">
        <f t="array" ref="DK95">SUM((YEAR(Gastos!$A$2:$A$2500)=DK$1)*(MONTH(Gastos!$A$2:$A$2500)=DK$3)*(Gastos!$B$2:$B$2500=$A95)*(Gastos!$D$2:$D$2500))</f>
        <v>0</v>
      </c>
      <c r="DL95" s="75">
        <f t="array" ref="DL95">SUM((YEAR(Gastos!$A$2:$A$2500)=DL$1)*(MONTH(Gastos!$A$2:$A$2500)=DL$3)*(Gastos!$B$2:$B$2500=$A95)*(Gastos!$D$2:$D$2500))</f>
        <v>0</v>
      </c>
      <c r="DM95" s="75">
        <f t="array" ref="DM95">SUM((YEAR(Gastos!$A$2:$A$2500)=DM$1)*(MONTH(Gastos!$A$2:$A$2500)=DM$3)*(Gastos!$B$2:$B$2500=$A95)*(Gastos!$D$2:$D$2500))</f>
        <v>0</v>
      </c>
      <c r="DN95" s="75">
        <f t="array" ref="DN95">SUM((YEAR(Gastos!$A$2:$A$2500)=DN$1)*(MONTH(Gastos!$A$2:$A$2500)=DN$3)*(Gastos!$B$2:$B$2500=$A95)*(Gastos!$D$2:$D$2500))</f>
        <v>0</v>
      </c>
      <c r="DO95" s="75">
        <f t="array" ref="DO95">SUM((YEAR(Gastos!$A$2:$A$2500)=DO$1)*(MONTH(Gastos!$A$2:$A$2500)=DO$3)*(Gastos!$B$2:$B$2500=$A95)*(Gastos!$D$2:$D$2500))</f>
        <v>0</v>
      </c>
      <c r="DP95" s="75">
        <f t="array" ref="DP95">SUM((YEAR(Gastos!$A$2:$A$2500)=DP$1)*(MONTH(Gastos!$A$2:$A$2500)=DP$3)*(Gastos!$B$2:$B$2500=$A95)*(Gastos!$D$2:$D$2500))</f>
        <v>0</v>
      </c>
      <c r="DQ95" s="75">
        <f t="array" ref="DQ95">SUM((YEAR(Gastos!$A$2:$A$2500)=DQ$1)*(MONTH(Gastos!$A$2:$A$2500)=DQ$3)*(Gastos!$B$2:$B$2500=$A95)*(Gastos!$D$2:$D$2500))</f>
        <v>0</v>
      </c>
      <c r="DR95" s="75">
        <f t="array" ref="DR95">SUM((YEAR(Gastos!$A$2:$A$2500)=DR$1)*(MONTH(Gastos!$A$2:$A$2500)=DR$3)*(Gastos!$B$2:$B$2500=$A95)*(Gastos!$D$2:$D$2500))</f>
        <v>0</v>
      </c>
      <c r="DS95" s="75">
        <f t="array" ref="DS95">SUM((YEAR(Gastos!$A$2:$A$2500)=DS$1)*(MONTH(Gastos!$A$2:$A$2500)=DS$3)*(Gastos!$B$2:$B$2500=$A95)*(Gastos!$D$2:$D$2500))</f>
        <v>0</v>
      </c>
      <c r="DT95" s="75">
        <f t="array" ref="DT95">SUM((YEAR(Gastos!$A$2:$A$2500)=DT$1)*(MONTH(Gastos!$A$2:$A$2500)=DT$3)*(Gastos!$B$2:$B$2500=$A95)*(Gastos!$D$2:$D$2500))</f>
        <v>0</v>
      </c>
      <c r="DU95" s="75">
        <f t="array" ref="DU95">SUM((YEAR(Gastos!$A$2:$A$2500)=DU$1)*(MONTH(Gastos!$A$2:$A$2500)=DU$3)*(Gastos!$B$2:$B$2500=$A95)*(Gastos!$D$2:$D$2500))</f>
        <v>0</v>
      </c>
      <c r="DV95" s="75">
        <f t="array" ref="DV95">SUM((YEAR(Gastos!$A$2:$A$2500)=DV$1)*(MONTH(Gastos!$A$2:$A$2500)=DV$3)*(Gastos!$B$2:$B$2500=$A95)*(Gastos!$D$2:$D$2500))</f>
        <v>0</v>
      </c>
      <c r="DW95" s="75">
        <f t="array" ref="DW95">SUM((YEAR(Gastos!$A$2:$A$2500)=DW$1)*(MONTH(Gastos!$A$2:$A$2500)=DW$3)*(Gastos!$B$2:$B$2500=$A95)*(Gastos!$D$2:$D$2500))</f>
        <v>0</v>
      </c>
      <c r="DX95" s="75">
        <f t="array" ref="DX95">SUM((YEAR(Gastos!$A$2:$A$2500)=DX$1)*(MONTH(Gastos!$A$2:$A$2500)=DX$3)*(Gastos!$B$2:$B$2500=$A95)*(Gastos!$D$2:$D$2500))</f>
        <v>0</v>
      </c>
      <c r="DY95" s="75">
        <f t="array" ref="DY95">SUM((YEAR(Gastos!$A$2:$A$2500)=DY$1)*(MONTH(Gastos!$A$2:$A$2500)=DY$3)*(Gastos!$B$2:$B$2500=$A95)*(Gastos!$D$2:$D$2500))</f>
        <v>0</v>
      </c>
      <c r="DZ95" s="75">
        <f t="array" ref="DZ95">SUM((YEAR(Gastos!$A$2:$A$2500)=DZ$1)*(MONTH(Gastos!$A$2:$A$2500)=DZ$3)*(Gastos!$B$2:$B$2500=$A95)*(Gastos!$D$2:$D$2500))</f>
        <v>0</v>
      </c>
      <c r="EA95" s="75">
        <f t="array" ref="EA95">SUM((YEAR(Gastos!$A$2:$A$2500)=EA$1)*(MONTH(Gastos!$A$2:$A$2500)=EA$3)*(Gastos!$B$2:$B$2500=$A95)*(Gastos!$D$2:$D$2500))</f>
        <v>0</v>
      </c>
      <c r="EB95" s="75">
        <f t="array" ref="EB95">SUM((YEAR(Gastos!$A$2:$A$2500)=EB$1)*(MONTH(Gastos!$A$2:$A$2500)=EB$3)*(Gastos!$B$2:$B$2500=$A95)*(Gastos!$D$2:$D$2500))</f>
        <v>0</v>
      </c>
      <c r="EC95" s="75">
        <f t="array" ref="EC95">SUM((YEAR(Gastos!$A$2:$A$2500)=EC$1)*(MONTH(Gastos!$A$2:$A$2500)=EC$3)*(Gastos!$B$2:$B$2500=$A95)*(Gastos!$D$2:$D$2500))</f>
        <v>0</v>
      </c>
      <c r="ED95" s="75">
        <f t="array" ref="ED95">SUM((YEAR(Gastos!$A$2:$A$2500)=ED$1)*(MONTH(Gastos!$A$2:$A$2500)=ED$3)*(Gastos!$B$2:$B$2500=$A95)*(Gastos!$D$2:$D$2500))</f>
        <v>0</v>
      </c>
      <c r="EE95" s="75">
        <f t="array" ref="EE95">SUM((YEAR(Gastos!$A$2:$A$2500)=EE$1)*(MONTH(Gastos!$A$2:$A$2500)=EE$3)*(Gastos!$B$2:$B$2500=$A95)*(Gastos!$D$2:$D$2500))</f>
        <v>0</v>
      </c>
      <c r="EF95" s="75">
        <f t="array" ref="EF95">SUM((YEAR(Gastos!$A$2:$A$2500)=EF$1)*(MONTH(Gastos!$A$2:$A$2500)=EF$3)*(Gastos!$B$2:$B$2500=$A95)*(Gastos!$D$2:$D$2500))</f>
        <v>0</v>
      </c>
      <c r="EG95" s="75">
        <f t="array" ref="EG95">SUM((YEAR(Gastos!$A$2:$A$2500)=EG$1)*(MONTH(Gastos!$A$2:$A$2500)=EG$3)*(Gastos!$B$2:$B$2500=$A95)*(Gastos!$D$2:$D$2500))</f>
        <v>0</v>
      </c>
      <c r="EH95" s="75">
        <f t="array" ref="EH95">SUM((YEAR(Gastos!$A$2:$A$2500)=EH$1)*(MONTH(Gastos!$A$2:$A$2500)=EH$3)*(Gastos!$B$2:$B$2500=$A95)*(Gastos!$D$2:$D$2500))</f>
        <v>0</v>
      </c>
      <c r="EI95" s="75">
        <f t="array" ref="EI95">SUM((YEAR(Gastos!$A$2:$A$2500)=EI$1)*(MONTH(Gastos!$A$2:$A$2500)=EI$3)*(Gastos!$B$2:$B$2500=$A95)*(Gastos!$D$2:$D$2500))</f>
        <v>0</v>
      </c>
      <c r="EJ95" s="75">
        <f t="array" ref="EJ95">SUM((YEAR(Gastos!$A$2:$A$2500)=EJ$1)*(MONTH(Gastos!$A$2:$A$2500)=EJ$3)*(Gastos!$B$2:$B$2500=$A95)*(Gastos!$D$2:$D$2500))</f>
        <v>0</v>
      </c>
      <c r="EK95" s="75">
        <f t="array" ref="EK95">SUM((YEAR(Gastos!$A$2:$A$2500)=EK$1)*(MONTH(Gastos!$A$2:$A$2500)=EK$3)*(Gastos!$B$2:$B$2500=$A95)*(Gastos!$D$2:$D$2500))</f>
        <v>0</v>
      </c>
      <c r="EL95" s="75">
        <f t="array" ref="EL95">SUM((YEAR(Gastos!$A$2:$A$2500)=EL$1)*(MONTH(Gastos!$A$2:$A$2500)=EL$3)*(Gastos!$B$2:$B$2500=$A95)*(Gastos!$D$2:$D$2500))</f>
        <v>0</v>
      </c>
      <c r="EM95" s="75">
        <f t="array" ref="EM95">SUM((YEAR(Gastos!$A$2:$A$2500)=EM$1)*(MONTH(Gastos!$A$2:$A$2500)=EM$3)*(Gastos!$B$2:$B$2500=$A95)*(Gastos!$D$2:$D$2500))</f>
        <v>0</v>
      </c>
      <c r="EN95" s="75">
        <f t="array" ref="EN95">SUM((YEAR(Gastos!$A$2:$A$2500)=EN$1)*(MONTH(Gastos!$A$2:$A$2500)=EN$3)*(Gastos!$B$2:$B$2500=$A95)*(Gastos!$D$2:$D$2500))</f>
        <v>0</v>
      </c>
      <c r="EO95" s="75">
        <f t="array" ref="EO95">SUM((YEAR(Gastos!$A$2:$A$2500)=EO$1)*(MONTH(Gastos!$A$2:$A$2500)=EO$3)*(Gastos!$B$2:$B$2500=$A95)*(Gastos!$D$2:$D$2500))</f>
        <v>0</v>
      </c>
      <c r="EP95" s="75">
        <f t="array" ref="EP95">SUM((YEAR(Gastos!$A$2:$A$2500)=EP$1)*(MONTH(Gastos!$A$2:$A$2500)=EP$3)*(Gastos!$B$2:$B$2500=$A95)*(Gastos!$D$2:$D$2500))</f>
        <v>0</v>
      </c>
      <c r="EQ95" s="75">
        <f t="array" ref="EQ95">SUM((YEAR(Gastos!$A$2:$A$2500)=EQ$1)*(MONTH(Gastos!$A$2:$A$2500)=EQ$3)*(Gastos!$B$2:$B$2500=$A95)*(Gastos!$D$2:$D$2500))</f>
        <v>0</v>
      </c>
      <c r="ER95" s="75">
        <f t="array" ref="ER95">SUM((YEAR(Gastos!$A$2:$A$2500)=ER$1)*(MONTH(Gastos!$A$2:$A$2500)=ER$3)*(Gastos!$B$2:$B$2500=$A95)*(Gastos!$D$2:$D$2500))</f>
        <v>0</v>
      </c>
      <c r="ES95" s="75">
        <f t="array" ref="ES95">SUM((YEAR(Gastos!$A$2:$A$2500)=ES$1)*(MONTH(Gastos!$A$2:$A$2500)=ES$3)*(Gastos!$B$2:$B$2500=$A95)*(Gastos!$D$2:$D$2500))</f>
        <v>0</v>
      </c>
      <c r="ET95" s="75">
        <f t="array" ref="ET95">SUM((YEAR(Gastos!$A$2:$A$2500)=ET$1)*(MONTH(Gastos!$A$2:$A$2500)=ET$3)*(Gastos!$B$2:$B$2500=$A95)*(Gastos!$D$2:$D$2500))</f>
        <v>0</v>
      </c>
      <c r="EU95" s="75">
        <f t="array" ref="EU95">SUM((YEAR(Gastos!$A$2:$A$2500)=EU$1)*(MONTH(Gastos!$A$2:$A$2500)=EU$3)*(Gastos!$B$2:$B$2500=$A95)*(Gastos!$D$2:$D$2500))</f>
        <v>0</v>
      </c>
      <c r="EV95" s="75">
        <f t="array" ref="EV95">SUM((YEAR(Gastos!$A$2:$A$2500)=EV$1)*(MONTH(Gastos!$A$2:$A$2500)=EV$3)*(Gastos!$B$2:$B$2500=$A95)*(Gastos!$D$2:$D$2500))</f>
        <v>0</v>
      </c>
      <c r="EW95" s="75">
        <f t="array" ref="EW95">SUM((YEAR(Gastos!$A$2:$A$2500)=EW$1)*(MONTH(Gastos!$A$2:$A$2500)=EW$3)*(Gastos!$B$2:$B$2500=$A95)*(Gastos!$D$2:$D$2500))</f>
        <v>0</v>
      </c>
      <c r="EX95" s="75">
        <f t="array" ref="EX95">SUM((YEAR(Gastos!$A$2:$A$2500)=EX$1)*(MONTH(Gastos!$A$2:$A$2500)=EX$3)*(Gastos!$B$2:$B$2500=$A95)*(Gastos!$D$2:$D$2500))</f>
        <v>0</v>
      </c>
      <c r="EY95" s="75">
        <f t="array" ref="EY95">SUM((YEAR(Gastos!$A$2:$A$2500)=EY$1)*(MONTH(Gastos!$A$2:$A$2500)=EY$3)*(Gastos!$B$2:$B$2500=$A95)*(Gastos!$D$2:$D$2500))</f>
        <v>0</v>
      </c>
      <c r="EZ95" s="75">
        <f t="array" ref="EZ95">SUM((YEAR(Gastos!$A$2:$A$2500)=EZ$1)*(MONTH(Gastos!$A$2:$A$2500)=EZ$3)*(Gastos!$B$2:$B$2500=$A95)*(Gastos!$D$2:$D$2500))</f>
        <v>0</v>
      </c>
      <c r="FA95" s="75">
        <f t="array" ref="FA95">SUM((YEAR(Gastos!$A$2:$A$2500)=FA$1)*(MONTH(Gastos!$A$2:$A$2500)=FA$3)*(Gastos!$B$2:$B$2500=$A95)*(Gastos!$D$2:$D$2500))</f>
        <v>0</v>
      </c>
      <c r="FB95" s="75">
        <f t="array" ref="FB95">SUM((YEAR(Gastos!$A$2:$A$2500)=FB$1)*(MONTH(Gastos!$A$2:$A$2500)=FB$3)*(Gastos!$B$2:$B$2500=$A95)*(Gastos!$D$2:$D$2500))</f>
        <v>0</v>
      </c>
      <c r="FC95" s="75">
        <f t="array" ref="FC95">SUM((YEAR(Gastos!$A$2:$A$2500)=FC$1)*(MONTH(Gastos!$A$2:$A$2500)=FC$3)*(Gastos!$B$2:$B$2500=$A95)*(Gastos!$D$2:$D$2500))</f>
        <v>0</v>
      </c>
      <c r="FD95" s="75">
        <f t="array" ref="FD95">SUM((YEAR(Gastos!$A$2:$A$2500)=FD$1)*(MONTH(Gastos!$A$2:$A$2500)=FD$3)*(Gastos!$B$2:$B$2500=$A95)*(Gastos!$D$2:$D$2500))</f>
        <v>0</v>
      </c>
      <c r="FE95" s="75">
        <f t="array" ref="FE95">SUM((YEAR(Gastos!$A$2:$A$2500)=FE$1)*(MONTH(Gastos!$A$2:$A$2500)=FE$3)*(Gastos!$B$2:$B$2500=$A95)*(Gastos!$D$2:$D$2500))</f>
        <v>0</v>
      </c>
      <c r="FF95" s="75">
        <f t="array" ref="FF95">SUM((YEAR(Gastos!$A$2:$A$2500)=FF$1)*(MONTH(Gastos!$A$2:$A$2500)=FF$3)*(Gastos!$B$2:$B$2500=$A95)*(Gastos!$D$2:$D$2500))</f>
        <v>0</v>
      </c>
      <c r="FG95" s="75">
        <f t="array" ref="FG95">SUM((YEAR(Gastos!$A$2:$A$2500)=FG$1)*(MONTH(Gastos!$A$2:$A$2500)=FG$3)*(Gastos!$B$2:$B$2500=$A95)*(Gastos!$D$2:$D$2500))</f>
        <v>0</v>
      </c>
      <c r="FH95" s="75">
        <f t="array" ref="FH95">SUM((YEAR(Gastos!$A$2:$A$2500)=FH$1)*(MONTH(Gastos!$A$2:$A$2500)=FH$3)*(Gastos!$B$2:$B$2500=$A95)*(Gastos!$D$2:$D$2500))</f>
        <v>0</v>
      </c>
      <c r="FI95" s="75">
        <f t="array" ref="FI95">SUM((YEAR(Gastos!$A$2:$A$2500)=FI$1)*(MONTH(Gastos!$A$2:$A$2500)=FI$3)*(Gastos!$B$2:$B$2500=$A95)*(Gastos!$D$2:$D$2500))</f>
        <v>0</v>
      </c>
      <c r="FJ95" s="75">
        <f t="array" ref="FJ95">SUM((YEAR(Gastos!$A$2:$A$2500)=FJ$1)*(MONTH(Gastos!$A$2:$A$2500)=FJ$3)*(Gastos!$B$2:$B$2500=$A95)*(Gastos!$D$2:$D$2500))</f>
        <v>0</v>
      </c>
      <c r="FK95" s="75">
        <f t="array" ref="FK95">SUM((YEAR(Gastos!$A$2:$A$2500)=FK$1)*(MONTH(Gastos!$A$2:$A$2500)=FK$3)*(Gastos!$B$2:$B$2500=$A95)*(Gastos!$D$2:$D$2500))</f>
        <v>0</v>
      </c>
      <c r="FL95" s="75">
        <f t="array" ref="FL95">SUM((YEAR(Gastos!$A$2:$A$2500)=FL$1)*(MONTH(Gastos!$A$2:$A$2500)=FL$3)*(Gastos!$B$2:$B$2500=$A95)*(Gastos!$D$2:$D$2500))</f>
        <v>0</v>
      </c>
      <c r="FM95" s="75">
        <f t="array" ref="FM95">SUM((YEAR(Gastos!$A$2:$A$2500)=FM$1)*(MONTH(Gastos!$A$2:$A$2500)=FM$3)*(Gastos!$B$2:$B$2500=$A95)*(Gastos!$D$2:$D$2500))</f>
        <v>0</v>
      </c>
      <c r="FN95" s="75">
        <f t="array" ref="FN95">SUM((YEAR(Gastos!$A$2:$A$2500)=FN$1)*(MONTH(Gastos!$A$2:$A$2500)=FN$3)*(Gastos!$B$2:$B$2500=$A95)*(Gastos!$D$2:$D$2500))</f>
        <v>0</v>
      </c>
      <c r="FO95" s="75">
        <f t="array" ref="FO95">SUM((YEAR(Gastos!$A$2:$A$2500)=FO$1)*(MONTH(Gastos!$A$2:$A$2500)=FO$3)*(Gastos!$B$2:$B$2500=$A95)*(Gastos!$D$2:$D$2500))</f>
        <v>0</v>
      </c>
      <c r="FP95" s="75">
        <f t="array" ref="FP95">SUM((YEAR(Gastos!$A$2:$A$2500)=FP$1)*(MONTH(Gastos!$A$2:$A$2500)=FP$3)*(Gastos!$B$2:$B$2500=$A95)*(Gastos!$D$2:$D$2500))</f>
        <v>0</v>
      </c>
      <c r="FQ95" s="75">
        <f t="array" ref="FQ95">SUM((YEAR(Gastos!$A$2:$A$2500)=FQ$1)*(MONTH(Gastos!$A$2:$A$2500)=FQ$3)*(Gastos!$B$2:$B$2500=$A95)*(Gastos!$D$2:$D$2500))</f>
        <v>0</v>
      </c>
      <c r="FR95" s="75">
        <f t="array" ref="FR95">SUM((YEAR(Gastos!$A$2:$A$2500)=FR$1)*(MONTH(Gastos!$A$2:$A$2500)=FR$3)*(Gastos!$B$2:$B$2500=$A95)*(Gastos!$D$2:$D$2500))</f>
        <v>0</v>
      </c>
      <c r="FS95" s="75">
        <f t="array" ref="FS95">SUM((YEAR(Gastos!$A$2:$A$2500)=FS$1)*(MONTH(Gastos!$A$2:$A$2500)=FS$3)*(Gastos!$B$2:$B$2500=$A95)*(Gastos!$D$2:$D$2500))</f>
        <v>0</v>
      </c>
      <c r="FT95" s="75">
        <f t="array" ref="FT95">SUM((YEAR(Gastos!$A$2:$A$2500)=FT$1)*(MONTH(Gastos!$A$2:$A$2500)=FT$3)*(Gastos!$B$2:$B$2500=$A95)*(Gastos!$D$2:$D$2500))</f>
        <v>0</v>
      </c>
      <c r="FU95" s="75">
        <f t="array" ref="FU95">SUM((YEAR(Gastos!$A$2:$A$2500)=FU$1)*(MONTH(Gastos!$A$2:$A$2500)=FU$3)*(Gastos!$B$2:$B$2500=$A95)*(Gastos!$D$2:$D$2500))</f>
        <v>0</v>
      </c>
      <c r="FV95" s="75">
        <f t="array" ref="FV95">SUM((YEAR(Gastos!$A$2:$A$2500)=FV$1)*(MONTH(Gastos!$A$2:$A$2500)=FV$3)*(Gastos!$B$2:$B$2500=$A95)*(Gastos!$D$2:$D$2500))</f>
        <v>0</v>
      </c>
      <c r="FW95" s="75">
        <f t="array" ref="FW95">SUM((YEAR(Gastos!$A$2:$A$2500)=FW$1)*(MONTH(Gastos!$A$2:$A$2500)=FW$3)*(Gastos!$B$2:$B$2500=$A95)*(Gastos!$D$2:$D$2500))</f>
        <v>0</v>
      </c>
      <c r="FX95" s="75">
        <f t="array" ref="FX95">SUM((YEAR(Gastos!$A$2:$A$2500)=FX$1)*(MONTH(Gastos!$A$2:$A$2500)=FX$3)*(Gastos!$B$2:$B$2500=$A95)*(Gastos!$D$2:$D$2500))</f>
        <v>0</v>
      </c>
      <c r="FY95" s="75">
        <f t="array" ref="FY95">SUM((YEAR(Gastos!$A$2:$A$2500)=FY$1)*(MONTH(Gastos!$A$2:$A$2500)=FY$3)*(Gastos!$B$2:$B$2500=$A95)*(Gastos!$D$2:$D$2500))</f>
        <v>0</v>
      </c>
      <c r="FZ95" s="76">
        <f t="shared" si="68"/>
        <v>144</v>
      </c>
      <c r="GA95" s="80"/>
      <c r="GB95" s="82"/>
    </row>
    <row r="96" spans="1:184" ht="15" thickBot="1" x14ac:dyDescent="0.4">
      <c r="A96" s="74" t="str">
        <f>Gastos!AA94</f>
        <v>V. DEPOSITOS A CUENTA 0147364954</v>
      </c>
      <c r="B96" s="75">
        <f t="array" ref="B96">SUM((YEAR(Gastos!$A$2:$A$2500)=B$1)*(MONTH(Gastos!$A$2:$A$2500)=B$3)*(Gastos!$B$2:$B$2500=$A96)*(Gastos!$D$2:$D$2500))</f>
        <v>0</v>
      </c>
      <c r="C96" s="75">
        <f t="array" ref="C96">SUM((YEAR(Gastos!$A$2:$A$2500)=C$1)*(MONTH(Gastos!$A$2:$A$2500)=C$3)*(Gastos!$B$2:$B$2500=$A96)*(Gastos!$D$2:$D$2500))</f>
        <v>0</v>
      </c>
      <c r="D96" s="75">
        <f t="array" ref="D96">SUM((YEAR(Gastos!$A$2:$A$2500)=D$1)*(MONTH(Gastos!$A$2:$A$2500)=D$3)*(Gastos!$B$2:$B$2500=$A96)*(Gastos!$D$2:$D$2500))</f>
        <v>0</v>
      </c>
      <c r="E96" s="75">
        <f t="array" ref="E96">SUM((YEAR(Gastos!$A$2:$A$2500)=E$1)*(MONTH(Gastos!$A$2:$A$2500)=E$3)*(Gastos!$B$2:$B$2500=$A96)*(Gastos!$D$2:$D$2500))</f>
        <v>0</v>
      </c>
      <c r="F96" s="75">
        <f t="array" ref="F96">SUM((YEAR(Gastos!$A$2:$A$2500)=F$1)*(MONTH(Gastos!$A$2:$A$2500)=F$3)*(Gastos!$B$2:$B$2500=$A96)*(Gastos!$D$2:$D$2500))</f>
        <v>5000</v>
      </c>
      <c r="G96" s="75">
        <f t="array" ref="G96">SUM((YEAR(Gastos!$A$2:$A$2500)=G$1)*(MONTH(Gastos!$A$2:$A$2500)=G$3)*(Gastos!$B$2:$B$2500=$A96)*(Gastos!$D$2:$D$2500))</f>
        <v>0</v>
      </c>
      <c r="H96" s="75">
        <f t="array" ref="H96">SUM((YEAR(Gastos!$A$2:$A$2500)=H$1)*(MONTH(Gastos!$A$2:$A$2500)=H$3)*(Gastos!$B$2:$B$2500=$A96)*(Gastos!$D$2:$D$2500))</f>
        <v>0</v>
      </c>
      <c r="I96" s="75">
        <f t="array" ref="I96">SUM((YEAR(Gastos!$A$2:$A$2500)=I$1)*(MONTH(Gastos!$A$2:$A$2500)=I$3)*(Gastos!$B$2:$B$2500=$A96)*(Gastos!$D$2:$D$2500))</f>
        <v>0</v>
      </c>
      <c r="J96" s="75">
        <f t="array" ref="J96">SUM((YEAR(Gastos!$A$2:$A$2500)=J$1)*(MONTH(Gastos!$A$2:$A$2500)=J$3)*(Gastos!$B$2:$B$2500=$A96)*(Gastos!$D$2:$D$2500))</f>
        <v>0</v>
      </c>
      <c r="K96" s="75">
        <f t="array" ref="K96">SUM((YEAR(Gastos!$A$2:$A$2500)=K$1)*(MONTH(Gastos!$A$2:$A$2500)=K$3)*(Gastos!$B$2:$B$2500=$A96)*(Gastos!$D$2:$D$2500))</f>
        <v>0</v>
      </c>
      <c r="L96" s="75">
        <f t="array" ref="L96">SUM((YEAR(Gastos!$A$2:$A$2500)=L$1)*(MONTH(Gastos!$A$2:$A$2500)=L$3)*(Gastos!$B$2:$B$2500=$A96)*(Gastos!$D$2:$D$2500))</f>
        <v>0</v>
      </c>
      <c r="M96" s="75">
        <f t="array" ref="M96">SUM((YEAR(Gastos!$A$2:$A$2500)=M$1)*(MONTH(Gastos!$A$2:$A$2500)=M$3)*(Gastos!$B$2:$B$2500=$A96)*(Gastos!$D$2:$D$2500))</f>
        <v>0</v>
      </c>
      <c r="N96" s="75">
        <f t="array" ref="N96">SUM((YEAR(Gastos!$A$2:$A$2500)=N$1)*(MONTH(Gastos!$A$2:$A$2500)=N$3)*(Gastos!$B$2:$B$2500=$A96)*(Gastos!$D$2:$D$2500))</f>
        <v>0</v>
      </c>
      <c r="O96" s="75">
        <f t="array" ref="O96">SUM((YEAR(Gastos!$A$2:$A$2500)=O$1)*(MONTH(Gastos!$A$2:$A$2500)=O$3)*(Gastos!$B$2:$B$2500=$A96)*(Gastos!$D$2:$D$2500))</f>
        <v>0</v>
      </c>
      <c r="P96" s="75">
        <f t="array" ref="P96">SUM((YEAR(Gastos!$A$2:$A$2500)=P$1)*(MONTH(Gastos!$A$2:$A$2500)=P$3)*(Gastos!$B$2:$B$2500=$A96)*(Gastos!$D$2:$D$2500))</f>
        <v>0</v>
      </c>
      <c r="Q96" s="75">
        <f t="array" ref="Q96">SUM((YEAR(Gastos!$A$2:$A$2500)=Q$1)*(MONTH(Gastos!$A$2:$A$2500)=Q$3)*(Gastos!$B$2:$B$2500=$A96)*(Gastos!$D$2:$D$2500))</f>
        <v>0</v>
      </c>
      <c r="R96" s="75">
        <f t="array" ref="R96">SUM((YEAR(Gastos!$A$2:$A$2500)=R$1)*(MONTH(Gastos!$A$2:$A$2500)=R$3)*(Gastos!$B$2:$B$2500=$A96)*(Gastos!$D$2:$D$2500))</f>
        <v>0</v>
      </c>
      <c r="S96" s="75">
        <f t="array" ref="S96">SUM((YEAR(Gastos!$A$2:$A$2500)=S$1)*(MONTH(Gastos!$A$2:$A$2500)=S$3)*(Gastos!$B$2:$B$2500=$A96)*(Gastos!$D$2:$D$2500))</f>
        <v>0</v>
      </c>
      <c r="T96" s="75">
        <f t="array" ref="T96">SUM((YEAR(Gastos!$A$2:$A$2500)=T$1)*(MONTH(Gastos!$A$2:$A$2500)=T$3)*(Gastos!$B$2:$B$2500=$A96)*(Gastos!$D$2:$D$2500))</f>
        <v>0</v>
      </c>
      <c r="U96" s="75">
        <f t="array" ref="U96">SUM((YEAR(Gastos!$A$2:$A$2500)=U$1)*(MONTH(Gastos!$A$2:$A$2500)=U$3)*(Gastos!$B$2:$B$2500=$A96)*(Gastos!$D$2:$D$2500))</f>
        <v>0</v>
      </c>
      <c r="V96" s="75">
        <f t="array" ref="V96">SUM((YEAR(Gastos!$A$2:$A$2500)=V$1)*(MONTH(Gastos!$A$2:$A$2500)=V$3)*(Gastos!$B$2:$B$2500=$A96)*(Gastos!$D$2:$D$2500))</f>
        <v>0</v>
      </c>
      <c r="W96" s="75">
        <f t="array" ref="W96">SUM((YEAR(Gastos!$A$2:$A$2500)=W$1)*(MONTH(Gastos!$A$2:$A$2500)=W$3)*(Gastos!$B$2:$B$2500=$A96)*(Gastos!$D$2:$D$2500))</f>
        <v>0</v>
      </c>
      <c r="X96" s="75">
        <f t="array" ref="X96">SUM((YEAR(Gastos!$A$2:$A$2500)=X$1)*(MONTH(Gastos!$A$2:$A$2500)=X$3)*(Gastos!$B$2:$B$2500=$A96)*(Gastos!$D$2:$D$2500))</f>
        <v>0</v>
      </c>
      <c r="Y96" s="75">
        <f t="array" ref="Y96">SUM((YEAR(Gastos!$A$2:$A$2500)=Y$1)*(MONTH(Gastos!$A$2:$A$2500)=Y$3)*(Gastos!$B$2:$B$2500=$A96)*(Gastos!$D$2:$D$2500))</f>
        <v>0</v>
      </c>
      <c r="Z96" s="75">
        <f t="array" ref="Z96">SUM((YEAR(Gastos!$A$2:$A$2500)=Z$1)*(MONTH(Gastos!$A$2:$A$2500)=Z$3)*(Gastos!$B$2:$B$2500=$A96)*(Gastos!$D$2:$D$2500))</f>
        <v>0</v>
      </c>
      <c r="AA96" s="75">
        <f t="array" ref="AA96">SUM((YEAR(Gastos!$A$2:$A$2500)=AA$1)*(MONTH(Gastos!$A$2:$A$2500)=AA$3)*(Gastos!$B$2:$B$2500=$A96)*(Gastos!$D$2:$D$2500))</f>
        <v>600</v>
      </c>
      <c r="AB96" s="75">
        <f t="array" ref="AB96">SUM((YEAR(Gastos!$A$2:$A$2500)=AB$1)*(MONTH(Gastos!$A$2:$A$2500)=AB$3)*(Gastos!$B$2:$B$2500=$A96)*(Gastos!$D$2:$D$2500))</f>
        <v>0</v>
      </c>
      <c r="AC96" s="75">
        <f t="array" ref="AC96">SUM((YEAR(Gastos!$A$2:$A$2500)=AC$1)*(MONTH(Gastos!$A$2:$A$2500)=AC$3)*(Gastos!$B$2:$B$2500=$A96)*(Gastos!$D$2:$D$2500))</f>
        <v>0</v>
      </c>
      <c r="AD96" s="75">
        <f t="array" ref="AD96">SUM((YEAR(Gastos!$A$2:$A$2500)=AD$1)*(MONTH(Gastos!$A$2:$A$2500)=AD$3)*(Gastos!$B$2:$B$2500=$A96)*(Gastos!$D$2:$D$2500))</f>
        <v>0</v>
      </c>
      <c r="AE96" s="75">
        <f t="array" ref="AE96">SUM((YEAR(Gastos!$A$2:$A$2500)=AE$1)*(MONTH(Gastos!$A$2:$A$2500)=AE$3)*(Gastos!$B$2:$B$2500=$A96)*(Gastos!$D$2:$D$2500))</f>
        <v>0</v>
      </c>
      <c r="AF96" s="75">
        <f t="array" ref="AF96">SUM((YEAR(Gastos!$A$2:$A$2500)=AF$1)*(MONTH(Gastos!$A$2:$A$2500)=AF$3)*(Gastos!$B$2:$B$2500=$A96)*(Gastos!$D$2:$D$2500))</f>
        <v>0</v>
      </c>
      <c r="AG96" s="75">
        <f t="array" ref="AG96">SUM((YEAR(Gastos!$A$2:$A$2500)=AG$1)*(MONTH(Gastos!$A$2:$A$2500)=AG$3)*(Gastos!$B$2:$B$2500=$A96)*(Gastos!$D$2:$D$2500))</f>
        <v>0</v>
      </c>
      <c r="AH96" s="75">
        <f t="array" ref="AH96">SUM((YEAR(Gastos!$A$2:$A$2500)=AH$1)*(MONTH(Gastos!$A$2:$A$2500)=AH$3)*(Gastos!$B$2:$B$2500=$A96)*(Gastos!$D$2:$D$2500))</f>
        <v>0</v>
      </c>
      <c r="AI96" s="75">
        <f t="array" ref="AI96">SUM((YEAR(Gastos!$A$2:$A$2500)=AI$1)*(MONTH(Gastos!$A$2:$A$2500)=AI$3)*(Gastos!$B$2:$B$2500=$A96)*(Gastos!$D$2:$D$2500))</f>
        <v>0</v>
      </c>
      <c r="AJ96" s="75">
        <f t="array" ref="AJ96">SUM((YEAR(Gastos!$A$2:$A$2500)=AJ$1)*(MONTH(Gastos!$A$2:$A$2500)=AJ$3)*(Gastos!$B$2:$B$2500=$A96)*(Gastos!$D$2:$D$2500))</f>
        <v>0</v>
      </c>
      <c r="AK96" s="75">
        <f t="array" ref="AK96">SUM((YEAR(Gastos!$A$2:$A$2500)=AK$1)*(MONTH(Gastos!$A$2:$A$2500)=AK$3)*(Gastos!$B$2:$B$2500=$A96)*(Gastos!$D$2:$D$2500))</f>
        <v>0</v>
      </c>
      <c r="AL96" s="75">
        <f t="array" ref="AL96">SUM((YEAR(Gastos!$A$2:$A$2500)=AL$1)*(MONTH(Gastos!$A$2:$A$2500)=AL$3)*(Gastos!$B$2:$B$2500=$A96)*(Gastos!$D$2:$D$2500))</f>
        <v>0</v>
      </c>
      <c r="AM96" s="75">
        <f t="array" ref="AM96">SUM((YEAR(Gastos!$A$2:$A$2500)=AM$1)*(MONTH(Gastos!$A$2:$A$2500)=AM$3)*(Gastos!$B$2:$B$2500=$A96)*(Gastos!$D$2:$D$2500))</f>
        <v>0</v>
      </c>
      <c r="AN96" s="75">
        <f t="array" ref="AN96">SUM((YEAR(Gastos!$A$2:$A$2500)=AN$1)*(MONTH(Gastos!$A$2:$A$2500)=AN$3)*(Gastos!$B$2:$B$2500=$A96)*(Gastos!$D$2:$D$2500))</f>
        <v>0</v>
      </c>
      <c r="AO96" s="75">
        <f t="array" ref="AO96">SUM((YEAR(Gastos!$A$2:$A$2500)=AO$1)*(MONTH(Gastos!$A$2:$A$2500)=AO$3)*(Gastos!$B$2:$B$2500=$A96)*(Gastos!$D$2:$D$2500))</f>
        <v>0</v>
      </c>
      <c r="AP96" s="75">
        <f t="array" ref="AP96">SUM((YEAR(Gastos!$A$2:$A$2500)=AP$1)*(MONTH(Gastos!$A$2:$A$2500)=AP$3)*(Gastos!$B$2:$B$2500=$A96)*(Gastos!$D$2:$D$2500))</f>
        <v>0</v>
      </c>
      <c r="AQ96" s="75">
        <f t="array" ref="AQ96">SUM((YEAR(Gastos!$A$2:$A$2500)=AQ$1)*(MONTH(Gastos!$A$2:$A$2500)=AQ$3)*(Gastos!$B$2:$B$2500=$A96)*(Gastos!$D$2:$D$2500))</f>
        <v>0</v>
      </c>
      <c r="AR96" s="75">
        <f t="array" ref="AR96">SUM((YEAR(Gastos!$A$2:$A$2500)=AR$1)*(MONTH(Gastos!$A$2:$A$2500)=AR$3)*(Gastos!$B$2:$B$2500=$A96)*(Gastos!$D$2:$D$2500))</f>
        <v>0</v>
      </c>
      <c r="AS96" s="75">
        <f t="array" ref="AS96">SUM((YEAR(Gastos!$A$2:$A$2500)=AS$1)*(MONTH(Gastos!$A$2:$A$2500)=AS$3)*(Gastos!$B$2:$B$2500=$A96)*(Gastos!$D$2:$D$2500))</f>
        <v>0</v>
      </c>
      <c r="AT96" s="75">
        <f t="array" ref="AT96">SUM((YEAR(Gastos!$A$2:$A$2500)=AT$1)*(MONTH(Gastos!$A$2:$A$2500)=AT$3)*(Gastos!$B$2:$B$2500=$A96)*(Gastos!$D$2:$D$2500))</f>
        <v>0</v>
      </c>
      <c r="AU96" s="75">
        <f t="array" ref="AU96">SUM((YEAR(Gastos!$A$2:$A$2500)=AU$1)*(MONTH(Gastos!$A$2:$A$2500)=AU$3)*(Gastos!$B$2:$B$2500=$A96)*(Gastos!$D$2:$D$2500))</f>
        <v>0</v>
      </c>
      <c r="AV96" s="75">
        <f t="array" ref="AV96">SUM((YEAR(Gastos!$A$2:$A$2500)=AV$1)*(MONTH(Gastos!$A$2:$A$2500)=AV$3)*(Gastos!$B$2:$B$2500=$A96)*(Gastos!$D$2:$D$2500))</f>
        <v>0</v>
      </c>
      <c r="AW96" s="75">
        <f t="array" ref="AW96">SUM((YEAR(Gastos!$A$2:$A$2500)=AW$1)*(MONTH(Gastos!$A$2:$A$2500)=AW$3)*(Gastos!$B$2:$B$2500=$A96)*(Gastos!$D$2:$D$2500))</f>
        <v>0</v>
      </c>
      <c r="AX96" s="75">
        <f t="array" ref="AX96">SUM((YEAR(Gastos!$A$2:$A$2500)=AX$1)*(MONTH(Gastos!$A$2:$A$2500)=AX$3)*(Gastos!$B$2:$B$2500=$A96)*(Gastos!$D$2:$D$2500))</f>
        <v>0</v>
      </c>
      <c r="AY96" s="75">
        <f t="array" ref="AY96">SUM((YEAR(Gastos!$A$2:$A$2500)=AY$1)*(MONTH(Gastos!$A$2:$A$2500)=AY$3)*(Gastos!$B$2:$B$2500=$A96)*(Gastos!$D$2:$D$2500))</f>
        <v>0</v>
      </c>
      <c r="AZ96" s="75">
        <f t="array" ref="AZ96">SUM((YEAR(Gastos!$A$2:$A$2500)=AZ$1)*(MONTH(Gastos!$A$2:$A$2500)=AZ$3)*(Gastos!$B$2:$B$2500=$A96)*(Gastos!$D$2:$D$2500))</f>
        <v>0</v>
      </c>
      <c r="BA96" s="75">
        <f t="array" ref="BA96">SUM((YEAR(Gastos!$A$2:$A$2500)=BA$1)*(MONTH(Gastos!$A$2:$A$2500)=BA$3)*(Gastos!$B$2:$B$2500=$A96)*(Gastos!$D$2:$D$2500))</f>
        <v>0</v>
      </c>
      <c r="BB96" s="75">
        <f t="array" ref="BB96">SUM((YEAR(Gastos!$A$2:$A$2500)=BB$1)*(MONTH(Gastos!$A$2:$A$2500)=BB$3)*(Gastos!$B$2:$B$2500=$A96)*(Gastos!$D$2:$D$2500))</f>
        <v>0</v>
      </c>
      <c r="BC96" s="75">
        <f t="array" ref="BC96">SUM((YEAR(Gastos!$A$2:$A$2500)=BC$1)*(MONTH(Gastos!$A$2:$A$2500)=BC$3)*(Gastos!$B$2:$B$2500=$A96)*(Gastos!$D$2:$D$2500))</f>
        <v>0</v>
      </c>
      <c r="BD96" s="75">
        <f t="array" ref="BD96">SUM((YEAR(Gastos!$A$2:$A$2500)=BD$1)*(MONTH(Gastos!$A$2:$A$2500)=BD$3)*(Gastos!$B$2:$B$2500=$A96)*(Gastos!$D$2:$D$2500))</f>
        <v>0</v>
      </c>
      <c r="BE96" s="75">
        <f t="array" ref="BE96">SUM((YEAR(Gastos!$A$2:$A$2500)=BE$1)*(MONTH(Gastos!$A$2:$A$2500)=BE$3)*(Gastos!$B$2:$B$2500=$A96)*(Gastos!$D$2:$D$2500))</f>
        <v>0</v>
      </c>
      <c r="BF96" s="75">
        <f t="array" ref="BF96">SUM((YEAR(Gastos!$A$2:$A$2500)=BF$1)*(MONTH(Gastos!$A$2:$A$2500)=BF$3)*(Gastos!$B$2:$B$2500=$A96)*(Gastos!$D$2:$D$2500))</f>
        <v>0</v>
      </c>
      <c r="BG96" s="75">
        <f t="array" ref="BG96">SUM((YEAR(Gastos!$A$2:$A$2500)=BG$1)*(MONTH(Gastos!$A$2:$A$2500)=BG$3)*(Gastos!$B$2:$B$2500=$A96)*(Gastos!$D$2:$D$2500))</f>
        <v>0</v>
      </c>
      <c r="BH96" s="75">
        <f t="array" ref="BH96">SUM((YEAR(Gastos!$A$2:$A$2500)=BH$1)*(MONTH(Gastos!$A$2:$A$2500)=BH$3)*(Gastos!$B$2:$B$2500=$A96)*(Gastos!$D$2:$D$2500))</f>
        <v>0</v>
      </c>
      <c r="BI96" s="75">
        <f t="array" ref="BI96">SUM((YEAR(Gastos!$A$2:$A$2500)=BI$1)*(MONTH(Gastos!$A$2:$A$2500)=BI$3)*(Gastos!$B$2:$B$2500=$A96)*(Gastos!$D$2:$D$2500))</f>
        <v>0</v>
      </c>
      <c r="BJ96" s="75">
        <f t="array" ref="BJ96">SUM((YEAR(Gastos!$A$2:$A$2500)=BJ$1)*(MONTH(Gastos!$A$2:$A$2500)=BJ$3)*(Gastos!$B$2:$B$2500=$A96)*(Gastos!$D$2:$D$2500))</f>
        <v>0</v>
      </c>
      <c r="BK96" s="75">
        <f t="array" ref="BK96">SUM((YEAR(Gastos!$A$2:$A$2500)=BK$1)*(MONTH(Gastos!$A$2:$A$2500)=BK$3)*(Gastos!$B$2:$B$2500=$A96)*(Gastos!$D$2:$D$2500))</f>
        <v>0</v>
      </c>
      <c r="BL96" s="75">
        <f t="array" ref="BL96">SUM((YEAR(Gastos!$A$2:$A$2500)=BL$1)*(MONTH(Gastos!$A$2:$A$2500)=BL$3)*(Gastos!$B$2:$B$2500=$A96)*(Gastos!$D$2:$D$2500))</f>
        <v>0</v>
      </c>
      <c r="BM96" s="75">
        <f t="array" ref="BM96">SUM((YEAR(Gastos!$A$2:$A$2500)=BM$1)*(MONTH(Gastos!$A$2:$A$2500)=BM$3)*(Gastos!$B$2:$B$2500=$A96)*(Gastos!$D$2:$D$2500))</f>
        <v>0</v>
      </c>
      <c r="BN96" s="75">
        <f t="array" ref="BN96">SUM((YEAR(Gastos!$A$2:$A$2500)=BN$1)*(MONTH(Gastos!$A$2:$A$2500)=BN$3)*(Gastos!$B$2:$B$2500=$A96)*(Gastos!$D$2:$D$2500))</f>
        <v>0</v>
      </c>
      <c r="BO96" s="75">
        <f t="array" ref="BO96">SUM((YEAR(Gastos!$A$2:$A$2500)=BO$1)*(MONTH(Gastos!$A$2:$A$2500)=BO$3)*(Gastos!$B$2:$B$2500=$A96)*(Gastos!$D$2:$D$2500))</f>
        <v>0</v>
      </c>
      <c r="BP96" s="75">
        <f t="array" ref="BP96">SUM((YEAR(Gastos!$A$2:$A$2500)=BP$1)*(MONTH(Gastos!$A$2:$A$2500)=BP$3)*(Gastos!$B$2:$B$2500=$A96)*(Gastos!$D$2:$D$2500))</f>
        <v>0</v>
      </c>
      <c r="BQ96" s="75">
        <f t="array" ref="BQ96">SUM((YEAR(Gastos!$A$2:$A$2500)=BQ$1)*(MONTH(Gastos!$A$2:$A$2500)=BQ$3)*(Gastos!$B$2:$B$2500=$A96)*(Gastos!$D$2:$D$2500))</f>
        <v>0</v>
      </c>
      <c r="BR96" s="75">
        <f t="array" ref="BR96">SUM((YEAR(Gastos!$A$2:$A$2500)=BR$1)*(MONTH(Gastos!$A$2:$A$2500)=BR$3)*(Gastos!$B$2:$B$2500=$A96)*(Gastos!$D$2:$D$2500))</f>
        <v>0</v>
      </c>
      <c r="BS96" s="75">
        <f t="array" ref="BS96">SUM((YEAR(Gastos!$A$2:$A$2500)=BS$1)*(MONTH(Gastos!$A$2:$A$2500)=BS$3)*(Gastos!$B$2:$B$2500=$A96)*(Gastos!$D$2:$D$2500))</f>
        <v>0</v>
      </c>
      <c r="BT96" s="75">
        <f t="array" ref="BT96">SUM((YEAR(Gastos!$A$2:$A$2500)=BT$1)*(MONTH(Gastos!$A$2:$A$2500)=BT$3)*(Gastos!$B$2:$B$2500=$A96)*(Gastos!$D$2:$D$2500))</f>
        <v>0</v>
      </c>
      <c r="BU96" s="75">
        <f t="array" ref="BU96">SUM((YEAR(Gastos!$A$2:$A$2500)=BU$1)*(MONTH(Gastos!$A$2:$A$2500)=BU$3)*(Gastos!$B$2:$B$2500=$A96)*(Gastos!$D$2:$D$2500))</f>
        <v>0</v>
      </c>
      <c r="BV96" s="75">
        <f t="array" ref="BV96">SUM((YEAR(Gastos!$A$2:$A$2500)=BV$1)*(MONTH(Gastos!$A$2:$A$2500)=BV$3)*(Gastos!$B$2:$B$2500=$A96)*(Gastos!$D$2:$D$2500))</f>
        <v>0</v>
      </c>
      <c r="BW96" s="75">
        <f t="array" ref="BW96">SUM((YEAR(Gastos!$A$2:$A$2500)=BW$1)*(MONTH(Gastos!$A$2:$A$2500)=BW$3)*(Gastos!$B$2:$B$2500=$A96)*(Gastos!$D$2:$D$2500))</f>
        <v>0</v>
      </c>
      <c r="BX96" s="75">
        <f t="array" ref="BX96">SUM((YEAR(Gastos!$A$2:$A$2500)=BX$1)*(MONTH(Gastos!$A$2:$A$2500)=BX$3)*(Gastos!$B$2:$B$2500=$A96)*(Gastos!$D$2:$D$2500))</f>
        <v>0</v>
      </c>
      <c r="BY96" s="75">
        <f t="array" ref="BY96">SUM((YEAR(Gastos!$A$2:$A$2500)=BY$1)*(MONTH(Gastos!$A$2:$A$2500)=BY$3)*(Gastos!$B$2:$B$2500=$A96)*(Gastos!$D$2:$D$2500))</f>
        <v>0</v>
      </c>
      <c r="BZ96" s="75">
        <f t="array" ref="BZ96">SUM((YEAR(Gastos!$A$2:$A$2500)=BZ$1)*(MONTH(Gastos!$A$2:$A$2500)=BZ$3)*(Gastos!$B$2:$B$2500=$A96)*(Gastos!$D$2:$D$2500))</f>
        <v>0</v>
      </c>
      <c r="CA96" s="75">
        <f t="array" ref="CA96">SUM((YEAR(Gastos!$A$2:$A$2500)=CA$1)*(MONTH(Gastos!$A$2:$A$2500)=CA$3)*(Gastos!$B$2:$B$2500=$A96)*(Gastos!$D$2:$D$2500))</f>
        <v>0</v>
      </c>
      <c r="CB96" s="75">
        <f t="array" ref="CB96">SUM((YEAR(Gastos!$A$2:$A$2500)=CB$1)*(MONTH(Gastos!$A$2:$A$2500)=CB$3)*(Gastos!$B$2:$B$2500=$A96)*(Gastos!$D$2:$D$2500))</f>
        <v>0</v>
      </c>
      <c r="CC96" s="75">
        <f t="array" ref="CC96">SUM((YEAR(Gastos!$A$2:$A$2500)=CC$1)*(MONTH(Gastos!$A$2:$A$2500)=CC$3)*(Gastos!$B$2:$B$2500=$A96)*(Gastos!$D$2:$D$2500))</f>
        <v>0</v>
      </c>
      <c r="CD96" s="75">
        <f t="array" ref="CD96">SUM((YEAR(Gastos!$A$2:$A$2500)=CD$1)*(MONTH(Gastos!$A$2:$A$2500)=CD$3)*(Gastos!$B$2:$B$2500=$A96)*(Gastos!$D$2:$D$2500))</f>
        <v>0</v>
      </c>
      <c r="CE96" s="75">
        <f t="array" ref="CE96">SUM((YEAR(Gastos!$A$2:$A$2500)=CE$1)*(MONTH(Gastos!$A$2:$A$2500)=CE$3)*(Gastos!$B$2:$B$2500=$A96)*(Gastos!$D$2:$D$2500))</f>
        <v>0</v>
      </c>
      <c r="CF96" s="75">
        <f t="array" ref="CF96">SUM((YEAR(Gastos!$A$2:$A$2500)=CF$1)*(MONTH(Gastos!$A$2:$A$2500)=CF$3)*(Gastos!$B$2:$B$2500=$A96)*(Gastos!$D$2:$D$2500))</f>
        <v>0</v>
      </c>
      <c r="CG96" s="75">
        <f t="array" ref="CG96">SUM((YEAR(Gastos!$A$2:$A$2500)=CG$1)*(MONTH(Gastos!$A$2:$A$2500)=CG$3)*(Gastos!$B$2:$B$2500=$A96)*(Gastos!$D$2:$D$2500))</f>
        <v>0</v>
      </c>
      <c r="CH96" s="75">
        <f t="array" ref="CH96">SUM((YEAR(Gastos!$A$2:$A$2500)=CH$1)*(MONTH(Gastos!$A$2:$A$2500)=CH$3)*(Gastos!$B$2:$B$2500=$A96)*(Gastos!$D$2:$D$2500))</f>
        <v>0</v>
      </c>
      <c r="CI96" s="75">
        <f t="array" ref="CI96">SUM((YEAR(Gastos!$A$2:$A$2500)=CI$1)*(MONTH(Gastos!$A$2:$A$2500)=CI$3)*(Gastos!$B$2:$B$2500=$A96)*(Gastos!$D$2:$D$2500))</f>
        <v>0</v>
      </c>
      <c r="CJ96" s="75">
        <f t="array" ref="CJ96">SUM((YEAR(Gastos!$A$2:$A$2500)=CJ$1)*(MONTH(Gastos!$A$2:$A$2500)=CJ$3)*(Gastos!$B$2:$B$2500=$A96)*(Gastos!$D$2:$D$2500))</f>
        <v>0</v>
      </c>
      <c r="CK96" s="75">
        <f t="array" ref="CK96">SUM((YEAR(Gastos!$A$2:$A$2500)=CK$1)*(MONTH(Gastos!$A$2:$A$2500)=CK$3)*(Gastos!$B$2:$B$2500=$A96)*(Gastos!$D$2:$D$2500))</f>
        <v>0</v>
      </c>
      <c r="CL96" s="75">
        <f t="array" ref="CL96">SUM((YEAR(Gastos!$A$2:$A$2500)=CL$1)*(MONTH(Gastos!$A$2:$A$2500)=CL$3)*(Gastos!$B$2:$B$2500=$A96)*(Gastos!$D$2:$D$2500))</f>
        <v>0</v>
      </c>
      <c r="CM96" s="75">
        <f t="array" ref="CM96">SUM((YEAR(Gastos!$A$2:$A$2500)=CM$1)*(MONTH(Gastos!$A$2:$A$2500)=CM$3)*(Gastos!$B$2:$B$2500=$A96)*(Gastos!$D$2:$D$2500))</f>
        <v>0</v>
      </c>
      <c r="CN96" s="75">
        <f t="array" ref="CN96">SUM((YEAR(Gastos!$A$2:$A$2500)=CN$1)*(MONTH(Gastos!$A$2:$A$2500)=CN$3)*(Gastos!$B$2:$B$2500=$A96)*(Gastos!$D$2:$D$2500))</f>
        <v>0</v>
      </c>
      <c r="CO96" s="75">
        <f t="array" ref="CO96">SUM((YEAR(Gastos!$A$2:$A$2500)=CO$1)*(MONTH(Gastos!$A$2:$A$2500)=CO$3)*(Gastos!$B$2:$B$2500=$A96)*(Gastos!$D$2:$D$2500))</f>
        <v>0</v>
      </c>
      <c r="CP96" s="75">
        <f t="array" ref="CP96">SUM((YEAR(Gastos!$A$2:$A$2500)=CP$1)*(MONTH(Gastos!$A$2:$A$2500)=CP$3)*(Gastos!$B$2:$B$2500=$A96)*(Gastos!$D$2:$D$2500))</f>
        <v>0</v>
      </c>
      <c r="CQ96" s="75">
        <f t="array" ref="CQ96">SUM((YEAR(Gastos!$A$2:$A$2500)=CQ$1)*(MONTH(Gastos!$A$2:$A$2500)=CQ$3)*(Gastos!$B$2:$B$2500=$A96)*(Gastos!$D$2:$D$2500))</f>
        <v>0</v>
      </c>
      <c r="CR96" s="75">
        <f t="array" ref="CR96">SUM((YEAR(Gastos!$A$2:$A$2500)=CR$1)*(MONTH(Gastos!$A$2:$A$2500)=CR$3)*(Gastos!$B$2:$B$2500=$A96)*(Gastos!$D$2:$D$2500))</f>
        <v>0</v>
      </c>
      <c r="CS96" s="75">
        <f t="array" ref="CS96">SUM((YEAR(Gastos!$A$2:$A$2500)=CS$1)*(MONTH(Gastos!$A$2:$A$2500)=CS$3)*(Gastos!$B$2:$B$2500=$A96)*(Gastos!$D$2:$D$2500))</f>
        <v>0</v>
      </c>
      <c r="CT96" s="75">
        <f t="array" ref="CT96">SUM((YEAR(Gastos!$A$2:$A$2500)=CT$1)*(MONTH(Gastos!$A$2:$A$2500)=CT$3)*(Gastos!$B$2:$B$2500=$A96)*(Gastos!$D$2:$D$2500))</f>
        <v>0</v>
      </c>
      <c r="CU96" s="75">
        <f t="array" ref="CU96">SUM((YEAR(Gastos!$A$2:$A$2500)=CU$1)*(MONTH(Gastos!$A$2:$A$2500)=CU$3)*(Gastos!$B$2:$B$2500=$A96)*(Gastos!$D$2:$D$2500))</f>
        <v>0</v>
      </c>
      <c r="CV96" s="75">
        <f t="array" ref="CV96">SUM((YEAR(Gastos!$A$2:$A$2500)=CV$1)*(MONTH(Gastos!$A$2:$A$2500)=CV$3)*(Gastos!$B$2:$B$2500=$A96)*(Gastos!$D$2:$D$2500))</f>
        <v>0</v>
      </c>
      <c r="CW96" s="75">
        <f t="array" ref="CW96">SUM((YEAR(Gastos!$A$2:$A$2500)=CW$1)*(MONTH(Gastos!$A$2:$A$2500)=CW$3)*(Gastos!$B$2:$B$2500=$A96)*(Gastos!$D$2:$D$2500))</f>
        <v>0</v>
      </c>
      <c r="CX96" s="75">
        <f t="array" ref="CX96">SUM((YEAR(Gastos!$A$2:$A$2500)=CX$1)*(MONTH(Gastos!$A$2:$A$2500)=CX$3)*(Gastos!$B$2:$B$2500=$A96)*(Gastos!$D$2:$D$2500))</f>
        <v>0</v>
      </c>
      <c r="CY96" s="75">
        <f t="array" ref="CY96">SUM((YEAR(Gastos!$A$2:$A$2500)=CY$1)*(MONTH(Gastos!$A$2:$A$2500)=CY$3)*(Gastos!$B$2:$B$2500=$A96)*(Gastos!$D$2:$D$2500))</f>
        <v>0</v>
      </c>
      <c r="CZ96" s="75">
        <f t="array" ref="CZ96">SUM((YEAR(Gastos!$A$2:$A$2500)=CZ$1)*(MONTH(Gastos!$A$2:$A$2500)=CZ$3)*(Gastos!$B$2:$B$2500=$A96)*(Gastos!$D$2:$D$2500))</f>
        <v>0</v>
      </c>
      <c r="DA96" s="75">
        <f t="array" ref="DA96">SUM((YEAR(Gastos!$A$2:$A$2500)=DA$1)*(MONTH(Gastos!$A$2:$A$2500)=DA$3)*(Gastos!$B$2:$B$2500=$A96)*(Gastos!$D$2:$D$2500))</f>
        <v>0</v>
      </c>
      <c r="DB96" s="75">
        <f t="array" ref="DB96">SUM((YEAR(Gastos!$A$2:$A$2500)=DB$1)*(MONTH(Gastos!$A$2:$A$2500)=DB$3)*(Gastos!$B$2:$B$2500=$A96)*(Gastos!$D$2:$D$2500))</f>
        <v>0</v>
      </c>
      <c r="DC96" s="75">
        <f t="array" ref="DC96">SUM((YEAR(Gastos!$A$2:$A$2500)=DC$1)*(MONTH(Gastos!$A$2:$A$2500)=DC$3)*(Gastos!$B$2:$B$2500=$A96)*(Gastos!$D$2:$D$2500))</f>
        <v>0</v>
      </c>
      <c r="DD96" s="75">
        <f t="array" ref="DD96">SUM((YEAR(Gastos!$A$2:$A$2500)=DD$1)*(MONTH(Gastos!$A$2:$A$2500)=DD$3)*(Gastos!$B$2:$B$2500=$A96)*(Gastos!$D$2:$D$2500))</f>
        <v>0</v>
      </c>
      <c r="DE96" s="75">
        <f t="array" ref="DE96">SUM((YEAR(Gastos!$A$2:$A$2500)=DE$1)*(MONTH(Gastos!$A$2:$A$2500)=DE$3)*(Gastos!$B$2:$B$2500=$A96)*(Gastos!$D$2:$D$2500))</f>
        <v>0</v>
      </c>
      <c r="DF96" s="75">
        <f t="array" ref="DF96">SUM((YEAR(Gastos!$A$2:$A$2500)=DF$1)*(MONTH(Gastos!$A$2:$A$2500)=DF$3)*(Gastos!$B$2:$B$2500=$A96)*(Gastos!$D$2:$D$2500))</f>
        <v>0</v>
      </c>
      <c r="DG96" s="75">
        <f t="array" ref="DG96">SUM((YEAR(Gastos!$A$2:$A$2500)=DG$1)*(MONTH(Gastos!$A$2:$A$2500)=DG$3)*(Gastos!$B$2:$B$2500=$A96)*(Gastos!$D$2:$D$2500))</f>
        <v>0</v>
      </c>
      <c r="DH96" s="75">
        <f t="array" ref="DH96">SUM((YEAR(Gastos!$A$2:$A$2500)=DH$1)*(MONTH(Gastos!$A$2:$A$2500)=DH$3)*(Gastos!$B$2:$B$2500=$A96)*(Gastos!$D$2:$D$2500))</f>
        <v>0</v>
      </c>
      <c r="DI96" s="75">
        <f t="array" ref="DI96">SUM((YEAR(Gastos!$A$2:$A$2500)=DI$1)*(MONTH(Gastos!$A$2:$A$2500)=DI$3)*(Gastos!$B$2:$B$2500=$A96)*(Gastos!$D$2:$D$2500))</f>
        <v>0</v>
      </c>
      <c r="DJ96" s="75">
        <f t="array" ref="DJ96">SUM((YEAR(Gastos!$A$2:$A$2500)=DJ$1)*(MONTH(Gastos!$A$2:$A$2500)=DJ$3)*(Gastos!$B$2:$B$2500=$A96)*(Gastos!$D$2:$D$2500))</f>
        <v>0</v>
      </c>
      <c r="DK96" s="75">
        <f t="array" ref="DK96">SUM((YEAR(Gastos!$A$2:$A$2500)=DK$1)*(MONTH(Gastos!$A$2:$A$2500)=DK$3)*(Gastos!$B$2:$B$2500=$A96)*(Gastos!$D$2:$D$2500))</f>
        <v>0</v>
      </c>
      <c r="DL96" s="75">
        <f t="array" ref="DL96">SUM((YEAR(Gastos!$A$2:$A$2500)=DL$1)*(MONTH(Gastos!$A$2:$A$2500)=DL$3)*(Gastos!$B$2:$B$2500=$A96)*(Gastos!$D$2:$D$2500))</f>
        <v>0</v>
      </c>
      <c r="DM96" s="75">
        <f t="array" ref="DM96">SUM((YEAR(Gastos!$A$2:$A$2500)=DM$1)*(MONTH(Gastos!$A$2:$A$2500)=DM$3)*(Gastos!$B$2:$B$2500=$A96)*(Gastos!$D$2:$D$2500))</f>
        <v>0</v>
      </c>
      <c r="DN96" s="75">
        <f t="array" ref="DN96">SUM((YEAR(Gastos!$A$2:$A$2500)=DN$1)*(MONTH(Gastos!$A$2:$A$2500)=DN$3)*(Gastos!$B$2:$B$2500=$A96)*(Gastos!$D$2:$D$2500))</f>
        <v>0</v>
      </c>
      <c r="DO96" s="75">
        <f t="array" ref="DO96">SUM((YEAR(Gastos!$A$2:$A$2500)=DO$1)*(MONTH(Gastos!$A$2:$A$2500)=DO$3)*(Gastos!$B$2:$B$2500=$A96)*(Gastos!$D$2:$D$2500))</f>
        <v>0</v>
      </c>
      <c r="DP96" s="75">
        <f t="array" ref="DP96">SUM((YEAR(Gastos!$A$2:$A$2500)=DP$1)*(MONTH(Gastos!$A$2:$A$2500)=DP$3)*(Gastos!$B$2:$B$2500=$A96)*(Gastos!$D$2:$D$2500))</f>
        <v>0</v>
      </c>
      <c r="DQ96" s="75">
        <f t="array" ref="DQ96">SUM((YEAR(Gastos!$A$2:$A$2500)=DQ$1)*(MONTH(Gastos!$A$2:$A$2500)=DQ$3)*(Gastos!$B$2:$B$2500=$A96)*(Gastos!$D$2:$D$2500))</f>
        <v>0</v>
      </c>
      <c r="DR96" s="75">
        <f t="array" ref="DR96">SUM((YEAR(Gastos!$A$2:$A$2500)=DR$1)*(MONTH(Gastos!$A$2:$A$2500)=DR$3)*(Gastos!$B$2:$B$2500=$A96)*(Gastos!$D$2:$D$2500))</f>
        <v>0</v>
      </c>
      <c r="DS96" s="75">
        <f t="array" ref="DS96">SUM((YEAR(Gastos!$A$2:$A$2500)=DS$1)*(MONTH(Gastos!$A$2:$A$2500)=DS$3)*(Gastos!$B$2:$B$2500=$A96)*(Gastos!$D$2:$D$2500))</f>
        <v>0</v>
      </c>
      <c r="DT96" s="75">
        <f t="array" ref="DT96">SUM((YEAR(Gastos!$A$2:$A$2500)=DT$1)*(MONTH(Gastos!$A$2:$A$2500)=DT$3)*(Gastos!$B$2:$B$2500=$A96)*(Gastos!$D$2:$D$2500))</f>
        <v>0</v>
      </c>
      <c r="DU96" s="75">
        <f t="array" ref="DU96">SUM((YEAR(Gastos!$A$2:$A$2500)=DU$1)*(MONTH(Gastos!$A$2:$A$2500)=DU$3)*(Gastos!$B$2:$B$2500=$A96)*(Gastos!$D$2:$D$2500))</f>
        <v>0</v>
      </c>
      <c r="DV96" s="75">
        <f t="array" ref="DV96">SUM((YEAR(Gastos!$A$2:$A$2500)=DV$1)*(MONTH(Gastos!$A$2:$A$2500)=DV$3)*(Gastos!$B$2:$B$2500=$A96)*(Gastos!$D$2:$D$2500))</f>
        <v>0</v>
      </c>
      <c r="DW96" s="75">
        <f t="array" ref="DW96">SUM((YEAR(Gastos!$A$2:$A$2500)=DW$1)*(MONTH(Gastos!$A$2:$A$2500)=DW$3)*(Gastos!$B$2:$B$2500=$A96)*(Gastos!$D$2:$D$2500))</f>
        <v>0</v>
      </c>
      <c r="DX96" s="75">
        <f t="array" ref="DX96">SUM((YEAR(Gastos!$A$2:$A$2500)=DX$1)*(MONTH(Gastos!$A$2:$A$2500)=DX$3)*(Gastos!$B$2:$B$2500=$A96)*(Gastos!$D$2:$D$2500))</f>
        <v>0</v>
      </c>
      <c r="DY96" s="75">
        <f t="array" ref="DY96">SUM((YEAR(Gastos!$A$2:$A$2500)=DY$1)*(MONTH(Gastos!$A$2:$A$2500)=DY$3)*(Gastos!$B$2:$B$2500=$A96)*(Gastos!$D$2:$D$2500))</f>
        <v>0</v>
      </c>
      <c r="DZ96" s="75">
        <f t="array" ref="DZ96">SUM((YEAR(Gastos!$A$2:$A$2500)=DZ$1)*(MONTH(Gastos!$A$2:$A$2500)=DZ$3)*(Gastos!$B$2:$B$2500=$A96)*(Gastos!$D$2:$D$2500))</f>
        <v>0</v>
      </c>
      <c r="EA96" s="75">
        <f t="array" ref="EA96">SUM((YEAR(Gastos!$A$2:$A$2500)=EA$1)*(MONTH(Gastos!$A$2:$A$2500)=EA$3)*(Gastos!$B$2:$B$2500=$A96)*(Gastos!$D$2:$D$2500))</f>
        <v>0</v>
      </c>
      <c r="EB96" s="75">
        <f t="array" ref="EB96">SUM((YEAR(Gastos!$A$2:$A$2500)=EB$1)*(MONTH(Gastos!$A$2:$A$2500)=EB$3)*(Gastos!$B$2:$B$2500=$A96)*(Gastos!$D$2:$D$2500))</f>
        <v>0</v>
      </c>
      <c r="EC96" s="75">
        <f t="array" ref="EC96">SUM((YEAR(Gastos!$A$2:$A$2500)=EC$1)*(MONTH(Gastos!$A$2:$A$2500)=EC$3)*(Gastos!$B$2:$B$2500=$A96)*(Gastos!$D$2:$D$2500))</f>
        <v>0</v>
      </c>
      <c r="ED96" s="75">
        <f t="array" ref="ED96">SUM((YEAR(Gastos!$A$2:$A$2500)=ED$1)*(MONTH(Gastos!$A$2:$A$2500)=ED$3)*(Gastos!$B$2:$B$2500=$A96)*(Gastos!$D$2:$D$2500))</f>
        <v>0</v>
      </c>
      <c r="EE96" s="75">
        <f t="array" ref="EE96">SUM((YEAR(Gastos!$A$2:$A$2500)=EE$1)*(MONTH(Gastos!$A$2:$A$2500)=EE$3)*(Gastos!$B$2:$B$2500=$A96)*(Gastos!$D$2:$D$2500))</f>
        <v>0</v>
      </c>
      <c r="EF96" s="75">
        <f t="array" ref="EF96">SUM((YEAR(Gastos!$A$2:$A$2500)=EF$1)*(MONTH(Gastos!$A$2:$A$2500)=EF$3)*(Gastos!$B$2:$B$2500=$A96)*(Gastos!$D$2:$D$2500))</f>
        <v>0</v>
      </c>
      <c r="EG96" s="75">
        <f t="array" ref="EG96">SUM((YEAR(Gastos!$A$2:$A$2500)=EG$1)*(MONTH(Gastos!$A$2:$A$2500)=EG$3)*(Gastos!$B$2:$B$2500=$A96)*(Gastos!$D$2:$D$2500))</f>
        <v>0</v>
      </c>
      <c r="EH96" s="75">
        <f t="array" ref="EH96">SUM((YEAR(Gastos!$A$2:$A$2500)=EH$1)*(MONTH(Gastos!$A$2:$A$2500)=EH$3)*(Gastos!$B$2:$B$2500=$A96)*(Gastos!$D$2:$D$2500))</f>
        <v>0</v>
      </c>
      <c r="EI96" s="75">
        <f t="array" ref="EI96">SUM((YEAR(Gastos!$A$2:$A$2500)=EI$1)*(MONTH(Gastos!$A$2:$A$2500)=EI$3)*(Gastos!$B$2:$B$2500=$A96)*(Gastos!$D$2:$D$2500))</f>
        <v>0</v>
      </c>
      <c r="EJ96" s="75">
        <f t="array" ref="EJ96">SUM((YEAR(Gastos!$A$2:$A$2500)=EJ$1)*(MONTH(Gastos!$A$2:$A$2500)=EJ$3)*(Gastos!$B$2:$B$2500=$A96)*(Gastos!$D$2:$D$2500))</f>
        <v>0</v>
      </c>
      <c r="EK96" s="75">
        <f t="array" ref="EK96">SUM((YEAR(Gastos!$A$2:$A$2500)=EK$1)*(MONTH(Gastos!$A$2:$A$2500)=EK$3)*(Gastos!$B$2:$B$2500=$A96)*(Gastos!$D$2:$D$2500))</f>
        <v>0</v>
      </c>
      <c r="EL96" s="75">
        <f t="array" ref="EL96">SUM((YEAR(Gastos!$A$2:$A$2500)=EL$1)*(MONTH(Gastos!$A$2:$A$2500)=EL$3)*(Gastos!$B$2:$B$2500=$A96)*(Gastos!$D$2:$D$2500))</f>
        <v>0</v>
      </c>
      <c r="EM96" s="75">
        <f t="array" ref="EM96">SUM((YEAR(Gastos!$A$2:$A$2500)=EM$1)*(MONTH(Gastos!$A$2:$A$2500)=EM$3)*(Gastos!$B$2:$B$2500=$A96)*(Gastos!$D$2:$D$2500))</f>
        <v>0</v>
      </c>
      <c r="EN96" s="75">
        <f t="array" ref="EN96">SUM((YEAR(Gastos!$A$2:$A$2500)=EN$1)*(MONTH(Gastos!$A$2:$A$2500)=EN$3)*(Gastos!$B$2:$B$2500=$A96)*(Gastos!$D$2:$D$2500))</f>
        <v>0</v>
      </c>
      <c r="EO96" s="75">
        <f t="array" ref="EO96">SUM((YEAR(Gastos!$A$2:$A$2500)=EO$1)*(MONTH(Gastos!$A$2:$A$2500)=EO$3)*(Gastos!$B$2:$B$2500=$A96)*(Gastos!$D$2:$D$2500))</f>
        <v>0</v>
      </c>
      <c r="EP96" s="75">
        <f t="array" ref="EP96">SUM((YEAR(Gastos!$A$2:$A$2500)=EP$1)*(MONTH(Gastos!$A$2:$A$2500)=EP$3)*(Gastos!$B$2:$B$2500=$A96)*(Gastos!$D$2:$D$2500))</f>
        <v>0</v>
      </c>
      <c r="EQ96" s="75">
        <f t="array" ref="EQ96">SUM((YEAR(Gastos!$A$2:$A$2500)=EQ$1)*(MONTH(Gastos!$A$2:$A$2500)=EQ$3)*(Gastos!$B$2:$B$2500=$A96)*(Gastos!$D$2:$D$2500))</f>
        <v>0</v>
      </c>
      <c r="ER96" s="75">
        <f t="array" ref="ER96">SUM((YEAR(Gastos!$A$2:$A$2500)=ER$1)*(MONTH(Gastos!$A$2:$A$2500)=ER$3)*(Gastos!$B$2:$B$2500=$A96)*(Gastos!$D$2:$D$2500))</f>
        <v>0</v>
      </c>
      <c r="ES96" s="75">
        <f t="array" ref="ES96">SUM((YEAR(Gastos!$A$2:$A$2500)=ES$1)*(MONTH(Gastos!$A$2:$A$2500)=ES$3)*(Gastos!$B$2:$B$2500=$A96)*(Gastos!$D$2:$D$2500))</f>
        <v>0</v>
      </c>
      <c r="ET96" s="75">
        <f t="array" ref="ET96">SUM((YEAR(Gastos!$A$2:$A$2500)=ET$1)*(MONTH(Gastos!$A$2:$A$2500)=ET$3)*(Gastos!$B$2:$B$2500=$A96)*(Gastos!$D$2:$D$2500))</f>
        <v>0</v>
      </c>
      <c r="EU96" s="75">
        <f t="array" ref="EU96">SUM((YEAR(Gastos!$A$2:$A$2500)=EU$1)*(MONTH(Gastos!$A$2:$A$2500)=EU$3)*(Gastos!$B$2:$B$2500=$A96)*(Gastos!$D$2:$D$2500))</f>
        <v>0</v>
      </c>
      <c r="EV96" s="75">
        <f t="array" ref="EV96">SUM((YEAR(Gastos!$A$2:$A$2500)=EV$1)*(MONTH(Gastos!$A$2:$A$2500)=EV$3)*(Gastos!$B$2:$B$2500=$A96)*(Gastos!$D$2:$D$2500))</f>
        <v>0</v>
      </c>
      <c r="EW96" s="75">
        <f t="array" ref="EW96">SUM((YEAR(Gastos!$A$2:$A$2500)=EW$1)*(MONTH(Gastos!$A$2:$A$2500)=EW$3)*(Gastos!$B$2:$B$2500=$A96)*(Gastos!$D$2:$D$2500))</f>
        <v>0</v>
      </c>
      <c r="EX96" s="75">
        <f t="array" ref="EX96">SUM((YEAR(Gastos!$A$2:$A$2500)=EX$1)*(MONTH(Gastos!$A$2:$A$2500)=EX$3)*(Gastos!$B$2:$B$2500=$A96)*(Gastos!$D$2:$D$2500))</f>
        <v>0</v>
      </c>
      <c r="EY96" s="75">
        <f t="array" ref="EY96">SUM((YEAR(Gastos!$A$2:$A$2500)=EY$1)*(MONTH(Gastos!$A$2:$A$2500)=EY$3)*(Gastos!$B$2:$B$2500=$A96)*(Gastos!$D$2:$D$2500))</f>
        <v>0</v>
      </c>
      <c r="EZ96" s="75">
        <f t="array" ref="EZ96">SUM((YEAR(Gastos!$A$2:$A$2500)=EZ$1)*(MONTH(Gastos!$A$2:$A$2500)=EZ$3)*(Gastos!$B$2:$B$2500=$A96)*(Gastos!$D$2:$D$2500))</f>
        <v>0</v>
      </c>
      <c r="FA96" s="75">
        <f t="array" ref="FA96">SUM((YEAR(Gastos!$A$2:$A$2500)=FA$1)*(MONTH(Gastos!$A$2:$A$2500)=FA$3)*(Gastos!$B$2:$B$2500=$A96)*(Gastos!$D$2:$D$2500))</f>
        <v>0</v>
      </c>
      <c r="FB96" s="75">
        <f t="array" ref="FB96">SUM((YEAR(Gastos!$A$2:$A$2500)=FB$1)*(MONTH(Gastos!$A$2:$A$2500)=FB$3)*(Gastos!$B$2:$B$2500=$A96)*(Gastos!$D$2:$D$2500))</f>
        <v>0</v>
      </c>
      <c r="FC96" s="75">
        <f t="array" ref="FC96">SUM((YEAR(Gastos!$A$2:$A$2500)=FC$1)*(MONTH(Gastos!$A$2:$A$2500)=FC$3)*(Gastos!$B$2:$B$2500=$A96)*(Gastos!$D$2:$D$2500))</f>
        <v>0</v>
      </c>
      <c r="FD96" s="75">
        <f t="array" ref="FD96">SUM((YEAR(Gastos!$A$2:$A$2500)=FD$1)*(MONTH(Gastos!$A$2:$A$2500)=FD$3)*(Gastos!$B$2:$B$2500=$A96)*(Gastos!$D$2:$D$2500))</f>
        <v>0</v>
      </c>
      <c r="FE96" s="75">
        <f t="array" ref="FE96">SUM((YEAR(Gastos!$A$2:$A$2500)=FE$1)*(MONTH(Gastos!$A$2:$A$2500)=FE$3)*(Gastos!$B$2:$B$2500=$A96)*(Gastos!$D$2:$D$2500))</f>
        <v>0</v>
      </c>
      <c r="FF96" s="75">
        <f t="array" ref="FF96">SUM((YEAR(Gastos!$A$2:$A$2500)=FF$1)*(MONTH(Gastos!$A$2:$A$2500)=FF$3)*(Gastos!$B$2:$B$2500=$A96)*(Gastos!$D$2:$D$2500))</f>
        <v>0</v>
      </c>
      <c r="FG96" s="75">
        <f t="array" ref="FG96">SUM((YEAR(Gastos!$A$2:$A$2500)=FG$1)*(MONTH(Gastos!$A$2:$A$2500)=FG$3)*(Gastos!$B$2:$B$2500=$A96)*(Gastos!$D$2:$D$2500))</f>
        <v>0</v>
      </c>
      <c r="FH96" s="75">
        <f t="array" ref="FH96">SUM((YEAR(Gastos!$A$2:$A$2500)=FH$1)*(MONTH(Gastos!$A$2:$A$2500)=FH$3)*(Gastos!$B$2:$B$2500=$A96)*(Gastos!$D$2:$D$2500))</f>
        <v>0</v>
      </c>
      <c r="FI96" s="75">
        <f t="array" ref="FI96">SUM((YEAR(Gastos!$A$2:$A$2500)=FI$1)*(MONTH(Gastos!$A$2:$A$2500)=FI$3)*(Gastos!$B$2:$B$2500=$A96)*(Gastos!$D$2:$D$2500))</f>
        <v>0</v>
      </c>
      <c r="FJ96" s="75">
        <f t="array" ref="FJ96">SUM((YEAR(Gastos!$A$2:$A$2500)=FJ$1)*(MONTH(Gastos!$A$2:$A$2500)=FJ$3)*(Gastos!$B$2:$B$2500=$A96)*(Gastos!$D$2:$D$2500))</f>
        <v>0</v>
      </c>
      <c r="FK96" s="75">
        <f t="array" ref="FK96">SUM((YEAR(Gastos!$A$2:$A$2500)=FK$1)*(MONTH(Gastos!$A$2:$A$2500)=FK$3)*(Gastos!$B$2:$B$2500=$A96)*(Gastos!$D$2:$D$2500))</f>
        <v>0</v>
      </c>
      <c r="FL96" s="75">
        <f t="array" ref="FL96">SUM((YEAR(Gastos!$A$2:$A$2500)=FL$1)*(MONTH(Gastos!$A$2:$A$2500)=FL$3)*(Gastos!$B$2:$B$2500=$A96)*(Gastos!$D$2:$D$2500))</f>
        <v>0</v>
      </c>
      <c r="FM96" s="75">
        <f t="array" ref="FM96">SUM((YEAR(Gastos!$A$2:$A$2500)=FM$1)*(MONTH(Gastos!$A$2:$A$2500)=FM$3)*(Gastos!$B$2:$B$2500=$A96)*(Gastos!$D$2:$D$2500))</f>
        <v>0</v>
      </c>
      <c r="FN96" s="75">
        <f t="array" ref="FN96">SUM((YEAR(Gastos!$A$2:$A$2500)=FN$1)*(MONTH(Gastos!$A$2:$A$2500)=FN$3)*(Gastos!$B$2:$B$2500=$A96)*(Gastos!$D$2:$D$2500))</f>
        <v>0</v>
      </c>
      <c r="FO96" s="75">
        <f t="array" ref="FO96">SUM((YEAR(Gastos!$A$2:$A$2500)=FO$1)*(MONTH(Gastos!$A$2:$A$2500)=FO$3)*(Gastos!$B$2:$B$2500=$A96)*(Gastos!$D$2:$D$2500))</f>
        <v>0</v>
      </c>
      <c r="FP96" s="75">
        <f t="array" ref="FP96">SUM((YEAR(Gastos!$A$2:$A$2500)=FP$1)*(MONTH(Gastos!$A$2:$A$2500)=FP$3)*(Gastos!$B$2:$B$2500=$A96)*(Gastos!$D$2:$D$2500))</f>
        <v>0</v>
      </c>
      <c r="FQ96" s="75">
        <f t="array" ref="FQ96">SUM((YEAR(Gastos!$A$2:$A$2500)=FQ$1)*(MONTH(Gastos!$A$2:$A$2500)=FQ$3)*(Gastos!$B$2:$B$2500=$A96)*(Gastos!$D$2:$D$2500))</f>
        <v>0</v>
      </c>
      <c r="FR96" s="75">
        <f t="array" ref="FR96">SUM((YEAR(Gastos!$A$2:$A$2500)=FR$1)*(MONTH(Gastos!$A$2:$A$2500)=FR$3)*(Gastos!$B$2:$B$2500=$A96)*(Gastos!$D$2:$D$2500))</f>
        <v>0</v>
      </c>
      <c r="FS96" s="75">
        <f t="array" ref="FS96">SUM((YEAR(Gastos!$A$2:$A$2500)=FS$1)*(MONTH(Gastos!$A$2:$A$2500)=FS$3)*(Gastos!$B$2:$B$2500=$A96)*(Gastos!$D$2:$D$2500))</f>
        <v>0</v>
      </c>
      <c r="FT96" s="75">
        <f t="array" ref="FT96">SUM((YEAR(Gastos!$A$2:$A$2500)=FT$1)*(MONTH(Gastos!$A$2:$A$2500)=FT$3)*(Gastos!$B$2:$B$2500=$A96)*(Gastos!$D$2:$D$2500))</f>
        <v>0</v>
      </c>
      <c r="FU96" s="75">
        <f t="array" ref="FU96">SUM((YEAR(Gastos!$A$2:$A$2500)=FU$1)*(MONTH(Gastos!$A$2:$A$2500)=FU$3)*(Gastos!$B$2:$B$2500=$A96)*(Gastos!$D$2:$D$2500))</f>
        <v>0</v>
      </c>
      <c r="FV96" s="75">
        <f t="array" ref="FV96">SUM((YEAR(Gastos!$A$2:$A$2500)=FV$1)*(MONTH(Gastos!$A$2:$A$2500)=FV$3)*(Gastos!$B$2:$B$2500=$A96)*(Gastos!$D$2:$D$2500))</f>
        <v>0</v>
      </c>
      <c r="FW96" s="75">
        <f t="array" ref="FW96">SUM((YEAR(Gastos!$A$2:$A$2500)=FW$1)*(MONTH(Gastos!$A$2:$A$2500)=FW$3)*(Gastos!$B$2:$B$2500=$A96)*(Gastos!$D$2:$D$2500))</f>
        <v>0</v>
      </c>
      <c r="FX96" s="75">
        <f t="array" ref="FX96">SUM((YEAR(Gastos!$A$2:$A$2500)=FX$1)*(MONTH(Gastos!$A$2:$A$2500)=FX$3)*(Gastos!$B$2:$B$2500=$A96)*(Gastos!$D$2:$D$2500))</f>
        <v>0</v>
      </c>
      <c r="FY96" s="75">
        <f t="array" ref="FY96">SUM((YEAR(Gastos!$A$2:$A$2500)=FY$1)*(MONTH(Gastos!$A$2:$A$2500)=FY$3)*(Gastos!$B$2:$B$2500=$A96)*(Gastos!$D$2:$D$2500))</f>
        <v>0</v>
      </c>
      <c r="FZ96" s="76">
        <f t="shared" si="68"/>
        <v>5600</v>
      </c>
      <c r="GA96" s="80"/>
      <c r="GB96" s="82"/>
    </row>
    <row r="97" spans="1:193" ht="15" thickBot="1" x14ac:dyDescent="0.4">
      <c r="A97" s="74" t="str">
        <f>Gastos!AA95</f>
        <v>V. DEPOSITOS A CUENTA 016695663</v>
      </c>
      <c r="B97" s="75">
        <f t="array" ref="B97">SUM((YEAR(Gastos!$A$2:$A$2500)=B$1)*(MONTH(Gastos!$A$2:$A$2500)=B$3)*(Gastos!$B$2:$B$2500=$A97)*(Gastos!$D$2:$D$2500))</f>
        <v>0</v>
      </c>
      <c r="C97" s="75">
        <f t="array" ref="C97">SUM((YEAR(Gastos!$A$2:$A$2500)=C$1)*(MONTH(Gastos!$A$2:$A$2500)=C$3)*(Gastos!$B$2:$B$2500=$A97)*(Gastos!$D$2:$D$2500))</f>
        <v>0</v>
      </c>
      <c r="D97" s="75">
        <f t="array" ref="D97">SUM((YEAR(Gastos!$A$2:$A$2500)=D$1)*(MONTH(Gastos!$A$2:$A$2500)=D$3)*(Gastos!$B$2:$B$2500=$A97)*(Gastos!$D$2:$D$2500))</f>
        <v>0</v>
      </c>
      <c r="E97" s="75">
        <f t="array" ref="E97">SUM((YEAR(Gastos!$A$2:$A$2500)=E$1)*(MONTH(Gastos!$A$2:$A$2500)=E$3)*(Gastos!$B$2:$B$2500=$A97)*(Gastos!$D$2:$D$2500))</f>
        <v>0</v>
      </c>
      <c r="F97" s="75">
        <f t="array" ref="F97">SUM((YEAR(Gastos!$A$2:$A$2500)=F$1)*(MONTH(Gastos!$A$2:$A$2500)=F$3)*(Gastos!$B$2:$B$2500=$A97)*(Gastos!$D$2:$D$2500))</f>
        <v>0</v>
      </c>
      <c r="G97" s="75">
        <f t="array" ref="G97">SUM((YEAR(Gastos!$A$2:$A$2500)=G$1)*(MONTH(Gastos!$A$2:$A$2500)=G$3)*(Gastos!$B$2:$B$2500=$A97)*(Gastos!$D$2:$D$2500))</f>
        <v>0</v>
      </c>
      <c r="H97" s="75">
        <f t="array" ref="H97">SUM((YEAR(Gastos!$A$2:$A$2500)=H$1)*(MONTH(Gastos!$A$2:$A$2500)=H$3)*(Gastos!$B$2:$B$2500=$A97)*(Gastos!$D$2:$D$2500))</f>
        <v>0</v>
      </c>
      <c r="I97" s="75">
        <f t="array" ref="I97">SUM((YEAR(Gastos!$A$2:$A$2500)=I$1)*(MONTH(Gastos!$A$2:$A$2500)=I$3)*(Gastos!$B$2:$B$2500=$A97)*(Gastos!$D$2:$D$2500))</f>
        <v>0</v>
      </c>
      <c r="J97" s="75">
        <f t="array" ref="J97">SUM((YEAR(Gastos!$A$2:$A$2500)=J$1)*(MONTH(Gastos!$A$2:$A$2500)=J$3)*(Gastos!$B$2:$B$2500=$A97)*(Gastos!$D$2:$D$2500))</f>
        <v>0</v>
      </c>
      <c r="K97" s="75">
        <f t="array" ref="K97">SUM((YEAR(Gastos!$A$2:$A$2500)=K$1)*(MONTH(Gastos!$A$2:$A$2500)=K$3)*(Gastos!$B$2:$B$2500=$A97)*(Gastos!$D$2:$D$2500))</f>
        <v>0</v>
      </c>
      <c r="L97" s="75">
        <f t="array" ref="L97">SUM((YEAR(Gastos!$A$2:$A$2500)=L$1)*(MONTH(Gastos!$A$2:$A$2500)=L$3)*(Gastos!$B$2:$B$2500=$A97)*(Gastos!$D$2:$D$2500))</f>
        <v>0</v>
      </c>
      <c r="M97" s="75">
        <f t="array" ref="M97">SUM((YEAR(Gastos!$A$2:$A$2500)=M$1)*(MONTH(Gastos!$A$2:$A$2500)=M$3)*(Gastos!$B$2:$B$2500=$A97)*(Gastos!$D$2:$D$2500))</f>
        <v>0</v>
      </c>
      <c r="N97" s="75">
        <f t="array" ref="N97">SUM((YEAR(Gastos!$A$2:$A$2500)=N$1)*(MONTH(Gastos!$A$2:$A$2500)=N$3)*(Gastos!$B$2:$B$2500=$A97)*(Gastos!$D$2:$D$2500))</f>
        <v>0</v>
      </c>
      <c r="O97" s="75">
        <f t="array" ref="O97">SUM((YEAR(Gastos!$A$2:$A$2500)=O$1)*(MONTH(Gastos!$A$2:$A$2500)=O$3)*(Gastos!$B$2:$B$2500=$A97)*(Gastos!$D$2:$D$2500))</f>
        <v>0</v>
      </c>
      <c r="P97" s="75">
        <f t="array" ref="P97">SUM((YEAR(Gastos!$A$2:$A$2500)=P$1)*(MONTH(Gastos!$A$2:$A$2500)=P$3)*(Gastos!$B$2:$B$2500=$A97)*(Gastos!$D$2:$D$2500))</f>
        <v>0</v>
      </c>
      <c r="Q97" s="75">
        <f t="array" ref="Q97">SUM((YEAR(Gastos!$A$2:$A$2500)=Q$1)*(MONTH(Gastos!$A$2:$A$2500)=Q$3)*(Gastos!$B$2:$B$2500=$A97)*(Gastos!$D$2:$D$2500))</f>
        <v>0</v>
      </c>
      <c r="R97" s="75">
        <f t="array" ref="R97">SUM((YEAR(Gastos!$A$2:$A$2500)=R$1)*(MONTH(Gastos!$A$2:$A$2500)=R$3)*(Gastos!$B$2:$B$2500=$A97)*(Gastos!$D$2:$D$2500))</f>
        <v>0</v>
      </c>
      <c r="S97" s="75">
        <f t="array" ref="S97">SUM((YEAR(Gastos!$A$2:$A$2500)=S$1)*(MONTH(Gastos!$A$2:$A$2500)=S$3)*(Gastos!$B$2:$B$2500=$A97)*(Gastos!$D$2:$D$2500))</f>
        <v>0</v>
      </c>
      <c r="T97" s="75">
        <f t="array" ref="T97">SUM((YEAR(Gastos!$A$2:$A$2500)=T$1)*(MONTH(Gastos!$A$2:$A$2500)=T$3)*(Gastos!$B$2:$B$2500=$A97)*(Gastos!$D$2:$D$2500))</f>
        <v>0</v>
      </c>
      <c r="U97" s="75">
        <f t="array" ref="U97">SUM((YEAR(Gastos!$A$2:$A$2500)=U$1)*(MONTH(Gastos!$A$2:$A$2500)=U$3)*(Gastos!$B$2:$B$2500=$A97)*(Gastos!$D$2:$D$2500))</f>
        <v>0</v>
      </c>
      <c r="V97" s="75">
        <f t="array" ref="V97">SUM((YEAR(Gastos!$A$2:$A$2500)=V$1)*(MONTH(Gastos!$A$2:$A$2500)=V$3)*(Gastos!$B$2:$B$2500=$A97)*(Gastos!$D$2:$D$2500))</f>
        <v>0</v>
      </c>
      <c r="W97" s="75">
        <f t="array" ref="W97">SUM((YEAR(Gastos!$A$2:$A$2500)=W$1)*(MONTH(Gastos!$A$2:$A$2500)=W$3)*(Gastos!$B$2:$B$2500=$A97)*(Gastos!$D$2:$D$2500))</f>
        <v>0</v>
      </c>
      <c r="X97" s="75">
        <f t="array" ref="X97">SUM((YEAR(Gastos!$A$2:$A$2500)=X$1)*(MONTH(Gastos!$A$2:$A$2500)=X$3)*(Gastos!$B$2:$B$2500=$A97)*(Gastos!$D$2:$D$2500))</f>
        <v>0</v>
      </c>
      <c r="Y97" s="75">
        <f t="array" ref="Y97">SUM((YEAR(Gastos!$A$2:$A$2500)=Y$1)*(MONTH(Gastos!$A$2:$A$2500)=Y$3)*(Gastos!$B$2:$B$2500=$A97)*(Gastos!$D$2:$D$2500))</f>
        <v>0</v>
      </c>
      <c r="Z97" s="75">
        <f t="array" ref="Z97">SUM((YEAR(Gastos!$A$2:$A$2500)=Z$1)*(MONTH(Gastos!$A$2:$A$2500)=Z$3)*(Gastos!$B$2:$B$2500=$A97)*(Gastos!$D$2:$D$2500))</f>
        <v>0</v>
      </c>
      <c r="AA97" s="75">
        <f t="array" ref="AA97">SUM((YEAR(Gastos!$A$2:$A$2500)=AA$1)*(MONTH(Gastos!$A$2:$A$2500)=AA$3)*(Gastos!$B$2:$B$2500=$A97)*(Gastos!$D$2:$D$2500))</f>
        <v>0</v>
      </c>
      <c r="AB97" s="75">
        <f t="array" ref="AB97">SUM((YEAR(Gastos!$A$2:$A$2500)=AB$1)*(MONTH(Gastos!$A$2:$A$2500)=AB$3)*(Gastos!$B$2:$B$2500=$A97)*(Gastos!$D$2:$D$2500))</f>
        <v>0</v>
      </c>
      <c r="AC97" s="75">
        <f t="array" ref="AC97">SUM((YEAR(Gastos!$A$2:$A$2500)=AC$1)*(MONTH(Gastos!$A$2:$A$2500)=AC$3)*(Gastos!$B$2:$B$2500=$A97)*(Gastos!$D$2:$D$2500))</f>
        <v>6287.2</v>
      </c>
      <c r="AD97" s="75">
        <f t="array" ref="AD97">SUM((YEAR(Gastos!$A$2:$A$2500)=AD$1)*(MONTH(Gastos!$A$2:$A$2500)=AD$3)*(Gastos!$B$2:$B$2500=$A97)*(Gastos!$D$2:$D$2500))</f>
        <v>0</v>
      </c>
      <c r="AE97" s="75">
        <f t="array" ref="AE97">SUM((YEAR(Gastos!$A$2:$A$2500)=AE$1)*(MONTH(Gastos!$A$2:$A$2500)=AE$3)*(Gastos!$B$2:$B$2500=$A97)*(Gastos!$D$2:$D$2500))</f>
        <v>0</v>
      </c>
      <c r="AF97" s="75">
        <f t="array" ref="AF97">SUM((YEAR(Gastos!$A$2:$A$2500)=AF$1)*(MONTH(Gastos!$A$2:$A$2500)=AF$3)*(Gastos!$B$2:$B$2500=$A97)*(Gastos!$D$2:$D$2500))</f>
        <v>0</v>
      </c>
      <c r="AG97" s="75">
        <f t="array" ref="AG97">SUM((YEAR(Gastos!$A$2:$A$2500)=AG$1)*(MONTH(Gastos!$A$2:$A$2500)=AG$3)*(Gastos!$B$2:$B$2500=$A97)*(Gastos!$D$2:$D$2500))</f>
        <v>0</v>
      </c>
      <c r="AH97" s="75">
        <f t="array" ref="AH97">SUM((YEAR(Gastos!$A$2:$A$2500)=AH$1)*(MONTH(Gastos!$A$2:$A$2500)=AH$3)*(Gastos!$B$2:$B$2500=$A97)*(Gastos!$D$2:$D$2500))</f>
        <v>0</v>
      </c>
      <c r="AI97" s="75">
        <f t="array" ref="AI97">SUM((YEAR(Gastos!$A$2:$A$2500)=AI$1)*(MONTH(Gastos!$A$2:$A$2500)=AI$3)*(Gastos!$B$2:$B$2500=$A97)*(Gastos!$D$2:$D$2500))</f>
        <v>0</v>
      </c>
      <c r="AJ97" s="75">
        <f t="array" ref="AJ97">SUM((YEAR(Gastos!$A$2:$A$2500)=AJ$1)*(MONTH(Gastos!$A$2:$A$2500)=AJ$3)*(Gastos!$B$2:$B$2500=$A97)*(Gastos!$D$2:$D$2500))</f>
        <v>0</v>
      </c>
      <c r="AK97" s="75">
        <f t="array" ref="AK97">SUM((YEAR(Gastos!$A$2:$A$2500)=AK$1)*(MONTH(Gastos!$A$2:$A$2500)=AK$3)*(Gastos!$B$2:$B$2500=$A97)*(Gastos!$D$2:$D$2500))</f>
        <v>0</v>
      </c>
      <c r="AL97" s="75">
        <f t="array" ref="AL97">SUM((YEAR(Gastos!$A$2:$A$2500)=AL$1)*(MONTH(Gastos!$A$2:$A$2500)=AL$3)*(Gastos!$B$2:$B$2500=$A97)*(Gastos!$D$2:$D$2500))</f>
        <v>0</v>
      </c>
      <c r="AM97" s="75">
        <f t="array" ref="AM97">SUM((YEAR(Gastos!$A$2:$A$2500)=AM$1)*(MONTH(Gastos!$A$2:$A$2500)=AM$3)*(Gastos!$B$2:$B$2500=$A97)*(Gastos!$D$2:$D$2500))</f>
        <v>0</v>
      </c>
      <c r="AN97" s="75">
        <f t="array" ref="AN97">SUM((YEAR(Gastos!$A$2:$A$2500)=AN$1)*(MONTH(Gastos!$A$2:$A$2500)=AN$3)*(Gastos!$B$2:$B$2500=$A97)*(Gastos!$D$2:$D$2500))</f>
        <v>0</v>
      </c>
      <c r="AO97" s="75">
        <f t="array" ref="AO97">SUM((YEAR(Gastos!$A$2:$A$2500)=AO$1)*(MONTH(Gastos!$A$2:$A$2500)=AO$3)*(Gastos!$B$2:$B$2500=$A97)*(Gastos!$D$2:$D$2500))</f>
        <v>0</v>
      </c>
      <c r="AP97" s="75">
        <f t="array" ref="AP97">SUM((YEAR(Gastos!$A$2:$A$2500)=AP$1)*(MONTH(Gastos!$A$2:$A$2500)=AP$3)*(Gastos!$B$2:$B$2500=$A97)*(Gastos!$D$2:$D$2500))</f>
        <v>0</v>
      </c>
      <c r="AQ97" s="75">
        <f t="array" ref="AQ97">SUM((YEAR(Gastos!$A$2:$A$2500)=AQ$1)*(MONTH(Gastos!$A$2:$A$2500)=AQ$3)*(Gastos!$B$2:$B$2500=$A97)*(Gastos!$D$2:$D$2500))</f>
        <v>0</v>
      </c>
      <c r="AR97" s="75">
        <f t="array" ref="AR97">SUM((YEAR(Gastos!$A$2:$A$2500)=AR$1)*(MONTH(Gastos!$A$2:$A$2500)=AR$3)*(Gastos!$B$2:$B$2500=$A97)*(Gastos!$D$2:$D$2500))</f>
        <v>0</v>
      </c>
      <c r="AS97" s="75">
        <f t="array" ref="AS97">SUM((YEAR(Gastos!$A$2:$A$2500)=AS$1)*(MONTH(Gastos!$A$2:$A$2500)=AS$3)*(Gastos!$B$2:$B$2500=$A97)*(Gastos!$D$2:$D$2500))</f>
        <v>0</v>
      </c>
      <c r="AT97" s="75">
        <f t="array" ref="AT97">SUM((YEAR(Gastos!$A$2:$A$2500)=AT$1)*(MONTH(Gastos!$A$2:$A$2500)=AT$3)*(Gastos!$B$2:$B$2500=$A97)*(Gastos!$D$2:$D$2500))</f>
        <v>0</v>
      </c>
      <c r="AU97" s="75">
        <f t="array" ref="AU97">SUM((YEAR(Gastos!$A$2:$A$2500)=AU$1)*(MONTH(Gastos!$A$2:$A$2500)=AU$3)*(Gastos!$B$2:$B$2500=$A97)*(Gastos!$D$2:$D$2500))</f>
        <v>0</v>
      </c>
      <c r="AV97" s="75">
        <f t="array" ref="AV97">SUM((YEAR(Gastos!$A$2:$A$2500)=AV$1)*(MONTH(Gastos!$A$2:$A$2500)=AV$3)*(Gastos!$B$2:$B$2500=$A97)*(Gastos!$D$2:$D$2500))</f>
        <v>0</v>
      </c>
      <c r="AW97" s="75">
        <f t="array" ref="AW97">SUM((YEAR(Gastos!$A$2:$A$2500)=AW$1)*(MONTH(Gastos!$A$2:$A$2500)=AW$3)*(Gastos!$B$2:$B$2500=$A97)*(Gastos!$D$2:$D$2500))</f>
        <v>0</v>
      </c>
      <c r="AX97" s="75">
        <f t="array" ref="AX97">SUM((YEAR(Gastos!$A$2:$A$2500)=AX$1)*(MONTH(Gastos!$A$2:$A$2500)=AX$3)*(Gastos!$B$2:$B$2500=$A97)*(Gastos!$D$2:$D$2500))</f>
        <v>0</v>
      </c>
      <c r="AY97" s="75">
        <f t="array" ref="AY97">SUM((YEAR(Gastos!$A$2:$A$2500)=AY$1)*(MONTH(Gastos!$A$2:$A$2500)=AY$3)*(Gastos!$B$2:$B$2500=$A97)*(Gastos!$D$2:$D$2500))</f>
        <v>0</v>
      </c>
      <c r="AZ97" s="75">
        <f t="array" ref="AZ97">SUM((YEAR(Gastos!$A$2:$A$2500)=AZ$1)*(MONTH(Gastos!$A$2:$A$2500)=AZ$3)*(Gastos!$B$2:$B$2500=$A97)*(Gastos!$D$2:$D$2500))</f>
        <v>0</v>
      </c>
      <c r="BA97" s="75">
        <f t="array" ref="BA97">SUM((YEAR(Gastos!$A$2:$A$2500)=BA$1)*(MONTH(Gastos!$A$2:$A$2500)=BA$3)*(Gastos!$B$2:$B$2500=$A97)*(Gastos!$D$2:$D$2500))</f>
        <v>0</v>
      </c>
      <c r="BB97" s="75">
        <f t="array" ref="BB97">SUM((YEAR(Gastos!$A$2:$A$2500)=BB$1)*(MONTH(Gastos!$A$2:$A$2500)=BB$3)*(Gastos!$B$2:$B$2500=$A97)*(Gastos!$D$2:$D$2500))</f>
        <v>0</v>
      </c>
      <c r="BC97" s="75">
        <f t="array" ref="BC97">SUM((YEAR(Gastos!$A$2:$A$2500)=BC$1)*(MONTH(Gastos!$A$2:$A$2500)=BC$3)*(Gastos!$B$2:$B$2500=$A97)*(Gastos!$D$2:$D$2500))</f>
        <v>0</v>
      </c>
      <c r="BD97" s="75">
        <f t="array" ref="BD97">SUM((YEAR(Gastos!$A$2:$A$2500)=BD$1)*(MONTH(Gastos!$A$2:$A$2500)=BD$3)*(Gastos!$B$2:$B$2500=$A97)*(Gastos!$D$2:$D$2500))</f>
        <v>0</v>
      </c>
      <c r="BE97" s="75">
        <f t="array" ref="BE97">SUM((YEAR(Gastos!$A$2:$A$2500)=BE$1)*(MONTH(Gastos!$A$2:$A$2500)=BE$3)*(Gastos!$B$2:$B$2500=$A97)*(Gastos!$D$2:$D$2500))</f>
        <v>0</v>
      </c>
      <c r="BF97" s="75">
        <f t="array" ref="BF97">SUM((YEAR(Gastos!$A$2:$A$2500)=BF$1)*(MONTH(Gastos!$A$2:$A$2500)=BF$3)*(Gastos!$B$2:$B$2500=$A97)*(Gastos!$D$2:$D$2500))</f>
        <v>0</v>
      </c>
      <c r="BG97" s="75">
        <f t="array" ref="BG97">SUM((YEAR(Gastos!$A$2:$A$2500)=BG$1)*(MONTH(Gastos!$A$2:$A$2500)=BG$3)*(Gastos!$B$2:$B$2500=$A97)*(Gastos!$D$2:$D$2500))</f>
        <v>0</v>
      </c>
      <c r="BH97" s="75">
        <f t="array" ref="BH97">SUM((YEAR(Gastos!$A$2:$A$2500)=BH$1)*(MONTH(Gastos!$A$2:$A$2500)=BH$3)*(Gastos!$B$2:$B$2500=$A97)*(Gastos!$D$2:$D$2500))</f>
        <v>0</v>
      </c>
      <c r="BI97" s="75">
        <f t="array" ref="BI97">SUM((YEAR(Gastos!$A$2:$A$2500)=BI$1)*(MONTH(Gastos!$A$2:$A$2500)=BI$3)*(Gastos!$B$2:$B$2500=$A97)*(Gastos!$D$2:$D$2500))</f>
        <v>0</v>
      </c>
      <c r="BJ97" s="75">
        <f t="array" ref="BJ97">SUM((YEAR(Gastos!$A$2:$A$2500)=BJ$1)*(MONTH(Gastos!$A$2:$A$2500)=BJ$3)*(Gastos!$B$2:$B$2500=$A97)*(Gastos!$D$2:$D$2500))</f>
        <v>0</v>
      </c>
      <c r="BK97" s="75">
        <f t="array" ref="BK97">SUM((YEAR(Gastos!$A$2:$A$2500)=BK$1)*(MONTH(Gastos!$A$2:$A$2500)=BK$3)*(Gastos!$B$2:$B$2500=$A97)*(Gastos!$D$2:$D$2500))</f>
        <v>0</v>
      </c>
      <c r="BL97" s="75">
        <f t="array" ref="BL97">SUM((YEAR(Gastos!$A$2:$A$2500)=BL$1)*(MONTH(Gastos!$A$2:$A$2500)=BL$3)*(Gastos!$B$2:$B$2500=$A97)*(Gastos!$D$2:$D$2500))</f>
        <v>0</v>
      </c>
      <c r="BM97" s="75">
        <f t="array" ref="BM97">SUM((YEAR(Gastos!$A$2:$A$2500)=BM$1)*(MONTH(Gastos!$A$2:$A$2500)=BM$3)*(Gastos!$B$2:$B$2500=$A97)*(Gastos!$D$2:$D$2500))</f>
        <v>0</v>
      </c>
      <c r="BN97" s="75">
        <f t="array" ref="BN97">SUM((YEAR(Gastos!$A$2:$A$2500)=BN$1)*(MONTH(Gastos!$A$2:$A$2500)=BN$3)*(Gastos!$B$2:$B$2500=$A97)*(Gastos!$D$2:$D$2500))</f>
        <v>0</v>
      </c>
      <c r="BO97" s="75">
        <f t="array" ref="BO97">SUM((YEAR(Gastos!$A$2:$A$2500)=BO$1)*(MONTH(Gastos!$A$2:$A$2500)=BO$3)*(Gastos!$B$2:$B$2500=$A97)*(Gastos!$D$2:$D$2500))</f>
        <v>0</v>
      </c>
      <c r="BP97" s="75">
        <f t="array" ref="BP97">SUM((YEAR(Gastos!$A$2:$A$2500)=BP$1)*(MONTH(Gastos!$A$2:$A$2500)=BP$3)*(Gastos!$B$2:$B$2500=$A97)*(Gastos!$D$2:$D$2500))</f>
        <v>0</v>
      </c>
      <c r="BQ97" s="75">
        <f t="array" ref="BQ97">SUM((YEAR(Gastos!$A$2:$A$2500)=BQ$1)*(MONTH(Gastos!$A$2:$A$2500)=BQ$3)*(Gastos!$B$2:$B$2500=$A97)*(Gastos!$D$2:$D$2500))</f>
        <v>0</v>
      </c>
      <c r="BR97" s="75">
        <f t="array" ref="BR97">SUM((YEAR(Gastos!$A$2:$A$2500)=BR$1)*(MONTH(Gastos!$A$2:$A$2500)=BR$3)*(Gastos!$B$2:$B$2500=$A97)*(Gastos!$D$2:$D$2500))</f>
        <v>0</v>
      </c>
      <c r="BS97" s="75">
        <f t="array" ref="BS97">SUM((YEAR(Gastos!$A$2:$A$2500)=BS$1)*(MONTH(Gastos!$A$2:$A$2500)=BS$3)*(Gastos!$B$2:$B$2500=$A97)*(Gastos!$D$2:$D$2500))</f>
        <v>0</v>
      </c>
      <c r="BT97" s="75">
        <f t="array" ref="BT97">SUM((YEAR(Gastos!$A$2:$A$2500)=BT$1)*(MONTH(Gastos!$A$2:$A$2500)=BT$3)*(Gastos!$B$2:$B$2500=$A97)*(Gastos!$D$2:$D$2500))</f>
        <v>0</v>
      </c>
      <c r="BU97" s="75">
        <f t="array" ref="BU97">SUM((YEAR(Gastos!$A$2:$A$2500)=BU$1)*(MONTH(Gastos!$A$2:$A$2500)=BU$3)*(Gastos!$B$2:$B$2500=$A97)*(Gastos!$D$2:$D$2500))</f>
        <v>0</v>
      </c>
      <c r="BV97" s="75">
        <f t="array" ref="BV97">SUM((YEAR(Gastos!$A$2:$A$2500)=BV$1)*(MONTH(Gastos!$A$2:$A$2500)=BV$3)*(Gastos!$B$2:$B$2500=$A97)*(Gastos!$D$2:$D$2500))</f>
        <v>0</v>
      </c>
      <c r="BW97" s="75">
        <f t="array" ref="BW97">SUM((YEAR(Gastos!$A$2:$A$2500)=BW$1)*(MONTH(Gastos!$A$2:$A$2500)=BW$3)*(Gastos!$B$2:$B$2500=$A97)*(Gastos!$D$2:$D$2500))</f>
        <v>0</v>
      </c>
      <c r="BX97" s="75">
        <f t="array" ref="BX97">SUM((YEAR(Gastos!$A$2:$A$2500)=BX$1)*(MONTH(Gastos!$A$2:$A$2500)=BX$3)*(Gastos!$B$2:$B$2500=$A97)*(Gastos!$D$2:$D$2500))</f>
        <v>0</v>
      </c>
      <c r="BY97" s="75">
        <f t="array" ref="BY97">SUM((YEAR(Gastos!$A$2:$A$2500)=BY$1)*(MONTH(Gastos!$A$2:$A$2500)=BY$3)*(Gastos!$B$2:$B$2500=$A97)*(Gastos!$D$2:$D$2500))</f>
        <v>0</v>
      </c>
      <c r="BZ97" s="75">
        <f t="array" ref="BZ97">SUM((YEAR(Gastos!$A$2:$A$2500)=BZ$1)*(MONTH(Gastos!$A$2:$A$2500)=BZ$3)*(Gastos!$B$2:$B$2500=$A97)*(Gastos!$D$2:$D$2500))</f>
        <v>0</v>
      </c>
      <c r="CA97" s="75">
        <f t="array" ref="CA97">SUM((YEAR(Gastos!$A$2:$A$2500)=CA$1)*(MONTH(Gastos!$A$2:$A$2500)=CA$3)*(Gastos!$B$2:$B$2500=$A97)*(Gastos!$D$2:$D$2500))</f>
        <v>0</v>
      </c>
      <c r="CB97" s="75">
        <f t="array" ref="CB97">SUM((YEAR(Gastos!$A$2:$A$2500)=CB$1)*(MONTH(Gastos!$A$2:$A$2500)=CB$3)*(Gastos!$B$2:$B$2500=$A97)*(Gastos!$D$2:$D$2500))</f>
        <v>0</v>
      </c>
      <c r="CC97" s="75">
        <f t="array" ref="CC97">SUM((YEAR(Gastos!$A$2:$A$2500)=CC$1)*(MONTH(Gastos!$A$2:$A$2500)=CC$3)*(Gastos!$B$2:$B$2500=$A97)*(Gastos!$D$2:$D$2500))</f>
        <v>0</v>
      </c>
      <c r="CD97" s="75">
        <f t="array" ref="CD97">SUM((YEAR(Gastos!$A$2:$A$2500)=CD$1)*(MONTH(Gastos!$A$2:$A$2500)=CD$3)*(Gastos!$B$2:$B$2500=$A97)*(Gastos!$D$2:$D$2500))</f>
        <v>0</v>
      </c>
      <c r="CE97" s="75">
        <f t="array" ref="CE97">SUM((YEAR(Gastos!$A$2:$A$2500)=CE$1)*(MONTH(Gastos!$A$2:$A$2500)=CE$3)*(Gastos!$B$2:$B$2500=$A97)*(Gastos!$D$2:$D$2500))</f>
        <v>0</v>
      </c>
      <c r="CF97" s="75">
        <f t="array" ref="CF97">SUM((YEAR(Gastos!$A$2:$A$2500)=CF$1)*(MONTH(Gastos!$A$2:$A$2500)=CF$3)*(Gastos!$B$2:$B$2500=$A97)*(Gastos!$D$2:$D$2500))</f>
        <v>0</v>
      </c>
      <c r="CG97" s="75">
        <f t="array" ref="CG97">SUM((YEAR(Gastos!$A$2:$A$2500)=CG$1)*(MONTH(Gastos!$A$2:$A$2500)=CG$3)*(Gastos!$B$2:$B$2500=$A97)*(Gastos!$D$2:$D$2500))</f>
        <v>0</v>
      </c>
      <c r="CH97" s="75">
        <f t="array" ref="CH97">SUM((YEAR(Gastos!$A$2:$A$2500)=CH$1)*(MONTH(Gastos!$A$2:$A$2500)=CH$3)*(Gastos!$B$2:$B$2500=$A97)*(Gastos!$D$2:$D$2500))</f>
        <v>0</v>
      </c>
      <c r="CI97" s="75">
        <f t="array" ref="CI97">SUM((YEAR(Gastos!$A$2:$A$2500)=CI$1)*(MONTH(Gastos!$A$2:$A$2500)=CI$3)*(Gastos!$B$2:$B$2500=$A97)*(Gastos!$D$2:$D$2500))</f>
        <v>0</v>
      </c>
      <c r="CJ97" s="75">
        <f t="array" ref="CJ97">SUM((YEAR(Gastos!$A$2:$A$2500)=CJ$1)*(MONTH(Gastos!$A$2:$A$2500)=CJ$3)*(Gastos!$B$2:$B$2500=$A97)*(Gastos!$D$2:$D$2500))</f>
        <v>0</v>
      </c>
      <c r="CK97" s="75">
        <f t="array" ref="CK97">SUM((YEAR(Gastos!$A$2:$A$2500)=CK$1)*(MONTH(Gastos!$A$2:$A$2500)=CK$3)*(Gastos!$B$2:$B$2500=$A97)*(Gastos!$D$2:$D$2500))</f>
        <v>0</v>
      </c>
      <c r="CL97" s="75">
        <f t="array" ref="CL97">SUM((YEAR(Gastos!$A$2:$A$2500)=CL$1)*(MONTH(Gastos!$A$2:$A$2500)=CL$3)*(Gastos!$B$2:$B$2500=$A97)*(Gastos!$D$2:$D$2500))</f>
        <v>0</v>
      </c>
      <c r="CM97" s="75">
        <f t="array" ref="CM97">SUM((YEAR(Gastos!$A$2:$A$2500)=CM$1)*(MONTH(Gastos!$A$2:$A$2500)=CM$3)*(Gastos!$B$2:$B$2500=$A97)*(Gastos!$D$2:$D$2500))</f>
        <v>0</v>
      </c>
      <c r="CN97" s="75">
        <f t="array" ref="CN97">SUM((YEAR(Gastos!$A$2:$A$2500)=CN$1)*(MONTH(Gastos!$A$2:$A$2500)=CN$3)*(Gastos!$B$2:$B$2500=$A97)*(Gastos!$D$2:$D$2500))</f>
        <v>0</v>
      </c>
      <c r="CO97" s="75">
        <f t="array" ref="CO97">SUM((YEAR(Gastos!$A$2:$A$2500)=CO$1)*(MONTH(Gastos!$A$2:$A$2500)=CO$3)*(Gastos!$B$2:$B$2500=$A97)*(Gastos!$D$2:$D$2500))</f>
        <v>0</v>
      </c>
      <c r="CP97" s="75">
        <f t="array" ref="CP97">SUM((YEAR(Gastos!$A$2:$A$2500)=CP$1)*(MONTH(Gastos!$A$2:$A$2500)=CP$3)*(Gastos!$B$2:$B$2500=$A97)*(Gastos!$D$2:$D$2500))</f>
        <v>0</v>
      </c>
      <c r="CQ97" s="75">
        <f t="array" ref="CQ97">SUM((YEAR(Gastos!$A$2:$A$2500)=CQ$1)*(MONTH(Gastos!$A$2:$A$2500)=CQ$3)*(Gastos!$B$2:$B$2500=$A97)*(Gastos!$D$2:$D$2500))</f>
        <v>0</v>
      </c>
      <c r="CR97" s="75">
        <f t="array" ref="CR97">SUM((YEAR(Gastos!$A$2:$A$2500)=CR$1)*(MONTH(Gastos!$A$2:$A$2500)=CR$3)*(Gastos!$B$2:$B$2500=$A97)*(Gastos!$D$2:$D$2500))</f>
        <v>0</v>
      </c>
      <c r="CS97" s="75">
        <f t="array" ref="CS97">SUM((YEAR(Gastos!$A$2:$A$2500)=CS$1)*(MONTH(Gastos!$A$2:$A$2500)=CS$3)*(Gastos!$B$2:$B$2500=$A97)*(Gastos!$D$2:$D$2500))</f>
        <v>0</v>
      </c>
      <c r="CT97" s="75">
        <f t="array" ref="CT97">SUM((YEAR(Gastos!$A$2:$A$2500)=CT$1)*(MONTH(Gastos!$A$2:$A$2500)=CT$3)*(Gastos!$B$2:$B$2500=$A97)*(Gastos!$D$2:$D$2500))</f>
        <v>0</v>
      </c>
      <c r="CU97" s="75">
        <f t="array" ref="CU97">SUM((YEAR(Gastos!$A$2:$A$2500)=CU$1)*(MONTH(Gastos!$A$2:$A$2500)=CU$3)*(Gastos!$B$2:$B$2500=$A97)*(Gastos!$D$2:$D$2500))</f>
        <v>0</v>
      </c>
      <c r="CV97" s="75">
        <f t="array" ref="CV97">SUM((YEAR(Gastos!$A$2:$A$2500)=CV$1)*(MONTH(Gastos!$A$2:$A$2500)=CV$3)*(Gastos!$B$2:$B$2500=$A97)*(Gastos!$D$2:$D$2500))</f>
        <v>0</v>
      </c>
      <c r="CW97" s="75">
        <f t="array" ref="CW97">SUM((YEAR(Gastos!$A$2:$A$2500)=CW$1)*(MONTH(Gastos!$A$2:$A$2500)=CW$3)*(Gastos!$B$2:$B$2500=$A97)*(Gastos!$D$2:$D$2500))</f>
        <v>0</v>
      </c>
      <c r="CX97" s="75">
        <f t="array" ref="CX97">SUM((YEAR(Gastos!$A$2:$A$2500)=CX$1)*(MONTH(Gastos!$A$2:$A$2500)=CX$3)*(Gastos!$B$2:$B$2500=$A97)*(Gastos!$D$2:$D$2500))</f>
        <v>0</v>
      </c>
      <c r="CY97" s="75">
        <f t="array" ref="CY97">SUM((YEAR(Gastos!$A$2:$A$2500)=CY$1)*(MONTH(Gastos!$A$2:$A$2500)=CY$3)*(Gastos!$B$2:$B$2500=$A97)*(Gastos!$D$2:$D$2500))</f>
        <v>0</v>
      </c>
      <c r="CZ97" s="75">
        <f t="array" ref="CZ97">SUM((YEAR(Gastos!$A$2:$A$2500)=CZ$1)*(MONTH(Gastos!$A$2:$A$2500)=CZ$3)*(Gastos!$B$2:$B$2500=$A97)*(Gastos!$D$2:$D$2500))</f>
        <v>0</v>
      </c>
      <c r="DA97" s="75">
        <f t="array" ref="DA97">SUM((YEAR(Gastos!$A$2:$A$2500)=DA$1)*(MONTH(Gastos!$A$2:$A$2500)=DA$3)*(Gastos!$B$2:$B$2500=$A97)*(Gastos!$D$2:$D$2500))</f>
        <v>0</v>
      </c>
      <c r="DB97" s="75">
        <f t="array" ref="DB97">SUM((YEAR(Gastos!$A$2:$A$2500)=DB$1)*(MONTH(Gastos!$A$2:$A$2500)=DB$3)*(Gastos!$B$2:$B$2500=$A97)*(Gastos!$D$2:$D$2500))</f>
        <v>0</v>
      </c>
      <c r="DC97" s="75">
        <f t="array" ref="DC97">SUM((YEAR(Gastos!$A$2:$A$2500)=DC$1)*(MONTH(Gastos!$A$2:$A$2500)=DC$3)*(Gastos!$B$2:$B$2500=$A97)*(Gastos!$D$2:$D$2500))</f>
        <v>0</v>
      </c>
      <c r="DD97" s="75">
        <f t="array" ref="DD97">SUM((YEAR(Gastos!$A$2:$A$2500)=DD$1)*(MONTH(Gastos!$A$2:$A$2500)=DD$3)*(Gastos!$B$2:$B$2500=$A97)*(Gastos!$D$2:$D$2500))</f>
        <v>0</v>
      </c>
      <c r="DE97" s="75">
        <f t="array" ref="DE97">SUM((YEAR(Gastos!$A$2:$A$2500)=DE$1)*(MONTH(Gastos!$A$2:$A$2500)=DE$3)*(Gastos!$B$2:$B$2500=$A97)*(Gastos!$D$2:$D$2500))</f>
        <v>0</v>
      </c>
      <c r="DF97" s="75">
        <f t="array" ref="DF97">SUM((YEAR(Gastos!$A$2:$A$2500)=DF$1)*(MONTH(Gastos!$A$2:$A$2500)=DF$3)*(Gastos!$B$2:$B$2500=$A97)*(Gastos!$D$2:$D$2500))</f>
        <v>0</v>
      </c>
      <c r="DG97" s="75">
        <f t="array" ref="DG97">SUM((YEAR(Gastos!$A$2:$A$2500)=DG$1)*(MONTH(Gastos!$A$2:$A$2500)=DG$3)*(Gastos!$B$2:$B$2500=$A97)*(Gastos!$D$2:$D$2500))</f>
        <v>0</v>
      </c>
      <c r="DH97" s="75">
        <f t="array" ref="DH97">SUM((YEAR(Gastos!$A$2:$A$2500)=DH$1)*(MONTH(Gastos!$A$2:$A$2500)=DH$3)*(Gastos!$B$2:$B$2500=$A97)*(Gastos!$D$2:$D$2500))</f>
        <v>0</v>
      </c>
      <c r="DI97" s="75">
        <f t="array" ref="DI97">SUM((YEAR(Gastos!$A$2:$A$2500)=DI$1)*(MONTH(Gastos!$A$2:$A$2500)=DI$3)*(Gastos!$B$2:$B$2500=$A97)*(Gastos!$D$2:$D$2500))</f>
        <v>0</v>
      </c>
      <c r="DJ97" s="75">
        <f t="array" ref="DJ97">SUM((YEAR(Gastos!$A$2:$A$2500)=DJ$1)*(MONTH(Gastos!$A$2:$A$2500)=DJ$3)*(Gastos!$B$2:$B$2500=$A97)*(Gastos!$D$2:$D$2500))</f>
        <v>0</v>
      </c>
      <c r="DK97" s="75">
        <f t="array" ref="DK97">SUM((YEAR(Gastos!$A$2:$A$2500)=DK$1)*(MONTH(Gastos!$A$2:$A$2500)=DK$3)*(Gastos!$B$2:$B$2500=$A97)*(Gastos!$D$2:$D$2500))</f>
        <v>0</v>
      </c>
      <c r="DL97" s="75">
        <f t="array" ref="DL97">SUM((YEAR(Gastos!$A$2:$A$2500)=DL$1)*(MONTH(Gastos!$A$2:$A$2500)=DL$3)*(Gastos!$B$2:$B$2500=$A97)*(Gastos!$D$2:$D$2500))</f>
        <v>0</v>
      </c>
      <c r="DM97" s="75">
        <f t="array" ref="DM97">SUM((YEAR(Gastos!$A$2:$A$2500)=DM$1)*(MONTH(Gastos!$A$2:$A$2500)=DM$3)*(Gastos!$B$2:$B$2500=$A97)*(Gastos!$D$2:$D$2500))</f>
        <v>0</v>
      </c>
      <c r="DN97" s="75">
        <f t="array" ref="DN97">SUM((YEAR(Gastos!$A$2:$A$2500)=DN$1)*(MONTH(Gastos!$A$2:$A$2500)=DN$3)*(Gastos!$B$2:$B$2500=$A97)*(Gastos!$D$2:$D$2500))</f>
        <v>0</v>
      </c>
      <c r="DO97" s="75">
        <f t="array" ref="DO97">SUM((YEAR(Gastos!$A$2:$A$2500)=DO$1)*(MONTH(Gastos!$A$2:$A$2500)=DO$3)*(Gastos!$B$2:$B$2500=$A97)*(Gastos!$D$2:$D$2500))</f>
        <v>0</v>
      </c>
      <c r="DP97" s="75">
        <f t="array" ref="DP97">SUM((YEAR(Gastos!$A$2:$A$2500)=DP$1)*(MONTH(Gastos!$A$2:$A$2500)=DP$3)*(Gastos!$B$2:$B$2500=$A97)*(Gastos!$D$2:$D$2500))</f>
        <v>0</v>
      </c>
      <c r="DQ97" s="75">
        <f t="array" ref="DQ97">SUM((YEAR(Gastos!$A$2:$A$2500)=DQ$1)*(MONTH(Gastos!$A$2:$A$2500)=DQ$3)*(Gastos!$B$2:$B$2500=$A97)*(Gastos!$D$2:$D$2500))</f>
        <v>0</v>
      </c>
      <c r="DR97" s="75">
        <f t="array" ref="DR97">SUM((YEAR(Gastos!$A$2:$A$2500)=DR$1)*(MONTH(Gastos!$A$2:$A$2500)=DR$3)*(Gastos!$B$2:$B$2500=$A97)*(Gastos!$D$2:$D$2500))</f>
        <v>0</v>
      </c>
      <c r="DS97" s="75">
        <f t="array" ref="DS97">SUM((YEAR(Gastos!$A$2:$A$2500)=DS$1)*(MONTH(Gastos!$A$2:$A$2500)=DS$3)*(Gastos!$B$2:$B$2500=$A97)*(Gastos!$D$2:$D$2500))</f>
        <v>0</v>
      </c>
      <c r="DT97" s="75">
        <f t="array" ref="DT97">SUM((YEAR(Gastos!$A$2:$A$2500)=DT$1)*(MONTH(Gastos!$A$2:$A$2500)=DT$3)*(Gastos!$B$2:$B$2500=$A97)*(Gastos!$D$2:$D$2500))</f>
        <v>0</v>
      </c>
      <c r="DU97" s="75">
        <f t="array" ref="DU97">SUM((YEAR(Gastos!$A$2:$A$2500)=DU$1)*(MONTH(Gastos!$A$2:$A$2500)=DU$3)*(Gastos!$B$2:$B$2500=$A97)*(Gastos!$D$2:$D$2500))</f>
        <v>0</v>
      </c>
      <c r="DV97" s="75">
        <f t="array" ref="DV97">SUM((YEAR(Gastos!$A$2:$A$2500)=DV$1)*(MONTH(Gastos!$A$2:$A$2500)=DV$3)*(Gastos!$B$2:$B$2500=$A97)*(Gastos!$D$2:$D$2500))</f>
        <v>0</v>
      </c>
      <c r="DW97" s="75">
        <f t="array" ref="DW97">SUM((YEAR(Gastos!$A$2:$A$2500)=DW$1)*(MONTH(Gastos!$A$2:$A$2500)=DW$3)*(Gastos!$B$2:$B$2500=$A97)*(Gastos!$D$2:$D$2500))</f>
        <v>0</v>
      </c>
      <c r="DX97" s="75">
        <f t="array" ref="DX97">SUM((YEAR(Gastos!$A$2:$A$2500)=DX$1)*(MONTH(Gastos!$A$2:$A$2500)=DX$3)*(Gastos!$B$2:$B$2500=$A97)*(Gastos!$D$2:$D$2500))</f>
        <v>0</v>
      </c>
      <c r="DY97" s="75">
        <f t="array" ref="DY97">SUM((YEAR(Gastos!$A$2:$A$2500)=DY$1)*(MONTH(Gastos!$A$2:$A$2500)=DY$3)*(Gastos!$B$2:$B$2500=$A97)*(Gastos!$D$2:$D$2500))</f>
        <v>0</v>
      </c>
      <c r="DZ97" s="75">
        <f t="array" ref="DZ97">SUM((YEAR(Gastos!$A$2:$A$2500)=DZ$1)*(MONTH(Gastos!$A$2:$A$2500)=DZ$3)*(Gastos!$B$2:$B$2500=$A97)*(Gastos!$D$2:$D$2500))</f>
        <v>0</v>
      </c>
      <c r="EA97" s="75">
        <f t="array" ref="EA97">SUM((YEAR(Gastos!$A$2:$A$2500)=EA$1)*(MONTH(Gastos!$A$2:$A$2500)=EA$3)*(Gastos!$B$2:$B$2500=$A97)*(Gastos!$D$2:$D$2500))</f>
        <v>0</v>
      </c>
      <c r="EB97" s="75">
        <f t="array" ref="EB97">SUM((YEAR(Gastos!$A$2:$A$2500)=EB$1)*(MONTH(Gastos!$A$2:$A$2500)=EB$3)*(Gastos!$B$2:$B$2500=$A97)*(Gastos!$D$2:$D$2500))</f>
        <v>0</v>
      </c>
      <c r="EC97" s="75">
        <f t="array" ref="EC97">SUM((YEAR(Gastos!$A$2:$A$2500)=EC$1)*(MONTH(Gastos!$A$2:$A$2500)=EC$3)*(Gastos!$B$2:$B$2500=$A97)*(Gastos!$D$2:$D$2500))</f>
        <v>0</v>
      </c>
      <c r="ED97" s="75">
        <f t="array" ref="ED97">SUM((YEAR(Gastos!$A$2:$A$2500)=ED$1)*(MONTH(Gastos!$A$2:$A$2500)=ED$3)*(Gastos!$B$2:$B$2500=$A97)*(Gastos!$D$2:$D$2500))</f>
        <v>0</v>
      </c>
      <c r="EE97" s="75">
        <f t="array" ref="EE97">SUM((YEAR(Gastos!$A$2:$A$2500)=EE$1)*(MONTH(Gastos!$A$2:$A$2500)=EE$3)*(Gastos!$B$2:$B$2500=$A97)*(Gastos!$D$2:$D$2500))</f>
        <v>0</v>
      </c>
      <c r="EF97" s="75">
        <f t="array" ref="EF97">SUM((YEAR(Gastos!$A$2:$A$2500)=EF$1)*(MONTH(Gastos!$A$2:$A$2500)=EF$3)*(Gastos!$B$2:$B$2500=$A97)*(Gastos!$D$2:$D$2500))</f>
        <v>0</v>
      </c>
      <c r="EG97" s="75">
        <f t="array" ref="EG97">SUM((YEAR(Gastos!$A$2:$A$2500)=EG$1)*(MONTH(Gastos!$A$2:$A$2500)=EG$3)*(Gastos!$B$2:$B$2500=$A97)*(Gastos!$D$2:$D$2500))</f>
        <v>0</v>
      </c>
      <c r="EH97" s="75">
        <f t="array" ref="EH97">SUM((YEAR(Gastos!$A$2:$A$2500)=EH$1)*(MONTH(Gastos!$A$2:$A$2500)=EH$3)*(Gastos!$B$2:$B$2500=$A97)*(Gastos!$D$2:$D$2500))</f>
        <v>0</v>
      </c>
      <c r="EI97" s="75">
        <f t="array" ref="EI97">SUM((YEAR(Gastos!$A$2:$A$2500)=EI$1)*(MONTH(Gastos!$A$2:$A$2500)=EI$3)*(Gastos!$B$2:$B$2500=$A97)*(Gastos!$D$2:$D$2500))</f>
        <v>0</v>
      </c>
      <c r="EJ97" s="75">
        <f t="array" ref="EJ97">SUM((YEAR(Gastos!$A$2:$A$2500)=EJ$1)*(MONTH(Gastos!$A$2:$A$2500)=EJ$3)*(Gastos!$B$2:$B$2500=$A97)*(Gastos!$D$2:$D$2500))</f>
        <v>0</v>
      </c>
      <c r="EK97" s="75">
        <f t="array" ref="EK97">SUM((YEAR(Gastos!$A$2:$A$2500)=EK$1)*(MONTH(Gastos!$A$2:$A$2500)=EK$3)*(Gastos!$B$2:$B$2500=$A97)*(Gastos!$D$2:$D$2500))</f>
        <v>0</v>
      </c>
      <c r="EL97" s="75">
        <f t="array" ref="EL97">SUM((YEAR(Gastos!$A$2:$A$2500)=EL$1)*(MONTH(Gastos!$A$2:$A$2500)=EL$3)*(Gastos!$B$2:$B$2500=$A97)*(Gastos!$D$2:$D$2500))</f>
        <v>0</v>
      </c>
      <c r="EM97" s="75">
        <f t="array" ref="EM97">SUM((YEAR(Gastos!$A$2:$A$2500)=EM$1)*(MONTH(Gastos!$A$2:$A$2500)=EM$3)*(Gastos!$B$2:$B$2500=$A97)*(Gastos!$D$2:$D$2500))</f>
        <v>0</v>
      </c>
      <c r="EN97" s="75">
        <f t="array" ref="EN97">SUM((YEAR(Gastos!$A$2:$A$2500)=EN$1)*(MONTH(Gastos!$A$2:$A$2500)=EN$3)*(Gastos!$B$2:$B$2500=$A97)*(Gastos!$D$2:$D$2500))</f>
        <v>0</v>
      </c>
      <c r="EO97" s="75">
        <f t="array" ref="EO97">SUM((YEAR(Gastos!$A$2:$A$2500)=EO$1)*(MONTH(Gastos!$A$2:$A$2500)=EO$3)*(Gastos!$B$2:$B$2500=$A97)*(Gastos!$D$2:$D$2500))</f>
        <v>0</v>
      </c>
      <c r="EP97" s="75">
        <f t="array" ref="EP97">SUM((YEAR(Gastos!$A$2:$A$2500)=EP$1)*(MONTH(Gastos!$A$2:$A$2500)=EP$3)*(Gastos!$B$2:$B$2500=$A97)*(Gastos!$D$2:$D$2500))</f>
        <v>0</v>
      </c>
      <c r="EQ97" s="75">
        <f t="array" ref="EQ97">SUM((YEAR(Gastos!$A$2:$A$2500)=EQ$1)*(MONTH(Gastos!$A$2:$A$2500)=EQ$3)*(Gastos!$B$2:$B$2500=$A97)*(Gastos!$D$2:$D$2500))</f>
        <v>0</v>
      </c>
      <c r="ER97" s="75">
        <f t="array" ref="ER97">SUM((YEAR(Gastos!$A$2:$A$2500)=ER$1)*(MONTH(Gastos!$A$2:$A$2500)=ER$3)*(Gastos!$B$2:$B$2500=$A97)*(Gastos!$D$2:$D$2500))</f>
        <v>0</v>
      </c>
      <c r="ES97" s="75">
        <f t="array" ref="ES97">SUM((YEAR(Gastos!$A$2:$A$2500)=ES$1)*(MONTH(Gastos!$A$2:$A$2500)=ES$3)*(Gastos!$B$2:$B$2500=$A97)*(Gastos!$D$2:$D$2500))</f>
        <v>0</v>
      </c>
      <c r="ET97" s="75">
        <f t="array" ref="ET97">SUM((YEAR(Gastos!$A$2:$A$2500)=ET$1)*(MONTH(Gastos!$A$2:$A$2500)=ET$3)*(Gastos!$B$2:$B$2500=$A97)*(Gastos!$D$2:$D$2500))</f>
        <v>0</v>
      </c>
      <c r="EU97" s="75">
        <f t="array" ref="EU97">SUM((YEAR(Gastos!$A$2:$A$2500)=EU$1)*(MONTH(Gastos!$A$2:$A$2500)=EU$3)*(Gastos!$B$2:$B$2500=$A97)*(Gastos!$D$2:$D$2500))</f>
        <v>0</v>
      </c>
      <c r="EV97" s="75">
        <f t="array" ref="EV97">SUM((YEAR(Gastos!$A$2:$A$2500)=EV$1)*(MONTH(Gastos!$A$2:$A$2500)=EV$3)*(Gastos!$B$2:$B$2500=$A97)*(Gastos!$D$2:$D$2500))</f>
        <v>0</v>
      </c>
      <c r="EW97" s="75">
        <f t="array" ref="EW97">SUM((YEAR(Gastos!$A$2:$A$2500)=EW$1)*(MONTH(Gastos!$A$2:$A$2500)=EW$3)*(Gastos!$B$2:$B$2500=$A97)*(Gastos!$D$2:$D$2500))</f>
        <v>0</v>
      </c>
      <c r="EX97" s="75">
        <f t="array" ref="EX97">SUM((YEAR(Gastos!$A$2:$A$2500)=EX$1)*(MONTH(Gastos!$A$2:$A$2500)=EX$3)*(Gastos!$B$2:$B$2500=$A97)*(Gastos!$D$2:$D$2500))</f>
        <v>0</v>
      </c>
      <c r="EY97" s="75">
        <f t="array" ref="EY97">SUM((YEAR(Gastos!$A$2:$A$2500)=EY$1)*(MONTH(Gastos!$A$2:$A$2500)=EY$3)*(Gastos!$B$2:$B$2500=$A97)*(Gastos!$D$2:$D$2500))</f>
        <v>0</v>
      </c>
      <c r="EZ97" s="75">
        <f t="array" ref="EZ97">SUM((YEAR(Gastos!$A$2:$A$2500)=EZ$1)*(MONTH(Gastos!$A$2:$A$2500)=EZ$3)*(Gastos!$B$2:$B$2500=$A97)*(Gastos!$D$2:$D$2500))</f>
        <v>0</v>
      </c>
      <c r="FA97" s="75">
        <f t="array" ref="FA97">SUM((YEAR(Gastos!$A$2:$A$2500)=FA$1)*(MONTH(Gastos!$A$2:$A$2500)=FA$3)*(Gastos!$B$2:$B$2500=$A97)*(Gastos!$D$2:$D$2500))</f>
        <v>0</v>
      </c>
      <c r="FB97" s="75">
        <f t="array" ref="FB97">SUM((YEAR(Gastos!$A$2:$A$2500)=FB$1)*(MONTH(Gastos!$A$2:$A$2500)=FB$3)*(Gastos!$B$2:$B$2500=$A97)*(Gastos!$D$2:$D$2500))</f>
        <v>0</v>
      </c>
      <c r="FC97" s="75">
        <f t="array" ref="FC97">SUM((YEAR(Gastos!$A$2:$A$2500)=FC$1)*(MONTH(Gastos!$A$2:$A$2500)=FC$3)*(Gastos!$B$2:$B$2500=$A97)*(Gastos!$D$2:$D$2500))</f>
        <v>0</v>
      </c>
      <c r="FD97" s="75">
        <f t="array" ref="FD97">SUM((YEAR(Gastos!$A$2:$A$2500)=FD$1)*(MONTH(Gastos!$A$2:$A$2500)=FD$3)*(Gastos!$B$2:$B$2500=$A97)*(Gastos!$D$2:$D$2500))</f>
        <v>0</v>
      </c>
      <c r="FE97" s="75">
        <f t="array" ref="FE97">SUM((YEAR(Gastos!$A$2:$A$2500)=FE$1)*(MONTH(Gastos!$A$2:$A$2500)=FE$3)*(Gastos!$B$2:$B$2500=$A97)*(Gastos!$D$2:$D$2500))</f>
        <v>0</v>
      </c>
      <c r="FF97" s="75">
        <f t="array" ref="FF97">SUM((YEAR(Gastos!$A$2:$A$2500)=FF$1)*(MONTH(Gastos!$A$2:$A$2500)=FF$3)*(Gastos!$B$2:$B$2500=$A97)*(Gastos!$D$2:$D$2500))</f>
        <v>0</v>
      </c>
      <c r="FG97" s="75">
        <f t="array" ref="FG97">SUM((YEAR(Gastos!$A$2:$A$2500)=FG$1)*(MONTH(Gastos!$A$2:$A$2500)=FG$3)*(Gastos!$B$2:$B$2500=$A97)*(Gastos!$D$2:$D$2500))</f>
        <v>0</v>
      </c>
      <c r="FH97" s="75">
        <f t="array" ref="FH97">SUM((YEAR(Gastos!$A$2:$A$2500)=FH$1)*(MONTH(Gastos!$A$2:$A$2500)=FH$3)*(Gastos!$B$2:$B$2500=$A97)*(Gastos!$D$2:$D$2500))</f>
        <v>0</v>
      </c>
      <c r="FI97" s="75">
        <f t="array" ref="FI97">SUM((YEAR(Gastos!$A$2:$A$2500)=FI$1)*(MONTH(Gastos!$A$2:$A$2500)=FI$3)*(Gastos!$B$2:$B$2500=$A97)*(Gastos!$D$2:$D$2500))</f>
        <v>0</v>
      </c>
      <c r="FJ97" s="75">
        <f t="array" ref="FJ97">SUM((YEAR(Gastos!$A$2:$A$2500)=FJ$1)*(MONTH(Gastos!$A$2:$A$2500)=FJ$3)*(Gastos!$B$2:$B$2500=$A97)*(Gastos!$D$2:$D$2500))</f>
        <v>0</v>
      </c>
      <c r="FK97" s="75">
        <f t="array" ref="FK97">SUM((YEAR(Gastos!$A$2:$A$2500)=FK$1)*(MONTH(Gastos!$A$2:$A$2500)=FK$3)*(Gastos!$B$2:$B$2500=$A97)*(Gastos!$D$2:$D$2500))</f>
        <v>0</v>
      </c>
      <c r="FL97" s="75">
        <f t="array" ref="FL97">SUM((YEAR(Gastos!$A$2:$A$2500)=FL$1)*(MONTH(Gastos!$A$2:$A$2500)=FL$3)*(Gastos!$B$2:$B$2500=$A97)*(Gastos!$D$2:$D$2500))</f>
        <v>0</v>
      </c>
      <c r="FM97" s="75">
        <f t="array" ref="FM97">SUM((YEAR(Gastos!$A$2:$A$2500)=FM$1)*(MONTH(Gastos!$A$2:$A$2500)=FM$3)*(Gastos!$B$2:$B$2500=$A97)*(Gastos!$D$2:$D$2500))</f>
        <v>0</v>
      </c>
      <c r="FN97" s="75">
        <f t="array" ref="FN97">SUM((YEAR(Gastos!$A$2:$A$2500)=FN$1)*(MONTH(Gastos!$A$2:$A$2500)=FN$3)*(Gastos!$B$2:$B$2500=$A97)*(Gastos!$D$2:$D$2500))</f>
        <v>0</v>
      </c>
      <c r="FO97" s="75">
        <f t="array" ref="FO97">SUM((YEAR(Gastos!$A$2:$A$2500)=FO$1)*(MONTH(Gastos!$A$2:$A$2500)=FO$3)*(Gastos!$B$2:$B$2500=$A97)*(Gastos!$D$2:$D$2500))</f>
        <v>0</v>
      </c>
      <c r="FP97" s="75">
        <f t="array" ref="FP97">SUM((YEAR(Gastos!$A$2:$A$2500)=FP$1)*(MONTH(Gastos!$A$2:$A$2500)=FP$3)*(Gastos!$B$2:$B$2500=$A97)*(Gastos!$D$2:$D$2500))</f>
        <v>0</v>
      </c>
      <c r="FQ97" s="75">
        <f t="array" ref="FQ97">SUM((YEAR(Gastos!$A$2:$A$2500)=FQ$1)*(MONTH(Gastos!$A$2:$A$2500)=FQ$3)*(Gastos!$B$2:$B$2500=$A97)*(Gastos!$D$2:$D$2500))</f>
        <v>0</v>
      </c>
      <c r="FR97" s="75">
        <f t="array" ref="FR97">SUM((YEAR(Gastos!$A$2:$A$2500)=FR$1)*(MONTH(Gastos!$A$2:$A$2500)=FR$3)*(Gastos!$B$2:$B$2500=$A97)*(Gastos!$D$2:$D$2500))</f>
        <v>0</v>
      </c>
      <c r="FS97" s="75">
        <f t="array" ref="FS97">SUM((YEAR(Gastos!$A$2:$A$2500)=FS$1)*(MONTH(Gastos!$A$2:$A$2500)=FS$3)*(Gastos!$B$2:$B$2500=$A97)*(Gastos!$D$2:$D$2500))</f>
        <v>0</v>
      </c>
      <c r="FT97" s="75">
        <f t="array" ref="FT97">SUM((YEAR(Gastos!$A$2:$A$2500)=FT$1)*(MONTH(Gastos!$A$2:$A$2500)=FT$3)*(Gastos!$B$2:$B$2500=$A97)*(Gastos!$D$2:$D$2500))</f>
        <v>0</v>
      </c>
      <c r="FU97" s="75">
        <f t="array" ref="FU97">SUM((YEAR(Gastos!$A$2:$A$2500)=FU$1)*(MONTH(Gastos!$A$2:$A$2500)=FU$3)*(Gastos!$B$2:$B$2500=$A97)*(Gastos!$D$2:$D$2500))</f>
        <v>0</v>
      </c>
      <c r="FV97" s="75">
        <f t="array" ref="FV97">SUM((YEAR(Gastos!$A$2:$A$2500)=FV$1)*(MONTH(Gastos!$A$2:$A$2500)=FV$3)*(Gastos!$B$2:$B$2500=$A97)*(Gastos!$D$2:$D$2500))</f>
        <v>0</v>
      </c>
      <c r="FW97" s="75">
        <f t="array" ref="FW97">SUM((YEAR(Gastos!$A$2:$A$2500)=FW$1)*(MONTH(Gastos!$A$2:$A$2500)=FW$3)*(Gastos!$B$2:$B$2500=$A97)*(Gastos!$D$2:$D$2500))</f>
        <v>0</v>
      </c>
      <c r="FX97" s="75">
        <f t="array" ref="FX97">SUM((YEAR(Gastos!$A$2:$A$2500)=FX$1)*(MONTH(Gastos!$A$2:$A$2500)=FX$3)*(Gastos!$B$2:$B$2500=$A97)*(Gastos!$D$2:$D$2500))</f>
        <v>0</v>
      </c>
      <c r="FY97" s="75">
        <f t="array" ref="FY97">SUM((YEAR(Gastos!$A$2:$A$2500)=FY$1)*(MONTH(Gastos!$A$2:$A$2500)=FY$3)*(Gastos!$B$2:$B$2500=$A97)*(Gastos!$D$2:$D$2500))</f>
        <v>0</v>
      </c>
      <c r="FZ97" s="76">
        <f t="shared" si="68"/>
        <v>6287.2</v>
      </c>
      <c r="GA97" s="80"/>
      <c r="GB97" s="82"/>
    </row>
    <row r="98" spans="1:193" ht="15" thickBot="1" x14ac:dyDescent="0.4">
      <c r="A98" s="74" t="str">
        <f>Gastos!AA96</f>
        <v>V. DEPOSITOS A CUENTA 0170850187</v>
      </c>
      <c r="B98" s="75">
        <f t="array" ref="B98">SUM((YEAR(Gastos!$A$2:$A$2500)=B$1)*(MONTH(Gastos!$A$2:$A$2500)=B$3)*(Gastos!$B$2:$B$2500=$A98)*(Gastos!$D$2:$D$2500))</f>
        <v>0</v>
      </c>
      <c r="C98" s="75">
        <f t="array" ref="C98">SUM((YEAR(Gastos!$A$2:$A$2500)=C$1)*(MONTH(Gastos!$A$2:$A$2500)=C$3)*(Gastos!$B$2:$B$2500=$A98)*(Gastos!$D$2:$D$2500))</f>
        <v>0</v>
      </c>
      <c r="D98" s="75">
        <f t="array" ref="D98">SUM((YEAR(Gastos!$A$2:$A$2500)=D$1)*(MONTH(Gastos!$A$2:$A$2500)=D$3)*(Gastos!$B$2:$B$2500=$A98)*(Gastos!$D$2:$D$2500))</f>
        <v>363.88</v>
      </c>
      <c r="E98" s="75">
        <f t="array" ref="E98">SUM((YEAR(Gastos!$A$2:$A$2500)=E$1)*(MONTH(Gastos!$A$2:$A$2500)=E$3)*(Gastos!$B$2:$B$2500=$A98)*(Gastos!$D$2:$D$2500))</f>
        <v>0</v>
      </c>
      <c r="F98" s="75">
        <f t="array" ref="F98">SUM((YEAR(Gastos!$A$2:$A$2500)=F$1)*(MONTH(Gastos!$A$2:$A$2500)=F$3)*(Gastos!$B$2:$B$2500=$A98)*(Gastos!$D$2:$D$2500))</f>
        <v>0</v>
      </c>
      <c r="G98" s="75">
        <f t="array" ref="G98">SUM((YEAR(Gastos!$A$2:$A$2500)=G$1)*(MONTH(Gastos!$A$2:$A$2500)=G$3)*(Gastos!$B$2:$B$2500=$A98)*(Gastos!$D$2:$D$2500))</f>
        <v>0</v>
      </c>
      <c r="H98" s="75">
        <f t="array" ref="H98">SUM((YEAR(Gastos!$A$2:$A$2500)=H$1)*(MONTH(Gastos!$A$2:$A$2500)=H$3)*(Gastos!$B$2:$B$2500=$A98)*(Gastos!$D$2:$D$2500))</f>
        <v>0</v>
      </c>
      <c r="I98" s="75">
        <f t="array" ref="I98">SUM((YEAR(Gastos!$A$2:$A$2500)=I$1)*(MONTH(Gastos!$A$2:$A$2500)=I$3)*(Gastos!$B$2:$B$2500=$A98)*(Gastos!$D$2:$D$2500))</f>
        <v>0</v>
      </c>
      <c r="J98" s="75">
        <f t="array" ref="J98">SUM((YEAR(Gastos!$A$2:$A$2500)=J$1)*(MONTH(Gastos!$A$2:$A$2500)=J$3)*(Gastos!$B$2:$B$2500=$A98)*(Gastos!$D$2:$D$2500))</f>
        <v>0</v>
      </c>
      <c r="K98" s="75">
        <f t="array" ref="K98">SUM((YEAR(Gastos!$A$2:$A$2500)=K$1)*(MONTH(Gastos!$A$2:$A$2500)=K$3)*(Gastos!$B$2:$B$2500=$A98)*(Gastos!$D$2:$D$2500))</f>
        <v>0</v>
      </c>
      <c r="L98" s="75">
        <f t="array" ref="L98">SUM((YEAR(Gastos!$A$2:$A$2500)=L$1)*(MONTH(Gastos!$A$2:$A$2500)=L$3)*(Gastos!$B$2:$B$2500=$A98)*(Gastos!$D$2:$D$2500))</f>
        <v>0</v>
      </c>
      <c r="M98" s="75">
        <f t="array" ref="M98">SUM((YEAR(Gastos!$A$2:$A$2500)=M$1)*(MONTH(Gastos!$A$2:$A$2500)=M$3)*(Gastos!$B$2:$B$2500=$A98)*(Gastos!$D$2:$D$2500))</f>
        <v>0</v>
      </c>
      <c r="N98" s="75">
        <f t="array" ref="N98">SUM((YEAR(Gastos!$A$2:$A$2500)=N$1)*(MONTH(Gastos!$A$2:$A$2500)=N$3)*(Gastos!$B$2:$B$2500=$A98)*(Gastos!$D$2:$D$2500))</f>
        <v>0</v>
      </c>
      <c r="O98" s="75">
        <f t="array" ref="O98">SUM((YEAR(Gastos!$A$2:$A$2500)=O$1)*(MONTH(Gastos!$A$2:$A$2500)=O$3)*(Gastos!$B$2:$B$2500=$A98)*(Gastos!$D$2:$D$2500))</f>
        <v>0</v>
      </c>
      <c r="P98" s="75">
        <f t="array" ref="P98">SUM((YEAR(Gastos!$A$2:$A$2500)=P$1)*(MONTH(Gastos!$A$2:$A$2500)=P$3)*(Gastos!$B$2:$B$2500=$A98)*(Gastos!$D$2:$D$2500))</f>
        <v>0</v>
      </c>
      <c r="Q98" s="75">
        <f t="array" ref="Q98">SUM((YEAR(Gastos!$A$2:$A$2500)=Q$1)*(MONTH(Gastos!$A$2:$A$2500)=Q$3)*(Gastos!$B$2:$B$2500=$A98)*(Gastos!$D$2:$D$2500))</f>
        <v>0</v>
      </c>
      <c r="R98" s="75">
        <f t="array" ref="R98">SUM((YEAR(Gastos!$A$2:$A$2500)=R$1)*(MONTH(Gastos!$A$2:$A$2500)=R$3)*(Gastos!$B$2:$B$2500=$A98)*(Gastos!$D$2:$D$2500))</f>
        <v>0</v>
      </c>
      <c r="S98" s="75">
        <f t="array" ref="S98">SUM((YEAR(Gastos!$A$2:$A$2500)=S$1)*(MONTH(Gastos!$A$2:$A$2500)=S$3)*(Gastos!$B$2:$B$2500=$A98)*(Gastos!$D$2:$D$2500))</f>
        <v>0</v>
      </c>
      <c r="T98" s="75">
        <f t="array" ref="T98">SUM((YEAR(Gastos!$A$2:$A$2500)=T$1)*(MONTH(Gastos!$A$2:$A$2500)=T$3)*(Gastos!$B$2:$B$2500=$A98)*(Gastos!$D$2:$D$2500))</f>
        <v>0</v>
      </c>
      <c r="U98" s="75">
        <f t="array" ref="U98">SUM((YEAR(Gastos!$A$2:$A$2500)=U$1)*(MONTH(Gastos!$A$2:$A$2500)=U$3)*(Gastos!$B$2:$B$2500=$A98)*(Gastos!$D$2:$D$2500))</f>
        <v>0</v>
      </c>
      <c r="V98" s="75">
        <f t="array" ref="V98">SUM((YEAR(Gastos!$A$2:$A$2500)=V$1)*(MONTH(Gastos!$A$2:$A$2500)=V$3)*(Gastos!$B$2:$B$2500=$A98)*(Gastos!$D$2:$D$2500))</f>
        <v>0</v>
      </c>
      <c r="W98" s="75">
        <f t="array" ref="W98">SUM((YEAR(Gastos!$A$2:$A$2500)=W$1)*(MONTH(Gastos!$A$2:$A$2500)=W$3)*(Gastos!$B$2:$B$2500=$A98)*(Gastos!$D$2:$D$2500))</f>
        <v>0</v>
      </c>
      <c r="X98" s="75">
        <f t="array" ref="X98">SUM((YEAR(Gastos!$A$2:$A$2500)=X$1)*(MONTH(Gastos!$A$2:$A$2500)=X$3)*(Gastos!$B$2:$B$2500=$A98)*(Gastos!$D$2:$D$2500))</f>
        <v>0</v>
      </c>
      <c r="Y98" s="75">
        <f t="array" ref="Y98">SUM((YEAR(Gastos!$A$2:$A$2500)=Y$1)*(MONTH(Gastos!$A$2:$A$2500)=Y$3)*(Gastos!$B$2:$B$2500=$A98)*(Gastos!$D$2:$D$2500))</f>
        <v>0</v>
      </c>
      <c r="Z98" s="75">
        <f t="array" ref="Z98">SUM((YEAR(Gastos!$A$2:$A$2500)=Z$1)*(MONTH(Gastos!$A$2:$A$2500)=Z$3)*(Gastos!$B$2:$B$2500=$A98)*(Gastos!$D$2:$D$2500))</f>
        <v>0</v>
      </c>
      <c r="AA98" s="75">
        <f t="array" ref="AA98">SUM((YEAR(Gastos!$A$2:$A$2500)=AA$1)*(MONTH(Gastos!$A$2:$A$2500)=AA$3)*(Gastos!$B$2:$B$2500=$A98)*(Gastos!$D$2:$D$2500))</f>
        <v>0</v>
      </c>
      <c r="AB98" s="75">
        <f t="array" ref="AB98">SUM((YEAR(Gastos!$A$2:$A$2500)=AB$1)*(MONTH(Gastos!$A$2:$A$2500)=AB$3)*(Gastos!$B$2:$B$2500=$A98)*(Gastos!$D$2:$D$2500))</f>
        <v>0</v>
      </c>
      <c r="AC98" s="75">
        <f t="array" ref="AC98">SUM((YEAR(Gastos!$A$2:$A$2500)=AC$1)*(MONTH(Gastos!$A$2:$A$2500)=AC$3)*(Gastos!$B$2:$B$2500=$A98)*(Gastos!$D$2:$D$2500))</f>
        <v>0</v>
      </c>
      <c r="AD98" s="75">
        <f t="array" ref="AD98">SUM((YEAR(Gastos!$A$2:$A$2500)=AD$1)*(MONTH(Gastos!$A$2:$A$2500)=AD$3)*(Gastos!$B$2:$B$2500=$A98)*(Gastos!$D$2:$D$2500))</f>
        <v>0</v>
      </c>
      <c r="AE98" s="75">
        <f t="array" ref="AE98">SUM((YEAR(Gastos!$A$2:$A$2500)=AE$1)*(MONTH(Gastos!$A$2:$A$2500)=AE$3)*(Gastos!$B$2:$B$2500=$A98)*(Gastos!$D$2:$D$2500))</f>
        <v>0</v>
      </c>
      <c r="AF98" s="75">
        <f t="array" ref="AF98">SUM((YEAR(Gastos!$A$2:$A$2500)=AF$1)*(MONTH(Gastos!$A$2:$A$2500)=AF$3)*(Gastos!$B$2:$B$2500=$A98)*(Gastos!$D$2:$D$2500))</f>
        <v>0</v>
      </c>
      <c r="AG98" s="75">
        <f t="array" ref="AG98">SUM((YEAR(Gastos!$A$2:$A$2500)=AG$1)*(MONTH(Gastos!$A$2:$A$2500)=AG$3)*(Gastos!$B$2:$B$2500=$A98)*(Gastos!$D$2:$D$2500))</f>
        <v>0</v>
      </c>
      <c r="AH98" s="75">
        <f t="array" ref="AH98">SUM((YEAR(Gastos!$A$2:$A$2500)=AH$1)*(MONTH(Gastos!$A$2:$A$2500)=AH$3)*(Gastos!$B$2:$B$2500=$A98)*(Gastos!$D$2:$D$2500))</f>
        <v>0</v>
      </c>
      <c r="AI98" s="75">
        <f t="array" ref="AI98">SUM((YEAR(Gastos!$A$2:$A$2500)=AI$1)*(MONTH(Gastos!$A$2:$A$2500)=AI$3)*(Gastos!$B$2:$B$2500=$A98)*(Gastos!$D$2:$D$2500))</f>
        <v>0</v>
      </c>
      <c r="AJ98" s="75">
        <f t="array" ref="AJ98">SUM((YEAR(Gastos!$A$2:$A$2500)=AJ$1)*(MONTH(Gastos!$A$2:$A$2500)=AJ$3)*(Gastos!$B$2:$B$2500=$A98)*(Gastos!$D$2:$D$2500))</f>
        <v>0</v>
      </c>
      <c r="AK98" s="75">
        <f t="array" ref="AK98">SUM((YEAR(Gastos!$A$2:$A$2500)=AK$1)*(MONTH(Gastos!$A$2:$A$2500)=AK$3)*(Gastos!$B$2:$B$2500=$A98)*(Gastos!$D$2:$D$2500))</f>
        <v>0</v>
      </c>
      <c r="AL98" s="75">
        <f t="array" ref="AL98">SUM((YEAR(Gastos!$A$2:$A$2500)=AL$1)*(MONTH(Gastos!$A$2:$A$2500)=AL$3)*(Gastos!$B$2:$B$2500=$A98)*(Gastos!$D$2:$D$2500))</f>
        <v>0</v>
      </c>
      <c r="AM98" s="75">
        <f t="array" ref="AM98">SUM((YEAR(Gastos!$A$2:$A$2500)=AM$1)*(MONTH(Gastos!$A$2:$A$2500)=AM$3)*(Gastos!$B$2:$B$2500=$A98)*(Gastos!$D$2:$D$2500))</f>
        <v>0</v>
      </c>
      <c r="AN98" s="75">
        <f t="array" ref="AN98">SUM((YEAR(Gastos!$A$2:$A$2500)=AN$1)*(MONTH(Gastos!$A$2:$A$2500)=AN$3)*(Gastos!$B$2:$B$2500=$A98)*(Gastos!$D$2:$D$2500))</f>
        <v>0</v>
      </c>
      <c r="AO98" s="75">
        <f t="array" ref="AO98">SUM((YEAR(Gastos!$A$2:$A$2500)=AO$1)*(MONTH(Gastos!$A$2:$A$2500)=AO$3)*(Gastos!$B$2:$B$2500=$A98)*(Gastos!$D$2:$D$2500))</f>
        <v>0</v>
      </c>
      <c r="AP98" s="75">
        <f t="array" ref="AP98">SUM((YEAR(Gastos!$A$2:$A$2500)=AP$1)*(MONTH(Gastos!$A$2:$A$2500)=AP$3)*(Gastos!$B$2:$B$2500=$A98)*(Gastos!$D$2:$D$2500))</f>
        <v>0</v>
      </c>
      <c r="AQ98" s="75">
        <f t="array" ref="AQ98">SUM((YEAR(Gastos!$A$2:$A$2500)=AQ$1)*(MONTH(Gastos!$A$2:$A$2500)=AQ$3)*(Gastos!$B$2:$B$2500=$A98)*(Gastos!$D$2:$D$2500))</f>
        <v>0</v>
      </c>
      <c r="AR98" s="75">
        <f t="array" ref="AR98">SUM((YEAR(Gastos!$A$2:$A$2500)=AR$1)*(MONTH(Gastos!$A$2:$A$2500)=AR$3)*(Gastos!$B$2:$B$2500=$A98)*(Gastos!$D$2:$D$2500))</f>
        <v>0</v>
      </c>
      <c r="AS98" s="75">
        <f t="array" ref="AS98">SUM((YEAR(Gastos!$A$2:$A$2500)=AS$1)*(MONTH(Gastos!$A$2:$A$2500)=AS$3)*(Gastos!$B$2:$B$2500=$A98)*(Gastos!$D$2:$D$2500))</f>
        <v>0</v>
      </c>
      <c r="AT98" s="75">
        <f t="array" ref="AT98">SUM((YEAR(Gastos!$A$2:$A$2500)=AT$1)*(MONTH(Gastos!$A$2:$A$2500)=AT$3)*(Gastos!$B$2:$B$2500=$A98)*(Gastos!$D$2:$D$2500))</f>
        <v>0</v>
      </c>
      <c r="AU98" s="75">
        <f t="array" ref="AU98">SUM((YEAR(Gastos!$A$2:$A$2500)=AU$1)*(MONTH(Gastos!$A$2:$A$2500)=AU$3)*(Gastos!$B$2:$B$2500=$A98)*(Gastos!$D$2:$D$2500))</f>
        <v>0</v>
      </c>
      <c r="AV98" s="75">
        <f t="array" ref="AV98">SUM((YEAR(Gastos!$A$2:$A$2500)=AV$1)*(MONTH(Gastos!$A$2:$A$2500)=AV$3)*(Gastos!$B$2:$B$2500=$A98)*(Gastos!$D$2:$D$2500))</f>
        <v>0</v>
      </c>
      <c r="AW98" s="75">
        <f t="array" ref="AW98">SUM((YEAR(Gastos!$A$2:$A$2500)=AW$1)*(MONTH(Gastos!$A$2:$A$2500)=AW$3)*(Gastos!$B$2:$B$2500=$A98)*(Gastos!$D$2:$D$2500))</f>
        <v>0</v>
      </c>
      <c r="AX98" s="75">
        <f t="array" ref="AX98">SUM((YEAR(Gastos!$A$2:$A$2500)=AX$1)*(MONTH(Gastos!$A$2:$A$2500)=AX$3)*(Gastos!$B$2:$B$2500=$A98)*(Gastos!$D$2:$D$2500))</f>
        <v>0</v>
      </c>
      <c r="AY98" s="75">
        <f t="array" ref="AY98">SUM((YEAR(Gastos!$A$2:$A$2500)=AY$1)*(MONTH(Gastos!$A$2:$A$2500)=AY$3)*(Gastos!$B$2:$B$2500=$A98)*(Gastos!$D$2:$D$2500))</f>
        <v>0</v>
      </c>
      <c r="AZ98" s="75">
        <f t="array" ref="AZ98">SUM((YEAR(Gastos!$A$2:$A$2500)=AZ$1)*(MONTH(Gastos!$A$2:$A$2500)=AZ$3)*(Gastos!$B$2:$B$2500=$A98)*(Gastos!$D$2:$D$2500))</f>
        <v>0</v>
      </c>
      <c r="BA98" s="75">
        <f t="array" ref="BA98">SUM((YEAR(Gastos!$A$2:$A$2500)=BA$1)*(MONTH(Gastos!$A$2:$A$2500)=BA$3)*(Gastos!$B$2:$B$2500=$A98)*(Gastos!$D$2:$D$2500))</f>
        <v>0</v>
      </c>
      <c r="BB98" s="75">
        <f t="array" ref="BB98">SUM((YEAR(Gastos!$A$2:$A$2500)=BB$1)*(MONTH(Gastos!$A$2:$A$2500)=BB$3)*(Gastos!$B$2:$B$2500=$A98)*(Gastos!$D$2:$D$2500))</f>
        <v>0</v>
      </c>
      <c r="BC98" s="75">
        <f t="array" ref="BC98">SUM((YEAR(Gastos!$A$2:$A$2500)=BC$1)*(MONTH(Gastos!$A$2:$A$2500)=BC$3)*(Gastos!$B$2:$B$2500=$A98)*(Gastos!$D$2:$D$2500))</f>
        <v>0</v>
      </c>
      <c r="BD98" s="75">
        <f t="array" ref="BD98">SUM((YEAR(Gastos!$A$2:$A$2500)=BD$1)*(MONTH(Gastos!$A$2:$A$2500)=BD$3)*(Gastos!$B$2:$B$2500=$A98)*(Gastos!$D$2:$D$2500))</f>
        <v>0</v>
      </c>
      <c r="BE98" s="75">
        <f t="array" ref="BE98">SUM((YEAR(Gastos!$A$2:$A$2500)=BE$1)*(MONTH(Gastos!$A$2:$A$2500)=BE$3)*(Gastos!$B$2:$B$2500=$A98)*(Gastos!$D$2:$D$2500))</f>
        <v>0</v>
      </c>
      <c r="BF98" s="75">
        <f t="array" ref="BF98">SUM((YEAR(Gastos!$A$2:$A$2500)=BF$1)*(MONTH(Gastos!$A$2:$A$2500)=BF$3)*(Gastos!$B$2:$B$2500=$A98)*(Gastos!$D$2:$D$2500))</f>
        <v>0</v>
      </c>
      <c r="BG98" s="75">
        <f t="array" ref="BG98">SUM((YEAR(Gastos!$A$2:$A$2500)=BG$1)*(MONTH(Gastos!$A$2:$A$2500)=BG$3)*(Gastos!$B$2:$B$2500=$A98)*(Gastos!$D$2:$D$2500))</f>
        <v>0</v>
      </c>
      <c r="BH98" s="75">
        <f t="array" ref="BH98">SUM((YEAR(Gastos!$A$2:$A$2500)=BH$1)*(MONTH(Gastos!$A$2:$A$2500)=BH$3)*(Gastos!$B$2:$B$2500=$A98)*(Gastos!$D$2:$D$2500))</f>
        <v>0</v>
      </c>
      <c r="BI98" s="75">
        <f t="array" ref="BI98">SUM((YEAR(Gastos!$A$2:$A$2500)=BI$1)*(MONTH(Gastos!$A$2:$A$2500)=BI$3)*(Gastos!$B$2:$B$2500=$A98)*(Gastos!$D$2:$D$2500))</f>
        <v>0</v>
      </c>
      <c r="BJ98" s="75">
        <f t="array" ref="BJ98">SUM((YEAR(Gastos!$A$2:$A$2500)=BJ$1)*(MONTH(Gastos!$A$2:$A$2500)=BJ$3)*(Gastos!$B$2:$B$2500=$A98)*(Gastos!$D$2:$D$2500))</f>
        <v>0</v>
      </c>
      <c r="BK98" s="75">
        <f t="array" ref="BK98">SUM((YEAR(Gastos!$A$2:$A$2500)=BK$1)*(MONTH(Gastos!$A$2:$A$2500)=BK$3)*(Gastos!$B$2:$B$2500=$A98)*(Gastos!$D$2:$D$2500))</f>
        <v>0</v>
      </c>
      <c r="BL98" s="75">
        <f t="array" ref="BL98">SUM((YEAR(Gastos!$A$2:$A$2500)=BL$1)*(MONTH(Gastos!$A$2:$A$2500)=BL$3)*(Gastos!$B$2:$B$2500=$A98)*(Gastos!$D$2:$D$2500))</f>
        <v>0</v>
      </c>
      <c r="BM98" s="75">
        <f t="array" ref="BM98">SUM((YEAR(Gastos!$A$2:$A$2500)=BM$1)*(MONTH(Gastos!$A$2:$A$2500)=BM$3)*(Gastos!$B$2:$B$2500=$A98)*(Gastos!$D$2:$D$2500))</f>
        <v>0</v>
      </c>
      <c r="BN98" s="75">
        <f t="array" ref="BN98">SUM((YEAR(Gastos!$A$2:$A$2500)=BN$1)*(MONTH(Gastos!$A$2:$A$2500)=BN$3)*(Gastos!$B$2:$B$2500=$A98)*(Gastos!$D$2:$D$2500))</f>
        <v>0</v>
      </c>
      <c r="BO98" s="75">
        <f t="array" ref="BO98">SUM((YEAR(Gastos!$A$2:$A$2500)=BO$1)*(MONTH(Gastos!$A$2:$A$2500)=BO$3)*(Gastos!$B$2:$B$2500=$A98)*(Gastos!$D$2:$D$2500))</f>
        <v>0</v>
      </c>
      <c r="BP98" s="75">
        <f t="array" ref="BP98">SUM((YEAR(Gastos!$A$2:$A$2500)=BP$1)*(MONTH(Gastos!$A$2:$A$2500)=BP$3)*(Gastos!$B$2:$B$2500=$A98)*(Gastos!$D$2:$D$2500))</f>
        <v>0</v>
      </c>
      <c r="BQ98" s="75">
        <f t="array" ref="BQ98">SUM((YEAR(Gastos!$A$2:$A$2500)=BQ$1)*(MONTH(Gastos!$A$2:$A$2500)=BQ$3)*(Gastos!$B$2:$B$2500=$A98)*(Gastos!$D$2:$D$2500))</f>
        <v>0</v>
      </c>
      <c r="BR98" s="75">
        <f t="array" ref="BR98">SUM((YEAR(Gastos!$A$2:$A$2500)=BR$1)*(MONTH(Gastos!$A$2:$A$2500)=BR$3)*(Gastos!$B$2:$B$2500=$A98)*(Gastos!$D$2:$D$2500))</f>
        <v>0</v>
      </c>
      <c r="BS98" s="75">
        <f t="array" ref="BS98">SUM((YEAR(Gastos!$A$2:$A$2500)=BS$1)*(MONTH(Gastos!$A$2:$A$2500)=BS$3)*(Gastos!$B$2:$B$2500=$A98)*(Gastos!$D$2:$D$2500))</f>
        <v>0</v>
      </c>
      <c r="BT98" s="75">
        <f t="array" ref="BT98">SUM((YEAR(Gastos!$A$2:$A$2500)=BT$1)*(MONTH(Gastos!$A$2:$A$2500)=BT$3)*(Gastos!$B$2:$B$2500=$A98)*(Gastos!$D$2:$D$2500))</f>
        <v>0</v>
      </c>
      <c r="BU98" s="75">
        <f t="array" ref="BU98">SUM((YEAR(Gastos!$A$2:$A$2500)=BU$1)*(MONTH(Gastos!$A$2:$A$2500)=BU$3)*(Gastos!$B$2:$B$2500=$A98)*(Gastos!$D$2:$D$2500))</f>
        <v>0</v>
      </c>
      <c r="BV98" s="75">
        <f t="array" ref="BV98">SUM((YEAR(Gastos!$A$2:$A$2500)=BV$1)*(MONTH(Gastos!$A$2:$A$2500)=BV$3)*(Gastos!$B$2:$B$2500=$A98)*(Gastos!$D$2:$D$2500))</f>
        <v>0</v>
      </c>
      <c r="BW98" s="75">
        <f t="array" ref="BW98">SUM((YEAR(Gastos!$A$2:$A$2500)=BW$1)*(MONTH(Gastos!$A$2:$A$2500)=BW$3)*(Gastos!$B$2:$B$2500=$A98)*(Gastos!$D$2:$D$2500))</f>
        <v>0</v>
      </c>
      <c r="BX98" s="75">
        <f t="array" ref="BX98">SUM((YEAR(Gastos!$A$2:$A$2500)=BX$1)*(MONTH(Gastos!$A$2:$A$2500)=BX$3)*(Gastos!$B$2:$B$2500=$A98)*(Gastos!$D$2:$D$2500))</f>
        <v>0</v>
      </c>
      <c r="BY98" s="75">
        <f t="array" ref="BY98">SUM((YEAR(Gastos!$A$2:$A$2500)=BY$1)*(MONTH(Gastos!$A$2:$A$2500)=BY$3)*(Gastos!$B$2:$B$2500=$A98)*(Gastos!$D$2:$D$2500))</f>
        <v>0</v>
      </c>
      <c r="BZ98" s="75">
        <f t="array" ref="BZ98">SUM((YEAR(Gastos!$A$2:$A$2500)=BZ$1)*(MONTH(Gastos!$A$2:$A$2500)=BZ$3)*(Gastos!$B$2:$B$2500=$A98)*(Gastos!$D$2:$D$2500))</f>
        <v>0</v>
      </c>
      <c r="CA98" s="75">
        <f t="array" ref="CA98">SUM((YEAR(Gastos!$A$2:$A$2500)=CA$1)*(MONTH(Gastos!$A$2:$A$2500)=CA$3)*(Gastos!$B$2:$B$2500=$A98)*(Gastos!$D$2:$D$2500))</f>
        <v>0</v>
      </c>
      <c r="CB98" s="75">
        <f t="array" ref="CB98">SUM((YEAR(Gastos!$A$2:$A$2500)=CB$1)*(MONTH(Gastos!$A$2:$A$2500)=CB$3)*(Gastos!$B$2:$B$2500=$A98)*(Gastos!$D$2:$D$2500))</f>
        <v>0</v>
      </c>
      <c r="CC98" s="75">
        <f t="array" ref="CC98">SUM((YEAR(Gastos!$A$2:$A$2500)=CC$1)*(MONTH(Gastos!$A$2:$A$2500)=CC$3)*(Gastos!$B$2:$B$2500=$A98)*(Gastos!$D$2:$D$2500))</f>
        <v>0</v>
      </c>
      <c r="CD98" s="75">
        <f t="array" ref="CD98">SUM((YEAR(Gastos!$A$2:$A$2500)=CD$1)*(MONTH(Gastos!$A$2:$A$2500)=CD$3)*(Gastos!$B$2:$B$2500=$A98)*(Gastos!$D$2:$D$2500))</f>
        <v>0</v>
      </c>
      <c r="CE98" s="75">
        <f t="array" ref="CE98">SUM((YEAR(Gastos!$A$2:$A$2500)=CE$1)*(MONTH(Gastos!$A$2:$A$2500)=CE$3)*(Gastos!$B$2:$B$2500=$A98)*(Gastos!$D$2:$D$2500))</f>
        <v>0</v>
      </c>
      <c r="CF98" s="75">
        <f t="array" ref="CF98">SUM((YEAR(Gastos!$A$2:$A$2500)=CF$1)*(MONTH(Gastos!$A$2:$A$2500)=CF$3)*(Gastos!$B$2:$B$2500=$A98)*(Gastos!$D$2:$D$2500))</f>
        <v>0</v>
      </c>
      <c r="CG98" s="75">
        <f t="array" ref="CG98">SUM((YEAR(Gastos!$A$2:$A$2500)=CG$1)*(MONTH(Gastos!$A$2:$A$2500)=CG$3)*(Gastos!$B$2:$B$2500=$A98)*(Gastos!$D$2:$D$2500))</f>
        <v>0</v>
      </c>
      <c r="CH98" s="75">
        <f t="array" ref="CH98">SUM((YEAR(Gastos!$A$2:$A$2500)=CH$1)*(MONTH(Gastos!$A$2:$A$2500)=CH$3)*(Gastos!$B$2:$B$2500=$A98)*(Gastos!$D$2:$D$2500))</f>
        <v>0</v>
      </c>
      <c r="CI98" s="75">
        <f t="array" ref="CI98">SUM((YEAR(Gastos!$A$2:$A$2500)=CI$1)*(MONTH(Gastos!$A$2:$A$2500)=CI$3)*(Gastos!$B$2:$B$2500=$A98)*(Gastos!$D$2:$D$2500))</f>
        <v>0</v>
      </c>
      <c r="CJ98" s="75">
        <f t="array" ref="CJ98">SUM((YEAR(Gastos!$A$2:$A$2500)=CJ$1)*(MONTH(Gastos!$A$2:$A$2500)=CJ$3)*(Gastos!$B$2:$B$2500=$A98)*(Gastos!$D$2:$D$2500))</f>
        <v>0</v>
      </c>
      <c r="CK98" s="75">
        <f t="array" ref="CK98">SUM((YEAR(Gastos!$A$2:$A$2500)=CK$1)*(MONTH(Gastos!$A$2:$A$2500)=CK$3)*(Gastos!$B$2:$B$2500=$A98)*(Gastos!$D$2:$D$2500))</f>
        <v>0</v>
      </c>
      <c r="CL98" s="75">
        <f t="array" ref="CL98">SUM((YEAR(Gastos!$A$2:$A$2500)=CL$1)*(MONTH(Gastos!$A$2:$A$2500)=CL$3)*(Gastos!$B$2:$B$2500=$A98)*(Gastos!$D$2:$D$2500))</f>
        <v>0</v>
      </c>
      <c r="CM98" s="75">
        <f t="array" ref="CM98">SUM((YEAR(Gastos!$A$2:$A$2500)=CM$1)*(MONTH(Gastos!$A$2:$A$2500)=CM$3)*(Gastos!$B$2:$B$2500=$A98)*(Gastos!$D$2:$D$2500))</f>
        <v>0</v>
      </c>
      <c r="CN98" s="75">
        <f t="array" ref="CN98">SUM((YEAR(Gastos!$A$2:$A$2500)=CN$1)*(MONTH(Gastos!$A$2:$A$2500)=CN$3)*(Gastos!$B$2:$B$2500=$A98)*(Gastos!$D$2:$D$2500))</f>
        <v>0</v>
      </c>
      <c r="CO98" s="75">
        <f t="array" ref="CO98">SUM((YEAR(Gastos!$A$2:$A$2500)=CO$1)*(MONTH(Gastos!$A$2:$A$2500)=CO$3)*(Gastos!$B$2:$B$2500=$A98)*(Gastos!$D$2:$D$2500))</f>
        <v>0</v>
      </c>
      <c r="CP98" s="75">
        <f t="array" ref="CP98">SUM((YEAR(Gastos!$A$2:$A$2500)=CP$1)*(MONTH(Gastos!$A$2:$A$2500)=CP$3)*(Gastos!$B$2:$B$2500=$A98)*(Gastos!$D$2:$D$2500))</f>
        <v>0</v>
      </c>
      <c r="CQ98" s="75">
        <f t="array" ref="CQ98">SUM((YEAR(Gastos!$A$2:$A$2500)=CQ$1)*(MONTH(Gastos!$A$2:$A$2500)=CQ$3)*(Gastos!$B$2:$B$2500=$A98)*(Gastos!$D$2:$D$2500))</f>
        <v>0</v>
      </c>
      <c r="CR98" s="75">
        <f t="array" ref="CR98">SUM((YEAR(Gastos!$A$2:$A$2500)=CR$1)*(MONTH(Gastos!$A$2:$A$2500)=CR$3)*(Gastos!$B$2:$B$2500=$A98)*(Gastos!$D$2:$D$2500))</f>
        <v>0</v>
      </c>
      <c r="CS98" s="75">
        <f t="array" ref="CS98">SUM((YEAR(Gastos!$A$2:$A$2500)=CS$1)*(MONTH(Gastos!$A$2:$A$2500)=CS$3)*(Gastos!$B$2:$B$2500=$A98)*(Gastos!$D$2:$D$2500))</f>
        <v>0</v>
      </c>
      <c r="CT98" s="75">
        <f t="array" ref="CT98">SUM((YEAR(Gastos!$A$2:$A$2500)=CT$1)*(MONTH(Gastos!$A$2:$A$2500)=CT$3)*(Gastos!$B$2:$B$2500=$A98)*(Gastos!$D$2:$D$2500))</f>
        <v>0</v>
      </c>
      <c r="CU98" s="75">
        <f t="array" ref="CU98">SUM((YEAR(Gastos!$A$2:$A$2500)=CU$1)*(MONTH(Gastos!$A$2:$A$2500)=CU$3)*(Gastos!$B$2:$B$2500=$A98)*(Gastos!$D$2:$D$2500))</f>
        <v>0</v>
      </c>
      <c r="CV98" s="75">
        <f t="array" ref="CV98">SUM((YEAR(Gastos!$A$2:$A$2500)=CV$1)*(MONTH(Gastos!$A$2:$A$2500)=CV$3)*(Gastos!$B$2:$B$2500=$A98)*(Gastos!$D$2:$D$2500))</f>
        <v>0</v>
      </c>
      <c r="CW98" s="75">
        <f t="array" ref="CW98">SUM((YEAR(Gastos!$A$2:$A$2500)=CW$1)*(MONTH(Gastos!$A$2:$A$2500)=CW$3)*(Gastos!$B$2:$B$2500=$A98)*(Gastos!$D$2:$D$2500))</f>
        <v>0</v>
      </c>
      <c r="CX98" s="75">
        <f t="array" ref="CX98">SUM((YEAR(Gastos!$A$2:$A$2500)=CX$1)*(MONTH(Gastos!$A$2:$A$2500)=CX$3)*(Gastos!$B$2:$B$2500=$A98)*(Gastos!$D$2:$D$2500))</f>
        <v>0</v>
      </c>
      <c r="CY98" s="75">
        <f t="array" ref="CY98">SUM((YEAR(Gastos!$A$2:$A$2500)=CY$1)*(MONTH(Gastos!$A$2:$A$2500)=CY$3)*(Gastos!$B$2:$B$2500=$A98)*(Gastos!$D$2:$D$2500))</f>
        <v>0</v>
      </c>
      <c r="CZ98" s="75">
        <f t="array" ref="CZ98">SUM((YEAR(Gastos!$A$2:$A$2500)=CZ$1)*(MONTH(Gastos!$A$2:$A$2500)=CZ$3)*(Gastos!$B$2:$B$2500=$A98)*(Gastos!$D$2:$D$2500))</f>
        <v>0</v>
      </c>
      <c r="DA98" s="75">
        <f t="array" ref="DA98">SUM((YEAR(Gastos!$A$2:$A$2500)=DA$1)*(MONTH(Gastos!$A$2:$A$2500)=DA$3)*(Gastos!$B$2:$B$2500=$A98)*(Gastos!$D$2:$D$2500))</f>
        <v>0</v>
      </c>
      <c r="DB98" s="75">
        <f t="array" ref="DB98">SUM((YEAR(Gastos!$A$2:$A$2500)=DB$1)*(MONTH(Gastos!$A$2:$A$2500)=DB$3)*(Gastos!$B$2:$B$2500=$A98)*(Gastos!$D$2:$D$2500))</f>
        <v>0</v>
      </c>
      <c r="DC98" s="75">
        <f t="array" ref="DC98">SUM((YEAR(Gastos!$A$2:$A$2500)=DC$1)*(MONTH(Gastos!$A$2:$A$2500)=DC$3)*(Gastos!$B$2:$B$2500=$A98)*(Gastos!$D$2:$D$2500))</f>
        <v>0</v>
      </c>
      <c r="DD98" s="75">
        <f t="array" ref="DD98">SUM((YEAR(Gastos!$A$2:$A$2500)=DD$1)*(MONTH(Gastos!$A$2:$A$2500)=DD$3)*(Gastos!$B$2:$B$2500=$A98)*(Gastos!$D$2:$D$2500))</f>
        <v>0</v>
      </c>
      <c r="DE98" s="75">
        <f t="array" ref="DE98">SUM((YEAR(Gastos!$A$2:$A$2500)=DE$1)*(MONTH(Gastos!$A$2:$A$2500)=DE$3)*(Gastos!$B$2:$B$2500=$A98)*(Gastos!$D$2:$D$2500))</f>
        <v>0</v>
      </c>
      <c r="DF98" s="75">
        <f t="array" ref="DF98">SUM((YEAR(Gastos!$A$2:$A$2500)=DF$1)*(MONTH(Gastos!$A$2:$A$2500)=DF$3)*(Gastos!$B$2:$B$2500=$A98)*(Gastos!$D$2:$D$2500))</f>
        <v>0</v>
      </c>
      <c r="DG98" s="75">
        <f t="array" ref="DG98">SUM((YEAR(Gastos!$A$2:$A$2500)=DG$1)*(MONTH(Gastos!$A$2:$A$2500)=DG$3)*(Gastos!$B$2:$B$2500=$A98)*(Gastos!$D$2:$D$2500))</f>
        <v>0</v>
      </c>
      <c r="DH98" s="75">
        <f t="array" ref="DH98">SUM((YEAR(Gastos!$A$2:$A$2500)=DH$1)*(MONTH(Gastos!$A$2:$A$2500)=DH$3)*(Gastos!$B$2:$B$2500=$A98)*(Gastos!$D$2:$D$2500))</f>
        <v>0</v>
      </c>
      <c r="DI98" s="75">
        <f t="array" ref="DI98">SUM((YEAR(Gastos!$A$2:$A$2500)=DI$1)*(MONTH(Gastos!$A$2:$A$2500)=DI$3)*(Gastos!$B$2:$B$2500=$A98)*(Gastos!$D$2:$D$2500))</f>
        <v>0</v>
      </c>
      <c r="DJ98" s="75">
        <f t="array" ref="DJ98">SUM((YEAR(Gastos!$A$2:$A$2500)=DJ$1)*(MONTH(Gastos!$A$2:$A$2500)=DJ$3)*(Gastos!$B$2:$B$2500=$A98)*(Gastos!$D$2:$D$2500))</f>
        <v>0</v>
      </c>
      <c r="DK98" s="75">
        <f t="array" ref="DK98">SUM((YEAR(Gastos!$A$2:$A$2500)=DK$1)*(MONTH(Gastos!$A$2:$A$2500)=DK$3)*(Gastos!$B$2:$B$2500=$A98)*(Gastos!$D$2:$D$2500))</f>
        <v>0</v>
      </c>
      <c r="DL98" s="75">
        <f t="array" ref="DL98">SUM((YEAR(Gastos!$A$2:$A$2500)=DL$1)*(MONTH(Gastos!$A$2:$A$2500)=DL$3)*(Gastos!$B$2:$B$2500=$A98)*(Gastos!$D$2:$D$2500))</f>
        <v>0</v>
      </c>
      <c r="DM98" s="75">
        <f t="array" ref="DM98">SUM((YEAR(Gastos!$A$2:$A$2500)=DM$1)*(MONTH(Gastos!$A$2:$A$2500)=DM$3)*(Gastos!$B$2:$B$2500=$A98)*(Gastos!$D$2:$D$2500))</f>
        <v>0</v>
      </c>
      <c r="DN98" s="75">
        <f t="array" ref="DN98">SUM((YEAR(Gastos!$A$2:$A$2500)=DN$1)*(MONTH(Gastos!$A$2:$A$2500)=DN$3)*(Gastos!$B$2:$B$2500=$A98)*(Gastos!$D$2:$D$2500))</f>
        <v>0</v>
      </c>
      <c r="DO98" s="75">
        <f t="array" ref="DO98">SUM((YEAR(Gastos!$A$2:$A$2500)=DO$1)*(MONTH(Gastos!$A$2:$A$2500)=DO$3)*(Gastos!$B$2:$B$2500=$A98)*(Gastos!$D$2:$D$2500))</f>
        <v>0</v>
      </c>
      <c r="DP98" s="75">
        <f t="array" ref="DP98">SUM((YEAR(Gastos!$A$2:$A$2500)=DP$1)*(MONTH(Gastos!$A$2:$A$2500)=DP$3)*(Gastos!$B$2:$B$2500=$A98)*(Gastos!$D$2:$D$2500))</f>
        <v>0</v>
      </c>
      <c r="DQ98" s="75">
        <f t="array" ref="DQ98">SUM((YEAR(Gastos!$A$2:$A$2500)=DQ$1)*(MONTH(Gastos!$A$2:$A$2500)=DQ$3)*(Gastos!$B$2:$B$2500=$A98)*(Gastos!$D$2:$D$2500))</f>
        <v>0</v>
      </c>
      <c r="DR98" s="75">
        <f t="array" ref="DR98">SUM((YEAR(Gastos!$A$2:$A$2500)=DR$1)*(MONTH(Gastos!$A$2:$A$2500)=DR$3)*(Gastos!$B$2:$B$2500=$A98)*(Gastos!$D$2:$D$2500))</f>
        <v>0</v>
      </c>
      <c r="DS98" s="75">
        <f t="array" ref="DS98">SUM((YEAR(Gastos!$A$2:$A$2500)=DS$1)*(MONTH(Gastos!$A$2:$A$2500)=DS$3)*(Gastos!$B$2:$B$2500=$A98)*(Gastos!$D$2:$D$2500))</f>
        <v>0</v>
      </c>
      <c r="DT98" s="75">
        <f t="array" ref="DT98">SUM((YEAR(Gastos!$A$2:$A$2500)=DT$1)*(MONTH(Gastos!$A$2:$A$2500)=DT$3)*(Gastos!$B$2:$B$2500=$A98)*(Gastos!$D$2:$D$2500))</f>
        <v>0</v>
      </c>
      <c r="DU98" s="75">
        <f t="array" ref="DU98">SUM((YEAR(Gastos!$A$2:$A$2500)=DU$1)*(MONTH(Gastos!$A$2:$A$2500)=DU$3)*(Gastos!$B$2:$B$2500=$A98)*(Gastos!$D$2:$D$2500))</f>
        <v>0</v>
      </c>
      <c r="DV98" s="75">
        <f t="array" ref="DV98">SUM((YEAR(Gastos!$A$2:$A$2500)=DV$1)*(MONTH(Gastos!$A$2:$A$2500)=DV$3)*(Gastos!$B$2:$B$2500=$A98)*(Gastos!$D$2:$D$2500))</f>
        <v>0</v>
      </c>
      <c r="DW98" s="75">
        <f t="array" ref="DW98">SUM((YEAR(Gastos!$A$2:$A$2500)=DW$1)*(MONTH(Gastos!$A$2:$A$2500)=DW$3)*(Gastos!$B$2:$B$2500=$A98)*(Gastos!$D$2:$D$2500))</f>
        <v>0</v>
      </c>
      <c r="DX98" s="75">
        <f t="array" ref="DX98">SUM((YEAR(Gastos!$A$2:$A$2500)=DX$1)*(MONTH(Gastos!$A$2:$A$2500)=DX$3)*(Gastos!$B$2:$B$2500=$A98)*(Gastos!$D$2:$D$2500))</f>
        <v>0</v>
      </c>
      <c r="DY98" s="75">
        <f t="array" ref="DY98">SUM((YEAR(Gastos!$A$2:$A$2500)=DY$1)*(MONTH(Gastos!$A$2:$A$2500)=DY$3)*(Gastos!$B$2:$B$2500=$A98)*(Gastos!$D$2:$D$2500))</f>
        <v>0</v>
      </c>
      <c r="DZ98" s="75">
        <f t="array" ref="DZ98">SUM((YEAR(Gastos!$A$2:$A$2500)=DZ$1)*(MONTH(Gastos!$A$2:$A$2500)=DZ$3)*(Gastos!$B$2:$B$2500=$A98)*(Gastos!$D$2:$D$2500))</f>
        <v>0</v>
      </c>
      <c r="EA98" s="75">
        <f t="array" ref="EA98">SUM((YEAR(Gastos!$A$2:$A$2500)=EA$1)*(MONTH(Gastos!$A$2:$A$2500)=EA$3)*(Gastos!$B$2:$B$2500=$A98)*(Gastos!$D$2:$D$2500))</f>
        <v>0</v>
      </c>
      <c r="EB98" s="75">
        <f t="array" ref="EB98">SUM((YEAR(Gastos!$A$2:$A$2500)=EB$1)*(MONTH(Gastos!$A$2:$A$2500)=EB$3)*(Gastos!$B$2:$B$2500=$A98)*(Gastos!$D$2:$D$2500))</f>
        <v>0</v>
      </c>
      <c r="EC98" s="75">
        <f t="array" ref="EC98">SUM((YEAR(Gastos!$A$2:$A$2500)=EC$1)*(MONTH(Gastos!$A$2:$A$2500)=EC$3)*(Gastos!$B$2:$B$2500=$A98)*(Gastos!$D$2:$D$2500))</f>
        <v>0</v>
      </c>
      <c r="ED98" s="75">
        <f t="array" ref="ED98">SUM((YEAR(Gastos!$A$2:$A$2500)=ED$1)*(MONTH(Gastos!$A$2:$A$2500)=ED$3)*(Gastos!$B$2:$B$2500=$A98)*(Gastos!$D$2:$D$2500))</f>
        <v>0</v>
      </c>
      <c r="EE98" s="75">
        <f t="array" ref="EE98">SUM((YEAR(Gastos!$A$2:$A$2500)=EE$1)*(MONTH(Gastos!$A$2:$A$2500)=EE$3)*(Gastos!$B$2:$B$2500=$A98)*(Gastos!$D$2:$D$2500))</f>
        <v>0</v>
      </c>
      <c r="EF98" s="75">
        <f t="array" ref="EF98">SUM((YEAR(Gastos!$A$2:$A$2500)=EF$1)*(MONTH(Gastos!$A$2:$A$2500)=EF$3)*(Gastos!$B$2:$B$2500=$A98)*(Gastos!$D$2:$D$2500))</f>
        <v>0</v>
      </c>
      <c r="EG98" s="75">
        <f t="array" ref="EG98">SUM((YEAR(Gastos!$A$2:$A$2500)=EG$1)*(MONTH(Gastos!$A$2:$A$2500)=EG$3)*(Gastos!$B$2:$B$2500=$A98)*(Gastos!$D$2:$D$2500))</f>
        <v>0</v>
      </c>
      <c r="EH98" s="75">
        <f t="array" ref="EH98">SUM((YEAR(Gastos!$A$2:$A$2500)=EH$1)*(MONTH(Gastos!$A$2:$A$2500)=EH$3)*(Gastos!$B$2:$B$2500=$A98)*(Gastos!$D$2:$D$2500))</f>
        <v>0</v>
      </c>
      <c r="EI98" s="75">
        <f t="array" ref="EI98">SUM((YEAR(Gastos!$A$2:$A$2500)=EI$1)*(MONTH(Gastos!$A$2:$A$2500)=EI$3)*(Gastos!$B$2:$B$2500=$A98)*(Gastos!$D$2:$D$2500))</f>
        <v>0</v>
      </c>
      <c r="EJ98" s="75">
        <f t="array" ref="EJ98">SUM((YEAR(Gastos!$A$2:$A$2500)=EJ$1)*(MONTH(Gastos!$A$2:$A$2500)=EJ$3)*(Gastos!$B$2:$B$2500=$A98)*(Gastos!$D$2:$D$2500))</f>
        <v>0</v>
      </c>
      <c r="EK98" s="75">
        <f t="array" ref="EK98">SUM((YEAR(Gastos!$A$2:$A$2500)=EK$1)*(MONTH(Gastos!$A$2:$A$2500)=EK$3)*(Gastos!$B$2:$B$2500=$A98)*(Gastos!$D$2:$D$2500))</f>
        <v>0</v>
      </c>
      <c r="EL98" s="75">
        <f t="array" ref="EL98">SUM((YEAR(Gastos!$A$2:$A$2500)=EL$1)*(MONTH(Gastos!$A$2:$A$2500)=EL$3)*(Gastos!$B$2:$B$2500=$A98)*(Gastos!$D$2:$D$2500))</f>
        <v>0</v>
      </c>
      <c r="EM98" s="75">
        <f t="array" ref="EM98">SUM((YEAR(Gastos!$A$2:$A$2500)=EM$1)*(MONTH(Gastos!$A$2:$A$2500)=EM$3)*(Gastos!$B$2:$B$2500=$A98)*(Gastos!$D$2:$D$2500))</f>
        <v>0</v>
      </c>
      <c r="EN98" s="75">
        <f t="array" ref="EN98">SUM((YEAR(Gastos!$A$2:$A$2500)=EN$1)*(MONTH(Gastos!$A$2:$A$2500)=EN$3)*(Gastos!$B$2:$B$2500=$A98)*(Gastos!$D$2:$D$2500))</f>
        <v>0</v>
      </c>
      <c r="EO98" s="75">
        <f t="array" ref="EO98">SUM((YEAR(Gastos!$A$2:$A$2500)=EO$1)*(MONTH(Gastos!$A$2:$A$2500)=EO$3)*(Gastos!$B$2:$B$2500=$A98)*(Gastos!$D$2:$D$2500))</f>
        <v>0</v>
      </c>
      <c r="EP98" s="75">
        <f t="array" ref="EP98">SUM((YEAR(Gastos!$A$2:$A$2500)=EP$1)*(MONTH(Gastos!$A$2:$A$2500)=EP$3)*(Gastos!$B$2:$B$2500=$A98)*(Gastos!$D$2:$D$2500))</f>
        <v>0</v>
      </c>
      <c r="EQ98" s="75">
        <f t="array" ref="EQ98">SUM((YEAR(Gastos!$A$2:$A$2500)=EQ$1)*(MONTH(Gastos!$A$2:$A$2500)=EQ$3)*(Gastos!$B$2:$B$2500=$A98)*(Gastos!$D$2:$D$2500))</f>
        <v>0</v>
      </c>
      <c r="ER98" s="75">
        <f t="array" ref="ER98">SUM((YEAR(Gastos!$A$2:$A$2500)=ER$1)*(MONTH(Gastos!$A$2:$A$2500)=ER$3)*(Gastos!$B$2:$B$2500=$A98)*(Gastos!$D$2:$D$2500))</f>
        <v>0</v>
      </c>
      <c r="ES98" s="75">
        <f t="array" ref="ES98">SUM((YEAR(Gastos!$A$2:$A$2500)=ES$1)*(MONTH(Gastos!$A$2:$A$2500)=ES$3)*(Gastos!$B$2:$B$2500=$A98)*(Gastos!$D$2:$D$2500))</f>
        <v>0</v>
      </c>
      <c r="ET98" s="75">
        <f t="array" ref="ET98">SUM((YEAR(Gastos!$A$2:$A$2500)=ET$1)*(MONTH(Gastos!$A$2:$A$2500)=ET$3)*(Gastos!$B$2:$B$2500=$A98)*(Gastos!$D$2:$D$2500))</f>
        <v>0</v>
      </c>
      <c r="EU98" s="75">
        <f t="array" ref="EU98">SUM((YEAR(Gastos!$A$2:$A$2500)=EU$1)*(MONTH(Gastos!$A$2:$A$2500)=EU$3)*(Gastos!$B$2:$B$2500=$A98)*(Gastos!$D$2:$D$2500))</f>
        <v>0</v>
      </c>
      <c r="EV98" s="75">
        <f t="array" ref="EV98">SUM((YEAR(Gastos!$A$2:$A$2500)=EV$1)*(MONTH(Gastos!$A$2:$A$2500)=EV$3)*(Gastos!$B$2:$B$2500=$A98)*(Gastos!$D$2:$D$2500))</f>
        <v>0</v>
      </c>
      <c r="EW98" s="75">
        <f t="array" ref="EW98">SUM((YEAR(Gastos!$A$2:$A$2500)=EW$1)*(MONTH(Gastos!$A$2:$A$2500)=EW$3)*(Gastos!$B$2:$B$2500=$A98)*(Gastos!$D$2:$D$2500))</f>
        <v>0</v>
      </c>
      <c r="EX98" s="75">
        <f t="array" ref="EX98">SUM((YEAR(Gastos!$A$2:$A$2500)=EX$1)*(MONTH(Gastos!$A$2:$A$2500)=EX$3)*(Gastos!$B$2:$B$2500=$A98)*(Gastos!$D$2:$D$2500))</f>
        <v>0</v>
      </c>
      <c r="EY98" s="75">
        <f t="array" ref="EY98">SUM((YEAR(Gastos!$A$2:$A$2500)=EY$1)*(MONTH(Gastos!$A$2:$A$2500)=EY$3)*(Gastos!$B$2:$B$2500=$A98)*(Gastos!$D$2:$D$2500))</f>
        <v>0</v>
      </c>
      <c r="EZ98" s="75">
        <f t="array" ref="EZ98">SUM((YEAR(Gastos!$A$2:$A$2500)=EZ$1)*(MONTH(Gastos!$A$2:$A$2500)=EZ$3)*(Gastos!$B$2:$B$2500=$A98)*(Gastos!$D$2:$D$2500))</f>
        <v>0</v>
      </c>
      <c r="FA98" s="75">
        <f t="array" ref="FA98">SUM((YEAR(Gastos!$A$2:$A$2500)=FA$1)*(MONTH(Gastos!$A$2:$A$2500)=FA$3)*(Gastos!$B$2:$B$2500=$A98)*(Gastos!$D$2:$D$2500))</f>
        <v>0</v>
      </c>
      <c r="FB98" s="75">
        <f t="array" ref="FB98">SUM((YEAR(Gastos!$A$2:$A$2500)=FB$1)*(MONTH(Gastos!$A$2:$A$2500)=FB$3)*(Gastos!$B$2:$B$2500=$A98)*(Gastos!$D$2:$D$2500))</f>
        <v>0</v>
      </c>
      <c r="FC98" s="75">
        <f t="array" ref="FC98">SUM((YEAR(Gastos!$A$2:$A$2500)=FC$1)*(MONTH(Gastos!$A$2:$A$2500)=FC$3)*(Gastos!$B$2:$B$2500=$A98)*(Gastos!$D$2:$D$2500))</f>
        <v>0</v>
      </c>
      <c r="FD98" s="75">
        <f t="array" ref="FD98">SUM((YEAR(Gastos!$A$2:$A$2500)=FD$1)*(MONTH(Gastos!$A$2:$A$2500)=FD$3)*(Gastos!$B$2:$B$2500=$A98)*(Gastos!$D$2:$D$2500))</f>
        <v>0</v>
      </c>
      <c r="FE98" s="75">
        <f t="array" ref="FE98">SUM((YEAR(Gastos!$A$2:$A$2500)=FE$1)*(MONTH(Gastos!$A$2:$A$2500)=FE$3)*(Gastos!$B$2:$B$2500=$A98)*(Gastos!$D$2:$D$2500))</f>
        <v>0</v>
      </c>
      <c r="FF98" s="75">
        <f t="array" ref="FF98">SUM((YEAR(Gastos!$A$2:$A$2500)=FF$1)*(MONTH(Gastos!$A$2:$A$2500)=FF$3)*(Gastos!$B$2:$B$2500=$A98)*(Gastos!$D$2:$D$2500))</f>
        <v>0</v>
      </c>
      <c r="FG98" s="75">
        <f t="array" ref="FG98">SUM((YEAR(Gastos!$A$2:$A$2500)=FG$1)*(MONTH(Gastos!$A$2:$A$2500)=FG$3)*(Gastos!$B$2:$B$2500=$A98)*(Gastos!$D$2:$D$2500))</f>
        <v>0</v>
      </c>
      <c r="FH98" s="75">
        <f t="array" ref="FH98">SUM((YEAR(Gastos!$A$2:$A$2500)=FH$1)*(MONTH(Gastos!$A$2:$A$2500)=FH$3)*(Gastos!$B$2:$B$2500=$A98)*(Gastos!$D$2:$D$2500))</f>
        <v>0</v>
      </c>
      <c r="FI98" s="75">
        <f t="array" ref="FI98">SUM((YEAR(Gastos!$A$2:$A$2500)=FI$1)*(MONTH(Gastos!$A$2:$A$2500)=FI$3)*(Gastos!$B$2:$B$2500=$A98)*(Gastos!$D$2:$D$2500))</f>
        <v>0</v>
      </c>
      <c r="FJ98" s="75">
        <f t="array" ref="FJ98">SUM((YEAR(Gastos!$A$2:$A$2500)=FJ$1)*(MONTH(Gastos!$A$2:$A$2500)=FJ$3)*(Gastos!$B$2:$B$2500=$A98)*(Gastos!$D$2:$D$2500))</f>
        <v>0</v>
      </c>
      <c r="FK98" s="75">
        <f t="array" ref="FK98">SUM((YEAR(Gastos!$A$2:$A$2500)=FK$1)*(MONTH(Gastos!$A$2:$A$2500)=FK$3)*(Gastos!$B$2:$B$2500=$A98)*(Gastos!$D$2:$D$2500))</f>
        <v>0</v>
      </c>
      <c r="FL98" s="75">
        <f t="array" ref="FL98">SUM((YEAR(Gastos!$A$2:$A$2500)=FL$1)*(MONTH(Gastos!$A$2:$A$2500)=FL$3)*(Gastos!$B$2:$B$2500=$A98)*(Gastos!$D$2:$D$2500))</f>
        <v>0</v>
      </c>
      <c r="FM98" s="75">
        <f t="array" ref="FM98">SUM((YEAR(Gastos!$A$2:$A$2500)=FM$1)*(MONTH(Gastos!$A$2:$A$2500)=FM$3)*(Gastos!$B$2:$B$2500=$A98)*(Gastos!$D$2:$D$2500))</f>
        <v>0</v>
      </c>
      <c r="FN98" s="75">
        <f t="array" ref="FN98">SUM((YEAR(Gastos!$A$2:$A$2500)=FN$1)*(MONTH(Gastos!$A$2:$A$2500)=FN$3)*(Gastos!$B$2:$B$2500=$A98)*(Gastos!$D$2:$D$2500))</f>
        <v>0</v>
      </c>
      <c r="FO98" s="75">
        <f t="array" ref="FO98">SUM((YEAR(Gastos!$A$2:$A$2500)=FO$1)*(MONTH(Gastos!$A$2:$A$2500)=FO$3)*(Gastos!$B$2:$B$2500=$A98)*(Gastos!$D$2:$D$2500))</f>
        <v>0</v>
      </c>
      <c r="FP98" s="75">
        <f t="array" ref="FP98">SUM((YEAR(Gastos!$A$2:$A$2500)=FP$1)*(MONTH(Gastos!$A$2:$A$2500)=FP$3)*(Gastos!$B$2:$B$2500=$A98)*(Gastos!$D$2:$D$2500))</f>
        <v>0</v>
      </c>
      <c r="FQ98" s="75">
        <f t="array" ref="FQ98">SUM((YEAR(Gastos!$A$2:$A$2500)=FQ$1)*(MONTH(Gastos!$A$2:$A$2500)=FQ$3)*(Gastos!$B$2:$B$2500=$A98)*(Gastos!$D$2:$D$2500))</f>
        <v>0</v>
      </c>
      <c r="FR98" s="75">
        <f t="array" ref="FR98">SUM((YEAR(Gastos!$A$2:$A$2500)=FR$1)*(MONTH(Gastos!$A$2:$A$2500)=FR$3)*(Gastos!$B$2:$B$2500=$A98)*(Gastos!$D$2:$D$2500))</f>
        <v>0</v>
      </c>
      <c r="FS98" s="75">
        <f t="array" ref="FS98">SUM((YEAR(Gastos!$A$2:$A$2500)=FS$1)*(MONTH(Gastos!$A$2:$A$2500)=FS$3)*(Gastos!$B$2:$B$2500=$A98)*(Gastos!$D$2:$D$2500))</f>
        <v>0</v>
      </c>
      <c r="FT98" s="75">
        <f t="array" ref="FT98">SUM((YEAR(Gastos!$A$2:$A$2500)=FT$1)*(MONTH(Gastos!$A$2:$A$2500)=FT$3)*(Gastos!$B$2:$B$2500=$A98)*(Gastos!$D$2:$D$2500))</f>
        <v>0</v>
      </c>
      <c r="FU98" s="75">
        <f t="array" ref="FU98">SUM((YEAR(Gastos!$A$2:$A$2500)=FU$1)*(MONTH(Gastos!$A$2:$A$2500)=FU$3)*(Gastos!$B$2:$B$2500=$A98)*(Gastos!$D$2:$D$2500))</f>
        <v>0</v>
      </c>
      <c r="FV98" s="75">
        <f t="array" ref="FV98">SUM((YEAR(Gastos!$A$2:$A$2500)=FV$1)*(MONTH(Gastos!$A$2:$A$2500)=FV$3)*(Gastos!$B$2:$B$2500=$A98)*(Gastos!$D$2:$D$2500))</f>
        <v>0</v>
      </c>
      <c r="FW98" s="75">
        <f t="array" ref="FW98">SUM((YEAR(Gastos!$A$2:$A$2500)=FW$1)*(MONTH(Gastos!$A$2:$A$2500)=FW$3)*(Gastos!$B$2:$B$2500=$A98)*(Gastos!$D$2:$D$2500))</f>
        <v>0</v>
      </c>
      <c r="FX98" s="75">
        <f t="array" ref="FX98">SUM((YEAR(Gastos!$A$2:$A$2500)=FX$1)*(MONTH(Gastos!$A$2:$A$2500)=FX$3)*(Gastos!$B$2:$B$2500=$A98)*(Gastos!$D$2:$D$2500))</f>
        <v>0</v>
      </c>
      <c r="FY98" s="75">
        <f t="array" ref="FY98">SUM((YEAR(Gastos!$A$2:$A$2500)=FY$1)*(MONTH(Gastos!$A$2:$A$2500)=FY$3)*(Gastos!$B$2:$B$2500=$A98)*(Gastos!$D$2:$D$2500))</f>
        <v>0</v>
      </c>
      <c r="FZ98" s="76">
        <f t="shared" si="68"/>
        <v>363.88</v>
      </c>
      <c r="GA98" s="80"/>
      <c r="GB98" s="82"/>
    </row>
    <row r="99" spans="1:193" ht="15" thickBot="1" x14ac:dyDescent="0.4">
      <c r="A99" s="74" t="str">
        <f>Gastos!AA97</f>
        <v>V. DEPOSITOS A CUENTA 1187902425</v>
      </c>
      <c r="B99" s="75">
        <f t="array" ref="B99">SUM((YEAR(Gastos!$A$2:$A$2500)=B$1)*(MONTH(Gastos!$A$2:$A$2500)=B$3)*(Gastos!$B$2:$B$2500=$A99)*(Gastos!$D$2:$D$2500))</f>
        <v>0</v>
      </c>
      <c r="C99" s="75">
        <f t="array" ref="C99">SUM((YEAR(Gastos!$A$2:$A$2500)=C$1)*(MONTH(Gastos!$A$2:$A$2500)=C$3)*(Gastos!$B$2:$B$2500=$A99)*(Gastos!$D$2:$D$2500))</f>
        <v>0</v>
      </c>
      <c r="D99" s="75">
        <f t="array" ref="D99">SUM((YEAR(Gastos!$A$2:$A$2500)=D$1)*(MONTH(Gastos!$A$2:$A$2500)=D$3)*(Gastos!$B$2:$B$2500=$A99)*(Gastos!$D$2:$D$2500))</f>
        <v>0</v>
      </c>
      <c r="E99" s="75">
        <f t="array" ref="E99">SUM((YEAR(Gastos!$A$2:$A$2500)=E$1)*(MONTH(Gastos!$A$2:$A$2500)=E$3)*(Gastos!$B$2:$B$2500=$A99)*(Gastos!$D$2:$D$2500))</f>
        <v>0</v>
      </c>
      <c r="F99" s="75">
        <f t="array" ref="F99">SUM((YEAR(Gastos!$A$2:$A$2500)=F$1)*(MONTH(Gastos!$A$2:$A$2500)=F$3)*(Gastos!$B$2:$B$2500=$A99)*(Gastos!$D$2:$D$2500))</f>
        <v>0</v>
      </c>
      <c r="G99" s="75">
        <f t="array" ref="G99">SUM((YEAR(Gastos!$A$2:$A$2500)=G$1)*(MONTH(Gastos!$A$2:$A$2500)=G$3)*(Gastos!$B$2:$B$2500=$A99)*(Gastos!$D$2:$D$2500))</f>
        <v>0</v>
      </c>
      <c r="H99" s="75">
        <f t="array" ref="H99">SUM((YEAR(Gastos!$A$2:$A$2500)=H$1)*(MONTH(Gastos!$A$2:$A$2500)=H$3)*(Gastos!$B$2:$B$2500=$A99)*(Gastos!$D$2:$D$2500))</f>
        <v>0</v>
      </c>
      <c r="I99" s="75">
        <f t="array" ref="I99">SUM((YEAR(Gastos!$A$2:$A$2500)=I$1)*(MONTH(Gastos!$A$2:$A$2500)=I$3)*(Gastos!$B$2:$B$2500=$A99)*(Gastos!$D$2:$D$2500))</f>
        <v>0</v>
      </c>
      <c r="J99" s="75">
        <f t="array" ref="J99">SUM((YEAR(Gastos!$A$2:$A$2500)=J$1)*(MONTH(Gastos!$A$2:$A$2500)=J$3)*(Gastos!$B$2:$B$2500=$A99)*(Gastos!$D$2:$D$2500))</f>
        <v>0</v>
      </c>
      <c r="K99" s="75">
        <f t="array" ref="K99">SUM((YEAR(Gastos!$A$2:$A$2500)=K$1)*(MONTH(Gastos!$A$2:$A$2500)=K$3)*(Gastos!$B$2:$B$2500=$A99)*(Gastos!$D$2:$D$2500))</f>
        <v>0</v>
      </c>
      <c r="L99" s="75">
        <f t="array" ref="L99">SUM((YEAR(Gastos!$A$2:$A$2500)=L$1)*(MONTH(Gastos!$A$2:$A$2500)=L$3)*(Gastos!$B$2:$B$2500=$A99)*(Gastos!$D$2:$D$2500))</f>
        <v>0</v>
      </c>
      <c r="M99" s="75">
        <f t="array" ref="M99">SUM((YEAR(Gastos!$A$2:$A$2500)=M$1)*(MONTH(Gastos!$A$2:$A$2500)=M$3)*(Gastos!$B$2:$B$2500=$A99)*(Gastos!$D$2:$D$2500))</f>
        <v>0</v>
      </c>
      <c r="N99" s="75">
        <f t="array" ref="N99">SUM((YEAR(Gastos!$A$2:$A$2500)=N$1)*(MONTH(Gastos!$A$2:$A$2500)=N$3)*(Gastos!$B$2:$B$2500=$A99)*(Gastos!$D$2:$D$2500))</f>
        <v>0</v>
      </c>
      <c r="O99" s="75">
        <f t="array" ref="O99">SUM((YEAR(Gastos!$A$2:$A$2500)=O$1)*(MONTH(Gastos!$A$2:$A$2500)=O$3)*(Gastos!$B$2:$B$2500=$A99)*(Gastos!$D$2:$D$2500))</f>
        <v>1700</v>
      </c>
      <c r="P99" s="75">
        <f t="array" ref="P99">SUM((YEAR(Gastos!$A$2:$A$2500)=P$1)*(MONTH(Gastos!$A$2:$A$2500)=P$3)*(Gastos!$B$2:$B$2500=$A99)*(Gastos!$D$2:$D$2500))</f>
        <v>0</v>
      </c>
      <c r="Q99" s="75">
        <f t="array" ref="Q99">SUM((YEAR(Gastos!$A$2:$A$2500)=Q$1)*(MONTH(Gastos!$A$2:$A$2500)=Q$3)*(Gastos!$B$2:$B$2500=$A99)*(Gastos!$D$2:$D$2500))</f>
        <v>0</v>
      </c>
      <c r="R99" s="75">
        <f t="array" ref="R99">SUM((YEAR(Gastos!$A$2:$A$2500)=R$1)*(MONTH(Gastos!$A$2:$A$2500)=R$3)*(Gastos!$B$2:$B$2500=$A99)*(Gastos!$D$2:$D$2500))</f>
        <v>0</v>
      </c>
      <c r="S99" s="75">
        <f t="array" ref="S99">SUM((YEAR(Gastos!$A$2:$A$2500)=S$1)*(MONTH(Gastos!$A$2:$A$2500)=S$3)*(Gastos!$B$2:$B$2500=$A99)*(Gastos!$D$2:$D$2500))</f>
        <v>0</v>
      </c>
      <c r="T99" s="75">
        <f t="array" ref="T99">SUM((YEAR(Gastos!$A$2:$A$2500)=T$1)*(MONTH(Gastos!$A$2:$A$2500)=T$3)*(Gastos!$B$2:$B$2500=$A99)*(Gastos!$D$2:$D$2500))</f>
        <v>0</v>
      </c>
      <c r="U99" s="75">
        <f t="array" ref="U99">SUM((YEAR(Gastos!$A$2:$A$2500)=U$1)*(MONTH(Gastos!$A$2:$A$2500)=U$3)*(Gastos!$B$2:$B$2500=$A99)*(Gastos!$D$2:$D$2500))</f>
        <v>0</v>
      </c>
      <c r="V99" s="75">
        <f t="array" ref="V99">SUM((YEAR(Gastos!$A$2:$A$2500)=V$1)*(MONTH(Gastos!$A$2:$A$2500)=V$3)*(Gastos!$B$2:$B$2500=$A99)*(Gastos!$D$2:$D$2500))</f>
        <v>0</v>
      </c>
      <c r="W99" s="75">
        <f t="array" ref="W99">SUM((YEAR(Gastos!$A$2:$A$2500)=W$1)*(MONTH(Gastos!$A$2:$A$2500)=W$3)*(Gastos!$B$2:$B$2500=$A99)*(Gastos!$D$2:$D$2500))</f>
        <v>0</v>
      </c>
      <c r="X99" s="75">
        <f t="array" ref="X99">SUM((YEAR(Gastos!$A$2:$A$2500)=X$1)*(MONTH(Gastos!$A$2:$A$2500)=X$3)*(Gastos!$B$2:$B$2500=$A99)*(Gastos!$D$2:$D$2500))</f>
        <v>0</v>
      </c>
      <c r="Y99" s="75">
        <f t="array" ref="Y99">SUM((YEAR(Gastos!$A$2:$A$2500)=Y$1)*(MONTH(Gastos!$A$2:$A$2500)=Y$3)*(Gastos!$B$2:$B$2500=$A99)*(Gastos!$D$2:$D$2500))</f>
        <v>0</v>
      </c>
      <c r="Z99" s="75">
        <f t="array" ref="Z99">SUM((YEAR(Gastos!$A$2:$A$2500)=Z$1)*(MONTH(Gastos!$A$2:$A$2500)=Z$3)*(Gastos!$B$2:$B$2500=$A99)*(Gastos!$D$2:$D$2500))</f>
        <v>0</v>
      </c>
      <c r="AA99" s="75">
        <f t="array" ref="AA99">SUM((YEAR(Gastos!$A$2:$A$2500)=AA$1)*(MONTH(Gastos!$A$2:$A$2500)=AA$3)*(Gastos!$B$2:$B$2500=$A99)*(Gastos!$D$2:$D$2500))</f>
        <v>0</v>
      </c>
      <c r="AB99" s="75">
        <f t="array" ref="AB99">SUM((YEAR(Gastos!$A$2:$A$2500)=AB$1)*(MONTH(Gastos!$A$2:$A$2500)=AB$3)*(Gastos!$B$2:$B$2500=$A99)*(Gastos!$D$2:$D$2500))</f>
        <v>0</v>
      </c>
      <c r="AC99" s="75">
        <f t="array" ref="AC99">SUM((YEAR(Gastos!$A$2:$A$2500)=AC$1)*(MONTH(Gastos!$A$2:$A$2500)=AC$3)*(Gastos!$B$2:$B$2500=$A99)*(Gastos!$D$2:$D$2500))</f>
        <v>0</v>
      </c>
      <c r="AD99" s="75">
        <f t="array" ref="AD99">SUM((YEAR(Gastos!$A$2:$A$2500)=AD$1)*(MONTH(Gastos!$A$2:$A$2500)=AD$3)*(Gastos!$B$2:$B$2500=$A99)*(Gastos!$D$2:$D$2500))</f>
        <v>0</v>
      </c>
      <c r="AE99" s="75">
        <f t="array" ref="AE99">SUM((YEAR(Gastos!$A$2:$A$2500)=AE$1)*(MONTH(Gastos!$A$2:$A$2500)=AE$3)*(Gastos!$B$2:$B$2500=$A99)*(Gastos!$D$2:$D$2500))</f>
        <v>0</v>
      </c>
      <c r="AF99" s="75">
        <f t="array" ref="AF99">SUM((YEAR(Gastos!$A$2:$A$2500)=AF$1)*(MONTH(Gastos!$A$2:$A$2500)=AF$3)*(Gastos!$B$2:$B$2500=$A99)*(Gastos!$D$2:$D$2500))</f>
        <v>0</v>
      </c>
      <c r="AG99" s="75">
        <f t="array" ref="AG99">SUM((YEAR(Gastos!$A$2:$A$2500)=AG$1)*(MONTH(Gastos!$A$2:$A$2500)=AG$3)*(Gastos!$B$2:$B$2500=$A99)*(Gastos!$D$2:$D$2500))</f>
        <v>0</v>
      </c>
      <c r="AH99" s="75">
        <f t="array" ref="AH99">SUM((YEAR(Gastos!$A$2:$A$2500)=AH$1)*(MONTH(Gastos!$A$2:$A$2500)=AH$3)*(Gastos!$B$2:$B$2500=$A99)*(Gastos!$D$2:$D$2500))</f>
        <v>0</v>
      </c>
      <c r="AI99" s="75">
        <f t="array" ref="AI99">SUM((YEAR(Gastos!$A$2:$A$2500)=AI$1)*(MONTH(Gastos!$A$2:$A$2500)=AI$3)*(Gastos!$B$2:$B$2500=$A99)*(Gastos!$D$2:$D$2500))</f>
        <v>0</v>
      </c>
      <c r="AJ99" s="75">
        <f t="array" ref="AJ99">SUM((YEAR(Gastos!$A$2:$A$2500)=AJ$1)*(MONTH(Gastos!$A$2:$A$2500)=AJ$3)*(Gastos!$B$2:$B$2500=$A99)*(Gastos!$D$2:$D$2500))</f>
        <v>0</v>
      </c>
      <c r="AK99" s="75">
        <f t="array" ref="AK99">SUM((YEAR(Gastos!$A$2:$A$2500)=AK$1)*(MONTH(Gastos!$A$2:$A$2500)=AK$3)*(Gastos!$B$2:$B$2500=$A99)*(Gastos!$D$2:$D$2500))</f>
        <v>0</v>
      </c>
      <c r="AL99" s="75">
        <f t="array" ref="AL99">SUM((YEAR(Gastos!$A$2:$A$2500)=AL$1)*(MONTH(Gastos!$A$2:$A$2500)=AL$3)*(Gastos!$B$2:$B$2500=$A99)*(Gastos!$D$2:$D$2500))</f>
        <v>0</v>
      </c>
      <c r="AM99" s="75">
        <f t="array" ref="AM99">SUM((YEAR(Gastos!$A$2:$A$2500)=AM$1)*(MONTH(Gastos!$A$2:$A$2500)=AM$3)*(Gastos!$B$2:$B$2500=$A99)*(Gastos!$D$2:$D$2500))</f>
        <v>0</v>
      </c>
      <c r="AN99" s="75">
        <f t="array" ref="AN99">SUM((YEAR(Gastos!$A$2:$A$2500)=AN$1)*(MONTH(Gastos!$A$2:$A$2500)=AN$3)*(Gastos!$B$2:$B$2500=$A99)*(Gastos!$D$2:$D$2500))</f>
        <v>0</v>
      </c>
      <c r="AO99" s="75">
        <f t="array" ref="AO99">SUM((YEAR(Gastos!$A$2:$A$2500)=AO$1)*(MONTH(Gastos!$A$2:$A$2500)=AO$3)*(Gastos!$B$2:$B$2500=$A99)*(Gastos!$D$2:$D$2500))</f>
        <v>0</v>
      </c>
      <c r="AP99" s="75">
        <f t="array" ref="AP99">SUM((YEAR(Gastos!$A$2:$A$2500)=AP$1)*(MONTH(Gastos!$A$2:$A$2500)=AP$3)*(Gastos!$B$2:$B$2500=$A99)*(Gastos!$D$2:$D$2500))</f>
        <v>0</v>
      </c>
      <c r="AQ99" s="75">
        <f t="array" ref="AQ99">SUM((YEAR(Gastos!$A$2:$A$2500)=AQ$1)*(MONTH(Gastos!$A$2:$A$2500)=AQ$3)*(Gastos!$B$2:$B$2500=$A99)*(Gastos!$D$2:$D$2500))</f>
        <v>0</v>
      </c>
      <c r="AR99" s="75">
        <f t="array" ref="AR99">SUM((YEAR(Gastos!$A$2:$A$2500)=AR$1)*(MONTH(Gastos!$A$2:$A$2500)=AR$3)*(Gastos!$B$2:$B$2500=$A99)*(Gastos!$D$2:$D$2500))</f>
        <v>0</v>
      </c>
      <c r="AS99" s="75">
        <f t="array" ref="AS99">SUM((YEAR(Gastos!$A$2:$A$2500)=AS$1)*(MONTH(Gastos!$A$2:$A$2500)=AS$3)*(Gastos!$B$2:$B$2500=$A99)*(Gastos!$D$2:$D$2500))</f>
        <v>0</v>
      </c>
      <c r="AT99" s="75">
        <f t="array" ref="AT99">SUM((YEAR(Gastos!$A$2:$A$2500)=AT$1)*(MONTH(Gastos!$A$2:$A$2500)=AT$3)*(Gastos!$B$2:$B$2500=$A99)*(Gastos!$D$2:$D$2500))</f>
        <v>0</v>
      </c>
      <c r="AU99" s="75">
        <f t="array" ref="AU99">SUM((YEAR(Gastos!$A$2:$A$2500)=AU$1)*(MONTH(Gastos!$A$2:$A$2500)=AU$3)*(Gastos!$B$2:$B$2500=$A99)*(Gastos!$D$2:$D$2500))</f>
        <v>0</v>
      </c>
      <c r="AV99" s="75">
        <f t="array" ref="AV99">SUM((YEAR(Gastos!$A$2:$A$2500)=AV$1)*(MONTH(Gastos!$A$2:$A$2500)=AV$3)*(Gastos!$B$2:$B$2500=$A99)*(Gastos!$D$2:$D$2500))</f>
        <v>0</v>
      </c>
      <c r="AW99" s="75">
        <f t="array" ref="AW99">SUM((YEAR(Gastos!$A$2:$A$2500)=AW$1)*(MONTH(Gastos!$A$2:$A$2500)=AW$3)*(Gastos!$B$2:$B$2500=$A99)*(Gastos!$D$2:$D$2500))</f>
        <v>0</v>
      </c>
      <c r="AX99" s="75">
        <f t="array" ref="AX99">SUM((YEAR(Gastos!$A$2:$A$2500)=AX$1)*(MONTH(Gastos!$A$2:$A$2500)=AX$3)*(Gastos!$B$2:$B$2500=$A99)*(Gastos!$D$2:$D$2500))</f>
        <v>0</v>
      </c>
      <c r="AY99" s="75">
        <f t="array" ref="AY99">SUM((YEAR(Gastos!$A$2:$A$2500)=AY$1)*(MONTH(Gastos!$A$2:$A$2500)=AY$3)*(Gastos!$B$2:$B$2500=$A99)*(Gastos!$D$2:$D$2500))</f>
        <v>0</v>
      </c>
      <c r="AZ99" s="75">
        <f t="array" ref="AZ99">SUM((YEAR(Gastos!$A$2:$A$2500)=AZ$1)*(MONTH(Gastos!$A$2:$A$2500)=AZ$3)*(Gastos!$B$2:$B$2500=$A99)*(Gastos!$D$2:$D$2500))</f>
        <v>0</v>
      </c>
      <c r="BA99" s="75">
        <f t="array" ref="BA99">SUM((YEAR(Gastos!$A$2:$A$2500)=BA$1)*(MONTH(Gastos!$A$2:$A$2500)=BA$3)*(Gastos!$B$2:$B$2500=$A99)*(Gastos!$D$2:$D$2500))</f>
        <v>0</v>
      </c>
      <c r="BB99" s="75">
        <f t="array" ref="BB99">SUM((YEAR(Gastos!$A$2:$A$2500)=BB$1)*(MONTH(Gastos!$A$2:$A$2500)=BB$3)*(Gastos!$B$2:$B$2500=$A99)*(Gastos!$D$2:$D$2500))</f>
        <v>0</v>
      </c>
      <c r="BC99" s="75">
        <f t="array" ref="BC99">SUM((YEAR(Gastos!$A$2:$A$2500)=BC$1)*(MONTH(Gastos!$A$2:$A$2500)=BC$3)*(Gastos!$B$2:$B$2500=$A99)*(Gastos!$D$2:$D$2500))</f>
        <v>0</v>
      </c>
      <c r="BD99" s="75">
        <f t="array" ref="BD99">SUM((YEAR(Gastos!$A$2:$A$2500)=BD$1)*(MONTH(Gastos!$A$2:$A$2500)=BD$3)*(Gastos!$B$2:$B$2500=$A99)*(Gastos!$D$2:$D$2500))</f>
        <v>0</v>
      </c>
      <c r="BE99" s="75">
        <f t="array" ref="BE99">SUM((YEAR(Gastos!$A$2:$A$2500)=BE$1)*(MONTH(Gastos!$A$2:$A$2500)=BE$3)*(Gastos!$B$2:$B$2500=$A99)*(Gastos!$D$2:$D$2500))</f>
        <v>0</v>
      </c>
      <c r="BF99" s="75">
        <f t="array" ref="BF99">SUM((YEAR(Gastos!$A$2:$A$2500)=BF$1)*(MONTH(Gastos!$A$2:$A$2500)=BF$3)*(Gastos!$B$2:$B$2500=$A99)*(Gastos!$D$2:$D$2500))</f>
        <v>0</v>
      </c>
      <c r="BG99" s="75">
        <f t="array" ref="BG99">SUM((YEAR(Gastos!$A$2:$A$2500)=BG$1)*(MONTH(Gastos!$A$2:$A$2500)=BG$3)*(Gastos!$B$2:$B$2500=$A99)*(Gastos!$D$2:$D$2500))</f>
        <v>0</v>
      </c>
      <c r="BH99" s="75">
        <f t="array" ref="BH99">SUM((YEAR(Gastos!$A$2:$A$2500)=BH$1)*(MONTH(Gastos!$A$2:$A$2500)=BH$3)*(Gastos!$B$2:$B$2500=$A99)*(Gastos!$D$2:$D$2500))</f>
        <v>0</v>
      </c>
      <c r="BI99" s="75">
        <f t="array" ref="BI99">SUM((YEAR(Gastos!$A$2:$A$2500)=BI$1)*(MONTH(Gastos!$A$2:$A$2500)=BI$3)*(Gastos!$B$2:$B$2500=$A99)*(Gastos!$D$2:$D$2500))</f>
        <v>0</v>
      </c>
      <c r="BJ99" s="75">
        <f t="array" ref="BJ99">SUM((YEAR(Gastos!$A$2:$A$2500)=BJ$1)*(MONTH(Gastos!$A$2:$A$2500)=BJ$3)*(Gastos!$B$2:$B$2500=$A99)*(Gastos!$D$2:$D$2500))</f>
        <v>0</v>
      </c>
      <c r="BK99" s="75">
        <f t="array" ref="BK99">SUM((YEAR(Gastos!$A$2:$A$2500)=BK$1)*(MONTH(Gastos!$A$2:$A$2500)=BK$3)*(Gastos!$B$2:$B$2500=$A99)*(Gastos!$D$2:$D$2500))</f>
        <v>0</v>
      </c>
      <c r="BL99" s="75">
        <f t="array" ref="BL99">SUM((YEAR(Gastos!$A$2:$A$2500)=BL$1)*(MONTH(Gastos!$A$2:$A$2500)=BL$3)*(Gastos!$B$2:$B$2500=$A99)*(Gastos!$D$2:$D$2500))</f>
        <v>0</v>
      </c>
      <c r="BM99" s="75">
        <f t="array" ref="BM99">SUM((YEAR(Gastos!$A$2:$A$2500)=BM$1)*(MONTH(Gastos!$A$2:$A$2500)=BM$3)*(Gastos!$B$2:$B$2500=$A99)*(Gastos!$D$2:$D$2500))</f>
        <v>0</v>
      </c>
      <c r="BN99" s="75">
        <f t="array" ref="BN99">SUM((YEAR(Gastos!$A$2:$A$2500)=BN$1)*(MONTH(Gastos!$A$2:$A$2500)=BN$3)*(Gastos!$B$2:$B$2500=$A99)*(Gastos!$D$2:$D$2500))</f>
        <v>0</v>
      </c>
      <c r="BO99" s="75">
        <f t="array" ref="BO99">SUM((YEAR(Gastos!$A$2:$A$2500)=BO$1)*(MONTH(Gastos!$A$2:$A$2500)=BO$3)*(Gastos!$B$2:$B$2500=$A99)*(Gastos!$D$2:$D$2500))</f>
        <v>0</v>
      </c>
      <c r="BP99" s="75">
        <f t="array" ref="BP99">SUM((YEAR(Gastos!$A$2:$A$2500)=BP$1)*(MONTH(Gastos!$A$2:$A$2500)=BP$3)*(Gastos!$B$2:$B$2500=$A99)*(Gastos!$D$2:$D$2500))</f>
        <v>0</v>
      </c>
      <c r="BQ99" s="75">
        <f t="array" ref="BQ99">SUM((YEAR(Gastos!$A$2:$A$2500)=BQ$1)*(MONTH(Gastos!$A$2:$A$2500)=BQ$3)*(Gastos!$B$2:$B$2500=$A99)*(Gastos!$D$2:$D$2500))</f>
        <v>0</v>
      </c>
      <c r="BR99" s="75">
        <f t="array" ref="BR99">SUM((YEAR(Gastos!$A$2:$A$2500)=BR$1)*(MONTH(Gastos!$A$2:$A$2500)=BR$3)*(Gastos!$B$2:$B$2500=$A99)*(Gastos!$D$2:$D$2500))</f>
        <v>0</v>
      </c>
      <c r="BS99" s="75">
        <f t="array" ref="BS99">SUM((YEAR(Gastos!$A$2:$A$2500)=BS$1)*(MONTH(Gastos!$A$2:$A$2500)=BS$3)*(Gastos!$B$2:$B$2500=$A99)*(Gastos!$D$2:$D$2500))</f>
        <v>0</v>
      </c>
      <c r="BT99" s="75">
        <f t="array" ref="BT99">SUM((YEAR(Gastos!$A$2:$A$2500)=BT$1)*(MONTH(Gastos!$A$2:$A$2500)=BT$3)*(Gastos!$B$2:$B$2500=$A99)*(Gastos!$D$2:$D$2500))</f>
        <v>0</v>
      </c>
      <c r="BU99" s="75">
        <f t="array" ref="BU99">SUM((YEAR(Gastos!$A$2:$A$2500)=BU$1)*(MONTH(Gastos!$A$2:$A$2500)=BU$3)*(Gastos!$B$2:$B$2500=$A99)*(Gastos!$D$2:$D$2500))</f>
        <v>0</v>
      </c>
      <c r="BV99" s="75">
        <f t="array" ref="BV99">SUM((YEAR(Gastos!$A$2:$A$2500)=BV$1)*(MONTH(Gastos!$A$2:$A$2500)=BV$3)*(Gastos!$B$2:$B$2500=$A99)*(Gastos!$D$2:$D$2500))</f>
        <v>0</v>
      </c>
      <c r="BW99" s="75">
        <f t="array" ref="BW99">SUM((YEAR(Gastos!$A$2:$A$2500)=BW$1)*(MONTH(Gastos!$A$2:$A$2500)=BW$3)*(Gastos!$B$2:$B$2500=$A99)*(Gastos!$D$2:$D$2500))</f>
        <v>0</v>
      </c>
      <c r="BX99" s="75">
        <f t="array" ref="BX99">SUM((YEAR(Gastos!$A$2:$A$2500)=BX$1)*(MONTH(Gastos!$A$2:$A$2500)=BX$3)*(Gastos!$B$2:$B$2500=$A99)*(Gastos!$D$2:$D$2500))</f>
        <v>0</v>
      </c>
      <c r="BY99" s="75">
        <f t="array" ref="BY99">SUM((YEAR(Gastos!$A$2:$A$2500)=BY$1)*(MONTH(Gastos!$A$2:$A$2500)=BY$3)*(Gastos!$B$2:$B$2500=$A99)*(Gastos!$D$2:$D$2500))</f>
        <v>0</v>
      </c>
      <c r="BZ99" s="75">
        <f t="array" ref="BZ99">SUM((YEAR(Gastos!$A$2:$A$2500)=BZ$1)*(MONTH(Gastos!$A$2:$A$2500)=BZ$3)*(Gastos!$B$2:$B$2500=$A99)*(Gastos!$D$2:$D$2500))</f>
        <v>0</v>
      </c>
      <c r="CA99" s="75">
        <f t="array" ref="CA99">SUM((YEAR(Gastos!$A$2:$A$2500)=CA$1)*(MONTH(Gastos!$A$2:$A$2500)=CA$3)*(Gastos!$B$2:$B$2500=$A99)*(Gastos!$D$2:$D$2500))</f>
        <v>0</v>
      </c>
      <c r="CB99" s="75">
        <f t="array" ref="CB99">SUM((YEAR(Gastos!$A$2:$A$2500)=CB$1)*(MONTH(Gastos!$A$2:$A$2500)=CB$3)*(Gastos!$B$2:$B$2500=$A99)*(Gastos!$D$2:$D$2500))</f>
        <v>0</v>
      </c>
      <c r="CC99" s="75">
        <f t="array" ref="CC99">SUM((YEAR(Gastos!$A$2:$A$2500)=CC$1)*(MONTH(Gastos!$A$2:$A$2500)=CC$3)*(Gastos!$B$2:$B$2500=$A99)*(Gastos!$D$2:$D$2500))</f>
        <v>0</v>
      </c>
      <c r="CD99" s="75">
        <f t="array" ref="CD99">SUM((YEAR(Gastos!$A$2:$A$2500)=CD$1)*(MONTH(Gastos!$A$2:$A$2500)=CD$3)*(Gastos!$B$2:$B$2500=$A99)*(Gastos!$D$2:$D$2500))</f>
        <v>0</v>
      </c>
      <c r="CE99" s="75">
        <f t="array" ref="CE99">SUM((YEAR(Gastos!$A$2:$A$2500)=CE$1)*(MONTH(Gastos!$A$2:$A$2500)=CE$3)*(Gastos!$B$2:$B$2500=$A99)*(Gastos!$D$2:$D$2500))</f>
        <v>0</v>
      </c>
      <c r="CF99" s="75">
        <f t="array" ref="CF99">SUM((YEAR(Gastos!$A$2:$A$2500)=CF$1)*(MONTH(Gastos!$A$2:$A$2500)=CF$3)*(Gastos!$B$2:$B$2500=$A99)*(Gastos!$D$2:$D$2500))</f>
        <v>0</v>
      </c>
      <c r="CG99" s="75">
        <f t="array" ref="CG99">SUM((YEAR(Gastos!$A$2:$A$2500)=CG$1)*(MONTH(Gastos!$A$2:$A$2500)=CG$3)*(Gastos!$B$2:$B$2500=$A99)*(Gastos!$D$2:$D$2500))</f>
        <v>0</v>
      </c>
      <c r="CH99" s="75">
        <f t="array" ref="CH99">SUM((YEAR(Gastos!$A$2:$A$2500)=CH$1)*(MONTH(Gastos!$A$2:$A$2500)=CH$3)*(Gastos!$B$2:$B$2500=$A99)*(Gastos!$D$2:$D$2500))</f>
        <v>0</v>
      </c>
      <c r="CI99" s="75">
        <f t="array" ref="CI99">SUM((YEAR(Gastos!$A$2:$A$2500)=CI$1)*(MONTH(Gastos!$A$2:$A$2500)=CI$3)*(Gastos!$B$2:$B$2500=$A99)*(Gastos!$D$2:$D$2500))</f>
        <v>0</v>
      </c>
      <c r="CJ99" s="75">
        <f t="array" ref="CJ99">SUM((YEAR(Gastos!$A$2:$A$2500)=CJ$1)*(MONTH(Gastos!$A$2:$A$2500)=CJ$3)*(Gastos!$B$2:$B$2500=$A99)*(Gastos!$D$2:$D$2500))</f>
        <v>0</v>
      </c>
      <c r="CK99" s="75">
        <f t="array" ref="CK99">SUM((YEAR(Gastos!$A$2:$A$2500)=CK$1)*(MONTH(Gastos!$A$2:$A$2500)=CK$3)*(Gastos!$B$2:$B$2500=$A99)*(Gastos!$D$2:$D$2500))</f>
        <v>0</v>
      </c>
      <c r="CL99" s="75">
        <f t="array" ref="CL99">SUM((YEAR(Gastos!$A$2:$A$2500)=CL$1)*(MONTH(Gastos!$A$2:$A$2500)=CL$3)*(Gastos!$B$2:$B$2500=$A99)*(Gastos!$D$2:$D$2500))</f>
        <v>0</v>
      </c>
      <c r="CM99" s="75">
        <f t="array" ref="CM99">SUM((YEAR(Gastos!$A$2:$A$2500)=CM$1)*(MONTH(Gastos!$A$2:$A$2500)=CM$3)*(Gastos!$B$2:$B$2500=$A99)*(Gastos!$D$2:$D$2500))</f>
        <v>0</v>
      </c>
      <c r="CN99" s="75">
        <f t="array" ref="CN99">SUM((YEAR(Gastos!$A$2:$A$2500)=CN$1)*(MONTH(Gastos!$A$2:$A$2500)=CN$3)*(Gastos!$B$2:$B$2500=$A99)*(Gastos!$D$2:$D$2500))</f>
        <v>0</v>
      </c>
      <c r="CO99" s="75">
        <f t="array" ref="CO99">SUM((YEAR(Gastos!$A$2:$A$2500)=CO$1)*(MONTH(Gastos!$A$2:$A$2500)=CO$3)*(Gastos!$B$2:$B$2500=$A99)*(Gastos!$D$2:$D$2500))</f>
        <v>0</v>
      </c>
      <c r="CP99" s="75">
        <f t="array" ref="CP99">SUM((YEAR(Gastos!$A$2:$A$2500)=CP$1)*(MONTH(Gastos!$A$2:$A$2500)=CP$3)*(Gastos!$B$2:$B$2500=$A99)*(Gastos!$D$2:$D$2500))</f>
        <v>0</v>
      </c>
      <c r="CQ99" s="75">
        <f t="array" ref="CQ99">SUM((YEAR(Gastos!$A$2:$A$2500)=CQ$1)*(MONTH(Gastos!$A$2:$A$2500)=CQ$3)*(Gastos!$B$2:$B$2500=$A99)*(Gastos!$D$2:$D$2500))</f>
        <v>0</v>
      </c>
      <c r="CR99" s="75">
        <f t="array" ref="CR99">SUM((YEAR(Gastos!$A$2:$A$2500)=CR$1)*(MONTH(Gastos!$A$2:$A$2500)=CR$3)*(Gastos!$B$2:$B$2500=$A99)*(Gastos!$D$2:$D$2500))</f>
        <v>0</v>
      </c>
      <c r="CS99" s="75">
        <f t="array" ref="CS99">SUM((YEAR(Gastos!$A$2:$A$2500)=CS$1)*(MONTH(Gastos!$A$2:$A$2500)=CS$3)*(Gastos!$B$2:$B$2500=$A99)*(Gastos!$D$2:$D$2500))</f>
        <v>0</v>
      </c>
      <c r="CT99" s="75">
        <f t="array" ref="CT99">SUM((YEAR(Gastos!$A$2:$A$2500)=CT$1)*(MONTH(Gastos!$A$2:$A$2500)=CT$3)*(Gastos!$B$2:$B$2500=$A99)*(Gastos!$D$2:$D$2500))</f>
        <v>0</v>
      </c>
      <c r="CU99" s="75">
        <f t="array" ref="CU99">SUM((YEAR(Gastos!$A$2:$A$2500)=CU$1)*(MONTH(Gastos!$A$2:$A$2500)=CU$3)*(Gastos!$B$2:$B$2500=$A99)*(Gastos!$D$2:$D$2500))</f>
        <v>0</v>
      </c>
      <c r="CV99" s="75">
        <f t="array" ref="CV99">SUM((YEAR(Gastos!$A$2:$A$2500)=CV$1)*(MONTH(Gastos!$A$2:$A$2500)=CV$3)*(Gastos!$B$2:$B$2500=$A99)*(Gastos!$D$2:$D$2500))</f>
        <v>0</v>
      </c>
      <c r="CW99" s="75">
        <f t="array" ref="CW99">SUM((YEAR(Gastos!$A$2:$A$2500)=CW$1)*(MONTH(Gastos!$A$2:$A$2500)=CW$3)*(Gastos!$B$2:$B$2500=$A99)*(Gastos!$D$2:$D$2500))</f>
        <v>0</v>
      </c>
      <c r="CX99" s="75">
        <f t="array" ref="CX99">SUM((YEAR(Gastos!$A$2:$A$2500)=CX$1)*(MONTH(Gastos!$A$2:$A$2500)=CX$3)*(Gastos!$B$2:$B$2500=$A99)*(Gastos!$D$2:$D$2500))</f>
        <v>0</v>
      </c>
      <c r="CY99" s="75">
        <f t="array" ref="CY99">SUM((YEAR(Gastos!$A$2:$A$2500)=CY$1)*(MONTH(Gastos!$A$2:$A$2500)=CY$3)*(Gastos!$B$2:$B$2500=$A99)*(Gastos!$D$2:$D$2500))</f>
        <v>0</v>
      </c>
      <c r="CZ99" s="75">
        <f t="array" ref="CZ99">SUM((YEAR(Gastos!$A$2:$A$2500)=CZ$1)*(MONTH(Gastos!$A$2:$A$2500)=CZ$3)*(Gastos!$B$2:$B$2500=$A99)*(Gastos!$D$2:$D$2500))</f>
        <v>0</v>
      </c>
      <c r="DA99" s="75">
        <f t="array" ref="DA99">SUM((YEAR(Gastos!$A$2:$A$2500)=DA$1)*(MONTH(Gastos!$A$2:$A$2500)=DA$3)*(Gastos!$B$2:$B$2500=$A99)*(Gastos!$D$2:$D$2500))</f>
        <v>0</v>
      </c>
      <c r="DB99" s="75">
        <f t="array" ref="DB99">SUM((YEAR(Gastos!$A$2:$A$2500)=DB$1)*(MONTH(Gastos!$A$2:$A$2500)=DB$3)*(Gastos!$B$2:$B$2500=$A99)*(Gastos!$D$2:$D$2500))</f>
        <v>0</v>
      </c>
      <c r="DC99" s="75">
        <f t="array" ref="DC99">SUM((YEAR(Gastos!$A$2:$A$2500)=DC$1)*(MONTH(Gastos!$A$2:$A$2500)=DC$3)*(Gastos!$B$2:$B$2500=$A99)*(Gastos!$D$2:$D$2500))</f>
        <v>0</v>
      </c>
      <c r="DD99" s="75">
        <f t="array" ref="DD99">SUM((YEAR(Gastos!$A$2:$A$2500)=DD$1)*(MONTH(Gastos!$A$2:$A$2500)=DD$3)*(Gastos!$B$2:$B$2500=$A99)*(Gastos!$D$2:$D$2500))</f>
        <v>0</v>
      </c>
      <c r="DE99" s="75">
        <f t="array" ref="DE99">SUM((YEAR(Gastos!$A$2:$A$2500)=DE$1)*(MONTH(Gastos!$A$2:$A$2500)=DE$3)*(Gastos!$B$2:$B$2500=$A99)*(Gastos!$D$2:$D$2500))</f>
        <v>0</v>
      </c>
      <c r="DF99" s="75">
        <f t="array" ref="DF99">SUM((YEAR(Gastos!$A$2:$A$2500)=DF$1)*(MONTH(Gastos!$A$2:$A$2500)=DF$3)*(Gastos!$B$2:$B$2500=$A99)*(Gastos!$D$2:$D$2500))</f>
        <v>0</v>
      </c>
      <c r="DG99" s="75">
        <f t="array" ref="DG99">SUM((YEAR(Gastos!$A$2:$A$2500)=DG$1)*(MONTH(Gastos!$A$2:$A$2500)=DG$3)*(Gastos!$B$2:$B$2500=$A99)*(Gastos!$D$2:$D$2500))</f>
        <v>0</v>
      </c>
      <c r="DH99" s="75">
        <f t="array" ref="DH99">SUM((YEAR(Gastos!$A$2:$A$2500)=DH$1)*(MONTH(Gastos!$A$2:$A$2500)=DH$3)*(Gastos!$B$2:$B$2500=$A99)*(Gastos!$D$2:$D$2500))</f>
        <v>0</v>
      </c>
      <c r="DI99" s="75">
        <f t="array" ref="DI99">SUM((YEAR(Gastos!$A$2:$A$2500)=DI$1)*(MONTH(Gastos!$A$2:$A$2500)=DI$3)*(Gastos!$B$2:$B$2500=$A99)*(Gastos!$D$2:$D$2500))</f>
        <v>0</v>
      </c>
      <c r="DJ99" s="75">
        <f t="array" ref="DJ99">SUM((YEAR(Gastos!$A$2:$A$2500)=DJ$1)*(MONTH(Gastos!$A$2:$A$2500)=DJ$3)*(Gastos!$B$2:$B$2500=$A99)*(Gastos!$D$2:$D$2500))</f>
        <v>0</v>
      </c>
      <c r="DK99" s="75">
        <f t="array" ref="DK99">SUM((YEAR(Gastos!$A$2:$A$2500)=DK$1)*(MONTH(Gastos!$A$2:$A$2500)=DK$3)*(Gastos!$B$2:$B$2500=$A99)*(Gastos!$D$2:$D$2500))</f>
        <v>0</v>
      </c>
      <c r="DL99" s="75">
        <f t="array" ref="DL99">SUM((YEAR(Gastos!$A$2:$A$2500)=DL$1)*(MONTH(Gastos!$A$2:$A$2500)=DL$3)*(Gastos!$B$2:$B$2500=$A99)*(Gastos!$D$2:$D$2500))</f>
        <v>0</v>
      </c>
      <c r="DM99" s="75">
        <f t="array" ref="DM99">SUM((YEAR(Gastos!$A$2:$A$2500)=DM$1)*(MONTH(Gastos!$A$2:$A$2500)=DM$3)*(Gastos!$B$2:$B$2500=$A99)*(Gastos!$D$2:$D$2500))</f>
        <v>0</v>
      </c>
      <c r="DN99" s="75">
        <f t="array" ref="DN99">SUM((YEAR(Gastos!$A$2:$A$2500)=DN$1)*(MONTH(Gastos!$A$2:$A$2500)=DN$3)*(Gastos!$B$2:$B$2500=$A99)*(Gastos!$D$2:$D$2500))</f>
        <v>0</v>
      </c>
      <c r="DO99" s="75">
        <f t="array" ref="DO99">SUM((YEAR(Gastos!$A$2:$A$2500)=DO$1)*(MONTH(Gastos!$A$2:$A$2500)=DO$3)*(Gastos!$B$2:$B$2500=$A99)*(Gastos!$D$2:$D$2500))</f>
        <v>0</v>
      </c>
      <c r="DP99" s="75">
        <f t="array" ref="DP99">SUM((YEAR(Gastos!$A$2:$A$2500)=DP$1)*(MONTH(Gastos!$A$2:$A$2500)=DP$3)*(Gastos!$B$2:$B$2500=$A99)*(Gastos!$D$2:$D$2500))</f>
        <v>0</v>
      </c>
      <c r="DQ99" s="75">
        <f t="array" ref="DQ99">SUM((YEAR(Gastos!$A$2:$A$2500)=DQ$1)*(MONTH(Gastos!$A$2:$A$2500)=DQ$3)*(Gastos!$B$2:$B$2500=$A99)*(Gastos!$D$2:$D$2500))</f>
        <v>0</v>
      </c>
      <c r="DR99" s="75">
        <f t="array" ref="DR99">SUM((YEAR(Gastos!$A$2:$A$2500)=DR$1)*(MONTH(Gastos!$A$2:$A$2500)=DR$3)*(Gastos!$B$2:$B$2500=$A99)*(Gastos!$D$2:$D$2500))</f>
        <v>0</v>
      </c>
      <c r="DS99" s="75">
        <f t="array" ref="DS99">SUM((YEAR(Gastos!$A$2:$A$2500)=DS$1)*(MONTH(Gastos!$A$2:$A$2500)=DS$3)*(Gastos!$B$2:$B$2500=$A99)*(Gastos!$D$2:$D$2500))</f>
        <v>0</v>
      </c>
      <c r="DT99" s="75">
        <f t="array" ref="DT99">SUM((YEAR(Gastos!$A$2:$A$2500)=DT$1)*(MONTH(Gastos!$A$2:$A$2500)=DT$3)*(Gastos!$B$2:$B$2500=$A99)*(Gastos!$D$2:$D$2500))</f>
        <v>0</v>
      </c>
      <c r="DU99" s="75">
        <f t="array" ref="DU99">SUM((YEAR(Gastos!$A$2:$A$2500)=DU$1)*(MONTH(Gastos!$A$2:$A$2500)=DU$3)*(Gastos!$B$2:$B$2500=$A99)*(Gastos!$D$2:$D$2500))</f>
        <v>0</v>
      </c>
      <c r="DV99" s="75">
        <f t="array" ref="DV99">SUM((YEAR(Gastos!$A$2:$A$2500)=DV$1)*(MONTH(Gastos!$A$2:$A$2500)=DV$3)*(Gastos!$B$2:$B$2500=$A99)*(Gastos!$D$2:$D$2500))</f>
        <v>0</v>
      </c>
      <c r="DW99" s="75">
        <f t="array" ref="DW99">SUM((YEAR(Gastos!$A$2:$A$2500)=DW$1)*(MONTH(Gastos!$A$2:$A$2500)=DW$3)*(Gastos!$B$2:$B$2500=$A99)*(Gastos!$D$2:$D$2500))</f>
        <v>0</v>
      </c>
      <c r="DX99" s="75">
        <f t="array" ref="DX99">SUM((YEAR(Gastos!$A$2:$A$2500)=DX$1)*(MONTH(Gastos!$A$2:$A$2500)=DX$3)*(Gastos!$B$2:$B$2500=$A99)*(Gastos!$D$2:$D$2500))</f>
        <v>0</v>
      </c>
      <c r="DY99" s="75">
        <f t="array" ref="DY99">SUM((YEAR(Gastos!$A$2:$A$2500)=DY$1)*(MONTH(Gastos!$A$2:$A$2500)=DY$3)*(Gastos!$B$2:$B$2500=$A99)*(Gastos!$D$2:$D$2500))</f>
        <v>0</v>
      </c>
      <c r="DZ99" s="75">
        <f t="array" ref="DZ99">SUM((YEAR(Gastos!$A$2:$A$2500)=DZ$1)*(MONTH(Gastos!$A$2:$A$2500)=DZ$3)*(Gastos!$B$2:$B$2500=$A99)*(Gastos!$D$2:$D$2500))</f>
        <v>0</v>
      </c>
      <c r="EA99" s="75">
        <f t="array" ref="EA99">SUM((YEAR(Gastos!$A$2:$A$2500)=EA$1)*(MONTH(Gastos!$A$2:$A$2500)=EA$3)*(Gastos!$B$2:$B$2500=$A99)*(Gastos!$D$2:$D$2500))</f>
        <v>0</v>
      </c>
      <c r="EB99" s="75">
        <f t="array" ref="EB99">SUM((YEAR(Gastos!$A$2:$A$2500)=EB$1)*(MONTH(Gastos!$A$2:$A$2500)=EB$3)*(Gastos!$B$2:$B$2500=$A99)*(Gastos!$D$2:$D$2500))</f>
        <v>0</v>
      </c>
      <c r="EC99" s="75">
        <f t="array" ref="EC99">SUM((YEAR(Gastos!$A$2:$A$2500)=EC$1)*(MONTH(Gastos!$A$2:$A$2500)=EC$3)*(Gastos!$B$2:$B$2500=$A99)*(Gastos!$D$2:$D$2500))</f>
        <v>0</v>
      </c>
      <c r="ED99" s="75">
        <f t="array" ref="ED99">SUM((YEAR(Gastos!$A$2:$A$2500)=ED$1)*(MONTH(Gastos!$A$2:$A$2500)=ED$3)*(Gastos!$B$2:$B$2500=$A99)*(Gastos!$D$2:$D$2500))</f>
        <v>0</v>
      </c>
      <c r="EE99" s="75">
        <f t="array" ref="EE99">SUM((YEAR(Gastos!$A$2:$A$2500)=EE$1)*(MONTH(Gastos!$A$2:$A$2500)=EE$3)*(Gastos!$B$2:$B$2500=$A99)*(Gastos!$D$2:$D$2500))</f>
        <v>0</v>
      </c>
      <c r="EF99" s="75">
        <f t="array" ref="EF99">SUM((YEAR(Gastos!$A$2:$A$2500)=EF$1)*(MONTH(Gastos!$A$2:$A$2500)=EF$3)*(Gastos!$B$2:$B$2500=$A99)*(Gastos!$D$2:$D$2500))</f>
        <v>0</v>
      </c>
      <c r="EG99" s="75">
        <f t="array" ref="EG99">SUM((YEAR(Gastos!$A$2:$A$2500)=EG$1)*(MONTH(Gastos!$A$2:$A$2500)=EG$3)*(Gastos!$B$2:$B$2500=$A99)*(Gastos!$D$2:$D$2500))</f>
        <v>0</v>
      </c>
      <c r="EH99" s="75">
        <f t="array" ref="EH99">SUM((YEAR(Gastos!$A$2:$A$2500)=EH$1)*(MONTH(Gastos!$A$2:$A$2500)=EH$3)*(Gastos!$B$2:$B$2500=$A99)*(Gastos!$D$2:$D$2500))</f>
        <v>0</v>
      </c>
      <c r="EI99" s="75">
        <f t="array" ref="EI99">SUM((YEAR(Gastos!$A$2:$A$2500)=EI$1)*(MONTH(Gastos!$A$2:$A$2500)=EI$3)*(Gastos!$B$2:$B$2500=$A99)*(Gastos!$D$2:$D$2500))</f>
        <v>0</v>
      </c>
      <c r="EJ99" s="75">
        <f t="array" ref="EJ99">SUM((YEAR(Gastos!$A$2:$A$2500)=EJ$1)*(MONTH(Gastos!$A$2:$A$2500)=EJ$3)*(Gastos!$B$2:$B$2500=$A99)*(Gastos!$D$2:$D$2500))</f>
        <v>0</v>
      </c>
      <c r="EK99" s="75">
        <f t="array" ref="EK99">SUM((YEAR(Gastos!$A$2:$A$2500)=EK$1)*(MONTH(Gastos!$A$2:$A$2500)=EK$3)*(Gastos!$B$2:$B$2500=$A99)*(Gastos!$D$2:$D$2500))</f>
        <v>0</v>
      </c>
      <c r="EL99" s="75">
        <f t="array" ref="EL99">SUM((YEAR(Gastos!$A$2:$A$2500)=EL$1)*(MONTH(Gastos!$A$2:$A$2500)=EL$3)*(Gastos!$B$2:$B$2500=$A99)*(Gastos!$D$2:$D$2500))</f>
        <v>0</v>
      </c>
      <c r="EM99" s="75">
        <f t="array" ref="EM99">SUM((YEAR(Gastos!$A$2:$A$2500)=EM$1)*(MONTH(Gastos!$A$2:$A$2500)=EM$3)*(Gastos!$B$2:$B$2500=$A99)*(Gastos!$D$2:$D$2500))</f>
        <v>0</v>
      </c>
      <c r="EN99" s="75">
        <f t="array" ref="EN99">SUM((YEAR(Gastos!$A$2:$A$2500)=EN$1)*(MONTH(Gastos!$A$2:$A$2500)=EN$3)*(Gastos!$B$2:$B$2500=$A99)*(Gastos!$D$2:$D$2500))</f>
        <v>0</v>
      </c>
      <c r="EO99" s="75">
        <f t="array" ref="EO99">SUM((YEAR(Gastos!$A$2:$A$2500)=EO$1)*(MONTH(Gastos!$A$2:$A$2500)=EO$3)*(Gastos!$B$2:$B$2500=$A99)*(Gastos!$D$2:$D$2500))</f>
        <v>0</v>
      </c>
      <c r="EP99" s="75">
        <f t="array" ref="EP99">SUM((YEAR(Gastos!$A$2:$A$2500)=EP$1)*(MONTH(Gastos!$A$2:$A$2500)=EP$3)*(Gastos!$B$2:$B$2500=$A99)*(Gastos!$D$2:$D$2500))</f>
        <v>0</v>
      </c>
      <c r="EQ99" s="75">
        <f t="array" ref="EQ99">SUM((YEAR(Gastos!$A$2:$A$2500)=EQ$1)*(MONTH(Gastos!$A$2:$A$2500)=EQ$3)*(Gastos!$B$2:$B$2500=$A99)*(Gastos!$D$2:$D$2500))</f>
        <v>0</v>
      </c>
      <c r="ER99" s="75">
        <f t="array" ref="ER99">SUM((YEAR(Gastos!$A$2:$A$2500)=ER$1)*(MONTH(Gastos!$A$2:$A$2500)=ER$3)*(Gastos!$B$2:$B$2500=$A99)*(Gastos!$D$2:$D$2500))</f>
        <v>0</v>
      </c>
      <c r="ES99" s="75">
        <f t="array" ref="ES99">SUM((YEAR(Gastos!$A$2:$A$2500)=ES$1)*(MONTH(Gastos!$A$2:$A$2500)=ES$3)*(Gastos!$B$2:$B$2500=$A99)*(Gastos!$D$2:$D$2500))</f>
        <v>0</v>
      </c>
      <c r="ET99" s="75">
        <f t="array" ref="ET99">SUM((YEAR(Gastos!$A$2:$A$2500)=ET$1)*(MONTH(Gastos!$A$2:$A$2500)=ET$3)*(Gastos!$B$2:$B$2500=$A99)*(Gastos!$D$2:$D$2500))</f>
        <v>0</v>
      </c>
      <c r="EU99" s="75">
        <f t="array" ref="EU99">SUM((YEAR(Gastos!$A$2:$A$2500)=EU$1)*(MONTH(Gastos!$A$2:$A$2500)=EU$3)*(Gastos!$B$2:$B$2500=$A99)*(Gastos!$D$2:$D$2500))</f>
        <v>0</v>
      </c>
      <c r="EV99" s="75">
        <f t="array" ref="EV99">SUM((YEAR(Gastos!$A$2:$A$2500)=EV$1)*(MONTH(Gastos!$A$2:$A$2500)=EV$3)*(Gastos!$B$2:$B$2500=$A99)*(Gastos!$D$2:$D$2500))</f>
        <v>0</v>
      </c>
      <c r="EW99" s="75">
        <f t="array" ref="EW99">SUM((YEAR(Gastos!$A$2:$A$2500)=EW$1)*(MONTH(Gastos!$A$2:$A$2500)=EW$3)*(Gastos!$B$2:$B$2500=$A99)*(Gastos!$D$2:$D$2500))</f>
        <v>0</v>
      </c>
      <c r="EX99" s="75">
        <f t="array" ref="EX99">SUM((YEAR(Gastos!$A$2:$A$2500)=EX$1)*(MONTH(Gastos!$A$2:$A$2500)=EX$3)*(Gastos!$B$2:$B$2500=$A99)*(Gastos!$D$2:$D$2500))</f>
        <v>0</v>
      </c>
      <c r="EY99" s="75">
        <f t="array" ref="EY99">SUM((YEAR(Gastos!$A$2:$A$2500)=EY$1)*(MONTH(Gastos!$A$2:$A$2500)=EY$3)*(Gastos!$B$2:$B$2500=$A99)*(Gastos!$D$2:$D$2500))</f>
        <v>0</v>
      </c>
      <c r="EZ99" s="75">
        <f t="array" ref="EZ99">SUM((YEAR(Gastos!$A$2:$A$2500)=EZ$1)*(MONTH(Gastos!$A$2:$A$2500)=EZ$3)*(Gastos!$B$2:$B$2500=$A99)*(Gastos!$D$2:$D$2500))</f>
        <v>0</v>
      </c>
      <c r="FA99" s="75">
        <f t="array" ref="FA99">SUM((YEAR(Gastos!$A$2:$A$2500)=FA$1)*(MONTH(Gastos!$A$2:$A$2500)=FA$3)*(Gastos!$B$2:$B$2500=$A99)*(Gastos!$D$2:$D$2500))</f>
        <v>0</v>
      </c>
      <c r="FB99" s="75">
        <f t="array" ref="FB99">SUM((YEAR(Gastos!$A$2:$A$2500)=FB$1)*(MONTH(Gastos!$A$2:$A$2500)=FB$3)*(Gastos!$B$2:$B$2500=$A99)*(Gastos!$D$2:$D$2500))</f>
        <v>0</v>
      </c>
      <c r="FC99" s="75">
        <f t="array" ref="FC99">SUM((YEAR(Gastos!$A$2:$A$2500)=FC$1)*(MONTH(Gastos!$A$2:$A$2500)=FC$3)*(Gastos!$B$2:$B$2500=$A99)*(Gastos!$D$2:$D$2500))</f>
        <v>0</v>
      </c>
      <c r="FD99" s="75">
        <f t="array" ref="FD99">SUM((YEAR(Gastos!$A$2:$A$2500)=FD$1)*(MONTH(Gastos!$A$2:$A$2500)=FD$3)*(Gastos!$B$2:$B$2500=$A99)*(Gastos!$D$2:$D$2500))</f>
        <v>0</v>
      </c>
      <c r="FE99" s="75">
        <f t="array" ref="FE99">SUM((YEAR(Gastos!$A$2:$A$2500)=FE$1)*(MONTH(Gastos!$A$2:$A$2500)=FE$3)*(Gastos!$B$2:$B$2500=$A99)*(Gastos!$D$2:$D$2500))</f>
        <v>0</v>
      </c>
      <c r="FF99" s="75">
        <f t="array" ref="FF99">SUM((YEAR(Gastos!$A$2:$A$2500)=FF$1)*(MONTH(Gastos!$A$2:$A$2500)=FF$3)*(Gastos!$B$2:$B$2500=$A99)*(Gastos!$D$2:$D$2500))</f>
        <v>0</v>
      </c>
      <c r="FG99" s="75">
        <f t="array" ref="FG99">SUM((YEAR(Gastos!$A$2:$A$2500)=FG$1)*(MONTH(Gastos!$A$2:$A$2500)=FG$3)*(Gastos!$B$2:$B$2500=$A99)*(Gastos!$D$2:$D$2500))</f>
        <v>0</v>
      </c>
      <c r="FH99" s="75">
        <f t="array" ref="FH99">SUM((YEAR(Gastos!$A$2:$A$2500)=FH$1)*(MONTH(Gastos!$A$2:$A$2500)=FH$3)*(Gastos!$B$2:$B$2500=$A99)*(Gastos!$D$2:$D$2500))</f>
        <v>0</v>
      </c>
      <c r="FI99" s="75">
        <f t="array" ref="FI99">SUM((YEAR(Gastos!$A$2:$A$2500)=FI$1)*(MONTH(Gastos!$A$2:$A$2500)=FI$3)*(Gastos!$B$2:$B$2500=$A99)*(Gastos!$D$2:$D$2500))</f>
        <v>0</v>
      </c>
      <c r="FJ99" s="75">
        <f t="array" ref="FJ99">SUM((YEAR(Gastos!$A$2:$A$2500)=FJ$1)*(MONTH(Gastos!$A$2:$A$2500)=FJ$3)*(Gastos!$B$2:$B$2500=$A99)*(Gastos!$D$2:$D$2500))</f>
        <v>0</v>
      </c>
      <c r="FK99" s="75">
        <f t="array" ref="FK99">SUM((YEAR(Gastos!$A$2:$A$2500)=FK$1)*(MONTH(Gastos!$A$2:$A$2500)=FK$3)*(Gastos!$B$2:$B$2500=$A99)*(Gastos!$D$2:$D$2500))</f>
        <v>0</v>
      </c>
      <c r="FL99" s="75">
        <f t="array" ref="FL99">SUM((YEAR(Gastos!$A$2:$A$2500)=FL$1)*(MONTH(Gastos!$A$2:$A$2500)=FL$3)*(Gastos!$B$2:$B$2500=$A99)*(Gastos!$D$2:$D$2500))</f>
        <v>0</v>
      </c>
      <c r="FM99" s="75">
        <f t="array" ref="FM99">SUM((YEAR(Gastos!$A$2:$A$2500)=FM$1)*(MONTH(Gastos!$A$2:$A$2500)=FM$3)*(Gastos!$B$2:$B$2500=$A99)*(Gastos!$D$2:$D$2500))</f>
        <v>0</v>
      </c>
      <c r="FN99" s="75">
        <f t="array" ref="FN99">SUM((YEAR(Gastos!$A$2:$A$2500)=FN$1)*(MONTH(Gastos!$A$2:$A$2500)=FN$3)*(Gastos!$B$2:$B$2500=$A99)*(Gastos!$D$2:$D$2500))</f>
        <v>0</v>
      </c>
      <c r="FO99" s="75">
        <f t="array" ref="FO99">SUM((YEAR(Gastos!$A$2:$A$2500)=FO$1)*(MONTH(Gastos!$A$2:$A$2500)=FO$3)*(Gastos!$B$2:$B$2500=$A99)*(Gastos!$D$2:$D$2500))</f>
        <v>0</v>
      </c>
      <c r="FP99" s="75">
        <f t="array" ref="FP99">SUM((YEAR(Gastos!$A$2:$A$2500)=FP$1)*(MONTH(Gastos!$A$2:$A$2500)=FP$3)*(Gastos!$B$2:$B$2500=$A99)*(Gastos!$D$2:$D$2500))</f>
        <v>0</v>
      </c>
      <c r="FQ99" s="75">
        <f t="array" ref="FQ99">SUM((YEAR(Gastos!$A$2:$A$2500)=FQ$1)*(MONTH(Gastos!$A$2:$A$2500)=FQ$3)*(Gastos!$B$2:$B$2500=$A99)*(Gastos!$D$2:$D$2500))</f>
        <v>0</v>
      </c>
      <c r="FR99" s="75">
        <f t="array" ref="FR99">SUM((YEAR(Gastos!$A$2:$A$2500)=FR$1)*(MONTH(Gastos!$A$2:$A$2500)=FR$3)*(Gastos!$B$2:$B$2500=$A99)*(Gastos!$D$2:$D$2500))</f>
        <v>0</v>
      </c>
      <c r="FS99" s="75">
        <f t="array" ref="FS99">SUM((YEAR(Gastos!$A$2:$A$2500)=FS$1)*(MONTH(Gastos!$A$2:$A$2500)=FS$3)*(Gastos!$B$2:$B$2500=$A99)*(Gastos!$D$2:$D$2500))</f>
        <v>0</v>
      </c>
      <c r="FT99" s="75">
        <f t="array" ref="FT99">SUM((YEAR(Gastos!$A$2:$A$2500)=FT$1)*(MONTH(Gastos!$A$2:$A$2500)=FT$3)*(Gastos!$B$2:$B$2500=$A99)*(Gastos!$D$2:$D$2500))</f>
        <v>0</v>
      </c>
      <c r="FU99" s="75">
        <f t="array" ref="FU99">SUM((YEAR(Gastos!$A$2:$A$2500)=FU$1)*(MONTH(Gastos!$A$2:$A$2500)=FU$3)*(Gastos!$B$2:$B$2500=$A99)*(Gastos!$D$2:$D$2500))</f>
        <v>0</v>
      </c>
      <c r="FV99" s="75">
        <f t="array" ref="FV99">SUM((YEAR(Gastos!$A$2:$A$2500)=FV$1)*(MONTH(Gastos!$A$2:$A$2500)=FV$3)*(Gastos!$B$2:$B$2500=$A99)*(Gastos!$D$2:$D$2500))</f>
        <v>0</v>
      </c>
      <c r="FW99" s="75">
        <f t="array" ref="FW99">SUM((YEAR(Gastos!$A$2:$A$2500)=FW$1)*(MONTH(Gastos!$A$2:$A$2500)=FW$3)*(Gastos!$B$2:$B$2500=$A99)*(Gastos!$D$2:$D$2500))</f>
        <v>0</v>
      </c>
      <c r="FX99" s="75">
        <f t="array" ref="FX99">SUM((YEAR(Gastos!$A$2:$A$2500)=FX$1)*(MONTH(Gastos!$A$2:$A$2500)=FX$3)*(Gastos!$B$2:$B$2500=$A99)*(Gastos!$D$2:$D$2500))</f>
        <v>0</v>
      </c>
      <c r="FY99" s="75">
        <f t="array" ref="FY99">SUM((YEAR(Gastos!$A$2:$A$2500)=FY$1)*(MONTH(Gastos!$A$2:$A$2500)=FY$3)*(Gastos!$B$2:$B$2500=$A99)*(Gastos!$D$2:$D$2500))</f>
        <v>0</v>
      </c>
      <c r="FZ99" s="76">
        <f t="shared" si="68"/>
        <v>1700</v>
      </c>
      <c r="GA99" s="80"/>
      <c r="GB99" s="82"/>
    </row>
    <row r="100" spans="1:193" ht="15" thickBot="1" x14ac:dyDescent="0.4">
      <c r="A100" s="74" t="str">
        <f>Gastos!AA98</f>
        <v>V. DEPOSITOS A CUENTA 1455228174</v>
      </c>
      <c r="B100" s="75">
        <f t="array" ref="B100">SUM((YEAR(Gastos!$A$2:$A$2500)=B$1)*(MONTH(Gastos!$A$2:$A$2500)=B$3)*(Gastos!$B$2:$B$2500=$A100)*(Gastos!$D$2:$D$2500))</f>
        <v>2958</v>
      </c>
      <c r="C100" s="75">
        <f t="array" ref="C100">SUM((YEAR(Gastos!$A$2:$A$2500)=C$1)*(MONTH(Gastos!$A$2:$A$2500)=C$3)*(Gastos!$B$2:$B$2500=$A100)*(Gastos!$D$2:$D$2500))</f>
        <v>0</v>
      </c>
      <c r="D100" s="75">
        <f t="array" ref="D100">SUM((YEAR(Gastos!$A$2:$A$2500)=D$1)*(MONTH(Gastos!$A$2:$A$2500)=D$3)*(Gastos!$B$2:$B$2500=$A100)*(Gastos!$D$2:$D$2500))</f>
        <v>3850</v>
      </c>
      <c r="E100" s="75">
        <f t="array" ref="E100">SUM((YEAR(Gastos!$A$2:$A$2500)=E$1)*(MONTH(Gastos!$A$2:$A$2500)=E$3)*(Gastos!$B$2:$B$2500=$A100)*(Gastos!$D$2:$D$2500))</f>
        <v>0</v>
      </c>
      <c r="F100" s="75">
        <f t="array" ref="F100">SUM((YEAR(Gastos!$A$2:$A$2500)=F$1)*(MONTH(Gastos!$A$2:$A$2500)=F$3)*(Gastos!$B$2:$B$2500=$A100)*(Gastos!$D$2:$D$2500))</f>
        <v>2865.21</v>
      </c>
      <c r="G100" s="75">
        <f t="array" ref="G100">SUM((YEAR(Gastos!$A$2:$A$2500)=G$1)*(MONTH(Gastos!$A$2:$A$2500)=G$3)*(Gastos!$B$2:$B$2500=$A100)*(Gastos!$D$2:$D$2500))</f>
        <v>0</v>
      </c>
      <c r="H100" s="75">
        <f t="array" ref="H100">SUM((YEAR(Gastos!$A$2:$A$2500)=H$1)*(MONTH(Gastos!$A$2:$A$2500)=H$3)*(Gastos!$B$2:$B$2500=$A100)*(Gastos!$D$2:$D$2500))</f>
        <v>0</v>
      </c>
      <c r="I100" s="75">
        <f t="array" ref="I100">SUM((YEAR(Gastos!$A$2:$A$2500)=I$1)*(MONTH(Gastos!$A$2:$A$2500)=I$3)*(Gastos!$B$2:$B$2500=$A100)*(Gastos!$D$2:$D$2500))</f>
        <v>0</v>
      </c>
      <c r="J100" s="75">
        <f t="array" ref="J100">SUM((YEAR(Gastos!$A$2:$A$2500)=J$1)*(MONTH(Gastos!$A$2:$A$2500)=J$3)*(Gastos!$B$2:$B$2500=$A100)*(Gastos!$D$2:$D$2500))</f>
        <v>0</v>
      </c>
      <c r="K100" s="75">
        <f t="array" ref="K100">SUM((YEAR(Gastos!$A$2:$A$2500)=K$1)*(MONTH(Gastos!$A$2:$A$2500)=K$3)*(Gastos!$B$2:$B$2500=$A100)*(Gastos!$D$2:$D$2500))</f>
        <v>0</v>
      </c>
      <c r="L100" s="75">
        <f t="array" ref="L100">SUM((YEAR(Gastos!$A$2:$A$2500)=L$1)*(MONTH(Gastos!$A$2:$A$2500)=L$3)*(Gastos!$B$2:$B$2500=$A100)*(Gastos!$D$2:$D$2500))</f>
        <v>0</v>
      </c>
      <c r="M100" s="75">
        <f t="array" ref="M100">SUM((YEAR(Gastos!$A$2:$A$2500)=M$1)*(MONTH(Gastos!$A$2:$A$2500)=M$3)*(Gastos!$B$2:$B$2500=$A100)*(Gastos!$D$2:$D$2500))</f>
        <v>16370</v>
      </c>
      <c r="N100" s="75">
        <f t="array" ref="N100">SUM((YEAR(Gastos!$A$2:$A$2500)=N$1)*(MONTH(Gastos!$A$2:$A$2500)=N$3)*(Gastos!$B$2:$B$2500=$A100)*(Gastos!$D$2:$D$2500))</f>
        <v>0</v>
      </c>
      <c r="O100" s="75">
        <f t="array" ref="O100">SUM((YEAR(Gastos!$A$2:$A$2500)=O$1)*(MONTH(Gastos!$A$2:$A$2500)=O$3)*(Gastos!$B$2:$B$2500=$A100)*(Gastos!$D$2:$D$2500))</f>
        <v>3300</v>
      </c>
      <c r="P100" s="75">
        <f t="array" ref="P100">SUM((YEAR(Gastos!$A$2:$A$2500)=P$1)*(MONTH(Gastos!$A$2:$A$2500)=P$3)*(Gastos!$B$2:$B$2500=$A100)*(Gastos!$D$2:$D$2500))</f>
        <v>0</v>
      </c>
      <c r="Q100" s="75">
        <f t="array" ref="Q100">SUM((YEAR(Gastos!$A$2:$A$2500)=Q$1)*(MONTH(Gastos!$A$2:$A$2500)=Q$3)*(Gastos!$B$2:$B$2500=$A100)*(Gastos!$D$2:$D$2500))</f>
        <v>0</v>
      </c>
      <c r="R100" s="75">
        <f t="array" ref="R100">SUM((YEAR(Gastos!$A$2:$A$2500)=R$1)*(MONTH(Gastos!$A$2:$A$2500)=R$3)*(Gastos!$B$2:$B$2500=$A100)*(Gastos!$D$2:$D$2500))</f>
        <v>0</v>
      </c>
      <c r="S100" s="75">
        <f t="array" ref="S100">SUM((YEAR(Gastos!$A$2:$A$2500)=S$1)*(MONTH(Gastos!$A$2:$A$2500)=S$3)*(Gastos!$B$2:$B$2500=$A100)*(Gastos!$D$2:$D$2500))</f>
        <v>0</v>
      </c>
      <c r="T100" s="75">
        <f t="array" ref="T100">SUM((YEAR(Gastos!$A$2:$A$2500)=T$1)*(MONTH(Gastos!$A$2:$A$2500)=T$3)*(Gastos!$B$2:$B$2500=$A100)*(Gastos!$D$2:$D$2500))</f>
        <v>0</v>
      </c>
      <c r="U100" s="75">
        <f t="array" ref="U100">SUM((YEAR(Gastos!$A$2:$A$2500)=U$1)*(MONTH(Gastos!$A$2:$A$2500)=U$3)*(Gastos!$B$2:$B$2500=$A100)*(Gastos!$D$2:$D$2500))</f>
        <v>0</v>
      </c>
      <c r="V100" s="75">
        <f t="array" ref="V100">SUM((YEAR(Gastos!$A$2:$A$2500)=V$1)*(MONTH(Gastos!$A$2:$A$2500)=V$3)*(Gastos!$B$2:$B$2500=$A100)*(Gastos!$D$2:$D$2500))</f>
        <v>0</v>
      </c>
      <c r="W100" s="75">
        <f t="array" ref="W100">SUM((YEAR(Gastos!$A$2:$A$2500)=W$1)*(MONTH(Gastos!$A$2:$A$2500)=W$3)*(Gastos!$B$2:$B$2500=$A100)*(Gastos!$D$2:$D$2500))</f>
        <v>0</v>
      </c>
      <c r="X100" s="75">
        <f t="array" ref="X100">SUM((YEAR(Gastos!$A$2:$A$2500)=X$1)*(MONTH(Gastos!$A$2:$A$2500)=X$3)*(Gastos!$B$2:$B$2500=$A100)*(Gastos!$D$2:$D$2500))</f>
        <v>0</v>
      </c>
      <c r="Y100" s="75">
        <f t="array" ref="Y100">SUM((YEAR(Gastos!$A$2:$A$2500)=Y$1)*(MONTH(Gastos!$A$2:$A$2500)=Y$3)*(Gastos!$B$2:$B$2500=$A100)*(Gastos!$D$2:$D$2500))</f>
        <v>0</v>
      </c>
      <c r="Z100" s="75">
        <f t="array" ref="Z100">SUM((YEAR(Gastos!$A$2:$A$2500)=Z$1)*(MONTH(Gastos!$A$2:$A$2500)=Z$3)*(Gastos!$B$2:$B$2500=$A100)*(Gastos!$D$2:$D$2500))</f>
        <v>0</v>
      </c>
      <c r="AA100" s="75">
        <f t="array" ref="AA100">SUM((YEAR(Gastos!$A$2:$A$2500)=AA$1)*(MONTH(Gastos!$A$2:$A$2500)=AA$3)*(Gastos!$B$2:$B$2500=$A100)*(Gastos!$D$2:$D$2500))</f>
        <v>0</v>
      </c>
      <c r="AB100" s="75">
        <f t="array" ref="AB100">SUM((YEAR(Gastos!$A$2:$A$2500)=AB$1)*(MONTH(Gastos!$A$2:$A$2500)=AB$3)*(Gastos!$B$2:$B$2500=$A100)*(Gastos!$D$2:$D$2500))</f>
        <v>0</v>
      </c>
      <c r="AC100" s="75">
        <f t="array" ref="AC100">SUM((YEAR(Gastos!$A$2:$A$2500)=AC$1)*(MONTH(Gastos!$A$2:$A$2500)=AC$3)*(Gastos!$B$2:$B$2500=$A100)*(Gastos!$D$2:$D$2500))</f>
        <v>0</v>
      </c>
      <c r="AD100" s="75">
        <f t="array" ref="AD100">SUM((YEAR(Gastos!$A$2:$A$2500)=AD$1)*(MONTH(Gastos!$A$2:$A$2500)=AD$3)*(Gastos!$B$2:$B$2500=$A100)*(Gastos!$D$2:$D$2500))</f>
        <v>0</v>
      </c>
      <c r="AE100" s="75">
        <f t="array" ref="AE100">SUM((YEAR(Gastos!$A$2:$A$2500)=AE$1)*(MONTH(Gastos!$A$2:$A$2500)=AE$3)*(Gastos!$B$2:$B$2500=$A100)*(Gastos!$D$2:$D$2500))</f>
        <v>0</v>
      </c>
      <c r="AF100" s="75">
        <f t="array" ref="AF100">SUM((YEAR(Gastos!$A$2:$A$2500)=AF$1)*(MONTH(Gastos!$A$2:$A$2500)=AF$3)*(Gastos!$B$2:$B$2500=$A100)*(Gastos!$D$2:$D$2500))</f>
        <v>0</v>
      </c>
      <c r="AG100" s="75">
        <f t="array" ref="AG100">SUM((YEAR(Gastos!$A$2:$A$2500)=AG$1)*(MONTH(Gastos!$A$2:$A$2500)=AG$3)*(Gastos!$B$2:$B$2500=$A100)*(Gastos!$D$2:$D$2500))</f>
        <v>0</v>
      </c>
      <c r="AH100" s="75">
        <f t="array" ref="AH100">SUM((YEAR(Gastos!$A$2:$A$2500)=AH$1)*(MONTH(Gastos!$A$2:$A$2500)=AH$3)*(Gastos!$B$2:$B$2500=$A100)*(Gastos!$D$2:$D$2500))</f>
        <v>0</v>
      </c>
      <c r="AI100" s="75">
        <f t="array" ref="AI100">SUM((YEAR(Gastos!$A$2:$A$2500)=AI$1)*(MONTH(Gastos!$A$2:$A$2500)=AI$3)*(Gastos!$B$2:$B$2500=$A100)*(Gastos!$D$2:$D$2500))</f>
        <v>0</v>
      </c>
      <c r="AJ100" s="75">
        <f t="array" ref="AJ100">SUM((YEAR(Gastos!$A$2:$A$2500)=AJ$1)*(MONTH(Gastos!$A$2:$A$2500)=AJ$3)*(Gastos!$B$2:$B$2500=$A100)*(Gastos!$D$2:$D$2500))</f>
        <v>0</v>
      </c>
      <c r="AK100" s="75">
        <f t="array" ref="AK100">SUM((YEAR(Gastos!$A$2:$A$2500)=AK$1)*(MONTH(Gastos!$A$2:$A$2500)=AK$3)*(Gastos!$B$2:$B$2500=$A100)*(Gastos!$D$2:$D$2500))</f>
        <v>0</v>
      </c>
      <c r="AL100" s="75">
        <f t="array" ref="AL100">SUM((YEAR(Gastos!$A$2:$A$2500)=AL$1)*(MONTH(Gastos!$A$2:$A$2500)=AL$3)*(Gastos!$B$2:$B$2500=$A100)*(Gastos!$D$2:$D$2500))</f>
        <v>0</v>
      </c>
      <c r="AM100" s="75">
        <f t="array" ref="AM100">SUM((YEAR(Gastos!$A$2:$A$2500)=AM$1)*(MONTH(Gastos!$A$2:$A$2500)=AM$3)*(Gastos!$B$2:$B$2500=$A100)*(Gastos!$D$2:$D$2500))</f>
        <v>0</v>
      </c>
      <c r="AN100" s="75">
        <f t="array" ref="AN100">SUM((YEAR(Gastos!$A$2:$A$2500)=AN$1)*(MONTH(Gastos!$A$2:$A$2500)=AN$3)*(Gastos!$B$2:$B$2500=$A100)*(Gastos!$D$2:$D$2500))</f>
        <v>0</v>
      </c>
      <c r="AO100" s="75">
        <f t="array" ref="AO100">SUM((YEAR(Gastos!$A$2:$A$2500)=AO$1)*(MONTH(Gastos!$A$2:$A$2500)=AO$3)*(Gastos!$B$2:$B$2500=$A100)*(Gastos!$D$2:$D$2500))</f>
        <v>0</v>
      </c>
      <c r="AP100" s="75">
        <f t="array" ref="AP100">SUM((YEAR(Gastos!$A$2:$A$2500)=AP$1)*(MONTH(Gastos!$A$2:$A$2500)=AP$3)*(Gastos!$B$2:$B$2500=$A100)*(Gastos!$D$2:$D$2500))</f>
        <v>0</v>
      </c>
      <c r="AQ100" s="75">
        <f t="array" ref="AQ100">SUM((YEAR(Gastos!$A$2:$A$2500)=AQ$1)*(MONTH(Gastos!$A$2:$A$2500)=AQ$3)*(Gastos!$B$2:$B$2500=$A100)*(Gastos!$D$2:$D$2500))</f>
        <v>0</v>
      </c>
      <c r="AR100" s="75">
        <f t="array" ref="AR100">SUM((YEAR(Gastos!$A$2:$A$2500)=AR$1)*(MONTH(Gastos!$A$2:$A$2500)=AR$3)*(Gastos!$B$2:$B$2500=$A100)*(Gastos!$D$2:$D$2500))</f>
        <v>0</v>
      </c>
      <c r="AS100" s="75">
        <f t="array" ref="AS100">SUM((YEAR(Gastos!$A$2:$A$2500)=AS$1)*(MONTH(Gastos!$A$2:$A$2500)=AS$3)*(Gastos!$B$2:$B$2500=$A100)*(Gastos!$D$2:$D$2500))</f>
        <v>0</v>
      </c>
      <c r="AT100" s="75">
        <f t="array" ref="AT100">SUM((YEAR(Gastos!$A$2:$A$2500)=AT$1)*(MONTH(Gastos!$A$2:$A$2500)=AT$3)*(Gastos!$B$2:$B$2500=$A100)*(Gastos!$D$2:$D$2500))</f>
        <v>0</v>
      </c>
      <c r="AU100" s="75">
        <f t="array" ref="AU100">SUM((YEAR(Gastos!$A$2:$A$2500)=AU$1)*(MONTH(Gastos!$A$2:$A$2500)=AU$3)*(Gastos!$B$2:$B$2500=$A100)*(Gastos!$D$2:$D$2500))</f>
        <v>0</v>
      </c>
      <c r="AV100" s="75">
        <f t="array" ref="AV100">SUM((YEAR(Gastos!$A$2:$A$2500)=AV$1)*(MONTH(Gastos!$A$2:$A$2500)=AV$3)*(Gastos!$B$2:$B$2500=$A100)*(Gastos!$D$2:$D$2500))</f>
        <v>0</v>
      </c>
      <c r="AW100" s="75">
        <f t="array" ref="AW100">SUM((YEAR(Gastos!$A$2:$A$2500)=AW$1)*(MONTH(Gastos!$A$2:$A$2500)=AW$3)*(Gastos!$B$2:$B$2500=$A100)*(Gastos!$D$2:$D$2500))</f>
        <v>0</v>
      </c>
      <c r="AX100" s="75">
        <f t="array" ref="AX100">SUM((YEAR(Gastos!$A$2:$A$2500)=AX$1)*(MONTH(Gastos!$A$2:$A$2500)=AX$3)*(Gastos!$B$2:$B$2500=$A100)*(Gastos!$D$2:$D$2500))</f>
        <v>0</v>
      </c>
      <c r="AY100" s="75">
        <f t="array" ref="AY100">SUM((YEAR(Gastos!$A$2:$A$2500)=AY$1)*(MONTH(Gastos!$A$2:$A$2500)=AY$3)*(Gastos!$B$2:$B$2500=$A100)*(Gastos!$D$2:$D$2500))</f>
        <v>0</v>
      </c>
      <c r="AZ100" s="75">
        <f t="array" ref="AZ100">SUM((YEAR(Gastos!$A$2:$A$2500)=AZ$1)*(MONTH(Gastos!$A$2:$A$2500)=AZ$3)*(Gastos!$B$2:$B$2500=$A100)*(Gastos!$D$2:$D$2500))</f>
        <v>0</v>
      </c>
      <c r="BA100" s="75">
        <f t="array" ref="BA100">SUM((YEAR(Gastos!$A$2:$A$2500)=BA$1)*(MONTH(Gastos!$A$2:$A$2500)=BA$3)*(Gastos!$B$2:$B$2500=$A100)*(Gastos!$D$2:$D$2500))</f>
        <v>0</v>
      </c>
      <c r="BB100" s="75">
        <f t="array" ref="BB100">SUM((YEAR(Gastos!$A$2:$A$2500)=BB$1)*(MONTH(Gastos!$A$2:$A$2500)=BB$3)*(Gastos!$B$2:$B$2500=$A100)*(Gastos!$D$2:$D$2500))</f>
        <v>0</v>
      </c>
      <c r="BC100" s="75">
        <f t="array" ref="BC100">SUM((YEAR(Gastos!$A$2:$A$2500)=BC$1)*(MONTH(Gastos!$A$2:$A$2500)=BC$3)*(Gastos!$B$2:$B$2500=$A100)*(Gastos!$D$2:$D$2500))</f>
        <v>0</v>
      </c>
      <c r="BD100" s="75">
        <f t="array" ref="BD100">SUM((YEAR(Gastos!$A$2:$A$2500)=BD$1)*(MONTH(Gastos!$A$2:$A$2500)=BD$3)*(Gastos!$B$2:$B$2500=$A100)*(Gastos!$D$2:$D$2500))</f>
        <v>0</v>
      </c>
      <c r="BE100" s="75">
        <f t="array" ref="BE100">SUM((YEAR(Gastos!$A$2:$A$2500)=BE$1)*(MONTH(Gastos!$A$2:$A$2500)=BE$3)*(Gastos!$B$2:$B$2500=$A100)*(Gastos!$D$2:$D$2500))</f>
        <v>0</v>
      </c>
      <c r="BF100" s="75">
        <f t="array" ref="BF100">SUM((YEAR(Gastos!$A$2:$A$2500)=BF$1)*(MONTH(Gastos!$A$2:$A$2500)=BF$3)*(Gastos!$B$2:$B$2500=$A100)*(Gastos!$D$2:$D$2500))</f>
        <v>0</v>
      </c>
      <c r="BG100" s="75">
        <f t="array" ref="BG100">SUM((YEAR(Gastos!$A$2:$A$2500)=BG$1)*(MONTH(Gastos!$A$2:$A$2500)=BG$3)*(Gastos!$B$2:$B$2500=$A100)*(Gastos!$D$2:$D$2500))</f>
        <v>0</v>
      </c>
      <c r="BH100" s="75">
        <f t="array" ref="BH100">SUM((YEAR(Gastos!$A$2:$A$2500)=BH$1)*(MONTH(Gastos!$A$2:$A$2500)=BH$3)*(Gastos!$B$2:$B$2500=$A100)*(Gastos!$D$2:$D$2500))</f>
        <v>0</v>
      </c>
      <c r="BI100" s="75">
        <f t="array" ref="BI100">SUM((YEAR(Gastos!$A$2:$A$2500)=BI$1)*(MONTH(Gastos!$A$2:$A$2500)=BI$3)*(Gastos!$B$2:$B$2500=$A100)*(Gastos!$D$2:$D$2500))</f>
        <v>0</v>
      </c>
      <c r="BJ100" s="75">
        <f t="array" ref="BJ100">SUM((YEAR(Gastos!$A$2:$A$2500)=BJ$1)*(MONTH(Gastos!$A$2:$A$2500)=BJ$3)*(Gastos!$B$2:$B$2500=$A100)*(Gastos!$D$2:$D$2500))</f>
        <v>0</v>
      </c>
      <c r="BK100" s="75">
        <f t="array" ref="BK100">SUM((YEAR(Gastos!$A$2:$A$2500)=BK$1)*(MONTH(Gastos!$A$2:$A$2500)=BK$3)*(Gastos!$B$2:$B$2500=$A100)*(Gastos!$D$2:$D$2500))</f>
        <v>0</v>
      </c>
      <c r="BL100" s="75">
        <f t="array" ref="BL100">SUM((YEAR(Gastos!$A$2:$A$2500)=BL$1)*(MONTH(Gastos!$A$2:$A$2500)=BL$3)*(Gastos!$B$2:$B$2500=$A100)*(Gastos!$D$2:$D$2500))</f>
        <v>0</v>
      </c>
      <c r="BM100" s="75">
        <f t="array" ref="BM100">SUM((YEAR(Gastos!$A$2:$A$2500)=BM$1)*(MONTH(Gastos!$A$2:$A$2500)=BM$3)*(Gastos!$B$2:$B$2500=$A100)*(Gastos!$D$2:$D$2500))</f>
        <v>0</v>
      </c>
      <c r="BN100" s="75">
        <f t="array" ref="BN100">SUM((YEAR(Gastos!$A$2:$A$2500)=BN$1)*(MONTH(Gastos!$A$2:$A$2500)=BN$3)*(Gastos!$B$2:$B$2500=$A100)*(Gastos!$D$2:$D$2500))</f>
        <v>0</v>
      </c>
      <c r="BO100" s="75">
        <f t="array" ref="BO100">SUM((YEAR(Gastos!$A$2:$A$2500)=BO$1)*(MONTH(Gastos!$A$2:$A$2500)=BO$3)*(Gastos!$B$2:$B$2500=$A100)*(Gastos!$D$2:$D$2500))</f>
        <v>0</v>
      </c>
      <c r="BP100" s="75">
        <f t="array" ref="BP100">SUM((YEAR(Gastos!$A$2:$A$2500)=BP$1)*(MONTH(Gastos!$A$2:$A$2500)=BP$3)*(Gastos!$B$2:$B$2500=$A100)*(Gastos!$D$2:$D$2500))</f>
        <v>0</v>
      </c>
      <c r="BQ100" s="75">
        <f t="array" ref="BQ100">SUM((YEAR(Gastos!$A$2:$A$2500)=BQ$1)*(MONTH(Gastos!$A$2:$A$2500)=BQ$3)*(Gastos!$B$2:$B$2500=$A100)*(Gastos!$D$2:$D$2500))</f>
        <v>0</v>
      </c>
      <c r="BR100" s="75">
        <f t="array" ref="BR100">SUM((YEAR(Gastos!$A$2:$A$2500)=BR$1)*(MONTH(Gastos!$A$2:$A$2500)=BR$3)*(Gastos!$B$2:$B$2500=$A100)*(Gastos!$D$2:$D$2500))</f>
        <v>0</v>
      </c>
      <c r="BS100" s="75">
        <f t="array" ref="BS100">SUM((YEAR(Gastos!$A$2:$A$2500)=BS$1)*(MONTH(Gastos!$A$2:$A$2500)=BS$3)*(Gastos!$B$2:$B$2500=$A100)*(Gastos!$D$2:$D$2500))</f>
        <v>0</v>
      </c>
      <c r="BT100" s="75">
        <f t="array" ref="BT100">SUM((YEAR(Gastos!$A$2:$A$2500)=BT$1)*(MONTH(Gastos!$A$2:$A$2500)=BT$3)*(Gastos!$B$2:$B$2500=$A100)*(Gastos!$D$2:$D$2500))</f>
        <v>0</v>
      </c>
      <c r="BU100" s="75">
        <f t="array" ref="BU100">SUM((YEAR(Gastos!$A$2:$A$2500)=BU$1)*(MONTH(Gastos!$A$2:$A$2500)=BU$3)*(Gastos!$B$2:$B$2500=$A100)*(Gastos!$D$2:$D$2500))</f>
        <v>0</v>
      </c>
      <c r="BV100" s="75">
        <f t="array" ref="BV100">SUM((YEAR(Gastos!$A$2:$A$2500)=BV$1)*(MONTH(Gastos!$A$2:$A$2500)=BV$3)*(Gastos!$B$2:$B$2500=$A100)*(Gastos!$D$2:$D$2500))</f>
        <v>0</v>
      </c>
      <c r="BW100" s="75">
        <f t="array" ref="BW100">SUM((YEAR(Gastos!$A$2:$A$2500)=BW$1)*(MONTH(Gastos!$A$2:$A$2500)=BW$3)*(Gastos!$B$2:$B$2500=$A100)*(Gastos!$D$2:$D$2500))</f>
        <v>0</v>
      </c>
      <c r="BX100" s="75">
        <f t="array" ref="BX100">SUM((YEAR(Gastos!$A$2:$A$2500)=BX$1)*(MONTH(Gastos!$A$2:$A$2500)=BX$3)*(Gastos!$B$2:$B$2500=$A100)*(Gastos!$D$2:$D$2500))</f>
        <v>0</v>
      </c>
      <c r="BY100" s="75">
        <f t="array" ref="BY100">SUM((YEAR(Gastos!$A$2:$A$2500)=BY$1)*(MONTH(Gastos!$A$2:$A$2500)=BY$3)*(Gastos!$B$2:$B$2500=$A100)*(Gastos!$D$2:$D$2500))</f>
        <v>0</v>
      </c>
      <c r="BZ100" s="75">
        <f t="array" ref="BZ100">SUM((YEAR(Gastos!$A$2:$A$2500)=BZ$1)*(MONTH(Gastos!$A$2:$A$2500)=BZ$3)*(Gastos!$B$2:$B$2500=$A100)*(Gastos!$D$2:$D$2500))</f>
        <v>0</v>
      </c>
      <c r="CA100" s="75">
        <f t="array" ref="CA100">SUM((YEAR(Gastos!$A$2:$A$2500)=CA$1)*(MONTH(Gastos!$A$2:$A$2500)=CA$3)*(Gastos!$B$2:$B$2500=$A100)*(Gastos!$D$2:$D$2500))</f>
        <v>0</v>
      </c>
      <c r="CB100" s="75">
        <f t="array" ref="CB100">SUM((YEAR(Gastos!$A$2:$A$2500)=CB$1)*(MONTH(Gastos!$A$2:$A$2500)=CB$3)*(Gastos!$B$2:$B$2500=$A100)*(Gastos!$D$2:$D$2500))</f>
        <v>0</v>
      </c>
      <c r="CC100" s="75">
        <f t="array" ref="CC100">SUM((YEAR(Gastos!$A$2:$A$2500)=CC$1)*(MONTH(Gastos!$A$2:$A$2500)=CC$3)*(Gastos!$B$2:$B$2500=$A100)*(Gastos!$D$2:$D$2500))</f>
        <v>0</v>
      </c>
      <c r="CD100" s="75">
        <f t="array" ref="CD100">SUM((YEAR(Gastos!$A$2:$A$2500)=CD$1)*(MONTH(Gastos!$A$2:$A$2500)=CD$3)*(Gastos!$B$2:$B$2500=$A100)*(Gastos!$D$2:$D$2500))</f>
        <v>0</v>
      </c>
      <c r="CE100" s="75">
        <f t="array" ref="CE100">SUM((YEAR(Gastos!$A$2:$A$2500)=CE$1)*(MONTH(Gastos!$A$2:$A$2500)=CE$3)*(Gastos!$B$2:$B$2500=$A100)*(Gastos!$D$2:$D$2500))</f>
        <v>0</v>
      </c>
      <c r="CF100" s="75">
        <f t="array" ref="CF100">SUM((YEAR(Gastos!$A$2:$A$2500)=CF$1)*(MONTH(Gastos!$A$2:$A$2500)=CF$3)*(Gastos!$B$2:$B$2500=$A100)*(Gastos!$D$2:$D$2500))</f>
        <v>0</v>
      </c>
      <c r="CG100" s="75">
        <f t="array" ref="CG100">SUM((YEAR(Gastos!$A$2:$A$2500)=CG$1)*(MONTH(Gastos!$A$2:$A$2500)=CG$3)*(Gastos!$B$2:$B$2500=$A100)*(Gastos!$D$2:$D$2500))</f>
        <v>0</v>
      </c>
      <c r="CH100" s="75">
        <f t="array" ref="CH100">SUM((YEAR(Gastos!$A$2:$A$2500)=CH$1)*(MONTH(Gastos!$A$2:$A$2500)=CH$3)*(Gastos!$B$2:$B$2500=$A100)*(Gastos!$D$2:$D$2500))</f>
        <v>0</v>
      </c>
      <c r="CI100" s="75">
        <f t="array" ref="CI100">SUM((YEAR(Gastos!$A$2:$A$2500)=CI$1)*(MONTH(Gastos!$A$2:$A$2500)=CI$3)*(Gastos!$B$2:$B$2500=$A100)*(Gastos!$D$2:$D$2500))</f>
        <v>0</v>
      </c>
      <c r="CJ100" s="75">
        <f t="array" ref="CJ100">SUM((YEAR(Gastos!$A$2:$A$2500)=CJ$1)*(MONTH(Gastos!$A$2:$A$2500)=CJ$3)*(Gastos!$B$2:$B$2500=$A100)*(Gastos!$D$2:$D$2500))</f>
        <v>0</v>
      </c>
      <c r="CK100" s="75">
        <f t="array" ref="CK100">SUM((YEAR(Gastos!$A$2:$A$2500)=CK$1)*(MONTH(Gastos!$A$2:$A$2500)=CK$3)*(Gastos!$B$2:$B$2500=$A100)*(Gastos!$D$2:$D$2500))</f>
        <v>0</v>
      </c>
      <c r="CL100" s="75">
        <f t="array" ref="CL100">SUM((YEAR(Gastos!$A$2:$A$2500)=CL$1)*(MONTH(Gastos!$A$2:$A$2500)=CL$3)*(Gastos!$B$2:$B$2500=$A100)*(Gastos!$D$2:$D$2500))</f>
        <v>0</v>
      </c>
      <c r="CM100" s="75">
        <f t="array" ref="CM100">SUM((YEAR(Gastos!$A$2:$A$2500)=CM$1)*(MONTH(Gastos!$A$2:$A$2500)=CM$3)*(Gastos!$B$2:$B$2500=$A100)*(Gastos!$D$2:$D$2500))</f>
        <v>0</v>
      </c>
      <c r="CN100" s="75">
        <f t="array" ref="CN100">SUM((YEAR(Gastos!$A$2:$A$2500)=CN$1)*(MONTH(Gastos!$A$2:$A$2500)=CN$3)*(Gastos!$B$2:$B$2500=$A100)*(Gastos!$D$2:$D$2500))</f>
        <v>0</v>
      </c>
      <c r="CO100" s="75">
        <f t="array" ref="CO100">SUM((YEAR(Gastos!$A$2:$A$2500)=CO$1)*(MONTH(Gastos!$A$2:$A$2500)=CO$3)*(Gastos!$B$2:$B$2500=$A100)*(Gastos!$D$2:$D$2500))</f>
        <v>0</v>
      </c>
      <c r="CP100" s="75">
        <f t="array" ref="CP100">SUM((YEAR(Gastos!$A$2:$A$2500)=CP$1)*(MONTH(Gastos!$A$2:$A$2500)=CP$3)*(Gastos!$B$2:$B$2500=$A100)*(Gastos!$D$2:$D$2500))</f>
        <v>0</v>
      </c>
      <c r="CQ100" s="75">
        <f t="array" ref="CQ100">SUM((YEAR(Gastos!$A$2:$A$2500)=CQ$1)*(MONTH(Gastos!$A$2:$A$2500)=CQ$3)*(Gastos!$B$2:$B$2500=$A100)*(Gastos!$D$2:$D$2500))</f>
        <v>0</v>
      </c>
      <c r="CR100" s="75">
        <f t="array" ref="CR100">SUM((YEAR(Gastos!$A$2:$A$2500)=CR$1)*(MONTH(Gastos!$A$2:$A$2500)=CR$3)*(Gastos!$B$2:$B$2500=$A100)*(Gastos!$D$2:$D$2500))</f>
        <v>0</v>
      </c>
      <c r="CS100" s="75">
        <f t="array" ref="CS100">SUM((YEAR(Gastos!$A$2:$A$2500)=CS$1)*(MONTH(Gastos!$A$2:$A$2500)=CS$3)*(Gastos!$B$2:$B$2500=$A100)*(Gastos!$D$2:$D$2500))</f>
        <v>0</v>
      </c>
      <c r="CT100" s="75">
        <f t="array" ref="CT100">SUM((YEAR(Gastos!$A$2:$A$2500)=CT$1)*(MONTH(Gastos!$A$2:$A$2500)=CT$3)*(Gastos!$B$2:$B$2500=$A100)*(Gastos!$D$2:$D$2500))</f>
        <v>0</v>
      </c>
      <c r="CU100" s="75">
        <f t="array" ref="CU100">SUM((YEAR(Gastos!$A$2:$A$2500)=CU$1)*(MONTH(Gastos!$A$2:$A$2500)=CU$3)*(Gastos!$B$2:$B$2500=$A100)*(Gastos!$D$2:$D$2500))</f>
        <v>0</v>
      </c>
      <c r="CV100" s="75">
        <f t="array" ref="CV100">SUM((YEAR(Gastos!$A$2:$A$2500)=CV$1)*(MONTH(Gastos!$A$2:$A$2500)=CV$3)*(Gastos!$B$2:$B$2500=$A100)*(Gastos!$D$2:$D$2500))</f>
        <v>0</v>
      </c>
      <c r="CW100" s="75">
        <f t="array" ref="CW100">SUM((YEAR(Gastos!$A$2:$A$2500)=CW$1)*(MONTH(Gastos!$A$2:$A$2500)=CW$3)*(Gastos!$B$2:$B$2500=$A100)*(Gastos!$D$2:$D$2500))</f>
        <v>0</v>
      </c>
      <c r="CX100" s="75">
        <f t="array" ref="CX100">SUM((YEAR(Gastos!$A$2:$A$2500)=CX$1)*(MONTH(Gastos!$A$2:$A$2500)=CX$3)*(Gastos!$B$2:$B$2500=$A100)*(Gastos!$D$2:$D$2500))</f>
        <v>0</v>
      </c>
      <c r="CY100" s="75">
        <f t="array" ref="CY100">SUM((YEAR(Gastos!$A$2:$A$2500)=CY$1)*(MONTH(Gastos!$A$2:$A$2500)=CY$3)*(Gastos!$B$2:$B$2500=$A100)*(Gastos!$D$2:$D$2500))</f>
        <v>0</v>
      </c>
      <c r="CZ100" s="75">
        <f t="array" ref="CZ100">SUM((YEAR(Gastos!$A$2:$A$2500)=CZ$1)*(MONTH(Gastos!$A$2:$A$2500)=CZ$3)*(Gastos!$B$2:$B$2500=$A100)*(Gastos!$D$2:$D$2500))</f>
        <v>0</v>
      </c>
      <c r="DA100" s="75">
        <f t="array" ref="DA100">SUM((YEAR(Gastos!$A$2:$A$2500)=DA$1)*(MONTH(Gastos!$A$2:$A$2500)=DA$3)*(Gastos!$B$2:$B$2500=$A100)*(Gastos!$D$2:$D$2500))</f>
        <v>0</v>
      </c>
      <c r="DB100" s="75">
        <f t="array" ref="DB100">SUM((YEAR(Gastos!$A$2:$A$2500)=DB$1)*(MONTH(Gastos!$A$2:$A$2500)=DB$3)*(Gastos!$B$2:$B$2500=$A100)*(Gastos!$D$2:$D$2500))</f>
        <v>0</v>
      </c>
      <c r="DC100" s="75">
        <f t="array" ref="DC100">SUM((YEAR(Gastos!$A$2:$A$2500)=DC$1)*(MONTH(Gastos!$A$2:$A$2500)=DC$3)*(Gastos!$B$2:$B$2500=$A100)*(Gastos!$D$2:$D$2500))</f>
        <v>0</v>
      </c>
      <c r="DD100" s="75">
        <f t="array" ref="DD100">SUM((YEAR(Gastos!$A$2:$A$2500)=DD$1)*(MONTH(Gastos!$A$2:$A$2500)=DD$3)*(Gastos!$B$2:$B$2500=$A100)*(Gastos!$D$2:$D$2500))</f>
        <v>0</v>
      </c>
      <c r="DE100" s="75">
        <f t="array" ref="DE100">SUM((YEAR(Gastos!$A$2:$A$2500)=DE$1)*(MONTH(Gastos!$A$2:$A$2500)=DE$3)*(Gastos!$B$2:$B$2500=$A100)*(Gastos!$D$2:$D$2500))</f>
        <v>0</v>
      </c>
      <c r="DF100" s="75">
        <f t="array" ref="DF100">SUM((YEAR(Gastos!$A$2:$A$2500)=DF$1)*(MONTH(Gastos!$A$2:$A$2500)=DF$3)*(Gastos!$B$2:$B$2500=$A100)*(Gastos!$D$2:$D$2500))</f>
        <v>0</v>
      </c>
      <c r="DG100" s="75">
        <f t="array" ref="DG100">SUM((YEAR(Gastos!$A$2:$A$2500)=DG$1)*(MONTH(Gastos!$A$2:$A$2500)=DG$3)*(Gastos!$B$2:$B$2500=$A100)*(Gastos!$D$2:$D$2500))</f>
        <v>0</v>
      </c>
      <c r="DH100" s="75">
        <f t="array" ref="DH100">SUM((YEAR(Gastos!$A$2:$A$2500)=DH$1)*(MONTH(Gastos!$A$2:$A$2500)=DH$3)*(Gastos!$B$2:$B$2500=$A100)*(Gastos!$D$2:$D$2500))</f>
        <v>0</v>
      </c>
      <c r="DI100" s="75">
        <f t="array" ref="DI100">SUM((YEAR(Gastos!$A$2:$A$2500)=DI$1)*(MONTH(Gastos!$A$2:$A$2500)=DI$3)*(Gastos!$B$2:$B$2500=$A100)*(Gastos!$D$2:$D$2500))</f>
        <v>0</v>
      </c>
      <c r="DJ100" s="75">
        <f t="array" ref="DJ100">SUM((YEAR(Gastos!$A$2:$A$2500)=DJ$1)*(MONTH(Gastos!$A$2:$A$2500)=DJ$3)*(Gastos!$B$2:$B$2500=$A100)*(Gastos!$D$2:$D$2500))</f>
        <v>0</v>
      </c>
      <c r="DK100" s="75">
        <f t="array" ref="DK100">SUM((YEAR(Gastos!$A$2:$A$2500)=DK$1)*(MONTH(Gastos!$A$2:$A$2500)=DK$3)*(Gastos!$B$2:$B$2500=$A100)*(Gastos!$D$2:$D$2500))</f>
        <v>0</v>
      </c>
      <c r="DL100" s="75">
        <f t="array" ref="DL100">SUM((YEAR(Gastos!$A$2:$A$2500)=DL$1)*(MONTH(Gastos!$A$2:$A$2500)=DL$3)*(Gastos!$B$2:$B$2500=$A100)*(Gastos!$D$2:$D$2500))</f>
        <v>0</v>
      </c>
      <c r="DM100" s="75">
        <f t="array" ref="DM100">SUM((YEAR(Gastos!$A$2:$A$2500)=DM$1)*(MONTH(Gastos!$A$2:$A$2500)=DM$3)*(Gastos!$B$2:$B$2500=$A100)*(Gastos!$D$2:$D$2500))</f>
        <v>0</v>
      </c>
      <c r="DN100" s="75">
        <f t="array" ref="DN100">SUM((YEAR(Gastos!$A$2:$A$2500)=DN$1)*(MONTH(Gastos!$A$2:$A$2500)=DN$3)*(Gastos!$B$2:$B$2500=$A100)*(Gastos!$D$2:$D$2500))</f>
        <v>0</v>
      </c>
      <c r="DO100" s="75">
        <f t="array" ref="DO100">SUM((YEAR(Gastos!$A$2:$A$2500)=DO$1)*(MONTH(Gastos!$A$2:$A$2500)=DO$3)*(Gastos!$B$2:$B$2500=$A100)*(Gastos!$D$2:$D$2500))</f>
        <v>0</v>
      </c>
      <c r="DP100" s="75">
        <f t="array" ref="DP100">SUM((YEAR(Gastos!$A$2:$A$2500)=DP$1)*(MONTH(Gastos!$A$2:$A$2500)=DP$3)*(Gastos!$B$2:$B$2500=$A100)*(Gastos!$D$2:$D$2500))</f>
        <v>0</v>
      </c>
      <c r="DQ100" s="75">
        <f t="array" ref="DQ100">SUM((YEAR(Gastos!$A$2:$A$2500)=DQ$1)*(MONTH(Gastos!$A$2:$A$2500)=DQ$3)*(Gastos!$B$2:$B$2500=$A100)*(Gastos!$D$2:$D$2500))</f>
        <v>0</v>
      </c>
      <c r="DR100" s="75">
        <f t="array" ref="DR100">SUM((YEAR(Gastos!$A$2:$A$2500)=DR$1)*(MONTH(Gastos!$A$2:$A$2500)=DR$3)*(Gastos!$B$2:$B$2500=$A100)*(Gastos!$D$2:$D$2500))</f>
        <v>0</v>
      </c>
      <c r="DS100" s="75">
        <f t="array" ref="DS100">SUM((YEAR(Gastos!$A$2:$A$2500)=DS$1)*(MONTH(Gastos!$A$2:$A$2500)=DS$3)*(Gastos!$B$2:$B$2500=$A100)*(Gastos!$D$2:$D$2500))</f>
        <v>0</v>
      </c>
      <c r="DT100" s="75">
        <f t="array" ref="DT100">SUM((YEAR(Gastos!$A$2:$A$2500)=DT$1)*(MONTH(Gastos!$A$2:$A$2500)=DT$3)*(Gastos!$B$2:$B$2500=$A100)*(Gastos!$D$2:$D$2500))</f>
        <v>0</v>
      </c>
      <c r="DU100" s="75">
        <f t="array" ref="DU100">SUM((YEAR(Gastos!$A$2:$A$2500)=DU$1)*(MONTH(Gastos!$A$2:$A$2500)=DU$3)*(Gastos!$B$2:$B$2500=$A100)*(Gastos!$D$2:$D$2500))</f>
        <v>0</v>
      </c>
      <c r="DV100" s="75">
        <f t="array" ref="DV100">SUM((YEAR(Gastos!$A$2:$A$2500)=DV$1)*(MONTH(Gastos!$A$2:$A$2500)=DV$3)*(Gastos!$B$2:$B$2500=$A100)*(Gastos!$D$2:$D$2500))</f>
        <v>0</v>
      </c>
      <c r="DW100" s="75">
        <f t="array" ref="DW100">SUM((YEAR(Gastos!$A$2:$A$2500)=DW$1)*(MONTH(Gastos!$A$2:$A$2500)=DW$3)*(Gastos!$B$2:$B$2500=$A100)*(Gastos!$D$2:$D$2500))</f>
        <v>0</v>
      </c>
      <c r="DX100" s="75">
        <f t="array" ref="DX100">SUM((YEAR(Gastos!$A$2:$A$2500)=DX$1)*(MONTH(Gastos!$A$2:$A$2500)=DX$3)*(Gastos!$B$2:$B$2500=$A100)*(Gastos!$D$2:$D$2500))</f>
        <v>0</v>
      </c>
      <c r="DY100" s="75">
        <f t="array" ref="DY100">SUM((YEAR(Gastos!$A$2:$A$2500)=DY$1)*(MONTH(Gastos!$A$2:$A$2500)=DY$3)*(Gastos!$B$2:$B$2500=$A100)*(Gastos!$D$2:$D$2500))</f>
        <v>0</v>
      </c>
      <c r="DZ100" s="75">
        <f t="array" ref="DZ100">SUM((YEAR(Gastos!$A$2:$A$2500)=DZ$1)*(MONTH(Gastos!$A$2:$A$2500)=DZ$3)*(Gastos!$B$2:$B$2500=$A100)*(Gastos!$D$2:$D$2500))</f>
        <v>0</v>
      </c>
      <c r="EA100" s="75">
        <f t="array" ref="EA100">SUM((YEAR(Gastos!$A$2:$A$2500)=EA$1)*(MONTH(Gastos!$A$2:$A$2500)=EA$3)*(Gastos!$B$2:$B$2500=$A100)*(Gastos!$D$2:$D$2500))</f>
        <v>0</v>
      </c>
      <c r="EB100" s="75">
        <f t="array" ref="EB100">SUM((YEAR(Gastos!$A$2:$A$2500)=EB$1)*(MONTH(Gastos!$A$2:$A$2500)=EB$3)*(Gastos!$B$2:$B$2500=$A100)*(Gastos!$D$2:$D$2500))</f>
        <v>0</v>
      </c>
      <c r="EC100" s="75">
        <f t="array" ref="EC100">SUM((YEAR(Gastos!$A$2:$A$2500)=EC$1)*(MONTH(Gastos!$A$2:$A$2500)=EC$3)*(Gastos!$B$2:$B$2500=$A100)*(Gastos!$D$2:$D$2500))</f>
        <v>0</v>
      </c>
      <c r="ED100" s="75">
        <f t="array" ref="ED100">SUM((YEAR(Gastos!$A$2:$A$2500)=ED$1)*(MONTH(Gastos!$A$2:$A$2500)=ED$3)*(Gastos!$B$2:$B$2500=$A100)*(Gastos!$D$2:$D$2500))</f>
        <v>0</v>
      </c>
      <c r="EE100" s="75">
        <f t="array" ref="EE100">SUM((YEAR(Gastos!$A$2:$A$2500)=EE$1)*(MONTH(Gastos!$A$2:$A$2500)=EE$3)*(Gastos!$B$2:$B$2500=$A100)*(Gastos!$D$2:$D$2500))</f>
        <v>0</v>
      </c>
      <c r="EF100" s="75">
        <f t="array" ref="EF100">SUM((YEAR(Gastos!$A$2:$A$2500)=EF$1)*(MONTH(Gastos!$A$2:$A$2500)=EF$3)*(Gastos!$B$2:$B$2500=$A100)*(Gastos!$D$2:$D$2500))</f>
        <v>0</v>
      </c>
      <c r="EG100" s="75">
        <f t="array" ref="EG100">SUM((YEAR(Gastos!$A$2:$A$2500)=EG$1)*(MONTH(Gastos!$A$2:$A$2500)=EG$3)*(Gastos!$B$2:$B$2500=$A100)*(Gastos!$D$2:$D$2500))</f>
        <v>0</v>
      </c>
      <c r="EH100" s="75">
        <f t="array" ref="EH100">SUM((YEAR(Gastos!$A$2:$A$2500)=EH$1)*(MONTH(Gastos!$A$2:$A$2500)=EH$3)*(Gastos!$B$2:$B$2500=$A100)*(Gastos!$D$2:$D$2500))</f>
        <v>0</v>
      </c>
      <c r="EI100" s="75">
        <f t="array" ref="EI100">SUM((YEAR(Gastos!$A$2:$A$2500)=EI$1)*(MONTH(Gastos!$A$2:$A$2500)=EI$3)*(Gastos!$B$2:$B$2500=$A100)*(Gastos!$D$2:$D$2500))</f>
        <v>0</v>
      </c>
      <c r="EJ100" s="75">
        <f t="array" ref="EJ100">SUM((YEAR(Gastos!$A$2:$A$2500)=EJ$1)*(MONTH(Gastos!$A$2:$A$2500)=EJ$3)*(Gastos!$B$2:$B$2500=$A100)*(Gastos!$D$2:$D$2500))</f>
        <v>0</v>
      </c>
      <c r="EK100" s="75">
        <f t="array" ref="EK100">SUM((YEAR(Gastos!$A$2:$A$2500)=EK$1)*(MONTH(Gastos!$A$2:$A$2500)=EK$3)*(Gastos!$B$2:$B$2500=$A100)*(Gastos!$D$2:$D$2500))</f>
        <v>0</v>
      </c>
      <c r="EL100" s="75">
        <f t="array" ref="EL100">SUM((YEAR(Gastos!$A$2:$A$2500)=EL$1)*(MONTH(Gastos!$A$2:$A$2500)=EL$3)*(Gastos!$B$2:$B$2500=$A100)*(Gastos!$D$2:$D$2500))</f>
        <v>0</v>
      </c>
      <c r="EM100" s="75">
        <f t="array" ref="EM100">SUM((YEAR(Gastos!$A$2:$A$2500)=EM$1)*(MONTH(Gastos!$A$2:$A$2500)=EM$3)*(Gastos!$B$2:$B$2500=$A100)*(Gastos!$D$2:$D$2500))</f>
        <v>0</v>
      </c>
      <c r="EN100" s="75">
        <f t="array" ref="EN100">SUM((YEAR(Gastos!$A$2:$A$2500)=EN$1)*(MONTH(Gastos!$A$2:$A$2500)=EN$3)*(Gastos!$B$2:$B$2500=$A100)*(Gastos!$D$2:$D$2500))</f>
        <v>0</v>
      </c>
      <c r="EO100" s="75">
        <f t="array" ref="EO100">SUM((YEAR(Gastos!$A$2:$A$2500)=EO$1)*(MONTH(Gastos!$A$2:$A$2500)=EO$3)*(Gastos!$B$2:$B$2500=$A100)*(Gastos!$D$2:$D$2500))</f>
        <v>0</v>
      </c>
      <c r="EP100" s="75">
        <f t="array" ref="EP100">SUM((YEAR(Gastos!$A$2:$A$2500)=EP$1)*(MONTH(Gastos!$A$2:$A$2500)=EP$3)*(Gastos!$B$2:$B$2500=$A100)*(Gastos!$D$2:$D$2500))</f>
        <v>0</v>
      </c>
      <c r="EQ100" s="75">
        <f t="array" ref="EQ100">SUM((YEAR(Gastos!$A$2:$A$2500)=EQ$1)*(MONTH(Gastos!$A$2:$A$2500)=EQ$3)*(Gastos!$B$2:$B$2500=$A100)*(Gastos!$D$2:$D$2500))</f>
        <v>0</v>
      </c>
      <c r="ER100" s="75">
        <f t="array" ref="ER100">SUM((YEAR(Gastos!$A$2:$A$2500)=ER$1)*(MONTH(Gastos!$A$2:$A$2500)=ER$3)*(Gastos!$B$2:$B$2500=$A100)*(Gastos!$D$2:$D$2500))</f>
        <v>0</v>
      </c>
      <c r="ES100" s="75">
        <f t="array" ref="ES100">SUM((YEAR(Gastos!$A$2:$A$2500)=ES$1)*(MONTH(Gastos!$A$2:$A$2500)=ES$3)*(Gastos!$B$2:$B$2500=$A100)*(Gastos!$D$2:$D$2500))</f>
        <v>0</v>
      </c>
      <c r="ET100" s="75">
        <f t="array" ref="ET100">SUM((YEAR(Gastos!$A$2:$A$2500)=ET$1)*(MONTH(Gastos!$A$2:$A$2500)=ET$3)*(Gastos!$B$2:$B$2500=$A100)*(Gastos!$D$2:$D$2500))</f>
        <v>0</v>
      </c>
      <c r="EU100" s="75">
        <f t="array" ref="EU100">SUM((YEAR(Gastos!$A$2:$A$2500)=EU$1)*(MONTH(Gastos!$A$2:$A$2500)=EU$3)*(Gastos!$B$2:$B$2500=$A100)*(Gastos!$D$2:$D$2500))</f>
        <v>0</v>
      </c>
      <c r="EV100" s="75">
        <f t="array" ref="EV100">SUM((YEAR(Gastos!$A$2:$A$2500)=EV$1)*(MONTH(Gastos!$A$2:$A$2500)=EV$3)*(Gastos!$B$2:$B$2500=$A100)*(Gastos!$D$2:$D$2500))</f>
        <v>0</v>
      </c>
      <c r="EW100" s="75">
        <f t="array" ref="EW100">SUM((YEAR(Gastos!$A$2:$A$2500)=EW$1)*(MONTH(Gastos!$A$2:$A$2500)=EW$3)*(Gastos!$B$2:$B$2500=$A100)*(Gastos!$D$2:$D$2500))</f>
        <v>0</v>
      </c>
      <c r="EX100" s="75">
        <f t="array" ref="EX100">SUM((YEAR(Gastos!$A$2:$A$2500)=EX$1)*(MONTH(Gastos!$A$2:$A$2500)=EX$3)*(Gastos!$B$2:$B$2500=$A100)*(Gastos!$D$2:$D$2500))</f>
        <v>0</v>
      </c>
      <c r="EY100" s="75">
        <f t="array" ref="EY100">SUM((YEAR(Gastos!$A$2:$A$2500)=EY$1)*(MONTH(Gastos!$A$2:$A$2500)=EY$3)*(Gastos!$B$2:$B$2500=$A100)*(Gastos!$D$2:$D$2500))</f>
        <v>0</v>
      </c>
      <c r="EZ100" s="75">
        <f t="array" ref="EZ100">SUM((YEAR(Gastos!$A$2:$A$2500)=EZ$1)*(MONTH(Gastos!$A$2:$A$2500)=EZ$3)*(Gastos!$B$2:$B$2500=$A100)*(Gastos!$D$2:$D$2500))</f>
        <v>0</v>
      </c>
      <c r="FA100" s="75">
        <f t="array" ref="FA100">SUM((YEAR(Gastos!$A$2:$A$2500)=FA$1)*(MONTH(Gastos!$A$2:$A$2500)=FA$3)*(Gastos!$B$2:$B$2500=$A100)*(Gastos!$D$2:$D$2500))</f>
        <v>0</v>
      </c>
      <c r="FB100" s="75">
        <f t="array" ref="FB100">SUM((YEAR(Gastos!$A$2:$A$2500)=FB$1)*(MONTH(Gastos!$A$2:$A$2500)=FB$3)*(Gastos!$B$2:$B$2500=$A100)*(Gastos!$D$2:$D$2500))</f>
        <v>0</v>
      </c>
      <c r="FC100" s="75">
        <f t="array" ref="FC100">SUM((YEAR(Gastos!$A$2:$A$2500)=FC$1)*(MONTH(Gastos!$A$2:$A$2500)=FC$3)*(Gastos!$B$2:$B$2500=$A100)*(Gastos!$D$2:$D$2500))</f>
        <v>0</v>
      </c>
      <c r="FD100" s="75">
        <f t="array" ref="FD100">SUM((YEAR(Gastos!$A$2:$A$2500)=FD$1)*(MONTH(Gastos!$A$2:$A$2500)=FD$3)*(Gastos!$B$2:$B$2500=$A100)*(Gastos!$D$2:$D$2500))</f>
        <v>0</v>
      </c>
      <c r="FE100" s="75">
        <f t="array" ref="FE100">SUM((YEAR(Gastos!$A$2:$A$2500)=FE$1)*(MONTH(Gastos!$A$2:$A$2500)=FE$3)*(Gastos!$B$2:$B$2500=$A100)*(Gastos!$D$2:$D$2500))</f>
        <v>0</v>
      </c>
      <c r="FF100" s="75">
        <f t="array" ref="FF100">SUM((YEAR(Gastos!$A$2:$A$2500)=FF$1)*(MONTH(Gastos!$A$2:$A$2500)=FF$3)*(Gastos!$B$2:$B$2500=$A100)*(Gastos!$D$2:$D$2500))</f>
        <v>0</v>
      </c>
      <c r="FG100" s="75">
        <f t="array" ref="FG100">SUM((YEAR(Gastos!$A$2:$A$2500)=FG$1)*(MONTH(Gastos!$A$2:$A$2500)=FG$3)*(Gastos!$B$2:$B$2500=$A100)*(Gastos!$D$2:$D$2500))</f>
        <v>0</v>
      </c>
      <c r="FH100" s="75">
        <f t="array" ref="FH100">SUM((YEAR(Gastos!$A$2:$A$2500)=FH$1)*(MONTH(Gastos!$A$2:$A$2500)=FH$3)*(Gastos!$B$2:$B$2500=$A100)*(Gastos!$D$2:$D$2500))</f>
        <v>0</v>
      </c>
      <c r="FI100" s="75">
        <f t="array" ref="FI100">SUM((YEAR(Gastos!$A$2:$A$2500)=FI$1)*(MONTH(Gastos!$A$2:$A$2500)=FI$3)*(Gastos!$B$2:$B$2500=$A100)*(Gastos!$D$2:$D$2500))</f>
        <v>0</v>
      </c>
      <c r="FJ100" s="75">
        <f t="array" ref="FJ100">SUM((YEAR(Gastos!$A$2:$A$2500)=FJ$1)*(MONTH(Gastos!$A$2:$A$2500)=FJ$3)*(Gastos!$B$2:$B$2500=$A100)*(Gastos!$D$2:$D$2500))</f>
        <v>0</v>
      </c>
      <c r="FK100" s="75">
        <f t="array" ref="FK100">SUM((YEAR(Gastos!$A$2:$A$2500)=FK$1)*(MONTH(Gastos!$A$2:$A$2500)=FK$3)*(Gastos!$B$2:$B$2500=$A100)*(Gastos!$D$2:$D$2500))</f>
        <v>0</v>
      </c>
      <c r="FL100" s="75">
        <f t="array" ref="FL100">SUM((YEAR(Gastos!$A$2:$A$2500)=FL$1)*(MONTH(Gastos!$A$2:$A$2500)=FL$3)*(Gastos!$B$2:$B$2500=$A100)*(Gastos!$D$2:$D$2500))</f>
        <v>0</v>
      </c>
      <c r="FM100" s="75">
        <f t="array" ref="FM100">SUM((YEAR(Gastos!$A$2:$A$2500)=FM$1)*(MONTH(Gastos!$A$2:$A$2500)=FM$3)*(Gastos!$B$2:$B$2500=$A100)*(Gastos!$D$2:$D$2500))</f>
        <v>0</v>
      </c>
      <c r="FN100" s="75">
        <f t="array" ref="FN100">SUM((YEAR(Gastos!$A$2:$A$2500)=FN$1)*(MONTH(Gastos!$A$2:$A$2500)=FN$3)*(Gastos!$B$2:$B$2500=$A100)*(Gastos!$D$2:$D$2500))</f>
        <v>0</v>
      </c>
      <c r="FO100" s="75">
        <f t="array" ref="FO100">SUM((YEAR(Gastos!$A$2:$A$2500)=FO$1)*(MONTH(Gastos!$A$2:$A$2500)=FO$3)*(Gastos!$B$2:$B$2500=$A100)*(Gastos!$D$2:$D$2500))</f>
        <v>0</v>
      </c>
      <c r="FP100" s="75">
        <f t="array" ref="FP100">SUM((YEAR(Gastos!$A$2:$A$2500)=FP$1)*(MONTH(Gastos!$A$2:$A$2500)=FP$3)*(Gastos!$B$2:$B$2500=$A100)*(Gastos!$D$2:$D$2500))</f>
        <v>0</v>
      </c>
      <c r="FQ100" s="75">
        <f t="array" ref="FQ100">SUM((YEAR(Gastos!$A$2:$A$2500)=FQ$1)*(MONTH(Gastos!$A$2:$A$2500)=FQ$3)*(Gastos!$B$2:$B$2500=$A100)*(Gastos!$D$2:$D$2500))</f>
        <v>0</v>
      </c>
      <c r="FR100" s="75">
        <f t="array" ref="FR100">SUM((YEAR(Gastos!$A$2:$A$2500)=FR$1)*(MONTH(Gastos!$A$2:$A$2500)=FR$3)*(Gastos!$B$2:$B$2500=$A100)*(Gastos!$D$2:$D$2500))</f>
        <v>0</v>
      </c>
      <c r="FS100" s="75">
        <f t="array" ref="FS100">SUM((YEAR(Gastos!$A$2:$A$2500)=FS$1)*(MONTH(Gastos!$A$2:$A$2500)=FS$3)*(Gastos!$B$2:$B$2500=$A100)*(Gastos!$D$2:$D$2500))</f>
        <v>0</v>
      </c>
      <c r="FT100" s="75">
        <f t="array" ref="FT100">SUM((YEAR(Gastos!$A$2:$A$2500)=FT$1)*(MONTH(Gastos!$A$2:$A$2500)=FT$3)*(Gastos!$B$2:$B$2500=$A100)*(Gastos!$D$2:$D$2500))</f>
        <v>0</v>
      </c>
      <c r="FU100" s="75">
        <f t="array" ref="FU100">SUM((YEAR(Gastos!$A$2:$A$2500)=FU$1)*(MONTH(Gastos!$A$2:$A$2500)=FU$3)*(Gastos!$B$2:$B$2500=$A100)*(Gastos!$D$2:$D$2500))</f>
        <v>0</v>
      </c>
      <c r="FV100" s="75">
        <f t="array" ref="FV100">SUM((YEAR(Gastos!$A$2:$A$2500)=FV$1)*(MONTH(Gastos!$A$2:$A$2500)=FV$3)*(Gastos!$B$2:$B$2500=$A100)*(Gastos!$D$2:$D$2500))</f>
        <v>0</v>
      </c>
      <c r="FW100" s="75">
        <f t="array" ref="FW100">SUM((YEAR(Gastos!$A$2:$A$2500)=FW$1)*(MONTH(Gastos!$A$2:$A$2500)=FW$3)*(Gastos!$B$2:$B$2500=$A100)*(Gastos!$D$2:$D$2500))</f>
        <v>0</v>
      </c>
      <c r="FX100" s="75">
        <f t="array" ref="FX100">SUM((YEAR(Gastos!$A$2:$A$2500)=FX$1)*(MONTH(Gastos!$A$2:$A$2500)=FX$3)*(Gastos!$B$2:$B$2500=$A100)*(Gastos!$D$2:$D$2500))</f>
        <v>0</v>
      </c>
      <c r="FY100" s="75">
        <f t="array" ref="FY100">SUM((YEAR(Gastos!$A$2:$A$2500)=FY$1)*(MONTH(Gastos!$A$2:$A$2500)=FY$3)*(Gastos!$B$2:$B$2500=$A100)*(Gastos!$D$2:$D$2500))</f>
        <v>0</v>
      </c>
      <c r="FZ100" s="76">
        <f t="shared" si="68"/>
        <v>29343.21</v>
      </c>
      <c r="GA100" s="80"/>
      <c r="GB100" s="82"/>
    </row>
    <row r="101" spans="1:193" ht="15" thickBot="1" x14ac:dyDescent="0.4">
      <c r="A101" s="74" t="str">
        <f>Gastos!AA99</f>
        <v>V. DEPOSITOS A CUENTA 1574811771</v>
      </c>
      <c r="B101" s="75">
        <f t="array" ref="B101">SUM((YEAR(Gastos!$A$2:$A$2500)=B$1)*(MONTH(Gastos!$A$2:$A$2500)=B$3)*(Gastos!$B$2:$B$2500=$A101)*(Gastos!$D$2:$D$2500))</f>
        <v>0</v>
      </c>
      <c r="C101" s="75">
        <f t="array" ref="C101">SUM((YEAR(Gastos!$A$2:$A$2500)=C$1)*(MONTH(Gastos!$A$2:$A$2500)=C$3)*(Gastos!$B$2:$B$2500=$A101)*(Gastos!$D$2:$D$2500))</f>
        <v>0</v>
      </c>
      <c r="D101" s="75">
        <f t="array" ref="D101">SUM((YEAR(Gastos!$A$2:$A$2500)=D$1)*(MONTH(Gastos!$A$2:$A$2500)=D$3)*(Gastos!$B$2:$B$2500=$A101)*(Gastos!$D$2:$D$2500))</f>
        <v>0</v>
      </c>
      <c r="E101" s="75">
        <f t="array" ref="E101">SUM((YEAR(Gastos!$A$2:$A$2500)=E$1)*(MONTH(Gastos!$A$2:$A$2500)=E$3)*(Gastos!$B$2:$B$2500=$A101)*(Gastos!$D$2:$D$2500))</f>
        <v>0</v>
      </c>
      <c r="F101" s="75">
        <f t="array" ref="F101">SUM((YEAR(Gastos!$A$2:$A$2500)=F$1)*(MONTH(Gastos!$A$2:$A$2500)=F$3)*(Gastos!$B$2:$B$2500=$A101)*(Gastos!$D$2:$D$2500))</f>
        <v>0</v>
      </c>
      <c r="G101" s="75">
        <f t="array" ref="G101">SUM((YEAR(Gastos!$A$2:$A$2500)=G$1)*(MONTH(Gastos!$A$2:$A$2500)=G$3)*(Gastos!$B$2:$B$2500=$A101)*(Gastos!$D$2:$D$2500))</f>
        <v>0</v>
      </c>
      <c r="H101" s="75">
        <f t="array" ref="H101">SUM((YEAR(Gastos!$A$2:$A$2500)=H$1)*(MONTH(Gastos!$A$2:$A$2500)=H$3)*(Gastos!$B$2:$B$2500=$A101)*(Gastos!$D$2:$D$2500))</f>
        <v>0</v>
      </c>
      <c r="I101" s="75">
        <f t="array" ref="I101">SUM((YEAR(Gastos!$A$2:$A$2500)=I$1)*(MONTH(Gastos!$A$2:$A$2500)=I$3)*(Gastos!$B$2:$B$2500=$A101)*(Gastos!$D$2:$D$2500))</f>
        <v>0</v>
      </c>
      <c r="J101" s="75">
        <f t="array" ref="J101">SUM((YEAR(Gastos!$A$2:$A$2500)=J$1)*(MONTH(Gastos!$A$2:$A$2500)=J$3)*(Gastos!$B$2:$B$2500=$A101)*(Gastos!$D$2:$D$2500))</f>
        <v>0</v>
      </c>
      <c r="K101" s="75">
        <f t="array" ref="K101">SUM((YEAR(Gastos!$A$2:$A$2500)=K$1)*(MONTH(Gastos!$A$2:$A$2500)=K$3)*(Gastos!$B$2:$B$2500=$A101)*(Gastos!$D$2:$D$2500))</f>
        <v>0</v>
      </c>
      <c r="L101" s="75">
        <f t="array" ref="L101">SUM((YEAR(Gastos!$A$2:$A$2500)=L$1)*(MONTH(Gastos!$A$2:$A$2500)=L$3)*(Gastos!$B$2:$B$2500=$A101)*(Gastos!$D$2:$D$2500))</f>
        <v>0</v>
      </c>
      <c r="M101" s="75">
        <f t="array" ref="M101">SUM((YEAR(Gastos!$A$2:$A$2500)=M$1)*(MONTH(Gastos!$A$2:$A$2500)=M$3)*(Gastos!$B$2:$B$2500=$A101)*(Gastos!$D$2:$D$2500))</f>
        <v>0</v>
      </c>
      <c r="N101" s="75">
        <f t="array" ref="N101">SUM((YEAR(Gastos!$A$2:$A$2500)=N$1)*(MONTH(Gastos!$A$2:$A$2500)=N$3)*(Gastos!$B$2:$B$2500=$A101)*(Gastos!$D$2:$D$2500))</f>
        <v>0</v>
      </c>
      <c r="O101" s="75">
        <f t="array" ref="O101">SUM((YEAR(Gastos!$A$2:$A$2500)=O$1)*(MONTH(Gastos!$A$2:$A$2500)=O$3)*(Gastos!$B$2:$B$2500=$A101)*(Gastos!$D$2:$D$2500))</f>
        <v>0</v>
      </c>
      <c r="P101" s="75">
        <f t="array" ref="P101">SUM((YEAR(Gastos!$A$2:$A$2500)=P$1)*(MONTH(Gastos!$A$2:$A$2500)=P$3)*(Gastos!$B$2:$B$2500=$A101)*(Gastos!$D$2:$D$2500))</f>
        <v>0</v>
      </c>
      <c r="Q101" s="75">
        <f t="array" ref="Q101">SUM((YEAR(Gastos!$A$2:$A$2500)=Q$1)*(MONTH(Gastos!$A$2:$A$2500)=Q$3)*(Gastos!$B$2:$B$2500=$A101)*(Gastos!$D$2:$D$2500))</f>
        <v>0</v>
      </c>
      <c r="R101" s="75">
        <f t="array" ref="R101">SUM((YEAR(Gastos!$A$2:$A$2500)=R$1)*(MONTH(Gastos!$A$2:$A$2500)=R$3)*(Gastos!$B$2:$B$2500=$A101)*(Gastos!$D$2:$D$2500))</f>
        <v>0</v>
      </c>
      <c r="S101" s="75">
        <f t="array" ref="S101">SUM((YEAR(Gastos!$A$2:$A$2500)=S$1)*(MONTH(Gastos!$A$2:$A$2500)=S$3)*(Gastos!$B$2:$B$2500=$A101)*(Gastos!$D$2:$D$2500))</f>
        <v>0</v>
      </c>
      <c r="T101" s="75">
        <f t="array" ref="T101">SUM((YEAR(Gastos!$A$2:$A$2500)=T$1)*(MONTH(Gastos!$A$2:$A$2500)=T$3)*(Gastos!$B$2:$B$2500=$A101)*(Gastos!$D$2:$D$2500))</f>
        <v>0</v>
      </c>
      <c r="U101" s="75">
        <f t="array" ref="U101">SUM((YEAR(Gastos!$A$2:$A$2500)=U$1)*(MONTH(Gastos!$A$2:$A$2500)=U$3)*(Gastos!$B$2:$B$2500=$A101)*(Gastos!$D$2:$D$2500))</f>
        <v>0</v>
      </c>
      <c r="V101" s="75">
        <f t="array" ref="V101">SUM((YEAR(Gastos!$A$2:$A$2500)=V$1)*(MONTH(Gastos!$A$2:$A$2500)=V$3)*(Gastos!$B$2:$B$2500=$A101)*(Gastos!$D$2:$D$2500))</f>
        <v>0</v>
      </c>
      <c r="W101" s="75">
        <f t="array" ref="W101">SUM((YEAR(Gastos!$A$2:$A$2500)=W$1)*(MONTH(Gastos!$A$2:$A$2500)=W$3)*(Gastos!$B$2:$B$2500=$A101)*(Gastos!$D$2:$D$2500))</f>
        <v>0</v>
      </c>
      <c r="X101" s="75">
        <f t="array" ref="X101">SUM((YEAR(Gastos!$A$2:$A$2500)=X$1)*(MONTH(Gastos!$A$2:$A$2500)=X$3)*(Gastos!$B$2:$B$2500=$A101)*(Gastos!$D$2:$D$2500))</f>
        <v>0</v>
      </c>
      <c r="Y101" s="75">
        <f t="array" ref="Y101">SUM((YEAR(Gastos!$A$2:$A$2500)=Y$1)*(MONTH(Gastos!$A$2:$A$2500)=Y$3)*(Gastos!$B$2:$B$2500=$A101)*(Gastos!$D$2:$D$2500))</f>
        <v>0</v>
      </c>
      <c r="Z101" s="75">
        <f t="array" ref="Z101">SUM((YEAR(Gastos!$A$2:$A$2500)=Z$1)*(MONTH(Gastos!$A$2:$A$2500)=Z$3)*(Gastos!$B$2:$B$2500=$A101)*(Gastos!$D$2:$D$2500))</f>
        <v>0</v>
      </c>
      <c r="AA101" s="75">
        <f t="array" ref="AA101">SUM((YEAR(Gastos!$A$2:$A$2500)=AA$1)*(MONTH(Gastos!$A$2:$A$2500)=AA$3)*(Gastos!$B$2:$B$2500=$A101)*(Gastos!$D$2:$D$2500))</f>
        <v>0</v>
      </c>
      <c r="AB101" s="75">
        <f t="array" ref="AB101">SUM((YEAR(Gastos!$A$2:$A$2500)=AB$1)*(MONTH(Gastos!$A$2:$A$2500)=AB$3)*(Gastos!$B$2:$B$2500=$A101)*(Gastos!$D$2:$D$2500))</f>
        <v>0</v>
      </c>
      <c r="AC101" s="75">
        <f t="array" ref="AC101">SUM((YEAR(Gastos!$A$2:$A$2500)=AC$1)*(MONTH(Gastos!$A$2:$A$2500)=AC$3)*(Gastos!$B$2:$B$2500=$A101)*(Gastos!$D$2:$D$2500))</f>
        <v>0</v>
      </c>
      <c r="AD101" s="75">
        <f t="array" ref="AD101">SUM((YEAR(Gastos!$A$2:$A$2500)=AD$1)*(MONTH(Gastos!$A$2:$A$2500)=AD$3)*(Gastos!$B$2:$B$2500=$A101)*(Gastos!$D$2:$D$2500))</f>
        <v>0</v>
      </c>
      <c r="AE101" s="75">
        <f t="array" ref="AE101">SUM((YEAR(Gastos!$A$2:$A$2500)=AE$1)*(MONTH(Gastos!$A$2:$A$2500)=AE$3)*(Gastos!$B$2:$B$2500=$A101)*(Gastos!$D$2:$D$2500))</f>
        <v>0</v>
      </c>
      <c r="AF101" s="75">
        <f t="array" ref="AF101">SUM((YEAR(Gastos!$A$2:$A$2500)=AF$1)*(MONTH(Gastos!$A$2:$A$2500)=AF$3)*(Gastos!$B$2:$B$2500=$A101)*(Gastos!$D$2:$D$2500))</f>
        <v>0</v>
      </c>
      <c r="AG101" s="75">
        <f t="array" ref="AG101">SUM((YEAR(Gastos!$A$2:$A$2500)=AG$1)*(MONTH(Gastos!$A$2:$A$2500)=AG$3)*(Gastos!$B$2:$B$2500=$A101)*(Gastos!$D$2:$D$2500))</f>
        <v>0</v>
      </c>
      <c r="AH101" s="75">
        <f t="array" ref="AH101">SUM((YEAR(Gastos!$A$2:$A$2500)=AH$1)*(MONTH(Gastos!$A$2:$A$2500)=AH$3)*(Gastos!$B$2:$B$2500=$A101)*(Gastos!$D$2:$D$2500))</f>
        <v>0</v>
      </c>
      <c r="AI101" s="75">
        <f t="array" ref="AI101">SUM((YEAR(Gastos!$A$2:$A$2500)=AI$1)*(MONTH(Gastos!$A$2:$A$2500)=AI$3)*(Gastos!$B$2:$B$2500=$A101)*(Gastos!$D$2:$D$2500))</f>
        <v>0</v>
      </c>
      <c r="AJ101" s="75">
        <f t="array" ref="AJ101">SUM((YEAR(Gastos!$A$2:$A$2500)=AJ$1)*(MONTH(Gastos!$A$2:$A$2500)=AJ$3)*(Gastos!$B$2:$B$2500=$A101)*(Gastos!$D$2:$D$2500))</f>
        <v>0</v>
      </c>
      <c r="AK101" s="75">
        <f t="array" ref="AK101">SUM((YEAR(Gastos!$A$2:$A$2500)=AK$1)*(MONTH(Gastos!$A$2:$A$2500)=AK$3)*(Gastos!$B$2:$B$2500=$A101)*(Gastos!$D$2:$D$2500))</f>
        <v>0</v>
      </c>
      <c r="AL101" s="75">
        <f t="array" ref="AL101">SUM((YEAR(Gastos!$A$2:$A$2500)=AL$1)*(MONTH(Gastos!$A$2:$A$2500)=AL$3)*(Gastos!$B$2:$B$2500=$A101)*(Gastos!$D$2:$D$2500))</f>
        <v>0</v>
      </c>
      <c r="AM101" s="75">
        <f t="array" ref="AM101">SUM((YEAR(Gastos!$A$2:$A$2500)=AM$1)*(MONTH(Gastos!$A$2:$A$2500)=AM$3)*(Gastos!$B$2:$B$2500=$A101)*(Gastos!$D$2:$D$2500))</f>
        <v>0</v>
      </c>
      <c r="AN101" s="75">
        <f t="array" ref="AN101">SUM((YEAR(Gastos!$A$2:$A$2500)=AN$1)*(MONTH(Gastos!$A$2:$A$2500)=AN$3)*(Gastos!$B$2:$B$2500=$A101)*(Gastos!$D$2:$D$2500))</f>
        <v>0</v>
      </c>
      <c r="AO101" s="75">
        <f t="array" ref="AO101">SUM((YEAR(Gastos!$A$2:$A$2500)=AO$1)*(MONTH(Gastos!$A$2:$A$2500)=AO$3)*(Gastos!$B$2:$B$2500=$A101)*(Gastos!$D$2:$D$2500))</f>
        <v>0</v>
      </c>
      <c r="AP101" s="75">
        <f t="array" ref="AP101">SUM((YEAR(Gastos!$A$2:$A$2500)=AP$1)*(MONTH(Gastos!$A$2:$A$2500)=AP$3)*(Gastos!$B$2:$B$2500=$A101)*(Gastos!$D$2:$D$2500))</f>
        <v>0</v>
      </c>
      <c r="AQ101" s="75">
        <f t="array" ref="AQ101">SUM((YEAR(Gastos!$A$2:$A$2500)=AQ$1)*(MONTH(Gastos!$A$2:$A$2500)=AQ$3)*(Gastos!$B$2:$B$2500=$A101)*(Gastos!$D$2:$D$2500))</f>
        <v>0</v>
      </c>
      <c r="AR101" s="75">
        <f t="array" ref="AR101">SUM((YEAR(Gastos!$A$2:$A$2500)=AR$1)*(MONTH(Gastos!$A$2:$A$2500)=AR$3)*(Gastos!$B$2:$B$2500=$A101)*(Gastos!$D$2:$D$2500))</f>
        <v>0</v>
      </c>
      <c r="AS101" s="75">
        <f t="array" ref="AS101">SUM((YEAR(Gastos!$A$2:$A$2500)=AS$1)*(MONTH(Gastos!$A$2:$A$2500)=AS$3)*(Gastos!$B$2:$B$2500=$A101)*(Gastos!$D$2:$D$2500))</f>
        <v>0</v>
      </c>
      <c r="AT101" s="75">
        <f t="array" ref="AT101">SUM((YEAR(Gastos!$A$2:$A$2500)=AT$1)*(MONTH(Gastos!$A$2:$A$2500)=AT$3)*(Gastos!$B$2:$B$2500=$A101)*(Gastos!$D$2:$D$2500))</f>
        <v>0</v>
      </c>
      <c r="AU101" s="75">
        <f t="array" ref="AU101">SUM((YEAR(Gastos!$A$2:$A$2500)=AU$1)*(MONTH(Gastos!$A$2:$A$2500)=AU$3)*(Gastos!$B$2:$B$2500=$A101)*(Gastos!$D$2:$D$2500))</f>
        <v>0</v>
      </c>
      <c r="AV101" s="75">
        <f t="array" ref="AV101">SUM((YEAR(Gastos!$A$2:$A$2500)=AV$1)*(MONTH(Gastos!$A$2:$A$2500)=AV$3)*(Gastos!$B$2:$B$2500=$A101)*(Gastos!$D$2:$D$2500))</f>
        <v>0</v>
      </c>
      <c r="AW101" s="75">
        <f t="array" ref="AW101">SUM((YEAR(Gastos!$A$2:$A$2500)=AW$1)*(MONTH(Gastos!$A$2:$A$2500)=AW$3)*(Gastos!$B$2:$B$2500=$A101)*(Gastos!$D$2:$D$2500))</f>
        <v>0</v>
      </c>
      <c r="AX101" s="75">
        <f t="array" ref="AX101">SUM((YEAR(Gastos!$A$2:$A$2500)=AX$1)*(MONTH(Gastos!$A$2:$A$2500)=AX$3)*(Gastos!$B$2:$B$2500=$A101)*(Gastos!$D$2:$D$2500))</f>
        <v>0</v>
      </c>
      <c r="AY101" s="75">
        <f t="array" ref="AY101">SUM((YEAR(Gastos!$A$2:$A$2500)=AY$1)*(MONTH(Gastos!$A$2:$A$2500)=AY$3)*(Gastos!$B$2:$B$2500=$A101)*(Gastos!$D$2:$D$2500))</f>
        <v>0</v>
      </c>
      <c r="AZ101" s="75">
        <f t="array" ref="AZ101">SUM((YEAR(Gastos!$A$2:$A$2500)=AZ$1)*(MONTH(Gastos!$A$2:$A$2500)=AZ$3)*(Gastos!$B$2:$B$2500=$A101)*(Gastos!$D$2:$D$2500))</f>
        <v>0</v>
      </c>
      <c r="BA101" s="75">
        <f t="array" ref="BA101">SUM((YEAR(Gastos!$A$2:$A$2500)=BA$1)*(MONTH(Gastos!$A$2:$A$2500)=BA$3)*(Gastos!$B$2:$B$2500=$A101)*(Gastos!$D$2:$D$2500))</f>
        <v>0</v>
      </c>
      <c r="BB101" s="75">
        <f t="array" ref="BB101">SUM((YEAR(Gastos!$A$2:$A$2500)=BB$1)*(MONTH(Gastos!$A$2:$A$2500)=BB$3)*(Gastos!$B$2:$B$2500=$A101)*(Gastos!$D$2:$D$2500))</f>
        <v>0</v>
      </c>
      <c r="BC101" s="75">
        <f t="array" ref="BC101">SUM((YEAR(Gastos!$A$2:$A$2500)=BC$1)*(MONTH(Gastos!$A$2:$A$2500)=BC$3)*(Gastos!$B$2:$B$2500=$A101)*(Gastos!$D$2:$D$2500))</f>
        <v>8480</v>
      </c>
      <c r="BD101" s="75">
        <f t="array" ref="BD101">SUM((YEAR(Gastos!$A$2:$A$2500)=BD$1)*(MONTH(Gastos!$A$2:$A$2500)=BD$3)*(Gastos!$B$2:$B$2500=$A101)*(Gastos!$D$2:$D$2500))</f>
        <v>6784</v>
      </c>
      <c r="BE101" s="75">
        <f t="array" ref="BE101">SUM((YEAR(Gastos!$A$2:$A$2500)=BE$1)*(MONTH(Gastos!$A$2:$A$2500)=BE$3)*(Gastos!$B$2:$B$2500=$A101)*(Gastos!$D$2:$D$2500))</f>
        <v>7480</v>
      </c>
      <c r="BF101" s="75">
        <f t="array" ref="BF101">SUM((YEAR(Gastos!$A$2:$A$2500)=BF$1)*(MONTH(Gastos!$A$2:$A$2500)=BF$3)*(Gastos!$B$2:$B$2500=$A101)*(Gastos!$D$2:$D$2500))</f>
        <v>9712</v>
      </c>
      <c r="BG101" s="75">
        <f t="array" ref="BG101">SUM((YEAR(Gastos!$A$2:$A$2500)=BG$1)*(MONTH(Gastos!$A$2:$A$2500)=BG$3)*(Gastos!$B$2:$B$2500=$A101)*(Gastos!$D$2:$D$2500))</f>
        <v>5784</v>
      </c>
      <c r="BH101" s="75">
        <f t="array" ref="BH101">SUM((YEAR(Gastos!$A$2:$A$2500)=BH$1)*(MONTH(Gastos!$A$2:$A$2500)=BH$3)*(Gastos!$B$2:$B$2500=$A101)*(Gastos!$D$2:$D$2500))</f>
        <v>9960</v>
      </c>
      <c r="BI101" s="75">
        <f t="array" ref="BI101">SUM((YEAR(Gastos!$A$2:$A$2500)=BI$1)*(MONTH(Gastos!$A$2:$A$2500)=BI$3)*(Gastos!$B$2:$B$2500=$A101)*(Gastos!$D$2:$D$2500))</f>
        <v>2784</v>
      </c>
      <c r="BJ101" s="75">
        <f t="array" ref="BJ101">SUM((YEAR(Gastos!$A$2:$A$2500)=BJ$1)*(MONTH(Gastos!$A$2:$A$2500)=BJ$3)*(Gastos!$B$2:$B$2500=$A101)*(Gastos!$D$2:$D$2500))</f>
        <v>6264</v>
      </c>
      <c r="BK101" s="75">
        <f t="array" ref="BK101">SUM((YEAR(Gastos!$A$2:$A$2500)=BK$1)*(MONTH(Gastos!$A$2:$A$2500)=BK$3)*(Gastos!$B$2:$B$2500=$A101)*(Gastos!$D$2:$D$2500))</f>
        <v>3480</v>
      </c>
      <c r="BL101" s="75">
        <f t="array" ref="BL101">SUM((YEAR(Gastos!$A$2:$A$2500)=BL$1)*(MONTH(Gastos!$A$2:$A$2500)=BL$3)*(Gastos!$B$2:$B$2500=$A101)*(Gastos!$D$2:$D$2500))</f>
        <v>3480</v>
      </c>
      <c r="BM101" s="75">
        <f t="array" ref="BM101">SUM((YEAR(Gastos!$A$2:$A$2500)=BM$1)*(MONTH(Gastos!$A$2:$A$2500)=BM$3)*(Gastos!$B$2:$B$2500=$A101)*(Gastos!$D$2:$D$2500))</f>
        <v>3480</v>
      </c>
      <c r="BN101" s="75">
        <f t="array" ref="BN101">SUM((YEAR(Gastos!$A$2:$A$2500)=BN$1)*(MONTH(Gastos!$A$2:$A$2500)=BN$3)*(Gastos!$B$2:$B$2500=$A101)*(Gastos!$D$2:$D$2500))</f>
        <v>7041.2</v>
      </c>
      <c r="BO101" s="75">
        <f t="array" ref="BO101">SUM((YEAR(Gastos!$A$2:$A$2500)=BO$1)*(MONTH(Gastos!$A$2:$A$2500)=BO$3)*(Gastos!$B$2:$B$2500=$A101)*(Gastos!$D$2:$D$2500))</f>
        <v>0</v>
      </c>
      <c r="BP101" s="75">
        <f t="array" ref="BP101">SUM((YEAR(Gastos!$A$2:$A$2500)=BP$1)*(MONTH(Gastos!$A$2:$A$2500)=BP$3)*(Gastos!$B$2:$B$2500=$A101)*(Gastos!$D$2:$D$2500))</f>
        <v>6960</v>
      </c>
      <c r="BQ101" s="75">
        <f t="array" ref="BQ101">SUM((YEAR(Gastos!$A$2:$A$2500)=BQ$1)*(MONTH(Gastos!$A$2:$A$2500)=BQ$3)*(Gastos!$B$2:$B$2500=$A101)*(Gastos!$D$2:$D$2500))</f>
        <v>6496</v>
      </c>
      <c r="BR101" s="75">
        <f t="array" ref="BR101">SUM((YEAR(Gastos!$A$2:$A$2500)=BR$1)*(MONTH(Gastos!$A$2:$A$2500)=BR$3)*(Gastos!$B$2:$B$2500=$A101)*(Gastos!$D$2:$D$2500))</f>
        <v>0</v>
      </c>
      <c r="BS101" s="75">
        <f t="array" ref="BS101">SUM((YEAR(Gastos!$A$2:$A$2500)=BS$1)*(MONTH(Gastos!$A$2:$A$2500)=BS$3)*(Gastos!$B$2:$B$2500=$A101)*(Gastos!$D$2:$D$2500))</f>
        <v>0</v>
      </c>
      <c r="BT101" s="75">
        <f t="array" ref="BT101">SUM((YEAR(Gastos!$A$2:$A$2500)=BT$1)*(MONTH(Gastos!$A$2:$A$2500)=BT$3)*(Gastos!$B$2:$B$2500=$A101)*(Gastos!$D$2:$D$2500))</f>
        <v>0</v>
      </c>
      <c r="BU101" s="75">
        <f t="array" ref="BU101">SUM((YEAR(Gastos!$A$2:$A$2500)=BU$1)*(MONTH(Gastos!$A$2:$A$2500)=BU$3)*(Gastos!$B$2:$B$2500=$A101)*(Gastos!$D$2:$D$2500))</f>
        <v>0</v>
      </c>
      <c r="BV101" s="75">
        <f t="array" ref="BV101">SUM((YEAR(Gastos!$A$2:$A$2500)=BV$1)*(MONTH(Gastos!$A$2:$A$2500)=BV$3)*(Gastos!$B$2:$B$2500=$A101)*(Gastos!$D$2:$D$2500))</f>
        <v>0</v>
      </c>
      <c r="BW101" s="75">
        <f t="array" ref="BW101">SUM((YEAR(Gastos!$A$2:$A$2500)=BW$1)*(MONTH(Gastos!$A$2:$A$2500)=BW$3)*(Gastos!$B$2:$B$2500=$A101)*(Gastos!$D$2:$D$2500))</f>
        <v>0</v>
      </c>
      <c r="BX101" s="75">
        <f t="array" ref="BX101">SUM((YEAR(Gastos!$A$2:$A$2500)=BX$1)*(MONTH(Gastos!$A$2:$A$2500)=BX$3)*(Gastos!$B$2:$B$2500=$A101)*(Gastos!$D$2:$D$2500))</f>
        <v>0</v>
      </c>
      <c r="BY101" s="75">
        <f t="array" ref="BY101">SUM((YEAR(Gastos!$A$2:$A$2500)=BY$1)*(MONTH(Gastos!$A$2:$A$2500)=BY$3)*(Gastos!$B$2:$B$2500=$A101)*(Gastos!$D$2:$D$2500))</f>
        <v>0</v>
      </c>
      <c r="BZ101" s="75">
        <f t="array" ref="BZ101">SUM((YEAR(Gastos!$A$2:$A$2500)=BZ$1)*(MONTH(Gastos!$A$2:$A$2500)=BZ$3)*(Gastos!$B$2:$B$2500=$A101)*(Gastos!$D$2:$D$2500))</f>
        <v>0</v>
      </c>
      <c r="CA101" s="75">
        <f t="array" ref="CA101">SUM((YEAR(Gastos!$A$2:$A$2500)=CA$1)*(MONTH(Gastos!$A$2:$A$2500)=CA$3)*(Gastos!$B$2:$B$2500=$A101)*(Gastos!$D$2:$D$2500))</f>
        <v>0</v>
      </c>
      <c r="CB101" s="75">
        <f t="array" ref="CB101">SUM((YEAR(Gastos!$A$2:$A$2500)=CB$1)*(MONTH(Gastos!$A$2:$A$2500)=CB$3)*(Gastos!$B$2:$B$2500=$A101)*(Gastos!$D$2:$D$2500))</f>
        <v>0</v>
      </c>
      <c r="CC101" s="75">
        <f t="array" ref="CC101">SUM((YEAR(Gastos!$A$2:$A$2500)=CC$1)*(MONTH(Gastos!$A$2:$A$2500)=CC$3)*(Gastos!$B$2:$B$2500=$A101)*(Gastos!$D$2:$D$2500))</f>
        <v>0</v>
      </c>
      <c r="CD101" s="75">
        <f t="array" ref="CD101">SUM((YEAR(Gastos!$A$2:$A$2500)=CD$1)*(MONTH(Gastos!$A$2:$A$2500)=CD$3)*(Gastos!$B$2:$B$2500=$A101)*(Gastos!$D$2:$D$2500))</f>
        <v>0</v>
      </c>
      <c r="CE101" s="75">
        <f t="array" ref="CE101">SUM((YEAR(Gastos!$A$2:$A$2500)=CE$1)*(MONTH(Gastos!$A$2:$A$2500)=CE$3)*(Gastos!$B$2:$B$2500=$A101)*(Gastos!$D$2:$D$2500))</f>
        <v>0</v>
      </c>
      <c r="CF101" s="75">
        <f t="array" ref="CF101">SUM((YEAR(Gastos!$A$2:$A$2500)=CF$1)*(MONTH(Gastos!$A$2:$A$2500)=CF$3)*(Gastos!$B$2:$B$2500=$A101)*(Gastos!$D$2:$D$2500))</f>
        <v>0</v>
      </c>
      <c r="CG101" s="75">
        <f t="array" ref="CG101">SUM((YEAR(Gastos!$A$2:$A$2500)=CG$1)*(MONTH(Gastos!$A$2:$A$2500)=CG$3)*(Gastos!$B$2:$B$2500=$A101)*(Gastos!$D$2:$D$2500))</f>
        <v>0</v>
      </c>
      <c r="CH101" s="75">
        <f t="array" ref="CH101">SUM((YEAR(Gastos!$A$2:$A$2500)=CH$1)*(MONTH(Gastos!$A$2:$A$2500)=CH$3)*(Gastos!$B$2:$B$2500=$A101)*(Gastos!$D$2:$D$2500))</f>
        <v>0</v>
      </c>
      <c r="CI101" s="75">
        <f t="array" ref="CI101">SUM((YEAR(Gastos!$A$2:$A$2500)=CI$1)*(MONTH(Gastos!$A$2:$A$2500)=CI$3)*(Gastos!$B$2:$B$2500=$A101)*(Gastos!$D$2:$D$2500))</f>
        <v>0</v>
      </c>
      <c r="CJ101" s="75">
        <f t="array" ref="CJ101">SUM((YEAR(Gastos!$A$2:$A$2500)=CJ$1)*(MONTH(Gastos!$A$2:$A$2500)=CJ$3)*(Gastos!$B$2:$B$2500=$A101)*(Gastos!$D$2:$D$2500))</f>
        <v>0</v>
      </c>
      <c r="CK101" s="75">
        <f t="array" ref="CK101">SUM((YEAR(Gastos!$A$2:$A$2500)=CK$1)*(MONTH(Gastos!$A$2:$A$2500)=CK$3)*(Gastos!$B$2:$B$2500=$A101)*(Gastos!$D$2:$D$2500))</f>
        <v>0</v>
      </c>
      <c r="CL101" s="75">
        <f t="array" ref="CL101">SUM((YEAR(Gastos!$A$2:$A$2500)=CL$1)*(MONTH(Gastos!$A$2:$A$2500)=CL$3)*(Gastos!$B$2:$B$2500=$A101)*(Gastos!$D$2:$D$2500))</f>
        <v>0</v>
      </c>
      <c r="CM101" s="75">
        <f t="array" ref="CM101">SUM((YEAR(Gastos!$A$2:$A$2500)=CM$1)*(MONTH(Gastos!$A$2:$A$2500)=CM$3)*(Gastos!$B$2:$B$2500=$A101)*(Gastos!$D$2:$D$2500))</f>
        <v>0</v>
      </c>
      <c r="CN101" s="75">
        <f t="array" ref="CN101">SUM((YEAR(Gastos!$A$2:$A$2500)=CN$1)*(MONTH(Gastos!$A$2:$A$2500)=CN$3)*(Gastos!$B$2:$B$2500=$A101)*(Gastos!$D$2:$D$2500))</f>
        <v>0</v>
      </c>
      <c r="CO101" s="75">
        <f t="array" ref="CO101">SUM((YEAR(Gastos!$A$2:$A$2500)=CO$1)*(MONTH(Gastos!$A$2:$A$2500)=CO$3)*(Gastos!$B$2:$B$2500=$A101)*(Gastos!$D$2:$D$2500))</f>
        <v>0</v>
      </c>
      <c r="CP101" s="75">
        <f t="array" ref="CP101">SUM((YEAR(Gastos!$A$2:$A$2500)=CP$1)*(MONTH(Gastos!$A$2:$A$2500)=CP$3)*(Gastos!$B$2:$B$2500=$A101)*(Gastos!$D$2:$D$2500))</f>
        <v>0</v>
      </c>
      <c r="CQ101" s="75">
        <f t="array" ref="CQ101">SUM((YEAR(Gastos!$A$2:$A$2500)=CQ$1)*(MONTH(Gastos!$A$2:$A$2500)=CQ$3)*(Gastos!$B$2:$B$2500=$A101)*(Gastos!$D$2:$D$2500))</f>
        <v>0</v>
      </c>
      <c r="CR101" s="75">
        <f t="array" ref="CR101">SUM((YEAR(Gastos!$A$2:$A$2500)=CR$1)*(MONTH(Gastos!$A$2:$A$2500)=CR$3)*(Gastos!$B$2:$B$2500=$A101)*(Gastos!$D$2:$D$2500))</f>
        <v>0</v>
      </c>
      <c r="CS101" s="75">
        <f t="array" ref="CS101">SUM((YEAR(Gastos!$A$2:$A$2500)=CS$1)*(MONTH(Gastos!$A$2:$A$2500)=CS$3)*(Gastos!$B$2:$B$2500=$A101)*(Gastos!$D$2:$D$2500))</f>
        <v>0</v>
      </c>
      <c r="CT101" s="75">
        <f t="array" ref="CT101">SUM((YEAR(Gastos!$A$2:$A$2500)=CT$1)*(MONTH(Gastos!$A$2:$A$2500)=CT$3)*(Gastos!$B$2:$B$2500=$A101)*(Gastos!$D$2:$D$2500))</f>
        <v>0</v>
      </c>
      <c r="CU101" s="75">
        <f t="array" ref="CU101">SUM((YEAR(Gastos!$A$2:$A$2500)=CU$1)*(MONTH(Gastos!$A$2:$A$2500)=CU$3)*(Gastos!$B$2:$B$2500=$A101)*(Gastos!$D$2:$D$2500))</f>
        <v>0</v>
      </c>
      <c r="CV101" s="75">
        <f t="array" ref="CV101">SUM((YEAR(Gastos!$A$2:$A$2500)=CV$1)*(MONTH(Gastos!$A$2:$A$2500)=CV$3)*(Gastos!$B$2:$B$2500=$A101)*(Gastos!$D$2:$D$2500))</f>
        <v>0</v>
      </c>
      <c r="CW101" s="75">
        <f t="array" ref="CW101">SUM((YEAR(Gastos!$A$2:$A$2500)=CW$1)*(MONTH(Gastos!$A$2:$A$2500)=CW$3)*(Gastos!$B$2:$B$2500=$A101)*(Gastos!$D$2:$D$2500))</f>
        <v>0</v>
      </c>
      <c r="CX101" s="75">
        <f t="array" ref="CX101">SUM((YEAR(Gastos!$A$2:$A$2500)=CX$1)*(MONTH(Gastos!$A$2:$A$2500)=CX$3)*(Gastos!$B$2:$B$2500=$A101)*(Gastos!$D$2:$D$2500))</f>
        <v>0</v>
      </c>
      <c r="CY101" s="75">
        <f t="array" ref="CY101">SUM((YEAR(Gastos!$A$2:$A$2500)=CY$1)*(MONTH(Gastos!$A$2:$A$2500)=CY$3)*(Gastos!$B$2:$B$2500=$A101)*(Gastos!$D$2:$D$2500))</f>
        <v>0</v>
      </c>
      <c r="CZ101" s="75">
        <f t="array" ref="CZ101">SUM((YEAR(Gastos!$A$2:$A$2500)=CZ$1)*(MONTH(Gastos!$A$2:$A$2500)=CZ$3)*(Gastos!$B$2:$B$2500=$A101)*(Gastos!$D$2:$D$2500))</f>
        <v>0</v>
      </c>
      <c r="DA101" s="75">
        <f t="array" ref="DA101">SUM((YEAR(Gastos!$A$2:$A$2500)=DA$1)*(MONTH(Gastos!$A$2:$A$2500)=DA$3)*(Gastos!$B$2:$B$2500=$A101)*(Gastos!$D$2:$D$2500))</f>
        <v>0</v>
      </c>
      <c r="DB101" s="75">
        <f t="array" ref="DB101">SUM((YEAR(Gastos!$A$2:$A$2500)=DB$1)*(MONTH(Gastos!$A$2:$A$2500)=DB$3)*(Gastos!$B$2:$B$2500=$A101)*(Gastos!$D$2:$D$2500))</f>
        <v>0</v>
      </c>
      <c r="DC101" s="75">
        <f t="array" ref="DC101">SUM((YEAR(Gastos!$A$2:$A$2500)=DC$1)*(MONTH(Gastos!$A$2:$A$2500)=DC$3)*(Gastos!$B$2:$B$2500=$A101)*(Gastos!$D$2:$D$2500))</f>
        <v>0</v>
      </c>
      <c r="DD101" s="75">
        <f t="array" ref="DD101">SUM((YEAR(Gastos!$A$2:$A$2500)=DD$1)*(MONTH(Gastos!$A$2:$A$2500)=DD$3)*(Gastos!$B$2:$B$2500=$A101)*(Gastos!$D$2:$D$2500))</f>
        <v>0</v>
      </c>
      <c r="DE101" s="75">
        <f t="array" ref="DE101">SUM((YEAR(Gastos!$A$2:$A$2500)=DE$1)*(MONTH(Gastos!$A$2:$A$2500)=DE$3)*(Gastos!$B$2:$B$2500=$A101)*(Gastos!$D$2:$D$2500))</f>
        <v>0</v>
      </c>
      <c r="DF101" s="75">
        <f t="array" ref="DF101">SUM((YEAR(Gastos!$A$2:$A$2500)=DF$1)*(MONTH(Gastos!$A$2:$A$2500)=DF$3)*(Gastos!$B$2:$B$2500=$A101)*(Gastos!$D$2:$D$2500))</f>
        <v>0</v>
      </c>
      <c r="DG101" s="75">
        <f t="array" ref="DG101">SUM((YEAR(Gastos!$A$2:$A$2500)=DG$1)*(MONTH(Gastos!$A$2:$A$2500)=DG$3)*(Gastos!$B$2:$B$2500=$A101)*(Gastos!$D$2:$D$2500))</f>
        <v>0</v>
      </c>
      <c r="DH101" s="75">
        <f t="array" ref="DH101">SUM((YEAR(Gastos!$A$2:$A$2500)=DH$1)*(MONTH(Gastos!$A$2:$A$2500)=DH$3)*(Gastos!$B$2:$B$2500=$A101)*(Gastos!$D$2:$D$2500))</f>
        <v>0</v>
      </c>
      <c r="DI101" s="75">
        <f t="array" ref="DI101">SUM((YEAR(Gastos!$A$2:$A$2500)=DI$1)*(MONTH(Gastos!$A$2:$A$2500)=DI$3)*(Gastos!$B$2:$B$2500=$A101)*(Gastos!$D$2:$D$2500))</f>
        <v>0</v>
      </c>
      <c r="DJ101" s="75">
        <f t="array" ref="DJ101">SUM((YEAR(Gastos!$A$2:$A$2500)=DJ$1)*(MONTH(Gastos!$A$2:$A$2500)=DJ$3)*(Gastos!$B$2:$B$2500=$A101)*(Gastos!$D$2:$D$2500))</f>
        <v>0</v>
      </c>
      <c r="DK101" s="75">
        <f t="array" ref="DK101">SUM((YEAR(Gastos!$A$2:$A$2500)=DK$1)*(MONTH(Gastos!$A$2:$A$2500)=DK$3)*(Gastos!$B$2:$B$2500=$A101)*(Gastos!$D$2:$D$2500))</f>
        <v>0</v>
      </c>
      <c r="DL101" s="75">
        <f t="array" ref="DL101">SUM((YEAR(Gastos!$A$2:$A$2500)=DL$1)*(MONTH(Gastos!$A$2:$A$2500)=DL$3)*(Gastos!$B$2:$B$2500=$A101)*(Gastos!$D$2:$D$2500))</f>
        <v>0</v>
      </c>
      <c r="DM101" s="75">
        <f t="array" ref="DM101">SUM((YEAR(Gastos!$A$2:$A$2500)=DM$1)*(MONTH(Gastos!$A$2:$A$2500)=DM$3)*(Gastos!$B$2:$B$2500=$A101)*(Gastos!$D$2:$D$2500))</f>
        <v>0</v>
      </c>
      <c r="DN101" s="75">
        <f t="array" ref="DN101">SUM((YEAR(Gastos!$A$2:$A$2500)=DN$1)*(MONTH(Gastos!$A$2:$A$2500)=DN$3)*(Gastos!$B$2:$B$2500=$A101)*(Gastos!$D$2:$D$2500))</f>
        <v>0</v>
      </c>
      <c r="DO101" s="75">
        <f t="array" ref="DO101">SUM((YEAR(Gastos!$A$2:$A$2500)=DO$1)*(MONTH(Gastos!$A$2:$A$2500)=DO$3)*(Gastos!$B$2:$B$2500=$A101)*(Gastos!$D$2:$D$2500))</f>
        <v>0</v>
      </c>
      <c r="DP101" s="75">
        <f t="array" ref="DP101">SUM((YEAR(Gastos!$A$2:$A$2500)=DP$1)*(MONTH(Gastos!$A$2:$A$2500)=DP$3)*(Gastos!$B$2:$B$2500=$A101)*(Gastos!$D$2:$D$2500))</f>
        <v>0</v>
      </c>
      <c r="DQ101" s="75">
        <f t="array" ref="DQ101">SUM((YEAR(Gastos!$A$2:$A$2500)=DQ$1)*(MONTH(Gastos!$A$2:$A$2500)=DQ$3)*(Gastos!$B$2:$B$2500=$A101)*(Gastos!$D$2:$D$2500))</f>
        <v>0</v>
      </c>
      <c r="DR101" s="75">
        <f t="array" ref="DR101">SUM((YEAR(Gastos!$A$2:$A$2500)=DR$1)*(MONTH(Gastos!$A$2:$A$2500)=DR$3)*(Gastos!$B$2:$B$2500=$A101)*(Gastos!$D$2:$D$2500))</f>
        <v>0</v>
      </c>
      <c r="DS101" s="75">
        <f t="array" ref="DS101">SUM((YEAR(Gastos!$A$2:$A$2500)=DS$1)*(MONTH(Gastos!$A$2:$A$2500)=DS$3)*(Gastos!$B$2:$B$2500=$A101)*(Gastos!$D$2:$D$2500))</f>
        <v>0</v>
      </c>
      <c r="DT101" s="75">
        <f t="array" ref="DT101">SUM((YEAR(Gastos!$A$2:$A$2500)=DT$1)*(MONTH(Gastos!$A$2:$A$2500)=DT$3)*(Gastos!$B$2:$B$2500=$A101)*(Gastos!$D$2:$D$2500))</f>
        <v>0</v>
      </c>
      <c r="DU101" s="75">
        <f t="array" ref="DU101">SUM((YEAR(Gastos!$A$2:$A$2500)=DU$1)*(MONTH(Gastos!$A$2:$A$2500)=DU$3)*(Gastos!$B$2:$B$2500=$A101)*(Gastos!$D$2:$D$2500))</f>
        <v>0</v>
      </c>
      <c r="DV101" s="75">
        <f t="array" ref="DV101">SUM((YEAR(Gastos!$A$2:$A$2500)=DV$1)*(MONTH(Gastos!$A$2:$A$2500)=DV$3)*(Gastos!$B$2:$B$2500=$A101)*(Gastos!$D$2:$D$2500))</f>
        <v>0</v>
      </c>
      <c r="DW101" s="75">
        <f t="array" ref="DW101">SUM((YEAR(Gastos!$A$2:$A$2500)=DW$1)*(MONTH(Gastos!$A$2:$A$2500)=DW$3)*(Gastos!$B$2:$B$2500=$A101)*(Gastos!$D$2:$D$2500))</f>
        <v>0</v>
      </c>
      <c r="DX101" s="75">
        <f t="array" ref="DX101">SUM((YEAR(Gastos!$A$2:$A$2500)=DX$1)*(MONTH(Gastos!$A$2:$A$2500)=DX$3)*(Gastos!$B$2:$B$2500=$A101)*(Gastos!$D$2:$D$2500))</f>
        <v>0</v>
      </c>
      <c r="DY101" s="75">
        <f t="array" ref="DY101">SUM((YEAR(Gastos!$A$2:$A$2500)=DY$1)*(MONTH(Gastos!$A$2:$A$2500)=DY$3)*(Gastos!$B$2:$B$2500=$A101)*(Gastos!$D$2:$D$2500))</f>
        <v>0</v>
      </c>
      <c r="DZ101" s="75">
        <f t="array" ref="DZ101">SUM((YEAR(Gastos!$A$2:$A$2500)=DZ$1)*(MONTH(Gastos!$A$2:$A$2500)=DZ$3)*(Gastos!$B$2:$B$2500=$A101)*(Gastos!$D$2:$D$2500))</f>
        <v>0</v>
      </c>
      <c r="EA101" s="75">
        <f t="array" ref="EA101">SUM((YEAR(Gastos!$A$2:$A$2500)=EA$1)*(MONTH(Gastos!$A$2:$A$2500)=EA$3)*(Gastos!$B$2:$B$2500=$A101)*(Gastos!$D$2:$D$2500))</f>
        <v>0</v>
      </c>
      <c r="EB101" s="75">
        <f t="array" ref="EB101">SUM((YEAR(Gastos!$A$2:$A$2500)=EB$1)*(MONTH(Gastos!$A$2:$A$2500)=EB$3)*(Gastos!$B$2:$B$2500=$A101)*(Gastos!$D$2:$D$2500))</f>
        <v>0</v>
      </c>
      <c r="EC101" s="75">
        <f t="array" ref="EC101">SUM((YEAR(Gastos!$A$2:$A$2500)=EC$1)*(MONTH(Gastos!$A$2:$A$2500)=EC$3)*(Gastos!$B$2:$B$2500=$A101)*(Gastos!$D$2:$D$2500))</f>
        <v>0</v>
      </c>
      <c r="ED101" s="75">
        <f t="array" ref="ED101">SUM((YEAR(Gastos!$A$2:$A$2500)=ED$1)*(MONTH(Gastos!$A$2:$A$2500)=ED$3)*(Gastos!$B$2:$B$2500=$A101)*(Gastos!$D$2:$D$2500))</f>
        <v>0</v>
      </c>
      <c r="EE101" s="75">
        <f t="array" ref="EE101">SUM((YEAR(Gastos!$A$2:$A$2500)=EE$1)*(MONTH(Gastos!$A$2:$A$2500)=EE$3)*(Gastos!$B$2:$B$2500=$A101)*(Gastos!$D$2:$D$2500))</f>
        <v>0</v>
      </c>
      <c r="EF101" s="75">
        <f t="array" ref="EF101">SUM((YEAR(Gastos!$A$2:$A$2500)=EF$1)*(MONTH(Gastos!$A$2:$A$2500)=EF$3)*(Gastos!$B$2:$B$2500=$A101)*(Gastos!$D$2:$D$2500))</f>
        <v>0</v>
      </c>
      <c r="EG101" s="75">
        <f t="array" ref="EG101">SUM((YEAR(Gastos!$A$2:$A$2500)=EG$1)*(MONTH(Gastos!$A$2:$A$2500)=EG$3)*(Gastos!$B$2:$B$2500=$A101)*(Gastos!$D$2:$D$2500))</f>
        <v>0</v>
      </c>
      <c r="EH101" s="75">
        <f t="array" ref="EH101">SUM((YEAR(Gastos!$A$2:$A$2500)=EH$1)*(MONTH(Gastos!$A$2:$A$2500)=EH$3)*(Gastos!$B$2:$B$2500=$A101)*(Gastos!$D$2:$D$2500))</f>
        <v>0</v>
      </c>
      <c r="EI101" s="75">
        <f t="array" ref="EI101">SUM((YEAR(Gastos!$A$2:$A$2500)=EI$1)*(MONTH(Gastos!$A$2:$A$2500)=EI$3)*(Gastos!$B$2:$B$2500=$A101)*(Gastos!$D$2:$D$2500))</f>
        <v>0</v>
      </c>
      <c r="EJ101" s="75">
        <f t="array" ref="EJ101">SUM((YEAR(Gastos!$A$2:$A$2500)=EJ$1)*(MONTH(Gastos!$A$2:$A$2500)=EJ$3)*(Gastos!$B$2:$B$2500=$A101)*(Gastos!$D$2:$D$2500))</f>
        <v>0</v>
      </c>
      <c r="EK101" s="75">
        <f t="array" ref="EK101">SUM((YEAR(Gastos!$A$2:$A$2500)=EK$1)*(MONTH(Gastos!$A$2:$A$2500)=EK$3)*(Gastos!$B$2:$B$2500=$A101)*(Gastos!$D$2:$D$2500))</f>
        <v>0</v>
      </c>
      <c r="EL101" s="75">
        <f t="array" ref="EL101">SUM((YEAR(Gastos!$A$2:$A$2500)=EL$1)*(MONTH(Gastos!$A$2:$A$2500)=EL$3)*(Gastos!$B$2:$B$2500=$A101)*(Gastos!$D$2:$D$2500))</f>
        <v>0</v>
      </c>
      <c r="EM101" s="75">
        <f t="array" ref="EM101">SUM((YEAR(Gastos!$A$2:$A$2500)=EM$1)*(MONTH(Gastos!$A$2:$A$2500)=EM$3)*(Gastos!$B$2:$B$2500=$A101)*(Gastos!$D$2:$D$2500))</f>
        <v>0</v>
      </c>
      <c r="EN101" s="75">
        <f t="array" ref="EN101">SUM((YEAR(Gastos!$A$2:$A$2500)=EN$1)*(MONTH(Gastos!$A$2:$A$2500)=EN$3)*(Gastos!$B$2:$B$2500=$A101)*(Gastos!$D$2:$D$2500))</f>
        <v>0</v>
      </c>
      <c r="EO101" s="75">
        <f t="array" ref="EO101">SUM((YEAR(Gastos!$A$2:$A$2500)=EO$1)*(MONTH(Gastos!$A$2:$A$2500)=EO$3)*(Gastos!$B$2:$B$2500=$A101)*(Gastos!$D$2:$D$2500))</f>
        <v>0</v>
      </c>
      <c r="EP101" s="75">
        <f t="array" ref="EP101">SUM((YEAR(Gastos!$A$2:$A$2500)=EP$1)*(MONTH(Gastos!$A$2:$A$2500)=EP$3)*(Gastos!$B$2:$B$2500=$A101)*(Gastos!$D$2:$D$2500))</f>
        <v>0</v>
      </c>
      <c r="EQ101" s="75">
        <f t="array" ref="EQ101">SUM((YEAR(Gastos!$A$2:$A$2500)=EQ$1)*(MONTH(Gastos!$A$2:$A$2500)=EQ$3)*(Gastos!$B$2:$B$2500=$A101)*(Gastos!$D$2:$D$2500))</f>
        <v>0</v>
      </c>
      <c r="ER101" s="75">
        <f t="array" ref="ER101">SUM((YEAR(Gastos!$A$2:$A$2500)=ER$1)*(MONTH(Gastos!$A$2:$A$2500)=ER$3)*(Gastos!$B$2:$B$2500=$A101)*(Gastos!$D$2:$D$2500))</f>
        <v>0</v>
      </c>
      <c r="ES101" s="75">
        <f t="array" ref="ES101">SUM((YEAR(Gastos!$A$2:$A$2500)=ES$1)*(MONTH(Gastos!$A$2:$A$2500)=ES$3)*(Gastos!$B$2:$B$2500=$A101)*(Gastos!$D$2:$D$2500))</f>
        <v>0</v>
      </c>
      <c r="ET101" s="75">
        <f t="array" ref="ET101">SUM((YEAR(Gastos!$A$2:$A$2500)=ET$1)*(MONTH(Gastos!$A$2:$A$2500)=ET$3)*(Gastos!$B$2:$B$2500=$A101)*(Gastos!$D$2:$D$2500))</f>
        <v>0</v>
      </c>
      <c r="EU101" s="75">
        <f t="array" ref="EU101">SUM((YEAR(Gastos!$A$2:$A$2500)=EU$1)*(MONTH(Gastos!$A$2:$A$2500)=EU$3)*(Gastos!$B$2:$B$2500=$A101)*(Gastos!$D$2:$D$2500))</f>
        <v>0</v>
      </c>
      <c r="EV101" s="75">
        <f t="array" ref="EV101">SUM((YEAR(Gastos!$A$2:$A$2500)=EV$1)*(MONTH(Gastos!$A$2:$A$2500)=EV$3)*(Gastos!$B$2:$B$2500=$A101)*(Gastos!$D$2:$D$2500))</f>
        <v>0</v>
      </c>
      <c r="EW101" s="75">
        <f t="array" ref="EW101">SUM((YEAR(Gastos!$A$2:$A$2500)=EW$1)*(MONTH(Gastos!$A$2:$A$2500)=EW$3)*(Gastos!$B$2:$B$2500=$A101)*(Gastos!$D$2:$D$2500))</f>
        <v>0</v>
      </c>
      <c r="EX101" s="75">
        <f t="array" ref="EX101">SUM((YEAR(Gastos!$A$2:$A$2500)=EX$1)*(MONTH(Gastos!$A$2:$A$2500)=EX$3)*(Gastos!$B$2:$B$2500=$A101)*(Gastos!$D$2:$D$2500))</f>
        <v>0</v>
      </c>
      <c r="EY101" s="75">
        <f t="array" ref="EY101">SUM((YEAR(Gastos!$A$2:$A$2500)=EY$1)*(MONTH(Gastos!$A$2:$A$2500)=EY$3)*(Gastos!$B$2:$B$2500=$A101)*(Gastos!$D$2:$D$2500))</f>
        <v>0</v>
      </c>
      <c r="EZ101" s="75">
        <f t="array" ref="EZ101">SUM((YEAR(Gastos!$A$2:$A$2500)=EZ$1)*(MONTH(Gastos!$A$2:$A$2500)=EZ$3)*(Gastos!$B$2:$B$2500=$A101)*(Gastos!$D$2:$D$2500))</f>
        <v>0</v>
      </c>
      <c r="FA101" s="75">
        <f t="array" ref="FA101">SUM((YEAR(Gastos!$A$2:$A$2500)=FA$1)*(MONTH(Gastos!$A$2:$A$2500)=FA$3)*(Gastos!$B$2:$B$2500=$A101)*(Gastos!$D$2:$D$2500))</f>
        <v>0</v>
      </c>
      <c r="FB101" s="75">
        <f t="array" ref="FB101">SUM((YEAR(Gastos!$A$2:$A$2500)=FB$1)*(MONTH(Gastos!$A$2:$A$2500)=FB$3)*(Gastos!$B$2:$B$2500=$A101)*(Gastos!$D$2:$D$2500))</f>
        <v>0</v>
      </c>
      <c r="FC101" s="75">
        <f t="array" ref="FC101">SUM((YEAR(Gastos!$A$2:$A$2500)=FC$1)*(MONTH(Gastos!$A$2:$A$2500)=FC$3)*(Gastos!$B$2:$B$2500=$A101)*(Gastos!$D$2:$D$2500))</f>
        <v>0</v>
      </c>
      <c r="FD101" s="75">
        <f t="array" ref="FD101">SUM((YEAR(Gastos!$A$2:$A$2500)=FD$1)*(MONTH(Gastos!$A$2:$A$2500)=FD$3)*(Gastos!$B$2:$B$2500=$A101)*(Gastos!$D$2:$D$2500))</f>
        <v>0</v>
      </c>
      <c r="FE101" s="75">
        <f t="array" ref="FE101">SUM((YEAR(Gastos!$A$2:$A$2500)=FE$1)*(MONTH(Gastos!$A$2:$A$2500)=FE$3)*(Gastos!$B$2:$B$2500=$A101)*(Gastos!$D$2:$D$2500))</f>
        <v>0</v>
      </c>
      <c r="FF101" s="75">
        <f t="array" ref="FF101">SUM((YEAR(Gastos!$A$2:$A$2500)=FF$1)*(MONTH(Gastos!$A$2:$A$2500)=FF$3)*(Gastos!$B$2:$B$2500=$A101)*(Gastos!$D$2:$D$2500))</f>
        <v>0</v>
      </c>
      <c r="FG101" s="75">
        <f t="array" ref="FG101">SUM((YEAR(Gastos!$A$2:$A$2500)=FG$1)*(MONTH(Gastos!$A$2:$A$2500)=FG$3)*(Gastos!$B$2:$B$2500=$A101)*(Gastos!$D$2:$D$2500))</f>
        <v>0</v>
      </c>
      <c r="FH101" s="75">
        <f t="array" ref="FH101">SUM((YEAR(Gastos!$A$2:$A$2500)=FH$1)*(MONTH(Gastos!$A$2:$A$2500)=FH$3)*(Gastos!$B$2:$B$2500=$A101)*(Gastos!$D$2:$D$2500))</f>
        <v>0</v>
      </c>
      <c r="FI101" s="75">
        <f t="array" ref="FI101">SUM((YEAR(Gastos!$A$2:$A$2500)=FI$1)*(MONTH(Gastos!$A$2:$A$2500)=FI$3)*(Gastos!$B$2:$B$2500=$A101)*(Gastos!$D$2:$D$2500))</f>
        <v>0</v>
      </c>
      <c r="FJ101" s="75">
        <f t="array" ref="FJ101">SUM((YEAR(Gastos!$A$2:$A$2500)=FJ$1)*(MONTH(Gastos!$A$2:$A$2500)=FJ$3)*(Gastos!$B$2:$B$2500=$A101)*(Gastos!$D$2:$D$2500))</f>
        <v>0</v>
      </c>
      <c r="FK101" s="75">
        <f t="array" ref="FK101">SUM((YEAR(Gastos!$A$2:$A$2500)=FK$1)*(MONTH(Gastos!$A$2:$A$2500)=FK$3)*(Gastos!$B$2:$B$2500=$A101)*(Gastos!$D$2:$D$2500))</f>
        <v>0</v>
      </c>
      <c r="FL101" s="75">
        <f t="array" ref="FL101">SUM((YEAR(Gastos!$A$2:$A$2500)=FL$1)*(MONTH(Gastos!$A$2:$A$2500)=FL$3)*(Gastos!$B$2:$B$2500=$A101)*(Gastos!$D$2:$D$2500))</f>
        <v>0</v>
      </c>
      <c r="FM101" s="75">
        <f t="array" ref="FM101">SUM((YEAR(Gastos!$A$2:$A$2500)=FM$1)*(MONTH(Gastos!$A$2:$A$2500)=FM$3)*(Gastos!$B$2:$B$2500=$A101)*(Gastos!$D$2:$D$2500))</f>
        <v>0</v>
      </c>
      <c r="FN101" s="75">
        <f t="array" ref="FN101">SUM((YEAR(Gastos!$A$2:$A$2500)=FN$1)*(MONTH(Gastos!$A$2:$A$2500)=FN$3)*(Gastos!$B$2:$B$2500=$A101)*(Gastos!$D$2:$D$2500))</f>
        <v>0</v>
      </c>
      <c r="FO101" s="75">
        <f t="array" ref="FO101">SUM((YEAR(Gastos!$A$2:$A$2500)=FO$1)*(MONTH(Gastos!$A$2:$A$2500)=FO$3)*(Gastos!$B$2:$B$2500=$A101)*(Gastos!$D$2:$D$2500))</f>
        <v>0</v>
      </c>
      <c r="FP101" s="75">
        <f t="array" ref="FP101">SUM((YEAR(Gastos!$A$2:$A$2500)=FP$1)*(MONTH(Gastos!$A$2:$A$2500)=FP$3)*(Gastos!$B$2:$B$2500=$A101)*(Gastos!$D$2:$D$2500))</f>
        <v>0</v>
      </c>
      <c r="FQ101" s="75">
        <f t="array" ref="FQ101">SUM((YEAR(Gastos!$A$2:$A$2500)=FQ$1)*(MONTH(Gastos!$A$2:$A$2500)=FQ$3)*(Gastos!$B$2:$B$2500=$A101)*(Gastos!$D$2:$D$2500))</f>
        <v>0</v>
      </c>
      <c r="FR101" s="75">
        <f t="array" ref="FR101">SUM((YEAR(Gastos!$A$2:$A$2500)=FR$1)*(MONTH(Gastos!$A$2:$A$2500)=FR$3)*(Gastos!$B$2:$B$2500=$A101)*(Gastos!$D$2:$D$2500))</f>
        <v>0</v>
      </c>
      <c r="FS101" s="75">
        <f t="array" ref="FS101">SUM((YEAR(Gastos!$A$2:$A$2500)=FS$1)*(MONTH(Gastos!$A$2:$A$2500)=FS$3)*(Gastos!$B$2:$B$2500=$A101)*(Gastos!$D$2:$D$2500))</f>
        <v>0</v>
      </c>
      <c r="FT101" s="75">
        <f t="array" ref="FT101">SUM((YEAR(Gastos!$A$2:$A$2500)=FT$1)*(MONTH(Gastos!$A$2:$A$2500)=FT$3)*(Gastos!$B$2:$B$2500=$A101)*(Gastos!$D$2:$D$2500))</f>
        <v>0</v>
      </c>
      <c r="FU101" s="75">
        <f t="array" ref="FU101">SUM((YEAR(Gastos!$A$2:$A$2500)=FU$1)*(MONTH(Gastos!$A$2:$A$2500)=FU$3)*(Gastos!$B$2:$B$2500=$A101)*(Gastos!$D$2:$D$2500))</f>
        <v>0</v>
      </c>
      <c r="FV101" s="75">
        <f t="array" ref="FV101">SUM((YEAR(Gastos!$A$2:$A$2500)=FV$1)*(MONTH(Gastos!$A$2:$A$2500)=FV$3)*(Gastos!$B$2:$B$2500=$A101)*(Gastos!$D$2:$D$2500))</f>
        <v>0</v>
      </c>
      <c r="FW101" s="75">
        <f t="array" ref="FW101">SUM((YEAR(Gastos!$A$2:$A$2500)=FW$1)*(MONTH(Gastos!$A$2:$A$2500)=FW$3)*(Gastos!$B$2:$B$2500=$A101)*(Gastos!$D$2:$D$2500))</f>
        <v>0</v>
      </c>
      <c r="FX101" s="75">
        <f t="array" ref="FX101">SUM((YEAR(Gastos!$A$2:$A$2500)=FX$1)*(MONTH(Gastos!$A$2:$A$2500)=FX$3)*(Gastos!$B$2:$B$2500=$A101)*(Gastos!$D$2:$D$2500))</f>
        <v>0</v>
      </c>
      <c r="FY101" s="75">
        <f t="array" ref="FY101">SUM((YEAR(Gastos!$A$2:$A$2500)=FY$1)*(MONTH(Gastos!$A$2:$A$2500)=FY$3)*(Gastos!$B$2:$B$2500=$A101)*(Gastos!$D$2:$D$2500))</f>
        <v>0</v>
      </c>
      <c r="FZ101" s="76">
        <f t="shared" si="68"/>
        <v>88185.2</v>
      </c>
      <c r="GA101" s="80"/>
      <c r="GB101" s="82"/>
    </row>
    <row r="102" spans="1:193" ht="15" thickBot="1" x14ac:dyDescent="0.4">
      <c r="A102" s="74" t="str">
        <f>Gastos!AA100</f>
        <v>V. DEPOSITOS A CUENTA 2852941333</v>
      </c>
      <c r="B102" s="75">
        <f t="array" ref="B102">SUM((YEAR(Gastos!$A$2:$A$2500)=B$1)*(MONTH(Gastos!$A$2:$A$2500)=B$3)*(Gastos!$B$2:$B$2500=$A102)*(Gastos!$D$2:$D$2500))</f>
        <v>0</v>
      </c>
      <c r="C102" s="75">
        <f t="array" ref="C102">SUM((YEAR(Gastos!$A$2:$A$2500)=C$1)*(MONTH(Gastos!$A$2:$A$2500)=C$3)*(Gastos!$B$2:$B$2500=$A102)*(Gastos!$D$2:$D$2500))</f>
        <v>0</v>
      </c>
      <c r="D102" s="75">
        <f t="array" ref="D102">SUM((YEAR(Gastos!$A$2:$A$2500)=D$1)*(MONTH(Gastos!$A$2:$A$2500)=D$3)*(Gastos!$B$2:$B$2500=$A102)*(Gastos!$D$2:$D$2500))</f>
        <v>0</v>
      </c>
      <c r="E102" s="75">
        <f t="array" ref="E102">SUM((YEAR(Gastos!$A$2:$A$2500)=E$1)*(MONTH(Gastos!$A$2:$A$2500)=E$3)*(Gastos!$B$2:$B$2500=$A102)*(Gastos!$D$2:$D$2500))</f>
        <v>0</v>
      </c>
      <c r="F102" s="75">
        <f t="array" ref="F102">SUM((YEAR(Gastos!$A$2:$A$2500)=F$1)*(MONTH(Gastos!$A$2:$A$2500)=F$3)*(Gastos!$B$2:$B$2500=$A102)*(Gastos!$D$2:$D$2500))</f>
        <v>0</v>
      </c>
      <c r="G102" s="75">
        <f t="array" ref="G102">SUM((YEAR(Gastos!$A$2:$A$2500)=G$1)*(MONTH(Gastos!$A$2:$A$2500)=G$3)*(Gastos!$B$2:$B$2500=$A102)*(Gastos!$D$2:$D$2500))</f>
        <v>0</v>
      </c>
      <c r="H102" s="75">
        <f t="array" ref="H102">SUM((YEAR(Gastos!$A$2:$A$2500)=H$1)*(MONTH(Gastos!$A$2:$A$2500)=H$3)*(Gastos!$B$2:$B$2500=$A102)*(Gastos!$D$2:$D$2500))</f>
        <v>0</v>
      </c>
      <c r="I102" s="75">
        <f t="array" ref="I102">SUM((YEAR(Gastos!$A$2:$A$2500)=I$1)*(MONTH(Gastos!$A$2:$A$2500)=I$3)*(Gastos!$B$2:$B$2500=$A102)*(Gastos!$D$2:$D$2500))</f>
        <v>0</v>
      </c>
      <c r="J102" s="75">
        <f t="array" ref="J102">SUM((YEAR(Gastos!$A$2:$A$2500)=J$1)*(MONTH(Gastos!$A$2:$A$2500)=J$3)*(Gastos!$B$2:$B$2500=$A102)*(Gastos!$D$2:$D$2500))</f>
        <v>0</v>
      </c>
      <c r="K102" s="75">
        <f t="array" ref="K102">SUM((YEAR(Gastos!$A$2:$A$2500)=K$1)*(MONTH(Gastos!$A$2:$A$2500)=K$3)*(Gastos!$B$2:$B$2500=$A102)*(Gastos!$D$2:$D$2500))</f>
        <v>0</v>
      </c>
      <c r="L102" s="75">
        <f t="array" ref="L102">SUM((YEAR(Gastos!$A$2:$A$2500)=L$1)*(MONTH(Gastos!$A$2:$A$2500)=L$3)*(Gastos!$B$2:$B$2500=$A102)*(Gastos!$D$2:$D$2500))</f>
        <v>0</v>
      </c>
      <c r="M102" s="75">
        <f t="array" ref="M102">SUM((YEAR(Gastos!$A$2:$A$2500)=M$1)*(MONTH(Gastos!$A$2:$A$2500)=M$3)*(Gastos!$B$2:$B$2500=$A102)*(Gastos!$D$2:$D$2500))</f>
        <v>0</v>
      </c>
      <c r="N102" s="75">
        <f t="array" ref="N102">SUM((YEAR(Gastos!$A$2:$A$2500)=N$1)*(MONTH(Gastos!$A$2:$A$2500)=N$3)*(Gastos!$B$2:$B$2500=$A102)*(Gastos!$D$2:$D$2500))</f>
        <v>0</v>
      </c>
      <c r="O102" s="75">
        <f t="array" ref="O102">SUM((YEAR(Gastos!$A$2:$A$2500)=O$1)*(MONTH(Gastos!$A$2:$A$2500)=O$3)*(Gastos!$B$2:$B$2500=$A102)*(Gastos!$D$2:$D$2500))</f>
        <v>0</v>
      </c>
      <c r="P102" s="75">
        <f t="array" ref="P102">SUM((YEAR(Gastos!$A$2:$A$2500)=P$1)*(MONTH(Gastos!$A$2:$A$2500)=P$3)*(Gastos!$B$2:$B$2500=$A102)*(Gastos!$D$2:$D$2500))</f>
        <v>0</v>
      </c>
      <c r="Q102" s="75">
        <f t="array" ref="Q102">SUM((YEAR(Gastos!$A$2:$A$2500)=Q$1)*(MONTH(Gastos!$A$2:$A$2500)=Q$3)*(Gastos!$B$2:$B$2500=$A102)*(Gastos!$D$2:$D$2500))</f>
        <v>0</v>
      </c>
      <c r="R102" s="75">
        <f t="array" ref="R102">SUM((YEAR(Gastos!$A$2:$A$2500)=R$1)*(MONTH(Gastos!$A$2:$A$2500)=R$3)*(Gastos!$B$2:$B$2500=$A102)*(Gastos!$D$2:$D$2500))</f>
        <v>0</v>
      </c>
      <c r="S102" s="75">
        <f t="array" ref="S102">SUM((YEAR(Gastos!$A$2:$A$2500)=S$1)*(MONTH(Gastos!$A$2:$A$2500)=S$3)*(Gastos!$B$2:$B$2500=$A102)*(Gastos!$D$2:$D$2500))</f>
        <v>0</v>
      </c>
      <c r="T102" s="75">
        <f t="array" ref="T102">SUM((YEAR(Gastos!$A$2:$A$2500)=T$1)*(MONTH(Gastos!$A$2:$A$2500)=T$3)*(Gastos!$B$2:$B$2500=$A102)*(Gastos!$D$2:$D$2500))</f>
        <v>0</v>
      </c>
      <c r="U102" s="75">
        <f t="array" ref="U102">SUM((YEAR(Gastos!$A$2:$A$2500)=U$1)*(MONTH(Gastos!$A$2:$A$2500)=U$3)*(Gastos!$B$2:$B$2500=$A102)*(Gastos!$D$2:$D$2500))</f>
        <v>0</v>
      </c>
      <c r="V102" s="75">
        <f t="array" ref="V102">SUM((YEAR(Gastos!$A$2:$A$2500)=V$1)*(MONTH(Gastos!$A$2:$A$2500)=V$3)*(Gastos!$B$2:$B$2500=$A102)*(Gastos!$D$2:$D$2500))</f>
        <v>0</v>
      </c>
      <c r="W102" s="75">
        <f t="array" ref="W102">SUM((YEAR(Gastos!$A$2:$A$2500)=W$1)*(MONTH(Gastos!$A$2:$A$2500)=W$3)*(Gastos!$B$2:$B$2500=$A102)*(Gastos!$D$2:$D$2500))</f>
        <v>0</v>
      </c>
      <c r="X102" s="75">
        <f t="array" ref="X102">SUM((YEAR(Gastos!$A$2:$A$2500)=X$1)*(MONTH(Gastos!$A$2:$A$2500)=X$3)*(Gastos!$B$2:$B$2500=$A102)*(Gastos!$D$2:$D$2500))</f>
        <v>0</v>
      </c>
      <c r="Y102" s="75">
        <f t="array" ref="Y102">SUM((YEAR(Gastos!$A$2:$A$2500)=Y$1)*(MONTH(Gastos!$A$2:$A$2500)=Y$3)*(Gastos!$B$2:$B$2500=$A102)*(Gastos!$D$2:$D$2500))</f>
        <v>0</v>
      </c>
      <c r="Z102" s="75">
        <f t="array" ref="Z102">SUM((YEAR(Gastos!$A$2:$A$2500)=Z$1)*(MONTH(Gastos!$A$2:$A$2500)=Z$3)*(Gastos!$B$2:$B$2500=$A102)*(Gastos!$D$2:$D$2500))</f>
        <v>0</v>
      </c>
      <c r="AA102" s="75">
        <f t="array" ref="AA102">SUM((YEAR(Gastos!$A$2:$A$2500)=AA$1)*(MONTH(Gastos!$A$2:$A$2500)=AA$3)*(Gastos!$B$2:$B$2500=$A102)*(Gastos!$D$2:$D$2500))</f>
        <v>0</v>
      </c>
      <c r="AB102" s="75">
        <f t="array" ref="AB102">SUM((YEAR(Gastos!$A$2:$A$2500)=AB$1)*(MONTH(Gastos!$A$2:$A$2500)=AB$3)*(Gastos!$B$2:$B$2500=$A102)*(Gastos!$D$2:$D$2500))</f>
        <v>0</v>
      </c>
      <c r="AC102" s="75">
        <f t="array" ref="AC102">SUM((YEAR(Gastos!$A$2:$A$2500)=AC$1)*(MONTH(Gastos!$A$2:$A$2500)=AC$3)*(Gastos!$B$2:$B$2500=$A102)*(Gastos!$D$2:$D$2500))</f>
        <v>0</v>
      </c>
      <c r="AD102" s="75">
        <f t="array" ref="AD102">SUM((YEAR(Gastos!$A$2:$A$2500)=AD$1)*(MONTH(Gastos!$A$2:$A$2500)=AD$3)*(Gastos!$B$2:$B$2500=$A102)*(Gastos!$D$2:$D$2500))</f>
        <v>0</v>
      </c>
      <c r="AE102" s="75">
        <f t="array" ref="AE102">SUM((YEAR(Gastos!$A$2:$A$2500)=AE$1)*(MONTH(Gastos!$A$2:$A$2500)=AE$3)*(Gastos!$B$2:$B$2500=$A102)*(Gastos!$D$2:$D$2500))</f>
        <v>0</v>
      </c>
      <c r="AF102" s="75">
        <f t="array" ref="AF102">SUM((YEAR(Gastos!$A$2:$A$2500)=AF$1)*(MONTH(Gastos!$A$2:$A$2500)=AF$3)*(Gastos!$B$2:$B$2500=$A102)*(Gastos!$D$2:$D$2500))</f>
        <v>0</v>
      </c>
      <c r="AG102" s="75">
        <f t="array" ref="AG102">SUM((YEAR(Gastos!$A$2:$A$2500)=AG$1)*(MONTH(Gastos!$A$2:$A$2500)=AG$3)*(Gastos!$B$2:$B$2500=$A102)*(Gastos!$D$2:$D$2500))</f>
        <v>0</v>
      </c>
      <c r="AH102" s="75">
        <f t="array" ref="AH102">SUM((YEAR(Gastos!$A$2:$A$2500)=AH$1)*(MONTH(Gastos!$A$2:$A$2500)=AH$3)*(Gastos!$B$2:$B$2500=$A102)*(Gastos!$D$2:$D$2500))</f>
        <v>0</v>
      </c>
      <c r="AI102" s="75">
        <f t="array" ref="AI102">SUM((YEAR(Gastos!$A$2:$A$2500)=AI$1)*(MONTH(Gastos!$A$2:$A$2500)=AI$3)*(Gastos!$B$2:$B$2500=$A102)*(Gastos!$D$2:$D$2500))</f>
        <v>0</v>
      </c>
      <c r="AJ102" s="75">
        <f t="array" ref="AJ102">SUM((YEAR(Gastos!$A$2:$A$2500)=AJ$1)*(MONTH(Gastos!$A$2:$A$2500)=AJ$3)*(Gastos!$B$2:$B$2500=$A102)*(Gastos!$D$2:$D$2500))</f>
        <v>0</v>
      </c>
      <c r="AK102" s="75">
        <f t="array" ref="AK102">SUM((YEAR(Gastos!$A$2:$A$2500)=AK$1)*(MONTH(Gastos!$A$2:$A$2500)=AK$3)*(Gastos!$B$2:$B$2500=$A102)*(Gastos!$D$2:$D$2500))</f>
        <v>0</v>
      </c>
      <c r="AL102" s="75">
        <f t="array" ref="AL102">SUM((YEAR(Gastos!$A$2:$A$2500)=AL$1)*(MONTH(Gastos!$A$2:$A$2500)=AL$3)*(Gastos!$B$2:$B$2500=$A102)*(Gastos!$D$2:$D$2500))</f>
        <v>0</v>
      </c>
      <c r="AM102" s="75">
        <f t="array" ref="AM102">SUM((YEAR(Gastos!$A$2:$A$2500)=AM$1)*(MONTH(Gastos!$A$2:$A$2500)=AM$3)*(Gastos!$B$2:$B$2500=$A102)*(Gastos!$D$2:$D$2500))</f>
        <v>0</v>
      </c>
      <c r="AN102" s="75">
        <f t="array" ref="AN102">SUM((YEAR(Gastos!$A$2:$A$2500)=AN$1)*(MONTH(Gastos!$A$2:$A$2500)=AN$3)*(Gastos!$B$2:$B$2500=$A102)*(Gastos!$D$2:$D$2500))</f>
        <v>0</v>
      </c>
      <c r="AO102" s="75">
        <f t="array" ref="AO102">SUM((YEAR(Gastos!$A$2:$A$2500)=AO$1)*(MONTH(Gastos!$A$2:$A$2500)=AO$3)*(Gastos!$B$2:$B$2500=$A102)*(Gastos!$D$2:$D$2500))</f>
        <v>0</v>
      </c>
      <c r="AP102" s="75">
        <f t="array" ref="AP102">SUM((YEAR(Gastos!$A$2:$A$2500)=AP$1)*(MONTH(Gastos!$A$2:$A$2500)=AP$3)*(Gastos!$B$2:$B$2500=$A102)*(Gastos!$D$2:$D$2500))</f>
        <v>0</v>
      </c>
      <c r="AQ102" s="75">
        <f t="array" ref="AQ102">SUM((YEAR(Gastos!$A$2:$A$2500)=AQ$1)*(MONTH(Gastos!$A$2:$A$2500)=AQ$3)*(Gastos!$B$2:$B$2500=$A102)*(Gastos!$D$2:$D$2500))</f>
        <v>0</v>
      </c>
      <c r="AR102" s="75">
        <f t="array" ref="AR102">SUM((YEAR(Gastos!$A$2:$A$2500)=AR$1)*(MONTH(Gastos!$A$2:$A$2500)=AR$3)*(Gastos!$B$2:$B$2500=$A102)*(Gastos!$D$2:$D$2500))</f>
        <v>0</v>
      </c>
      <c r="AS102" s="75">
        <f t="array" ref="AS102">SUM((YEAR(Gastos!$A$2:$A$2500)=AS$1)*(MONTH(Gastos!$A$2:$A$2500)=AS$3)*(Gastos!$B$2:$B$2500=$A102)*(Gastos!$D$2:$D$2500))</f>
        <v>0</v>
      </c>
      <c r="AT102" s="75">
        <f t="array" ref="AT102">SUM((YEAR(Gastos!$A$2:$A$2500)=AT$1)*(MONTH(Gastos!$A$2:$A$2500)=AT$3)*(Gastos!$B$2:$B$2500=$A102)*(Gastos!$D$2:$D$2500))</f>
        <v>0</v>
      </c>
      <c r="AU102" s="75">
        <f t="array" ref="AU102">SUM((YEAR(Gastos!$A$2:$A$2500)=AU$1)*(MONTH(Gastos!$A$2:$A$2500)=AU$3)*(Gastos!$B$2:$B$2500=$A102)*(Gastos!$D$2:$D$2500))</f>
        <v>0</v>
      </c>
      <c r="AV102" s="75">
        <f t="array" ref="AV102">SUM((YEAR(Gastos!$A$2:$A$2500)=AV$1)*(MONTH(Gastos!$A$2:$A$2500)=AV$3)*(Gastos!$B$2:$B$2500=$A102)*(Gastos!$D$2:$D$2500))</f>
        <v>0</v>
      </c>
      <c r="AW102" s="75">
        <f t="array" ref="AW102">SUM((YEAR(Gastos!$A$2:$A$2500)=AW$1)*(MONTH(Gastos!$A$2:$A$2500)=AW$3)*(Gastos!$B$2:$B$2500=$A102)*(Gastos!$D$2:$D$2500))</f>
        <v>0</v>
      </c>
      <c r="AX102" s="75">
        <f t="array" ref="AX102">SUM((YEAR(Gastos!$A$2:$A$2500)=AX$1)*(MONTH(Gastos!$A$2:$A$2500)=AX$3)*(Gastos!$B$2:$B$2500=$A102)*(Gastos!$D$2:$D$2500))</f>
        <v>0</v>
      </c>
      <c r="AY102" s="75">
        <f t="array" ref="AY102">SUM((YEAR(Gastos!$A$2:$A$2500)=AY$1)*(MONTH(Gastos!$A$2:$A$2500)=AY$3)*(Gastos!$B$2:$B$2500=$A102)*(Gastos!$D$2:$D$2500))</f>
        <v>0</v>
      </c>
      <c r="AZ102" s="75">
        <f t="array" ref="AZ102">SUM((YEAR(Gastos!$A$2:$A$2500)=AZ$1)*(MONTH(Gastos!$A$2:$A$2500)=AZ$3)*(Gastos!$B$2:$B$2500=$A102)*(Gastos!$D$2:$D$2500))</f>
        <v>0</v>
      </c>
      <c r="BA102" s="75">
        <f t="array" ref="BA102">SUM((YEAR(Gastos!$A$2:$A$2500)=BA$1)*(MONTH(Gastos!$A$2:$A$2500)=BA$3)*(Gastos!$B$2:$B$2500=$A102)*(Gastos!$D$2:$D$2500))</f>
        <v>0</v>
      </c>
      <c r="BB102" s="75">
        <f t="array" ref="BB102">SUM((YEAR(Gastos!$A$2:$A$2500)=BB$1)*(MONTH(Gastos!$A$2:$A$2500)=BB$3)*(Gastos!$B$2:$B$2500=$A102)*(Gastos!$D$2:$D$2500))</f>
        <v>0</v>
      </c>
      <c r="BC102" s="75">
        <f t="array" ref="BC102">SUM((YEAR(Gastos!$A$2:$A$2500)=BC$1)*(MONTH(Gastos!$A$2:$A$2500)=BC$3)*(Gastos!$B$2:$B$2500=$A102)*(Gastos!$D$2:$D$2500))</f>
        <v>0</v>
      </c>
      <c r="BD102" s="75">
        <f t="array" ref="BD102">SUM((YEAR(Gastos!$A$2:$A$2500)=BD$1)*(MONTH(Gastos!$A$2:$A$2500)=BD$3)*(Gastos!$B$2:$B$2500=$A102)*(Gastos!$D$2:$D$2500))</f>
        <v>0</v>
      </c>
      <c r="BE102" s="75">
        <f t="array" ref="BE102">SUM((YEAR(Gastos!$A$2:$A$2500)=BE$1)*(MONTH(Gastos!$A$2:$A$2500)=BE$3)*(Gastos!$B$2:$B$2500=$A102)*(Gastos!$D$2:$D$2500))</f>
        <v>0</v>
      </c>
      <c r="BF102" s="75">
        <f t="array" ref="BF102">SUM((YEAR(Gastos!$A$2:$A$2500)=BF$1)*(MONTH(Gastos!$A$2:$A$2500)=BF$3)*(Gastos!$B$2:$B$2500=$A102)*(Gastos!$D$2:$D$2500))</f>
        <v>0</v>
      </c>
      <c r="BG102" s="75">
        <f t="array" ref="BG102">SUM((YEAR(Gastos!$A$2:$A$2500)=BG$1)*(MONTH(Gastos!$A$2:$A$2500)=BG$3)*(Gastos!$B$2:$B$2500=$A102)*(Gastos!$D$2:$D$2500))</f>
        <v>0</v>
      </c>
      <c r="BH102" s="75">
        <f t="array" ref="BH102">SUM((YEAR(Gastos!$A$2:$A$2500)=BH$1)*(MONTH(Gastos!$A$2:$A$2500)=BH$3)*(Gastos!$B$2:$B$2500=$A102)*(Gastos!$D$2:$D$2500))</f>
        <v>0</v>
      </c>
      <c r="BI102" s="75">
        <f t="array" ref="BI102">SUM((YEAR(Gastos!$A$2:$A$2500)=BI$1)*(MONTH(Gastos!$A$2:$A$2500)=BI$3)*(Gastos!$B$2:$B$2500=$A102)*(Gastos!$D$2:$D$2500))</f>
        <v>0</v>
      </c>
      <c r="BJ102" s="75">
        <f t="array" ref="BJ102">SUM((YEAR(Gastos!$A$2:$A$2500)=BJ$1)*(MONTH(Gastos!$A$2:$A$2500)=BJ$3)*(Gastos!$B$2:$B$2500=$A102)*(Gastos!$D$2:$D$2500))</f>
        <v>0</v>
      </c>
      <c r="BK102" s="75">
        <f t="array" ref="BK102">SUM((YEAR(Gastos!$A$2:$A$2500)=BK$1)*(MONTH(Gastos!$A$2:$A$2500)=BK$3)*(Gastos!$B$2:$B$2500=$A102)*(Gastos!$D$2:$D$2500))</f>
        <v>0</v>
      </c>
      <c r="BL102" s="75">
        <f t="array" ref="BL102">SUM((YEAR(Gastos!$A$2:$A$2500)=BL$1)*(MONTH(Gastos!$A$2:$A$2500)=BL$3)*(Gastos!$B$2:$B$2500=$A102)*(Gastos!$D$2:$D$2500))</f>
        <v>0</v>
      </c>
      <c r="BM102" s="75">
        <f t="array" ref="BM102">SUM((YEAR(Gastos!$A$2:$A$2500)=BM$1)*(MONTH(Gastos!$A$2:$A$2500)=BM$3)*(Gastos!$B$2:$B$2500=$A102)*(Gastos!$D$2:$D$2500))</f>
        <v>0</v>
      </c>
      <c r="BN102" s="75">
        <f t="array" ref="BN102">SUM((YEAR(Gastos!$A$2:$A$2500)=BN$1)*(MONTH(Gastos!$A$2:$A$2500)=BN$3)*(Gastos!$B$2:$B$2500=$A102)*(Gastos!$D$2:$D$2500))</f>
        <v>0</v>
      </c>
      <c r="BO102" s="75">
        <f t="array" ref="BO102">SUM((YEAR(Gastos!$A$2:$A$2500)=BO$1)*(MONTH(Gastos!$A$2:$A$2500)=BO$3)*(Gastos!$B$2:$B$2500=$A102)*(Gastos!$D$2:$D$2500))</f>
        <v>0</v>
      </c>
      <c r="BP102" s="75">
        <f t="array" ref="BP102">SUM((YEAR(Gastos!$A$2:$A$2500)=BP$1)*(MONTH(Gastos!$A$2:$A$2500)=BP$3)*(Gastos!$B$2:$B$2500=$A102)*(Gastos!$D$2:$D$2500))</f>
        <v>0</v>
      </c>
      <c r="BQ102" s="75">
        <f t="array" ref="BQ102">SUM((YEAR(Gastos!$A$2:$A$2500)=BQ$1)*(MONTH(Gastos!$A$2:$A$2500)=BQ$3)*(Gastos!$B$2:$B$2500=$A102)*(Gastos!$D$2:$D$2500))</f>
        <v>0</v>
      </c>
      <c r="BR102" s="75">
        <f t="array" ref="BR102">SUM((YEAR(Gastos!$A$2:$A$2500)=BR$1)*(MONTH(Gastos!$A$2:$A$2500)=BR$3)*(Gastos!$B$2:$B$2500=$A102)*(Gastos!$D$2:$D$2500))</f>
        <v>0</v>
      </c>
      <c r="BS102" s="75">
        <f t="array" ref="BS102">SUM((YEAR(Gastos!$A$2:$A$2500)=BS$1)*(MONTH(Gastos!$A$2:$A$2500)=BS$3)*(Gastos!$B$2:$B$2500=$A102)*(Gastos!$D$2:$D$2500))</f>
        <v>0</v>
      </c>
      <c r="BT102" s="75">
        <f t="array" ref="BT102">SUM((YEAR(Gastos!$A$2:$A$2500)=BT$1)*(MONTH(Gastos!$A$2:$A$2500)=BT$3)*(Gastos!$B$2:$B$2500=$A102)*(Gastos!$D$2:$D$2500))</f>
        <v>0</v>
      </c>
      <c r="BU102" s="75">
        <f t="array" ref="BU102">SUM((YEAR(Gastos!$A$2:$A$2500)=BU$1)*(MONTH(Gastos!$A$2:$A$2500)=BU$3)*(Gastos!$B$2:$B$2500=$A102)*(Gastos!$D$2:$D$2500))</f>
        <v>0</v>
      </c>
      <c r="BV102" s="75">
        <f t="array" ref="BV102">SUM((YEAR(Gastos!$A$2:$A$2500)=BV$1)*(MONTH(Gastos!$A$2:$A$2500)=BV$3)*(Gastos!$B$2:$B$2500=$A102)*(Gastos!$D$2:$D$2500))</f>
        <v>0</v>
      </c>
      <c r="BW102" s="75">
        <f t="array" ref="BW102">SUM((YEAR(Gastos!$A$2:$A$2500)=BW$1)*(MONTH(Gastos!$A$2:$A$2500)=BW$3)*(Gastos!$B$2:$B$2500=$A102)*(Gastos!$D$2:$D$2500))</f>
        <v>0</v>
      </c>
      <c r="BX102" s="75">
        <f t="array" ref="BX102">SUM((YEAR(Gastos!$A$2:$A$2500)=BX$1)*(MONTH(Gastos!$A$2:$A$2500)=BX$3)*(Gastos!$B$2:$B$2500=$A102)*(Gastos!$D$2:$D$2500))</f>
        <v>0</v>
      </c>
      <c r="BY102" s="75">
        <f t="array" ref="BY102">SUM((YEAR(Gastos!$A$2:$A$2500)=BY$1)*(MONTH(Gastos!$A$2:$A$2500)=BY$3)*(Gastos!$B$2:$B$2500=$A102)*(Gastos!$D$2:$D$2500))</f>
        <v>0</v>
      </c>
      <c r="BZ102" s="75">
        <f t="array" ref="BZ102">SUM((YEAR(Gastos!$A$2:$A$2500)=BZ$1)*(MONTH(Gastos!$A$2:$A$2500)=BZ$3)*(Gastos!$B$2:$B$2500=$A102)*(Gastos!$D$2:$D$2500))</f>
        <v>0</v>
      </c>
      <c r="CA102" s="75">
        <f t="array" ref="CA102">SUM((YEAR(Gastos!$A$2:$A$2500)=CA$1)*(MONTH(Gastos!$A$2:$A$2500)=CA$3)*(Gastos!$B$2:$B$2500=$A102)*(Gastos!$D$2:$D$2500))</f>
        <v>0</v>
      </c>
      <c r="CB102" s="75">
        <f t="array" ref="CB102">SUM((YEAR(Gastos!$A$2:$A$2500)=CB$1)*(MONTH(Gastos!$A$2:$A$2500)=CB$3)*(Gastos!$B$2:$B$2500=$A102)*(Gastos!$D$2:$D$2500))</f>
        <v>0</v>
      </c>
      <c r="CC102" s="75">
        <f t="array" ref="CC102">SUM((YEAR(Gastos!$A$2:$A$2500)=CC$1)*(MONTH(Gastos!$A$2:$A$2500)=CC$3)*(Gastos!$B$2:$B$2500=$A102)*(Gastos!$D$2:$D$2500))</f>
        <v>0</v>
      </c>
      <c r="CD102" s="75">
        <f t="array" ref="CD102">SUM((YEAR(Gastos!$A$2:$A$2500)=CD$1)*(MONTH(Gastos!$A$2:$A$2500)=CD$3)*(Gastos!$B$2:$B$2500=$A102)*(Gastos!$D$2:$D$2500))</f>
        <v>0</v>
      </c>
      <c r="CE102" s="75">
        <f t="array" ref="CE102">SUM((YEAR(Gastos!$A$2:$A$2500)=CE$1)*(MONTH(Gastos!$A$2:$A$2500)=CE$3)*(Gastos!$B$2:$B$2500=$A102)*(Gastos!$D$2:$D$2500))</f>
        <v>0</v>
      </c>
      <c r="CF102" s="75">
        <f t="array" ref="CF102">SUM((YEAR(Gastos!$A$2:$A$2500)=CF$1)*(MONTH(Gastos!$A$2:$A$2500)=CF$3)*(Gastos!$B$2:$B$2500=$A102)*(Gastos!$D$2:$D$2500))</f>
        <v>0</v>
      </c>
      <c r="CG102" s="75">
        <f t="array" ref="CG102">SUM((YEAR(Gastos!$A$2:$A$2500)=CG$1)*(MONTH(Gastos!$A$2:$A$2500)=CG$3)*(Gastos!$B$2:$B$2500=$A102)*(Gastos!$D$2:$D$2500))</f>
        <v>0</v>
      </c>
      <c r="CH102" s="75">
        <f t="array" ref="CH102">SUM((YEAR(Gastos!$A$2:$A$2500)=CH$1)*(MONTH(Gastos!$A$2:$A$2500)=CH$3)*(Gastos!$B$2:$B$2500=$A102)*(Gastos!$D$2:$D$2500))</f>
        <v>0</v>
      </c>
      <c r="CI102" s="75">
        <f t="array" ref="CI102">SUM((YEAR(Gastos!$A$2:$A$2500)=CI$1)*(MONTH(Gastos!$A$2:$A$2500)=CI$3)*(Gastos!$B$2:$B$2500=$A102)*(Gastos!$D$2:$D$2500))</f>
        <v>0</v>
      </c>
      <c r="CJ102" s="75">
        <f t="array" ref="CJ102">SUM((YEAR(Gastos!$A$2:$A$2500)=CJ$1)*(MONTH(Gastos!$A$2:$A$2500)=CJ$3)*(Gastos!$B$2:$B$2500=$A102)*(Gastos!$D$2:$D$2500))</f>
        <v>0</v>
      </c>
      <c r="CK102" s="75">
        <f t="array" ref="CK102">SUM((YEAR(Gastos!$A$2:$A$2500)=CK$1)*(MONTH(Gastos!$A$2:$A$2500)=CK$3)*(Gastos!$B$2:$B$2500=$A102)*(Gastos!$D$2:$D$2500))</f>
        <v>0</v>
      </c>
      <c r="CL102" s="75">
        <f t="array" ref="CL102">SUM((YEAR(Gastos!$A$2:$A$2500)=CL$1)*(MONTH(Gastos!$A$2:$A$2500)=CL$3)*(Gastos!$B$2:$B$2500=$A102)*(Gastos!$D$2:$D$2500))</f>
        <v>0</v>
      </c>
      <c r="CM102" s="75">
        <f t="array" ref="CM102">SUM((YEAR(Gastos!$A$2:$A$2500)=CM$1)*(MONTH(Gastos!$A$2:$A$2500)=CM$3)*(Gastos!$B$2:$B$2500=$A102)*(Gastos!$D$2:$D$2500))</f>
        <v>0</v>
      </c>
      <c r="CN102" s="75">
        <f t="array" ref="CN102">SUM((YEAR(Gastos!$A$2:$A$2500)=CN$1)*(MONTH(Gastos!$A$2:$A$2500)=CN$3)*(Gastos!$B$2:$B$2500=$A102)*(Gastos!$D$2:$D$2500))</f>
        <v>0</v>
      </c>
      <c r="CO102" s="75">
        <f t="array" ref="CO102">SUM((YEAR(Gastos!$A$2:$A$2500)=CO$1)*(MONTH(Gastos!$A$2:$A$2500)=CO$3)*(Gastos!$B$2:$B$2500=$A102)*(Gastos!$D$2:$D$2500))</f>
        <v>0</v>
      </c>
      <c r="CP102" s="75">
        <f t="array" ref="CP102">SUM((YEAR(Gastos!$A$2:$A$2500)=CP$1)*(MONTH(Gastos!$A$2:$A$2500)=CP$3)*(Gastos!$B$2:$B$2500=$A102)*(Gastos!$D$2:$D$2500))</f>
        <v>0</v>
      </c>
      <c r="CQ102" s="75">
        <f t="array" ref="CQ102">SUM((YEAR(Gastos!$A$2:$A$2500)=CQ$1)*(MONTH(Gastos!$A$2:$A$2500)=CQ$3)*(Gastos!$B$2:$B$2500=$A102)*(Gastos!$D$2:$D$2500))</f>
        <v>0</v>
      </c>
      <c r="CR102" s="75">
        <f t="array" ref="CR102">SUM((YEAR(Gastos!$A$2:$A$2500)=CR$1)*(MONTH(Gastos!$A$2:$A$2500)=CR$3)*(Gastos!$B$2:$B$2500=$A102)*(Gastos!$D$2:$D$2500))</f>
        <v>0</v>
      </c>
      <c r="CS102" s="75">
        <f t="array" ref="CS102">SUM((YEAR(Gastos!$A$2:$A$2500)=CS$1)*(MONTH(Gastos!$A$2:$A$2500)=CS$3)*(Gastos!$B$2:$B$2500=$A102)*(Gastos!$D$2:$D$2500))</f>
        <v>0</v>
      </c>
      <c r="CT102" s="75">
        <f t="array" ref="CT102">SUM((YEAR(Gastos!$A$2:$A$2500)=CT$1)*(MONTH(Gastos!$A$2:$A$2500)=CT$3)*(Gastos!$B$2:$B$2500=$A102)*(Gastos!$D$2:$D$2500))</f>
        <v>0</v>
      </c>
      <c r="CU102" s="75">
        <f t="array" ref="CU102">SUM((YEAR(Gastos!$A$2:$A$2500)=CU$1)*(MONTH(Gastos!$A$2:$A$2500)=CU$3)*(Gastos!$B$2:$B$2500=$A102)*(Gastos!$D$2:$D$2500))</f>
        <v>0</v>
      </c>
      <c r="CV102" s="75">
        <f t="array" ref="CV102">SUM((YEAR(Gastos!$A$2:$A$2500)=CV$1)*(MONTH(Gastos!$A$2:$A$2500)=CV$3)*(Gastos!$B$2:$B$2500=$A102)*(Gastos!$D$2:$D$2500))</f>
        <v>0</v>
      </c>
      <c r="CW102" s="75">
        <f t="array" ref="CW102">SUM((YEAR(Gastos!$A$2:$A$2500)=CW$1)*(MONTH(Gastos!$A$2:$A$2500)=CW$3)*(Gastos!$B$2:$B$2500=$A102)*(Gastos!$D$2:$D$2500))</f>
        <v>0</v>
      </c>
      <c r="CX102" s="75">
        <f t="array" ref="CX102">SUM((YEAR(Gastos!$A$2:$A$2500)=CX$1)*(MONTH(Gastos!$A$2:$A$2500)=CX$3)*(Gastos!$B$2:$B$2500=$A102)*(Gastos!$D$2:$D$2500))</f>
        <v>0</v>
      </c>
      <c r="CY102" s="75">
        <f t="array" ref="CY102">SUM((YEAR(Gastos!$A$2:$A$2500)=CY$1)*(MONTH(Gastos!$A$2:$A$2500)=CY$3)*(Gastos!$B$2:$B$2500=$A102)*(Gastos!$D$2:$D$2500))</f>
        <v>0</v>
      </c>
      <c r="CZ102" s="75">
        <f t="array" ref="CZ102">SUM((YEAR(Gastos!$A$2:$A$2500)=CZ$1)*(MONTH(Gastos!$A$2:$A$2500)=CZ$3)*(Gastos!$B$2:$B$2500=$A102)*(Gastos!$D$2:$D$2500))</f>
        <v>0</v>
      </c>
      <c r="DA102" s="75">
        <f t="array" ref="DA102">SUM((YEAR(Gastos!$A$2:$A$2500)=DA$1)*(MONTH(Gastos!$A$2:$A$2500)=DA$3)*(Gastos!$B$2:$B$2500=$A102)*(Gastos!$D$2:$D$2500))</f>
        <v>0</v>
      </c>
      <c r="DB102" s="75">
        <f t="array" ref="DB102">SUM((YEAR(Gastos!$A$2:$A$2500)=DB$1)*(MONTH(Gastos!$A$2:$A$2500)=DB$3)*(Gastos!$B$2:$B$2500=$A102)*(Gastos!$D$2:$D$2500))</f>
        <v>0</v>
      </c>
      <c r="DC102" s="75">
        <f t="array" ref="DC102">SUM((YEAR(Gastos!$A$2:$A$2500)=DC$1)*(MONTH(Gastos!$A$2:$A$2500)=DC$3)*(Gastos!$B$2:$B$2500=$A102)*(Gastos!$D$2:$D$2500))</f>
        <v>0</v>
      </c>
      <c r="DD102" s="75">
        <f t="array" ref="DD102">SUM((YEAR(Gastos!$A$2:$A$2500)=DD$1)*(MONTH(Gastos!$A$2:$A$2500)=DD$3)*(Gastos!$B$2:$B$2500=$A102)*(Gastos!$D$2:$D$2500))</f>
        <v>0</v>
      </c>
      <c r="DE102" s="75">
        <f t="array" ref="DE102">SUM((YEAR(Gastos!$A$2:$A$2500)=DE$1)*(MONTH(Gastos!$A$2:$A$2500)=DE$3)*(Gastos!$B$2:$B$2500=$A102)*(Gastos!$D$2:$D$2500))</f>
        <v>0</v>
      </c>
      <c r="DF102" s="75">
        <f t="array" ref="DF102">SUM((YEAR(Gastos!$A$2:$A$2500)=DF$1)*(MONTH(Gastos!$A$2:$A$2500)=DF$3)*(Gastos!$B$2:$B$2500=$A102)*(Gastos!$D$2:$D$2500))</f>
        <v>0</v>
      </c>
      <c r="DG102" s="75">
        <f t="array" ref="DG102">SUM((YEAR(Gastos!$A$2:$A$2500)=DG$1)*(MONTH(Gastos!$A$2:$A$2500)=DG$3)*(Gastos!$B$2:$B$2500=$A102)*(Gastos!$D$2:$D$2500))</f>
        <v>0</v>
      </c>
      <c r="DH102" s="75">
        <f t="array" ref="DH102">SUM((YEAR(Gastos!$A$2:$A$2500)=DH$1)*(MONTH(Gastos!$A$2:$A$2500)=DH$3)*(Gastos!$B$2:$B$2500=$A102)*(Gastos!$D$2:$D$2500))</f>
        <v>0</v>
      </c>
      <c r="DI102" s="75">
        <f t="array" ref="DI102">SUM((YEAR(Gastos!$A$2:$A$2500)=DI$1)*(MONTH(Gastos!$A$2:$A$2500)=DI$3)*(Gastos!$B$2:$B$2500=$A102)*(Gastos!$D$2:$D$2500))</f>
        <v>0</v>
      </c>
      <c r="DJ102" s="75">
        <f t="array" ref="DJ102">SUM((YEAR(Gastos!$A$2:$A$2500)=DJ$1)*(MONTH(Gastos!$A$2:$A$2500)=DJ$3)*(Gastos!$B$2:$B$2500=$A102)*(Gastos!$D$2:$D$2500))</f>
        <v>0</v>
      </c>
      <c r="DK102" s="75">
        <f t="array" ref="DK102">SUM((YEAR(Gastos!$A$2:$A$2500)=DK$1)*(MONTH(Gastos!$A$2:$A$2500)=DK$3)*(Gastos!$B$2:$B$2500=$A102)*(Gastos!$D$2:$D$2500))</f>
        <v>0</v>
      </c>
      <c r="DL102" s="75">
        <f t="array" ref="DL102">SUM((YEAR(Gastos!$A$2:$A$2500)=DL$1)*(MONTH(Gastos!$A$2:$A$2500)=DL$3)*(Gastos!$B$2:$B$2500=$A102)*(Gastos!$D$2:$D$2500))</f>
        <v>0</v>
      </c>
      <c r="DM102" s="75">
        <f t="array" ref="DM102">SUM((YEAR(Gastos!$A$2:$A$2500)=DM$1)*(MONTH(Gastos!$A$2:$A$2500)=DM$3)*(Gastos!$B$2:$B$2500=$A102)*(Gastos!$D$2:$D$2500))</f>
        <v>0</v>
      </c>
      <c r="DN102" s="75">
        <f t="array" ref="DN102">SUM((YEAR(Gastos!$A$2:$A$2500)=DN$1)*(MONTH(Gastos!$A$2:$A$2500)=DN$3)*(Gastos!$B$2:$B$2500=$A102)*(Gastos!$D$2:$D$2500))</f>
        <v>0</v>
      </c>
      <c r="DO102" s="75">
        <f t="array" ref="DO102">SUM((YEAR(Gastos!$A$2:$A$2500)=DO$1)*(MONTH(Gastos!$A$2:$A$2500)=DO$3)*(Gastos!$B$2:$B$2500=$A102)*(Gastos!$D$2:$D$2500))</f>
        <v>0</v>
      </c>
      <c r="DP102" s="75">
        <f t="array" ref="DP102">SUM((YEAR(Gastos!$A$2:$A$2500)=DP$1)*(MONTH(Gastos!$A$2:$A$2500)=DP$3)*(Gastos!$B$2:$B$2500=$A102)*(Gastos!$D$2:$D$2500))</f>
        <v>0</v>
      </c>
      <c r="DQ102" s="75">
        <f t="array" ref="DQ102">SUM((YEAR(Gastos!$A$2:$A$2500)=DQ$1)*(MONTH(Gastos!$A$2:$A$2500)=DQ$3)*(Gastos!$B$2:$B$2500=$A102)*(Gastos!$D$2:$D$2500))</f>
        <v>0</v>
      </c>
      <c r="DR102" s="75">
        <f t="array" ref="DR102">SUM((YEAR(Gastos!$A$2:$A$2500)=DR$1)*(MONTH(Gastos!$A$2:$A$2500)=DR$3)*(Gastos!$B$2:$B$2500=$A102)*(Gastos!$D$2:$D$2500))</f>
        <v>0</v>
      </c>
      <c r="DS102" s="75">
        <f t="array" ref="DS102">SUM((YEAR(Gastos!$A$2:$A$2500)=DS$1)*(MONTH(Gastos!$A$2:$A$2500)=DS$3)*(Gastos!$B$2:$B$2500=$A102)*(Gastos!$D$2:$D$2500))</f>
        <v>0</v>
      </c>
      <c r="DT102" s="75">
        <f t="array" ref="DT102">SUM((YEAR(Gastos!$A$2:$A$2500)=DT$1)*(MONTH(Gastos!$A$2:$A$2500)=DT$3)*(Gastos!$B$2:$B$2500=$A102)*(Gastos!$D$2:$D$2500))</f>
        <v>0</v>
      </c>
      <c r="DU102" s="75">
        <f t="array" ref="DU102">SUM((YEAR(Gastos!$A$2:$A$2500)=DU$1)*(MONTH(Gastos!$A$2:$A$2500)=DU$3)*(Gastos!$B$2:$B$2500=$A102)*(Gastos!$D$2:$D$2500))</f>
        <v>0</v>
      </c>
      <c r="DV102" s="75">
        <f t="array" ref="DV102">SUM((YEAR(Gastos!$A$2:$A$2500)=DV$1)*(MONTH(Gastos!$A$2:$A$2500)=DV$3)*(Gastos!$B$2:$B$2500=$A102)*(Gastos!$D$2:$D$2500))</f>
        <v>0</v>
      </c>
      <c r="DW102" s="75">
        <f t="array" ref="DW102">SUM((YEAR(Gastos!$A$2:$A$2500)=DW$1)*(MONTH(Gastos!$A$2:$A$2500)=DW$3)*(Gastos!$B$2:$B$2500=$A102)*(Gastos!$D$2:$D$2500))</f>
        <v>0</v>
      </c>
      <c r="DX102" s="75">
        <f t="array" ref="DX102">SUM((YEAR(Gastos!$A$2:$A$2500)=DX$1)*(MONTH(Gastos!$A$2:$A$2500)=DX$3)*(Gastos!$B$2:$B$2500=$A102)*(Gastos!$D$2:$D$2500))</f>
        <v>0</v>
      </c>
      <c r="DY102" s="75">
        <f t="array" ref="DY102">SUM((YEAR(Gastos!$A$2:$A$2500)=DY$1)*(MONTH(Gastos!$A$2:$A$2500)=DY$3)*(Gastos!$B$2:$B$2500=$A102)*(Gastos!$D$2:$D$2500))</f>
        <v>0</v>
      </c>
      <c r="DZ102" s="75">
        <f t="array" ref="DZ102">SUM((YEAR(Gastos!$A$2:$A$2500)=DZ$1)*(MONTH(Gastos!$A$2:$A$2500)=DZ$3)*(Gastos!$B$2:$B$2500=$A102)*(Gastos!$D$2:$D$2500))</f>
        <v>0</v>
      </c>
      <c r="EA102" s="75">
        <f t="array" ref="EA102">SUM((YEAR(Gastos!$A$2:$A$2500)=EA$1)*(MONTH(Gastos!$A$2:$A$2500)=EA$3)*(Gastos!$B$2:$B$2500=$A102)*(Gastos!$D$2:$D$2500))</f>
        <v>0</v>
      </c>
      <c r="EB102" s="75">
        <f t="array" ref="EB102">SUM((YEAR(Gastos!$A$2:$A$2500)=EB$1)*(MONTH(Gastos!$A$2:$A$2500)=EB$3)*(Gastos!$B$2:$B$2500=$A102)*(Gastos!$D$2:$D$2500))</f>
        <v>0</v>
      </c>
      <c r="EC102" s="75">
        <f t="array" ref="EC102">SUM((YEAR(Gastos!$A$2:$A$2500)=EC$1)*(MONTH(Gastos!$A$2:$A$2500)=EC$3)*(Gastos!$B$2:$B$2500=$A102)*(Gastos!$D$2:$D$2500))</f>
        <v>0</v>
      </c>
      <c r="ED102" s="75">
        <f t="array" ref="ED102">SUM((YEAR(Gastos!$A$2:$A$2500)=ED$1)*(MONTH(Gastos!$A$2:$A$2500)=ED$3)*(Gastos!$B$2:$B$2500=$A102)*(Gastos!$D$2:$D$2500))</f>
        <v>0</v>
      </c>
      <c r="EE102" s="75">
        <f t="array" ref="EE102">SUM((YEAR(Gastos!$A$2:$A$2500)=EE$1)*(MONTH(Gastos!$A$2:$A$2500)=EE$3)*(Gastos!$B$2:$B$2500=$A102)*(Gastos!$D$2:$D$2500))</f>
        <v>0</v>
      </c>
      <c r="EF102" s="75">
        <f t="array" ref="EF102">SUM((YEAR(Gastos!$A$2:$A$2500)=EF$1)*(MONTH(Gastos!$A$2:$A$2500)=EF$3)*(Gastos!$B$2:$B$2500=$A102)*(Gastos!$D$2:$D$2500))</f>
        <v>0</v>
      </c>
      <c r="EG102" s="75">
        <f t="array" ref="EG102">SUM((YEAR(Gastos!$A$2:$A$2500)=EG$1)*(MONTH(Gastos!$A$2:$A$2500)=EG$3)*(Gastos!$B$2:$B$2500=$A102)*(Gastos!$D$2:$D$2500))</f>
        <v>0</v>
      </c>
      <c r="EH102" s="75">
        <f t="array" ref="EH102">SUM((YEAR(Gastos!$A$2:$A$2500)=EH$1)*(MONTH(Gastos!$A$2:$A$2500)=EH$3)*(Gastos!$B$2:$B$2500=$A102)*(Gastos!$D$2:$D$2500))</f>
        <v>0</v>
      </c>
      <c r="EI102" s="75">
        <f t="array" ref="EI102">SUM((YEAR(Gastos!$A$2:$A$2500)=EI$1)*(MONTH(Gastos!$A$2:$A$2500)=EI$3)*(Gastos!$B$2:$B$2500=$A102)*(Gastos!$D$2:$D$2500))</f>
        <v>0</v>
      </c>
      <c r="EJ102" s="75">
        <f t="array" ref="EJ102">SUM((YEAR(Gastos!$A$2:$A$2500)=EJ$1)*(MONTH(Gastos!$A$2:$A$2500)=EJ$3)*(Gastos!$B$2:$B$2500=$A102)*(Gastos!$D$2:$D$2500))</f>
        <v>0</v>
      </c>
      <c r="EK102" s="75">
        <f t="array" ref="EK102">SUM((YEAR(Gastos!$A$2:$A$2500)=EK$1)*(MONTH(Gastos!$A$2:$A$2500)=EK$3)*(Gastos!$B$2:$B$2500=$A102)*(Gastos!$D$2:$D$2500))</f>
        <v>0</v>
      </c>
      <c r="EL102" s="75">
        <f t="array" ref="EL102">SUM((YEAR(Gastos!$A$2:$A$2500)=EL$1)*(MONTH(Gastos!$A$2:$A$2500)=EL$3)*(Gastos!$B$2:$B$2500=$A102)*(Gastos!$D$2:$D$2500))</f>
        <v>0</v>
      </c>
      <c r="EM102" s="75">
        <f t="array" ref="EM102">SUM((YEAR(Gastos!$A$2:$A$2500)=EM$1)*(MONTH(Gastos!$A$2:$A$2500)=EM$3)*(Gastos!$B$2:$B$2500=$A102)*(Gastos!$D$2:$D$2500))</f>
        <v>0</v>
      </c>
      <c r="EN102" s="75">
        <f t="array" ref="EN102">SUM((YEAR(Gastos!$A$2:$A$2500)=EN$1)*(MONTH(Gastos!$A$2:$A$2500)=EN$3)*(Gastos!$B$2:$B$2500=$A102)*(Gastos!$D$2:$D$2500))</f>
        <v>0</v>
      </c>
      <c r="EO102" s="75">
        <f t="array" ref="EO102">SUM((YEAR(Gastos!$A$2:$A$2500)=EO$1)*(MONTH(Gastos!$A$2:$A$2500)=EO$3)*(Gastos!$B$2:$B$2500=$A102)*(Gastos!$D$2:$D$2500))</f>
        <v>0</v>
      </c>
      <c r="EP102" s="75">
        <f t="array" ref="EP102">SUM((YEAR(Gastos!$A$2:$A$2500)=EP$1)*(MONTH(Gastos!$A$2:$A$2500)=EP$3)*(Gastos!$B$2:$B$2500=$A102)*(Gastos!$D$2:$D$2500))</f>
        <v>0</v>
      </c>
      <c r="EQ102" s="75">
        <f t="array" ref="EQ102">SUM((YEAR(Gastos!$A$2:$A$2500)=EQ$1)*(MONTH(Gastos!$A$2:$A$2500)=EQ$3)*(Gastos!$B$2:$B$2500=$A102)*(Gastos!$D$2:$D$2500))</f>
        <v>0</v>
      </c>
      <c r="ER102" s="75">
        <f t="array" ref="ER102">SUM((YEAR(Gastos!$A$2:$A$2500)=ER$1)*(MONTH(Gastos!$A$2:$A$2500)=ER$3)*(Gastos!$B$2:$B$2500=$A102)*(Gastos!$D$2:$D$2500))</f>
        <v>0</v>
      </c>
      <c r="ES102" s="75">
        <f t="array" ref="ES102">SUM((YEAR(Gastos!$A$2:$A$2500)=ES$1)*(MONTH(Gastos!$A$2:$A$2500)=ES$3)*(Gastos!$B$2:$B$2500=$A102)*(Gastos!$D$2:$D$2500))</f>
        <v>0</v>
      </c>
      <c r="ET102" s="75">
        <f t="array" ref="ET102">SUM((YEAR(Gastos!$A$2:$A$2500)=ET$1)*(MONTH(Gastos!$A$2:$A$2500)=ET$3)*(Gastos!$B$2:$B$2500=$A102)*(Gastos!$D$2:$D$2500))</f>
        <v>0</v>
      </c>
      <c r="EU102" s="75">
        <f t="array" ref="EU102">SUM((YEAR(Gastos!$A$2:$A$2500)=EU$1)*(MONTH(Gastos!$A$2:$A$2500)=EU$3)*(Gastos!$B$2:$B$2500=$A102)*(Gastos!$D$2:$D$2500))</f>
        <v>0</v>
      </c>
      <c r="EV102" s="75">
        <f t="array" ref="EV102">SUM((YEAR(Gastos!$A$2:$A$2500)=EV$1)*(MONTH(Gastos!$A$2:$A$2500)=EV$3)*(Gastos!$B$2:$B$2500=$A102)*(Gastos!$D$2:$D$2500))</f>
        <v>0</v>
      </c>
      <c r="EW102" s="75">
        <f t="array" ref="EW102">SUM((YEAR(Gastos!$A$2:$A$2500)=EW$1)*(MONTH(Gastos!$A$2:$A$2500)=EW$3)*(Gastos!$B$2:$B$2500=$A102)*(Gastos!$D$2:$D$2500))</f>
        <v>0</v>
      </c>
      <c r="EX102" s="75">
        <f t="array" ref="EX102">SUM((YEAR(Gastos!$A$2:$A$2500)=EX$1)*(MONTH(Gastos!$A$2:$A$2500)=EX$3)*(Gastos!$B$2:$B$2500=$A102)*(Gastos!$D$2:$D$2500))</f>
        <v>0</v>
      </c>
      <c r="EY102" s="75">
        <f t="array" ref="EY102">SUM((YEAR(Gastos!$A$2:$A$2500)=EY$1)*(MONTH(Gastos!$A$2:$A$2500)=EY$3)*(Gastos!$B$2:$B$2500=$A102)*(Gastos!$D$2:$D$2500))</f>
        <v>0</v>
      </c>
      <c r="EZ102" s="75">
        <f t="array" ref="EZ102">SUM((YEAR(Gastos!$A$2:$A$2500)=EZ$1)*(MONTH(Gastos!$A$2:$A$2500)=EZ$3)*(Gastos!$B$2:$B$2500=$A102)*(Gastos!$D$2:$D$2500))</f>
        <v>0</v>
      </c>
      <c r="FA102" s="75">
        <f t="array" ref="FA102">SUM((YEAR(Gastos!$A$2:$A$2500)=FA$1)*(MONTH(Gastos!$A$2:$A$2500)=FA$3)*(Gastos!$B$2:$B$2500=$A102)*(Gastos!$D$2:$D$2500))</f>
        <v>0</v>
      </c>
      <c r="FB102" s="75">
        <f t="array" ref="FB102">SUM((YEAR(Gastos!$A$2:$A$2500)=FB$1)*(MONTH(Gastos!$A$2:$A$2500)=FB$3)*(Gastos!$B$2:$B$2500=$A102)*(Gastos!$D$2:$D$2500))</f>
        <v>0</v>
      </c>
      <c r="FC102" s="75">
        <f t="array" ref="FC102">SUM((YEAR(Gastos!$A$2:$A$2500)=FC$1)*(MONTH(Gastos!$A$2:$A$2500)=FC$3)*(Gastos!$B$2:$B$2500=$A102)*(Gastos!$D$2:$D$2500))</f>
        <v>0</v>
      </c>
      <c r="FD102" s="75">
        <f t="array" ref="FD102">SUM((YEAR(Gastos!$A$2:$A$2500)=FD$1)*(MONTH(Gastos!$A$2:$A$2500)=FD$3)*(Gastos!$B$2:$B$2500=$A102)*(Gastos!$D$2:$D$2500))</f>
        <v>0</v>
      </c>
      <c r="FE102" s="75">
        <f t="array" ref="FE102">SUM((YEAR(Gastos!$A$2:$A$2500)=FE$1)*(MONTH(Gastos!$A$2:$A$2500)=FE$3)*(Gastos!$B$2:$B$2500=$A102)*(Gastos!$D$2:$D$2500))</f>
        <v>0</v>
      </c>
      <c r="FF102" s="75">
        <f t="array" ref="FF102">SUM((YEAR(Gastos!$A$2:$A$2500)=FF$1)*(MONTH(Gastos!$A$2:$A$2500)=FF$3)*(Gastos!$B$2:$B$2500=$A102)*(Gastos!$D$2:$D$2500))</f>
        <v>0</v>
      </c>
      <c r="FG102" s="75">
        <f t="array" ref="FG102">SUM((YEAR(Gastos!$A$2:$A$2500)=FG$1)*(MONTH(Gastos!$A$2:$A$2500)=FG$3)*(Gastos!$B$2:$B$2500=$A102)*(Gastos!$D$2:$D$2500))</f>
        <v>0</v>
      </c>
      <c r="FH102" s="75">
        <f t="array" ref="FH102">SUM((YEAR(Gastos!$A$2:$A$2500)=FH$1)*(MONTH(Gastos!$A$2:$A$2500)=FH$3)*(Gastos!$B$2:$B$2500=$A102)*(Gastos!$D$2:$D$2500))</f>
        <v>0</v>
      </c>
      <c r="FI102" s="75">
        <f t="array" ref="FI102">SUM((YEAR(Gastos!$A$2:$A$2500)=FI$1)*(MONTH(Gastos!$A$2:$A$2500)=FI$3)*(Gastos!$B$2:$B$2500=$A102)*(Gastos!$D$2:$D$2500))</f>
        <v>0</v>
      </c>
      <c r="FJ102" s="75">
        <f t="array" ref="FJ102">SUM((YEAR(Gastos!$A$2:$A$2500)=FJ$1)*(MONTH(Gastos!$A$2:$A$2500)=FJ$3)*(Gastos!$B$2:$B$2500=$A102)*(Gastos!$D$2:$D$2500))</f>
        <v>0</v>
      </c>
      <c r="FK102" s="75">
        <f t="array" ref="FK102">SUM((YEAR(Gastos!$A$2:$A$2500)=FK$1)*(MONTH(Gastos!$A$2:$A$2500)=FK$3)*(Gastos!$B$2:$B$2500=$A102)*(Gastos!$D$2:$D$2500))</f>
        <v>0</v>
      </c>
      <c r="FL102" s="75">
        <f t="array" ref="FL102">SUM((YEAR(Gastos!$A$2:$A$2500)=FL$1)*(MONTH(Gastos!$A$2:$A$2500)=FL$3)*(Gastos!$B$2:$B$2500=$A102)*(Gastos!$D$2:$D$2500))</f>
        <v>0</v>
      </c>
      <c r="FM102" s="75">
        <f t="array" ref="FM102">SUM((YEAR(Gastos!$A$2:$A$2500)=FM$1)*(MONTH(Gastos!$A$2:$A$2500)=FM$3)*(Gastos!$B$2:$B$2500=$A102)*(Gastos!$D$2:$D$2500))</f>
        <v>0</v>
      </c>
      <c r="FN102" s="75">
        <f t="array" ref="FN102">SUM((YEAR(Gastos!$A$2:$A$2500)=FN$1)*(MONTH(Gastos!$A$2:$A$2500)=FN$3)*(Gastos!$B$2:$B$2500=$A102)*(Gastos!$D$2:$D$2500))</f>
        <v>0</v>
      </c>
      <c r="FO102" s="75">
        <f t="array" ref="FO102">SUM((YEAR(Gastos!$A$2:$A$2500)=FO$1)*(MONTH(Gastos!$A$2:$A$2500)=FO$3)*(Gastos!$B$2:$B$2500=$A102)*(Gastos!$D$2:$D$2500))</f>
        <v>0</v>
      </c>
      <c r="FP102" s="75">
        <f t="array" ref="FP102">SUM((YEAR(Gastos!$A$2:$A$2500)=FP$1)*(MONTH(Gastos!$A$2:$A$2500)=FP$3)*(Gastos!$B$2:$B$2500=$A102)*(Gastos!$D$2:$D$2500))</f>
        <v>0</v>
      </c>
      <c r="FQ102" s="75">
        <f t="array" ref="FQ102">SUM((YEAR(Gastos!$A$2:$A$2500)=FQ$1)*(MONTH(Gastos!$A$2:$A$2500)=FQ$3)*(Gastos!$B$2:$B$2500=$A102)*(Gastos!$D$2:$D$2500))</f>
        <v>0</v>
      </c>
      <c r="FR102" s="75">
        <f t="array" ref="FR102">SUM((YEAR(Gastos!$A$2:$A$2500)=FR$1)*(MONTH(Gastos!$A$2:$A$2500)=FR$3)*(Gastos!$B$2:$B$2500=$A102)*(Gastos!$D$2:$D$2500))</f>
        <v>0</v>
      </c>
      <c r="FS102" s="75">
        <f t="array" ref="FS102">SUM((YEAR(Gastos!$A$2:$A$2500)=FS$1)*(MONTH(Gastos!$A$2:$A$2500)=FS$3)*(Gastos!$B$2:$B$2500=$A102)*(Gastos!$D$2:$D$2500))</f>
        <v>0</v>
      </c>
      <c r="FT102" s="75">
        <f t="array" ref="FT102">SUM((YEAR(Gastos!$A$2:$A$2500)=FT$1)*(MONTH(Gastos!$A$2:$A$2500)=FT$3)*(Gastos!$B$2:$B$2500=$A102)*(Gastos!$D$2:$D$2500))</f>
        <v>0</v>
      </c>
      <c r="FU102" s="75">
        <f t="array" ref="FU102">SUM((YEAR(Gastos!$A$2:$A$2500)=FU$1)*(MONTH(Gastos!$A$2:$A$2500)=FU$3)*(Gastos!$B$2:$B$2500=$A102)*(Gastos!$D$2:$D$2500))</f>
        <v>0</v>
      </c>
      <c r="FV102" s="75">
        <f t="array" ref="FV102">SUM((YEAR(Gastos!$A$2:$A$2500)=FV$1)*(MONTH(Gastos!$A$2:$A$2500)=FV$3)*(Gastos!$B$2:$B$2500=$A102)*(Gastos!$D$2:$D$2500))</f>
        <v>0</v>
      </c>
      <c r="FW102" s="75">
        <f t="array" ref="FW102">SUM((YEAR(Gastos!$A$2:$A$2500)=FW$1)*(MONTH(Gastos!$A$2:$A$2500)=FW$3)*(Gastos!$B$2:$B$2500=$A102)*(Gastos!$D$2:$D$2500))</f>
        <v>0</v>
      </c>
      <c r="FX102" s="75">
        <f t="array" ref="FX102">SUM((YEAR(Gastos!$A$2:$A$2500)=FX$1)*(MONTH(Gastos!$A$2:$A$2500)=FX$3)*(Gastos!$B$2:$B$2500=$A102)*(Gastos!$D$2:$D$2500))</f>
        <v>0</v>
      </c>
      <c r="FY102" s="75">
        <f t="array" ref="FY102">SUM((YEAR(Gastos!$A$2:$A$2500)=FY$1)*(MONTH(Gastos!$A$2:$A$2500)=FY$3)*(Gastos!$B$2:$B$2500=$A102)*(Gastos!$D$2:$D$2500))</f>
        <v>0</v>
      </c>
      <c r="FZ102" s="76">
        <f t="shared" si="68"/>
        <v>0</v>
      </c>
      <c r="GA102" s="80"/>
      <c r="GB102" s="82"/>
    </row>
    <row r="103" spans="1:193" ht="15" thickBot="1" x14ac:dyDescent="0.4">
      <c r="A103" s="74" t="str">
        <f>Gastos!AA101</f>
        <v>V. DEPOSITOS A CUENTA 409851301740</v>
      </c>
      <c r="B103" s="75">
        <f t="array" ref="B103">SUM((YEAR(Gastos!$A$2:$A$2500)=B$1)*(MONTH(Gastos!$A$2:$A$2500)=B$3)*(Gastos!$B$2:$B$2500=$A103)*(Gastos!$D$2:$D$2500))</f>
        <v>0</v>
      </c>
      <c r="C103" s="75">
        <f t="array" ref="C103">SUM((YEAR(Gastos!$A$2:$A$2500)=C$1)*(MONTH(Gastos!$A$2:$A$2500)=C$3)*(Gastos!$B$2:$B$2500=$A103)*(Gastos!$D$2:$D$2500))</f>
        <v>0</v>
      </c>
      <c r="D103" s="75">
        <f t="array" ref="D103">SUM((YEAR(Gastos!$A$2:$A$2500)=D$1)*(MONTH(Gastos!$A$2:$A$2500)=D$3)*(Gastos!$B$2:$B$2500=$A103)*(Gastos!$D$2:$D$2500))</f>
        <v>0</v>
      </c>
      <c r="E103" s="75">
        <f t="array" ref="E103">SUM((YEAR(Gastos!$A$2:$A$2500)=E$1)*(MONTH(Gastos!$A$2:$A$2500)=E$3)*(Gastos!$B$2:$B$2500=$A103)*(Gastos!$D$2:$D$2500))</f>
        <v>0</v>
      </c>
      <c r="F103" s="75">
        <f t="array" ref="F103">SUM((YEAR(Gastos!$A$2:$A$2500)=F$1)*(MONTH(Gastos!$A$2:$A$2500)=F$3)*(Gastos!$B$2:$B$2500=$A103)*(Gastos!$D$2:$D$2500))</f>
        <v>0</v>
      </c>
      <c r="G103" s="75">
        <f t="array" ref="G103">SUM((YEAR(Gastos!$A$2:$A$2500)=G$1)*(MONTH(Gastos!$A$2:$A$2500)=G$3)*(Gastos!$B$2:$B$2500=$A103)*(Gastos!$D$2:$D$2500))</f>
        <v>0</v>
      </c>
      <c r="H103" s="75">
        <f t="array" ref="H103">SUM((YEAR(Gastos!$A$2:$A$2500)=H$1)*(MONTH(Gastos!$A$2:$A$2500)=H$3)*(Gastos!$B$2:$B$2500=$A103)*(Gastos!$D$2:$D$2500))</f>
        <v>0</v>
      </c>
      <c r="I103" s="75">
        <f t="array" ref="I103">SUM((YEAR(Gastos!$A$2:$A$2500)=I$1)*(MONTH(Gastos!$A$2:$A$2500)=I$3)*(Gastos!$B$2:$B$2500=$A103)*(Gastos!$D$2:$D$2500))</f>
        <v>0</v>
      </c>
      <c r="J103" s="75">
        <f t="array" ref="J103">SUM((YEAR(Gastos!$A$2:$A$2500)=J$1)*(MONTH(Gastos!$A$2:$A$2500)=J$3)*(Gastos!$B$2:$B$2500=$A103)*(Gastos!$D$2:$D$2500))</f>
        <v>0</v>
      </c>
      <c r="K103" s="75">
        <f t="array" ref="K103">SUM((YEAR(Gastos!$A$2:$A$2500)=K$1)*(MONTH(Gastos!$A$2:$A$2500)=K$3)*(Gastos!$B$2:$B$2500=$A103)*(Gastos!$D$2:$D$2500))</f>
        <v>0</v>
      </c>
      <c r="L103" s="75">
        <f t="array" ref="L103">SUM((YEAR(Gastos!$A$2:$A$2500)=L$1)*(MONTH(Gastos!$A$2:$A$2500)=L$3)*(Gastos!$B$2:$B$2500=$A103)*(Gastos!$D$2:$D$2500))</f>
        <v>0</v>
      </c>
      <c r="M103" s="75">
        <f t="array" ref="M103">SUM((YEAR(Gastos!$A$2:$A$2500)=M$1)*(MONTH(Gastos!$A$2:$A$2500)=M$3)*(Gastos!$B$2:$B$2500=$A103)*(Gastos!$D$2:$D$2500))</f>
        <v>0</v>
      </c>
      <c r="N103" s="75">
        <f t="array" ref="N103">SUM((YEAR(Gastos!$A$2:$A$2500)=N$1)*(MONTH(Gastos!$A$2:$A$2500)=N$3)*(Gastos!$B$2:$B$2500=$A103)*(Gastos!$D$2:$D$2500))</f>
        <v>0</v>
      </c>
      <c r="O103" s="75">
        <f t="array" ref="O103">SUM((YEAR(Gastos!$A$2:$A$2500)=O$1)*(MONTH(Gastos!$A$2:$A$2500)=O$3)*(Gastos!$B$2:$B$2500=$A103)*(Gastos!$D$2:$D$2500))</f>
        <v>0</v>
      </c>
      <c r="P103" s="75">
        <f t="array" ref="P103">SUM((YEAR(Gastos!$A$2:$A$2500)=P$1)*(MONTH(Gastos!$A$2:$A$2500)=P$3)*(Gastos!$B$2:$B$2500=$A103)*(Gastos!$D$2:$D$2500))</f>
        <v>0</v>
      </c>
      <c r="Q103" s="75">
        <f t="array" ref="Q103">SUM((YEAR(Gastos!$A$2:$A$2500)=Q$1)*(MONTH(Gastos!$A$2:$A$2500)=Q$3)*(Gastos!$B$2:$B$2500=$A103)*(Gastos!$D$2:$D$2500))</f>
        <v>0</v>
      </c>
      <c r="R103" s="75">
        <f t="array" ref="R103">SUM((YEAR(Gastos!$A$2:$A$2500)=R$1)*(MONTH(Gastos!$A$2:$A$2500)=R$3)*(Gastos!$B$2:$B$2500=$A103)*(Gastos!$D$2:$D$2500))</f>
        <v>0</v>
      </c>
      <c r="S103" s="75">
        <f t="array" ref="S103">SUM((YEAR(Gastos!$A$2:$A$2500)=S$1)*(MONTH(Gastos!$A$2:$A$2500)=S$3)*(Gastos!$B$2:$B$2500=$A103)*(Gastos!$D$2:$D$2500))</f>
        <v>0</v>
      </c>
      <c r="T103" s="75">
        <f t="array" ref="T103">SUM((YEAR(Gastos!$A$2:$A$2500)=T$1)*(MONTH(Gastos!$A$2:$A$2500)=T$3)*(Gastos!$B$2:$B$2500=$A103)*(Gastos!$D$2:$D$2500))</f>
        <v>0</v>
      </c>
      <c r="U103" s="75">
        <f t="array" ref="U103">SUM((YEAR(Gastos!$A$2:$A$2500)=U$1)*(MONTH(Gastos!$A$2:$A$2500)=U$3)*(Gastos!$B$2:$B$2500=$A103)*(Gastos!$D$2:$D$2500))</f>
        <v>0</v>
      </c>
      <c r="V103" s="75">
        <f t="array" ref="V103">SUM((YEAR(Gastos!$A$2:$A$2500)=V$1)*(MONTH(Gastos!$A$2:$A$2500)=V$3)*(Gastos!$B$2:$B$2500=$A103)*(Gastos!$D$2:$D$2500))</f>
        <v>0</v>
      </c>
      <c r="W103" s="75">
        <f t="array" ref="W103">SUM((YEAR(Gastos!$A$2:$A$2500)=W$1)*(MONTH(Gastos!$A$2:$A$2500)=W$3)*(Gastos!$B$2:$B$2500=$A103)*(Gastos!$D$2:$D$2500))</f>
        <v>0</v>
      </c>
      <c r="X103" s="75">
        <f t="array" ref="X103">SUM((YEAR(Gastos!$A$2:$A$2500)=X$1)*(MONTH(Gastos!$A$2:$A$2500)=X$3)*(Gastos!$B$2:$B$2500=$A103)*(Gastos!$D$2:$D$2500))</f>
        <v>0</v>
      </c>
      <c r="Y103" s="75">
        <f t="array" ref="Y103">SUM((YEAR(Gastos!$A$2:$A$2500)=Y$1)*(MONTH(Gastos!$A$2:$A$2500)=Y$3)*(Gastos!$B$2:$B$2500=$A103)*(Gastos!$D$2:$D$2500))</f>
        <v>0</v>
      </c>
      <c r="Z103" s="75">
        <f t="array" ref="Z103">SUM((YEAR(Gastos!$A$2:$A$2500)=Z$1)*(MONTH(Gastos!$A$2:$A$2500)=Z$3)*(Gastos!$B$2:$B$2500=$A103)*(Gastos!$D$2:$D$2500))</f>
        <v>0</v>
      </c>
      <c r="AA103" s="75">
        <f t="array" ref="AA103">SUM((YEAR(Gastos!$A$2:$A$2500)=AA$1)*(MONTH(Gastos!$A$2:$A$2500)=AA$3)*(Gastos!$B$2:$B$2500=$A103)*(Gastos!$D$2:$D$2500))</f>
        <v>0</v>
      </c>
      <c r="AB103" s="75">
        <f t="array" ref="AB103">SUM((YEAR(Gastos!$A$2:$A$2500)=AB$1)*(MONTH(Gastos!$A$2:$A$2500)=AB$3)*(Gastos!$B$2:$B$2500=$A103)*(Gastos!$D$2:$D$2500))</f>
        <v>0</v>
      </c>
      <c r="AC103" s="75">
        <f t="array" ref="AC103">SUM((YEAR(Gastos!$A$2:$A$2500)=AC$1)*(MONTH(Gastos!$A$2:$A$2500)=AC$3)*(Gastos!$B$2:$B$2500=$A103)*(Gastos!$D$2:$D$2500))</f>
        <v>0</v>
      </c>
      <c r="AD103" s="75">
        <f t="array" ref="AD103">SUM((YEAR(Gastos!$A$2:$A$2500)=AD$1)*(MONTH(Gastos!$A$2:$A$2500)=AD$3)*(Gastos!$B$2:$B$2500=$A103)*(Gastos!$D$2:$D$2500))</f>
        <v>0</v>
      </c>
      <c r="AE103" s="75">
        <f t="array" ref="AE103">SUM((YEAR(Gastos!$A$2:$A$2500)=AE$1)*(MONTH(Gastos!$A$2:$A$2500)=AE$3)*(Gastos!$B$2:$B$2500=$A103)*(Gastos!$D$2:$D$2500))</f>
        <v>0</v>
      </c>
      <c r="AF103" s="75">
        <f t="array" ref="AF103">SUM((YEAR(Gastos!$A$2:$A$2500)=AF$1)*(MONTH(Gastos!$A$2:$A$2500)=AF$3)*(Gastos!$B$2:$B$2500=$A103)*(Gastos!$D$2:$D$2500))</f>
        <v>0</v>
      </c>
      <c r="AG103" s="75">
        <f t="array" ref="AG103">SUM((YEAR(Gastos!$A$2:$A$2500)=AG$1)*(MONTH(Gastos!$A$2:$A$2500)=AG$3)*(Gastos!$B$2:$B$2500=$A103)*(Gastos!$D$2:$D$2500))</f>
        <v>0</v>
      </c>
      <c r="AH103" s="75">
        <f t="array" ref="AH103">SUM((YEAR(Gastos!$A$2:$A$2500)=AH$1)*(MONTH(Gastos!$A$2:$A$2500)=AH$3)*(Gastos!$B$2:$B$2500=$A103)*(Gastos!$D$2:$D$2500))</f>
        <v>0</v>
      </c>
      <c r="AI103" s="75">
        <f t="array" ref="AI103">SUM((YEAR(Gastos!$A$2:$A$2500)=AI$1)*(MONTH(Gastos!$A$2:$A$2500)=AI$3)*(Gastos!$B$2:$B$2500=$A103)*(Gastos!$D$2:$D$2500))</f>
        <v>0</v>
      </c>
      <c r="AJ103" s="75">
        <f t="array" ref="AJ103">SUM((YEAR(Gastos!$A$2:$A$2500)=AJ$1)*(MONTH(Gastos!$A$2:$A$2500)=AJ$3)*(Gastos!$B$2:$B$2500=$A103)*(Gastos!$D$2:$D$2500))</f>
        <v>0</v>
      </c>
      <c r="AK103" s="75">
        <f t="array" ref="AK103">SUM((YEAR(Gastos!$A$2:$A$2500)=AK$1)*(MONTH(Gastos!$A$2:$A$2500)=AK$3)*(Gastos!$B$2:$B$2500=$A103)*(Gastos!$D$2:$D$2500))</f>
        <v>0</v>
      </c>
      <c r="AL103" s="75">
        <f t="array" ref="AL103">SUM((YEAR(Gastos!$A$2:$A$2500)=AL$1)*(MONTH(Gastos!$A$2:$A$2500)=AL$3)*(Gastos!$B$2:$B$2500=$A103)*(Gastos!$D$2:$D$2500))</f>
        <v>0</v>
      </c>
      <c r="AM103" s="75">
        <f t="array" ref="AM103">SUM((YEAR(Gastos!$A$2:$A$2500)=AM$1)*(MONTH(Gastos!$A$2:$A$2500)=AM$3)*(Gastos!$B$2:$B$2500=$A103)*(Gastos!$D$2:$D$2500))</f>
        <v>0</v>
      </c>
      <c r="AN103" s="75">
        <f t="array" ref="AN103">SUM((YEAR(Gastos!$A$2:$A$2500)=AN$1)*(MONTH(Gastos!$A$2:$A$2500)=AN$3)*(Gastos!$B$2:$B$2500=$A103)*(Gastos!$D$2:$D$2500))</f>
        <v>3000</v>
      </c>
      <c r="AO103" s="75">
        <f t="array" ref="AO103">SUM((YEAR(Gastos!$A$2:$A$2500)=AO$1)*(MONTH(Gastos!$A$2:$A$2500)=AO$3)*(Gastos!$B$2:$B$2500=$A103)*(Gastos!$D$2:$D$2500))</f>
        <v>3000</v>
      </c>
      <c r="AP103" s="75">
        <f t="array" ref="AP103">SUM((YEAR(Gastos!$A$2:$A$2500)=AP$1)*(MONTH(Gastos!$A$2:$A$2500)=AP$3)*(Gastos!$B$2:$B$2500=$A103)*(Gastos!$D$2:$D$2500))</f>
        <v>0</v>
      </c>
      <c r="AQ103" s="75">
        <f t="array" ref="AQ103">SUM((YEAR(Gastos!$A$2:$A$2500)=AQ$1)*(MONTH(Gastos!$A$2:$A$2500)=AQ$3)*(Gastos!$B$2:$B$2500=$A103)*(Gastos!$D$2:$D$2500))</f>
        <v>0</v>
      </c>
      <c r="AR103" s="75">
        <f t="array" ref="AR103">SUM((YEAR(Gastos!$A$2:$A$2500)=AR$1)*(MONTH(Gastos!$A$2:$A$2500)=AR$3)*(Gastos!$B$2:$B$2500=$A103)*(Gastos!$D$2:$D$2500))</f>
        <v>5784</v>
      </c>
      <c r="AS103" s="75">
        <f t="array" ref="AS103">SUM((YEAR(Gastos!$A$2:$A$2500)=AS$1)*(MONTH(Gastos!$A$2:$A$2500)=AS$3)*(Gastos!$B$2:$B$2500=$A103)*(Gastos!$D$2:$D$2500))</f>
        <v>8784</v>
      </c>
      <c r="AT103" s="75">
        <f t="array" ref="AT103">SUM((YEAR(Gastos!$A$2:$A$2500)=AT$1)*(MONTH(Gastos!$A$2:$A$2500)=AT$3)*(Gastos!$B$2:$B$2500=$A103)*(Gastos!$D$2:$D$2500))</f>
        <v>17061.84</v>
      </c>
      <c r="AU103" s="75">
        <f t="array" ref="AU103">SUM((YEAR(Gastos!$A$2:$A$2500)=AU$1)*(MONTH(Gastos!$A$2:$A$2500)=AU$3)*(Gastos!$B$2:$B$2500=$A103)*(Gastos!$D$2:$D$2500))</f>
        <v>7140</v>
      </c>
      <c r="AV103" s="75">
        <f t="array" ref="AV103">SUM((YEAR(Gastos!$A$2:$A$2500)=AV$1)*(MONTH(Gastos!$A$2:$A$2500)=AV$3)*(Gastos!$B$2:$B$2500=$A103)*(Gastos!$D$2:$D$2500))</f>
        <v>8284</v>
      </c>
      <c r="AW103" s="75">
        <f t="array" ref="AW103">SUM((YEAR(Gastos!$A$2:$A$2500)=AW$1)*(MONTH(Gastos!$A$2:$A$2500)=AW$3)*(Gastos!$B$2:$B$2500=$A103)*(Gastos!$D$2:$D$2500))</f>
        <v>7872</v>
      </c>
      <c r="AX103" s="75">
        <f t="array" ref="AX103">SUM((YEAR(Gastos!$A$2:$A$2500)=AX$1)*(MONTH(Gastos!$A$2:$A$2500)=AX$3)*(Gastos!$B$2:$B$2500=$A103)*(Gastos!$D$2:$D$2500))</f>
        <v>7176</v>
      </c>
      <c r="AY103" s="75">
        <f t="array" ref="AY103">SUM((YEAR(Gastos!$A$2:$A$2500)=AY$1)*(MONTH(Gastos!$A$2:$A$2500)=AY$3)*(Gastos!$B$2:$B$2500=$A103)*(Gastos!$D$2:$D$2500))</f>
        <v>9512</v>
      </c>
      <c r="AZ103" s="75">
        <f t="array" ref="AZ103">SUM((YEAR(Gastos!$A$2:$A$2500)=AZ$1)*(MONTH(Gastos!$A$2:$A$2500)=AZ$3)*(Gastos!$B$2:$B$2500=$A103)*(Gastos!$D$2:$D$2500))</f>
        <v>5980</v>
      </c>
      <c r="BA103" s="75">
        <f t="array" ref="BA103">SUM((YEAR(Gastos!$A$2:$A$2500)=BA$1)*(MONTH(Gastos!$A$2:$A$2500)=BA$3)*(Gastos!$B$2:$B$2500=$A103)*(Gastos!$D$2:$D$2500))</f>
        <v>8104</v>
      </c>
      <c r="BB103" s="75">
        <f t="array" ref="BB103">SUM((YEAR(Gastos!$A$2:$A$2500)=BB$1)*(MONTH(Gastos!$A$2:$A$2500)=BB$3)*(Gastos!$B$2:$B$2500=$A103)*(Gastos!$D$2:$D$2500))</f>
        <v>5104</v>
      </c>
      <c r="BC103" s="75">
        <f t="array" ref="BC103">SUM((YEAR(Gastos!$A$2:$A$2500)=BC$1)*(MONTH(Gastos!$A$2:$A$2500)=BC$3)*(Gastos!$B$2:$B$2500=$A103)*(Gastos!$D$2:$D$2500))</f>
        <v>0</v>
      </c>
      <c r="BD103" s="75">
        <f t="array" ref="BD103">SUM((YEAR(Gastos!$A$2:$A$2500)=BD$1)*(MONTH(Gastos!$A$2:$A$2500)=BD$3)*(Gastos!$B$2:$B$2500=$A103)*(Gastos!$D$2:$D$2500))</f>
        <v>0</v>
      </c>
      <c r="BE103" s="75">
        <f t="array" ref="BE103">SUM((YEAR(Gastos!$A$2:$A$2500)=BE$1)*(MONTH(Gastos!$A$2:$A$2500)=BE$3)*(Gastos!$B$2:$B$2500=$A103)*(Gastos!$D$2:$D$2500))</f>
        <v>0</v>
      </c>
      <c r="BF103" s="75">
        <f t="array" ref="BF103">SUM((YEAR(Gastos!$A$2:$A$2500)=BF$1)*(MONTH(Gastos!$A$2:$A$2500)=BF$3)*(Gastos!$B$2:$B$2500=$A103)*(Gastos!$D$2:$D$2500))</f>
        <v>0</v>
      </c>
      <c r="BG103" s="75">
        <f t="array" ref="BG103">SUM((YEAR(Gastos!$A$2:$A$2500)=BG$1)*(MONTH(Gastos!$A$2:$A$2500)=BG$3)*(Gastos!$B$2:$B$2500=$A103)*(Gastos!$D$2:$D$2500))</f>
        <v>0</v>
      </c>
      <c r="BH103" s="75">
        <f t="array" ref="BH103">SUM((YEAR(Gastos!$A$2:$A$2500)=BH$1)*(MONTH(Gastos!$A$2:$A$2500)=BH$3)*(Gastos!$B$2:$B$2500=$A103)*(Gastos!$D$2:$D$2500))</f>
        <v>0</v>
      </c>
      <c r="BI103" s="75">
        <f t="array" ref="BI103">SUM((YEAR(Gastos!$A$2:$A$2500)=BI$1)*(MONTH(Gastos!$A$2:$A$2500)=BI$3)*(Gastos!$B$2:$B$2500=$A103)*(Gastos!$D$2:$D$2500))</f>
        <v>0</v>
      </c>
      <c r="BJ103" s="75">
        <f t="array" ref="BJ103">SUM((YEAR(Gastos!$A$2:$A$2500)=BJ$1)*(MONTH(Gastos!$A$2:$A$2500)=BJ$3)*(Gastos!$B$2:$B$2500=$A103)*(Gastos!$D$2:$D$2500))</f>
        <v>0</v>
      </c>
      <c r="BK103" s="75">
        <f t="array" ref="BK103">SUM((YEAR(Gastos!$A$2:$A$2500)=BK$1)*(MONTH(Gastos!$A$2:$A$2500)=BK$3)*(Gastos!$B$2:$B$2500=$A103)*(Gastos!$D$2:$D$2500))</f>
        <v>0</v>
      </c>
      <c r="BL103" s="75">
        <f t="array" ref="BL103">SUM((YEAR(Gastos!$A$2:$A$2500)=BL$1)*(MONTH(Gastos!$A$2:$A$2500)=BL$3)*(Gastos!$B$2:$B$2500=$A103)*(Gastos!$D$2:$D$2500))</f>
        <v>0</v>
      </c>
      <c r="BM103" s="75">
        <f t="array" ref="BM103">SUM((YEAR(Gastos!$A$2:$A$2500)=BM$1)*(MONTH(Gastos!$A$2:$A$2500)=BM$3)*(Gastos!$B$2:$B$2500=$A103)*(Gastos!$D$2:$D$2500))</f>
        <v>0</v>
      </c>
      <c r="BN103" s="75">
        <f t="array" ref="BN103">SUM((YEAR(Gastos!$A$2:$A$2500)=BN$1)*(MONTH(Gastos!$A$2:$A$2500)=BN$3)*(Gastos!$B$2:$B$2500=$A103)*(Gastos!$D$2:$D$2500))</f>
        <v>0</v>
      </c>
      <c r="BO103" s="75">
        <f t="array" ref="BO103">SUM((YEAR(Gastos!$A$2:$A$2500)=BO$1)*(MONTH(Gastos!$A$2:$A$2500)=BO$3)*(Gastos!$B$2:$B$2500=$A103)*(Gastos!$D$2:$D$2500))</f>
        <v>0</v>
      </c>
      <c r="BP103" s="75">
        <f t="array" ref="BP103">SUM((YEAR(Gastos!$A$2:$A$2500)=BP$1)*(MONTH(Gastos!$A$2:$A$2500)=BP$3)*(Gastos!$B$2:$B$2500=$A103)*(Gastos!$D$2:$D$2500))</f>
        <v>0</v>
      </c>
      <c r="BQ103" s="75">
        <f t="array" ref="BQ103">SUM((YEAR(Gastos!$A$2:$A$2500)=BQ$1)*(MONTH(Gastos!$A$2:$A$2500)=BQ$3)*(Gastos!$B$2:$B$2500=$A103)*(Gastos!$D$2:$D$2500))</f>
        <v>0</v>
      </c>
      <c r="BR103" s="75">
        <f t="array" ref="BR103">SUM((YEAR(Gastos!$A$2:$A$2500)=BR$1)*(MONTH(Gastos!$A$2:$A$2500)=BR$3)*(Gastos!$B$2:$B$2500=$A103)*(Gastos!$D$2:$D$2500))</f>
        <v>0</v>
      </c>
      <c r="BS103" s="75">
        <f t="array" ref="BS103">SUM((YEAR(Gastos!$A$2:$A$2500)=BS$1)*(MONTH(Gastos!$A$2:$A$2500)=BS$3)*(Gastos!$B$2:$B$2500=$A103)*(Gastos!$D$2:$D$2500))</f>
        <v>0</v>
      </c>
      <c r="BT103" s="75">
        <f t="array" ref="BT103">SUM((YEAR(Gastos!$A$2:$A$2500)=BT$1)*(MONTH(Gastos!$A$2:$A$2500)=BT$3)*(Gastos!$B$2:$B$2500=$A103)*(Gastos!$D$2:$D$2500))</f>
        <v>0</v>
      </c>
      <c r="BU103" s="75">
        <f t="array" ref="BU103">SUM((YEAR(Gastos!$A$2:$A$2500)=BU$1)*(MONTH(Gastos!$A$2:$A$2500)=BU$3)*(Gastos!$B$2:$B$2500=$A103)*(Gastos!$D$2:$D$2500))</f>
        <v>0</v>
      </c>
      <c r="BV103" s="75">
        <f t="array" ref="BV103">SUM((YEAR(Gastos!$A$2:$A$2500)=BV$1)*(MONTH(Gastos!$A$2:$A$2500)=BV$3)*(Gastos!$B$2:$B$2500=$A103)*(Gastos!$D$2:$D$2500))</f>
        <v>0</v>
      </c>
      <c r="BW103" s="75">
        <f t="array" ref="BW103">SUM((YEAR(Gastos!$A$2:$A$2500)=BW$1)*(MONTH(Gastos!$A$2:$A$2500)=BW$3)*(Gastos!$B$2:$B$2500=$A103)*(Gastos!$D$2:$D$2500))</f>
        <v>0</v>
      </c>
      <c r="BX103" s="75">
        <f t="array" ref="BX103">SUM((YEAR(Gastos!$A$2:$A$2500)=BX$1)*(MONTH(Gastos!$A$2:$A$2500)=BX$3)*(Gastos!$B$2:$B$2500=$A103)*(Gastos!$D$2:$D$2500))</f>
        <v>0</v>
      </c>
      <c r="BY103" s="75">
        <f t="array" ref="BY103">SUM((YEAR(Gastos!$A$2:$A$2500)=BY$1)*(MONTH(Gastos!$A$2:$A$2500)=BY$3)*(Gastos!$B$2:$B$2500=$A103)*(Gastos!$D$2:$D$2500))</f>
        <v>0</v>
      </c>
      <c r="BZ103" s="75">
        <f t="array" ref="BZ103">SUM((YEAR(Gastos!$A$2:$A$2500)=BZ$1)*(MONTH(Gastos!$A$2:$A$2500)=BZ$3)*(Gastos!$B$2:$B$2500=$A103)*(Gastos!$D$2:$D$2500))</f>
        <v>0</v>
      </c>
      <c r="CA103" s="75">
        <f t="array" ref="CA103">SUM((YEAR(Gastos!$A$2:$A$2500)=CA$1)*(MONTH(Gastos!$A$2:$A$2500)=CA$3)*(Gastos!$B$2:$B$2500=$A103)*(Gastos!$D$2:$D$2500))</f>
        <v>0</v>
      </c>
      <c r="CB103" s="75">
        <f t="array" ref="CB103">SUM((YEAR(Gastos!$A$2:$A$2500)=CB$1)*(MONTH(Gastos!$A$2:$A$2500)=CB$3)*(Gastos!$B$2:$B$2500=$A103)*(Gastos!$D$2:$D$2500))</f>
        <v>0</v>
      </c>
      <c r="CC103" s="75">
        <f t="array" ref="CC103">SUM((YEAR(Gastos!$A$2:$A$2500)=CC$1)*(MONTH(Gastos!$A$2:$A$2500)=CC$3)*(Gastos!$B$2:$B$2500=$A103)*(Gastos!$D$2:$D$2500))</f>
        <v>0</v>
      </c>
      <c r="CD103" s="75">
        <f t="array" ref="CD103">SUM((YEAR(Gastos!$A$2:$A$2500)=CD$1)*(MONTH(Gastos!$A$2:$A$2500)=CD$3)*(Gastos!$B$2:$B$2500=$A103)*(Gastos!$D$2:$D$2500))</f>
        <v>0</v>
      </c>
      <c r="CE103" s="75">
        <f t="array" ref="CE103">SUM((YEAR(Gastos!$A$2:$A$2500)=CE$1)*(MONTH(Gastos!$A$2:$A$2500)=CE$3)*(Gastos!$B$2:$B$2500=$A103)*(Gastos!$D$2:$D$2500))</f>
        <v>0</v>
      </c>
      <c r="CF103" s="75">
        <f t="array" ref="CF103">SUM((YEAR(Gastos!$A$2:$A$2500)=CF$1)*(MONTH(Gastos!$A$2:$A$2500)=CF$3)*(Gastos!$B$2:$B$2500=$A103)*(Gastos!$D$2:$D$2500))</f>
        <v>0</v>
      </c>
      <c r="CG103" s="75">
        <f t="array" ref="CG103">SUM((YEAR(Gastos!$A$2:$A$2500)=CG$1)*(MONTH(Gastos!$A$2:$A$2500)=CG$3)*(Gastos!$B$2:$B$2500=$A103)*(Gastos!$D$2:$D$2500))</f>
        <v>0</v>
      </c>
      <c r="CH103" s="75">
        <f t="array" ref="CH103">SUM((YEAR(Gastos!$A$2:$A$2500)=CH$1)*(MONTH(Gastos!$A$2:$A$2500)=CH$3)*(Gastos!$B$2:$B$2500=$A103)*(Gastos!$D$2:$D$2500))</f>
        <v>0</v>
      </c>
      <c r="CI103" s="75">
        <f t="array" ref="CI103">SUM((YEAR(Gastos!$A$2:$A$2500)=CI$1)*(MONTH(Gastos!$A$2:$A$2500)=CI$3)*(Gastos!$B$2:$B$2500=$A103)*(Gastos!$D$2:$D$2500))</f>
        <v>0</v>
      </c>
      <c r="CJ103" s="75">
        <f t="array" ref="CJ103">SUM((YEAR(Gastos!$A$2:$A$2500)=CJ$1)*(MONTH(Gastos!$A$2:$A$2500)=CJ$3)*(Gastos!$B$2:$B$2500=$A103)*(Gastos!$D$2:$D$2500))</f>
        <v>0</v>
      </c>
      <c r="CK103" s="75">
        <f t="array" ref="CK103">SUM((YEAR(Gastos!$A$2:$A$2500)=CK$1)*(MONTH(Gastos!$A$2:$A$2500)=CK$3)*(Gastos!$B$2:$B$2500=$A103)*(Gastos!$D$2:$D$2500))</f>
        <v>0</v>
      </c>
      <c r="CL103" s="75">
        <f t="array" ref="CL103">SUM((YEAR(Gastos!$A$2:$A$2500)=CL$1)*(MONTH(Gastos!$A$2:$A$2500)=CL$3)*(Gastos!$B$2:$B$2500=$A103)*(Gastos!$D$2:$D$2500))</f>
        <v>0</v>
      </c>
      <c r="CM103" s="75">
        <f t="array" ref="CM103">SUM((YEAR(Gastos!$A$2:$A$2500)=CM$1)*(MONTH(Gastos!$A$2:$A$2500)=CM$3)*(Gastos!$B$2:$B$2500=$A103)*(Gastos!$D$2:$D$2500))</f>
        <v>0</v>
      </c>
      <c r="CN103" s="75">
        <f t="array" ref="CN103">SUM((YEAR(Gastos!$A$2:$A$2500)=CN$1)*(MONTH(Gastos!$A$2:$A$2500)=CN$3)*(Gastos!$B$2:$B$2500=$A103)*(Gastos!$D$2:$D$2500))</f>
        <v>0</v>
      </c>
      <c r="CO103" s="75">
        <f t="array" ref="CO103">SUM((YEAR(Gastos!$A$2:$A$2500)=CO$1)*(MONTH(Gastos!$A$2:$A$2500)=CO$3)*(Gastos!$B$2:$B$2500=$A103)*(Gastos!$D$2:$D$2500))</f>
        <v>0</v>
      </c>
      <c r="CP103" s="75">
        <f t="array" ref="CP103">SUM((YEAR(Gastos!$A$2:$A$2500)=CP$1)*(MONTH(Gastos!$A$2:$A$2500)=CP$3)*(Gastos!$B$2:$B$2500=$A103)*(Gastos!$D$2:$D$2500))</f>
        <v>0</v>
      </c>
      <c r="CQ103" s="75">
        <f t="array" ref="CQ103">SUM((YEAR(Gastos!$A$2:$A$2500)=CQ$1)*(MONTH(Gastos!$A$2:$A$2500)=CQ$3)*(Gastos!$B$2:$B$2500=$A103)*(Gastos!$D$2:$D$2500))</f>
        <v>0</v>
      </c>
      <c r="CR103" s="75">
        <f t="array" ref="CR103">SUM((YEAR(Gastos!$A$2:$A$2500)=CR$1)*(MONTH(Gastos!$A$2:$A$2500)=CR$3)*(Gastos!$B$2:$B$2500=$A103)*(Gastos!$D$2:$D$2500))</f>
        <v>0</v>
      </c>
      <c r="CS103" s="75">
        <f t="array" ref="CS103">SUM((YEAR(Gastos!$A$2:$A$2500)=CS$1)*(MONTH(Gastos!$A$2:$A$2500)=CS$3)*(Gastos!$B$2:$B$2500=$A103)*(Gastos!$D$2:$D$2500))</f>
        <v>0</v>
      </c>
      <c r="CT103" s="75">
        <f t="array" ref="CT103">SUM((YEAR(Gastos!$A$2:$A$2500)=CT$1)*(MONTH(Gastos!$A$2:$A$2500)=CT$3)*(Gastos!$B$2:$B$2500=$A103)*(Gastos!$D$2:$D$2500))</f>
        <v>0</v>
      </c>
      <c r="CU103" s="75">
        <f t="array" ref="CU103">SUM((YEAR(Gastos!$A$2:$A$2500)=CU$1)*(MONTH(Gastos!$A$2:$A$2500)=CU$3)*(Gastos!$B$2:$B$2500=$A103)*(Gastos!$D$2:$D$2500))</f>
        <v>0</v>
      </c>
      <c r="CV103" s="75">
        <f t="array" ref="CV103">SUM((YEAR(Gastos!$A$2:$A$2500)=CV$1)*(MONTH(Gastos!$A$2:$A$2500)=CV$3)*(Gastos!$B$2:$B$2500=$A103)*(Gastos!$D$2:$D$2500))</f>
        <v>0</v>
      </c>
      <c r="CW103" s="75">
        <f t="array" ref="CW103">SUM((YEAR(Gastos!$A$2:$A$2500)=CW$1)*(MONTH(Gastos!$A$2:$A$2500)=CW$3)*(Gastos!$B$2:$B$2500=$A103)*(Gastos!$D$2:$D$2500))</f>
        <v>0</v>
      </c>
      <c r="CX103" s="75">
        <f t="array" ref="CX103">SUM((YEAR(Gastos!$A$2:$A$2500)=CX$1)*(MONTH(Gastos!$A$2:$A$2500)=CX$3)*(Gastos!$B$2:$B$2500=$A103)*(Gastos!$D$2:$D$2500))</f>
        <v>0</v>
      </c>
      <c r="CY103" s="75">
        <f t="array" ref="CY103">SUM((YEAR(Gastos!$A$2:$A$2500)=CY$1)*(MONTH(Gastos!$A$2:$A$2500)=CY$3)*(Gastos!$B$2:$B$2500=$A103)*(Gastos!$D$2:$D$2500))</f>
        <v>0</v>
      </c>
      <c r="CZ103" s="75">
        <f t="array" ref="CZ103">SUM((YEAR(Gastos!$A$2:$A$2500)=CZ$1)*(MONTH(Gastos!$A$2:$A$2500)=CZ$3)*(Gastos!$B$2:$B$2500=$A103)*(Gastos!$D$2:$D$2500))</f>
        <v>0</v>
      </c>
      <c r="DA103" s="75">
        <f t="array" ref="DA103">SUM((YEAR(Gastos!$A$2:$A$2500)=DA$1)*(MONTH(Gastos!$A$2:$A$2500)=DA$3)*(Gastos!$B$2:$B$2500=$A103)*(Gastos!$D$2:$D$2500))</f>
        <v>0</v>
      </c>
      <c r="DB103" s="75">
        <f t="array" ref="DB103">SUM((YEAR(Gastos!$A$2:$A$2500)=DB$1)*(MONTH(Gastos!$A$2:$A$2500)=DB$3)*(Gastos!$B$2:$B$2500=$A103)*(Gastos!$D$2:$D$2500))</f>
        <v>0</v>
      </c>
      <c r="DC103" s="75">
        <f t="array" ref="DC103">SUM((YEAR(Gastos!$A$2:$A$2500)=DC$1)*(MONTH(Gastos!$A$2:$A$2500)=DC$3)*(Gastos!$B$2:$B$2500=$A103)*(Gastos!$D$2:$D$2500))</f>
        <v>0</v>
      </c>
      <c r="DD103" s="75">
        <f t="array" ref="DD103">SUM((YEAR(Gastos!$A$2:$A$2500)=DD$1)*(MONTH(Gastos!$A$2:$A$2500)=DD$3)*(Gastos!$B$2:$B$2500=$A103)*(Gastos!$D$2:$D$2500))</f>
        <v>0</v>
      </c>
      <c r="DE103" s="75">
        <f t="array" ref="DE103">SUM((YEAR(Gastos!$A$2:$A$2500)=DE$1)*(MONTH(Gastos!$A$2:$A$2500)=DE$3)*(Gastos!$B$2:$B$2500=$A103)*(Gastos!$D$2:$D$2500))</f>
        <v>0</v>
      </c>
      <c r="DF103" s="75">
        <f t="array" ref="DF103">SUM((YEAR(Gastos!$A$2:$A$2500)=DF$1)*(MONTH(Gastos!$A$2:$A$2500)=DF$3)*(Gastos!$B$2:$B$2500=$A103)*(Gastos!$D$2:$D$2500))</f>
        <v>0</v>
      </c>
      <c r="DG103" s="75">
        <f t="array" ref="DG103">SUM((YEAR(Gastos!$A$2:$A$2500)=DG$1)*(MONTH(Gastos!$A$2:$A$2500)=DG$3)*(Gastos!$B$2:$B$2500=$A103)*(Gastos!$D$2:$D$2500))</f>
        <v>0</v>
      </c>
      <c r="DH103" s="75">
        <f t="array" ref="DH103">SUM((YEAR(Gastos!$A$2:$A$2500)=DH$1)*(MONTH(Gastos!$A$2:$A$2500)=DH$3)*(Gastos!$B$2:$B$2500=$A103)*(Gastos!$D$2:$D$2500))</f>
        <v>0</v>
      </c>
      <c r="DI103" s="75">
        <f t="array" ref="DI103">SUM((YEAR(Gastos!$A$2:$A$2500)=DI$1)*(MONTH(Gastos!$A$2:$A$2500)=DI$3)*(Gastos!$B$2:$B$2500=$A103)*(Gastos!$D$2:$D$2500))</f>
        <v>0</v>
      </c>
      <c r="DJ103" s="75">
        <f t="array" ref="DJ103">SUM((YEAR(Gastos!$A$2:$A$2500)=DJ$1)*(MONTH(Gastos!$A$2:$A$2500)=DJ$3)*(Gastos!$B$2:$B$2500=$A103)*(Gastos!$D$2:$D$2500))</f>
        <v>0</v>
      </c>
      <c r="DK103" s="75">
        <f t="array" ref="DK103">SUM((YEAR(Gastos!$A$2:$A$2500)=DK$1)*(MONTH(Gastos!$A$2:$A$2500)=DK$3)*(Gastos!$B$2:$B$2500=$A103)*(Gastos!$D$2:$D$2500))</f>
        <v>0</v>
      </c>
      <c r="DL103" s="75">
        <f t="array" ref="DL103">SUM((YEAR(Gastos!$A$2:$A$2500)=DL$1)*(MONTH(Gastos!$A$2:$A$2500)=DL$3)*(Gastos!$B$2:$B$2500=$A103)*(Gastos!$D$2:$D$2500))</f>
        <v>0</v>
      </c>
      <c r="DM103" s="75">
        <f t="array" ref="DM103">SUM((YEAR(Gastos!$A$2:$A$2500)=DM$1)*(MONTH(Gastos!$A$2:$A$2500)=DM$3)*(Gastos!$B$2:$B$2500=$A103)*(Gastos!$D$2:$D$2500))</f>
        <v>0</v>
      </c>
      <c r="DN103" s="75">
        <f t="array" ref="DN103">SUM((YEAR(Gastos!$A$2:$A$2500)=DN$1)*(MONTH(Gastos!$A$2:$A$2500)=DN$3)*(Gastos!$B$2:$B$2500=$A103)*(Gastos!$D$2:$D$2500))</f>
        <v>0</v>
      </c>
      <c r="DO103" s="75">
        <f t="array" ref="DO103">SUM((YEAR(Gastos!$A$2:$A$2500)=DO$1)*(MONTH(Gastos!$A$2:$A$2500)=DO$3)*(Gastos!$B$2:$B$2500=$A103)*(Gastos!$D$2:$D$2500))</f>
        <v>0</v>
      </c>
      <c r="DP103" s="75">
        <f t="array" ref="DP103">SUM((YEAR(Gastos!$A$2:$A$2500)=DP$1)*(MONTH(Gastos!$A$2:$A$2500)=DP$3)*(Gastos!$B$2:$B$2500=$A103)*(Gastos!$D$2:$D$2500))</f>
        <v>0</v>
      </c>
      <c r="DQ103" s="75">
        <f t="array" ref="DQ103">SUM((YEAR(Gastos!$A$2:$A$2500)=DQ$1)*(MONTH(Gastos!$A$2:$A$2500)=DQ$3)*(Gastos!$B$2:$B$2500=$A103)*(Gastos!$D$2:$D$2500))</f>
        <v>0</v>
      </c>
      <c r="DR103" s="75">
        <f t="array" ref="DR103">SUM((YEAR(Gastos!$A$2:$A$2500)=DR$1)*(MONTH(Gastos!$A$2:$A$2500)=DR$3)*(Gastos!$B$2:$B$2500=$A103)*(Gastos!$D$2:$D$2500))</f>
        <v>0</v>
      </c>
      <c r="DS103" s="75">
        <f t="array" ref="DS103">SUM((YEAR(Gastos!$A$2:$A$2500)=DS$1)*(MONTH(Gastos!$A$2:$A$2500)=DS$3)*(Gastos!$B$2:$B$2500=$A103)*(Gastos!$D$2:$D$2500))</f>
        <v>0</v>
      </c>
      <c r="DT103" s="75">
        <f t="array" ref="DT103">SUM((YEAR(Gastos!$A$2:$A$2500)=DT$1)*(MONTH(Gastos!$A$2:$A$2500)=DT$3)*(Gastos!$B$2:$B$2500=$A103)*(Gastos!$D$2:$D$2500))</f>
        <v>0</v>
      </c>
      <c r="DU103" s="75">
        <f t="array" ref="DU103">SUM((YEAR(Gastos!$A$2:$A$2500)=DU$1)*(MONTH(Gastos!$A$2:$A$2500)=DU$3)*(Gastos!$B$2:$B$2500=$A103)*(Gastos!$D$2:$D$2500))</f>
        <v>0</v>
      </c>
      <c r="DV103" s="75">
        <f t="array" ref="DV103">SUM((YEAR(Gastos!$A$2:$A$2500)=DV$1)*(MONTH(Gastos!$A$2:$A$2500)=DV$3)*(Gastos!$B$2:$B$2500=$A103)*(Gastos!$D$2:$D$2500))</f>
        <v>0</v>
      </c>
      <c r="DW103" s="75">
        <f t="array" ref="DW103">SUM((YEAR(Gastos!$A$2:$A$2500)=DW$1)*(MONTH(Gastos!$A$2:$A$2500)=DW$3)*(Gastos!$B$2:$B$2500=$A103)*(Gastos!$D$2:$D$2500))</f>
        <v>0</v>
      </c>
      <c r="DX103" s="75">
        <f t="array" ref="DX103">SUM((YEAR(Gastos!$A$2:$A$2500)=DX$1)*(MONTH(Gastos!$A$2:$A$2500)=DX$3)*(Gastos!$B$2:$B$2500=$A103)*(Gastos!$D$2:$D$2500))</f>
        <v>0</v>
      </c>
      <c r="DY103" s="75">
        <f t="array" ref="DY103">SUM((YEAR(Gastos!$A$2:$A$2500)=DY$1)*(MONTH(Gastos!$A$2:$A$2500)=DY$3)*(Gastos!$B$2:$B$2500=$A103)*(Gastos!$D$2:$D$2500))</f>
        <v>0</v>
      </c>
      <c r="DZ103" s="75">
        <f t="array" ref="DZ103">SUM((YEAR(Gastos!$A$2:$A$2500)=DZ$1)*(MONTH(Gastos!$A$2:$A$2500)=DZ$3)*(Gastos!$B$2:$B$2500=$A103)*(Gastos!$D$2:$D$2500))</f>
        <v>0</v>
      </c>
      <c r="EA103" s="75">
        <f t="array" ref="EA103">SUM((YEAR(Gastos!$A$2:$A$2500)=EA$1)*(MONTH(Gastos!$A$2:$A$2500)=EA$3)*(Gastos!$B$2:$B$2500=$A103)*(Gastos!$D$2:$D$2500))</f>
        <v>0</v>
      </c>
      <c r="EB103" s="75">
        <f t="array" ref="EB103">SUM((YEAR(Gastos!$A$2:$A$2500)=EB$1)*(MONTH(Gastos!$A$2:$A$2500)=EB$3)*(Gastos!$B$2:$B$2500=$A103)*(Gastos!$D$2:$D$2500))</f>
        <v>0</v>
      </c>
      <c r="EC103" s="75">
        <f t="array" ref="EC103">SUM((YEAR(Gastos!$A$2:$A$2500)=EC$1)*(MONTH(Gastos!$A$2:$A$2500)=EC$3)*(Gastos!$B$2:$B$2500=$A103)*(Gastos!$D$2:$D$2500))</f>
        <v>0</v>
      </c>
      <c r="ED103" s="75">
        <f t="array" ref="ED103">SUM((YEAR(Gastos!$A$2:$A$2500)=ED$1)*(MONTH(Gastos!$A$2:$A$2500)=ED$3)*(Gastos!$B$2:$B$2500=$A103)*(Gastos!$D$2:$D$2500))</f>
        <v>0</v>
      </c>
      <c r="EE103" s="75">
        <f t="array" ref="EE103">SUM((YEAR(Gastos!$A$2:$A$2500)=EE$1)*(MONTH(Gastos!$A$2:$A$2500)=EE$3)*(Gastos!$B$2:$B$2500=$A103)*(Gastos!$D$2:$D$2500))</f>
        <v>0</v>
      </c>
      <c r="EF103" s="75">
        <f t="array" ref="EF103">SUM((YEAR(Gastos!$A$2:$A$2500)=EF$1)*(MONTH(Gastos!$A$2:$A$2500)=EF$3)*(Gastos!$B$2:$B$2500=$A103)*(Gastos!$D$2:$D$2500))</f>
        <v>0</v>
      </c>
      <c r="EG103" s="75">
        <f t="array" ref="EG103">SUM((YEAR(Gastos!$A$2:$A$2500)=EG$1)*(MONTH(Gastos!$A$2:$A$2500)=EG$3)*(Gastos!$B$2:$B$2500=$A103)*(Gastos!$D$2:$D$2500))</f>
        <v>0</v>
      </c>
      <c r="EH103" s="75">
        <f t="array" ref="EH103">SUM((YEAR(Gastos!$A$2:$A$2500)=EH$1)*(MONTH(Gastos!$A$2:$A$2500)=EH$3)*(Gastos!$B$2:$B$2500=$A103)*(Gastos!$D$2:$D$2500))</f>
        <v>0</v>
      </c>
      <c r="EI103" s="75">
        <f t="array" ref="EI103">SUM((YEAR(Gastos!$A$2:$A$2500)=EI$1)*(MONTH(Gastos!$A$2:$A$2500)=EI$3)*(Gastos!$B$2:$B$2500=$A103)*(Gastos!$D$2:$D$2500))</f>
        <v>0</v>
      </c>
      <c r="EJ103" s="75">
        <f t="array" ref="EJ103">SUM((YEAR(Gastos!$A$2:$A$2500)=EJ$1)*(MONTH(Gastos!$A$2:$A$2500)=EJ$3)*(Gastos!$B$2:$B$2500=$A103)*(Gastos!$D$2:$D$2500))</f>
        <v>0</v>
      </c>
      <c r="EK103" s="75">
        <f t="array" ref="EK103">SUM((YEAR(Gastos!$A$2:$A$2500)=EK$1)*(MONTH(Gastos!$A$2:$A$2500)=EK$3)*(Gastos!$B$2:$B$2500=$A103)*(Gastos!$D$2:$D$2500))</f>
        <v>0</v>
      </c>
      <c r="EL103" s="75">
        <f t="array" ref="EL103">SUM((YEAR(Gastos!$A$2:$A$2500)=EL$1)*(MONTH(Gastos!$A$2:$A$2500)=EL$3)*(Gastos!$B$2:$B$2500=$A103)*(Gastos!$D$2:$D$2500))</f>
        <v>0</v>
      </c>
      <c r="EM103" s="75">
        <f t="array" ref="EM103">SUM((YEAR(Gastos!$A$2:$A$2500)=EM$1)*(MONTH(Gastos!$A$2:$A$2500)=EM$3)*(Gastos!$B$2:$B$2500=$A103)*(Gastos!$D$2:$D$2500))</f>
        <v>0</v>
      </c>
      <c r="EN103" s="75">
        <f t="array" ref="EN103">SUM((YEAR(Gastos!$A$2:$A$2500)=EN$1)*(MONTH(Gastos!$A$2:$A$2500)=EN$3)*(Gastos!$B$2:$B$2500=$A103)*(Gastos!$D$2:$D$2500))</f>
        <v>0</v>
      </c>
      <c r="EO103" s="75">
        <f t="array" ref="EO103">SUM((YEAR(Gastos!$A$2:$A$2500)=EO$1)*(MONTH(Gastos!$A$2:$A$2500)=EO$3)*(Gastos!$B$2:$B$2500=$A103)*(Gastos!$D$2:$D$2500))</f>
        <v>0</v>
      </c>
      <c r="EP103" s="75">
        <f t="array" ref="EP103">SUM((YEAR(Gastos!$A$2:$A$2500)=EP$1)*(MONTH(Gastos!$A$2:$A$2500)=EP$3)*(Gastos!$B$2:$B$2500=$A103)*(Gastos!$D$2:$D$2500))</f>
        <v>0</v>
      </c>
      <c r="EQ103" s="75">
        <f t="array" ref="EQ103">SUM((YEAR(Gastos!$A$2:$A$2500)=EQ$1)*(MONTH(Gastos!$A$2:$A$2500)=EQ$3)*(Gastos!$B$2:$B$2500=$A103)*(Gastos!$D$2:$D$2500))</f>
        <v>0</v>
      </c>
      <c r="ER103" s="75">
        <f t="array" ref="ER103">SUM((YEAR(Gastos!$A$2:$A$2500)=ER$1)*(MONTH(Gastos!$A$2:$A$2500)=ER$3)*(Gastos!$B$2:$B$2500=$A103)*(Gastos!$D$2:$D$2500))</f>
        <v>0</v>
      </c>
      <c r="ES103" s="75">
        <f t="array" ref="ES103">SUM((YEAR(Gastos!$A$2:$A$2500)=ES$1)*(MONTH(Gastos!$A$2:$A$2500)=ES$3)*(Gastos!$B$2:$B$2500=$A103)*(Gastos!$D$2:$D$2500))</f>
        <v>0</v>
      </c>
      <c r="ET103" s="75">
        <f t="array" ref="ET103">SUM((YEAR(Gastos!$A$2:$A$2500)=ET$1)*(MONTH(Gastos!$A$2:$A$2500)=ET$3)*(Gastos!$B$2:$B$2500=$A103)*(Gastos!$D$2:$D$2500))</f>
        <v>0</v>
      </c>
      <c r="EU103" s="75">
        <f t="array" ref="EU103">SUM((YEAR(Gastos!$A$2:$A$2500)=EU$1)*(MONTH(Gastos!$A$2:$A$2500)=EU$3)*(Gastos!$B$2:$B$2500=$A103)*(Gastos!$D$2:$D$2500))</f>
        <v>0</v>
      </c>
      <c r="EV103" s="75">
        <f t="array" ref="EV103">SUM((YEAR(Gastos!$A$2:$A$2500)=EV$1)*(MONTH(Gastos!$A$2:$A$2500)=EV$3)*(Gastos!$B$2:$B$2500=$A103)*(Gastos!$D$2:$D$2500))</f>
        <v>0</v>
      </c>
      <c r="EW103" s="75">
        <f t="array" ref="EW103">SUM((YEAR(Gastos!$A$2:$A$2500)=EW$1)*(MONTH(Gastos!$A$2:$A$2500)=EW$3)*(Gastos!$B$2:$B$2500=$A103)*(Gastos!$D$2:$D$2500))</f>
        <v>0</v>
      </c>
      <c r="EX103" s="75">
        <f t="array" ref="EX103">SUM((YEAR(Gastos!$A$2:$A$2500)=EX$1)*(MONTH(Gastos!$A$2:$A$2500)=EX$3)*(Gastos!$B$2:$B$2500=$A103)*(Gastos!$D$2:$D$2500))</f>
        <v>0</v>
      </c>
      <c r="EY103" s="75">
        <f t="array" ref="EY103">SUM((YEAR(Gastos!$A$2:$A$2500)=EY$1)*(MONTH(Gastos!$A$2:$A$2500)=EY$3)*(Gastos!$B$2:$B$2500=$A103)*(Gastos!$D$2:$D$2500))</f>
        <v>0</v>
      </c>
      <c r="EZ103" s="75">
        <f t="array" ref="EZ103">SUM((YEAR(Gastos!$A$2:$A$2500)=EZ$1)*(MONTH(Gastos!$A$2:$A$2500)=EZ$3)*(Gastos!$B$2:$B$2500=$A103)*(Gastos!$D$2:$D$2500))</f>
        <v>0</v>
      </c>
      <c r="FA103" s="75">
        <f t="array" ref="FA103">SUM((YEAR(Gastos!$A$2:$A$2500)=FA$1)*(MONTH(Gastos!$A$2:$A$2500)=FA$3)*(Gastos!$B$2:$B$2500=$A103)*(Gastos!$D$2:$D$2500))</f>
        <v>0</v>
      </c>
      <c r="FB103" s="75">
        <f t="array" ref="FB103">SUM((YEAR(Gastos!$A$2:$A$2500)=FB$1)*(MONTH(Gastos!$A$2:$A$2500)=FB$3)*(Gastos!$B$2:$B$2500=$A103)*(Gastos!$D$2:$D$2500))</f>
        <v>0</v>
      </c>
      <c r="FC103" s="75">
        <f t="array" ref="FC103">SUM((YEAR(Gastos!$A$2:$A$2500)=FC$1)*(MONTH(Gastos!$A$2:$A$2500)=FC$3)*(Gastos!$B$2:$B$2500=$A103)*(Gastos!$D$2:$D$2500))</f>
        <v>0</v>
      </c>
      <c r="FD103" s="75">
        <f t="array" ref="FD103">SUM((YEAR(Gastos!$A$2:$A$2500)=FD$1)*(MONTH(Gastos!$A$2:$A$2500)=FD$3)*(Gastos!$B$2:$B$2500=$A103)*(Gastos!$D$2:$D$2500))</f>
        <v>0</v>
      </c>
      <c r="FE103" s="75">
        <f t="array" ref="FE103">SUM((YEAR(Gastos!$A$2:$A$2500)=FE$1)*(MONTH(Gastos!$A$2:$A$2500)=FE$3)*(Gastos!$B$2:$B$2500=$A103)*(Gastos!$D$2:$D$2500))</f>
        <v>0</v>
      </c>
      <c r="FF103" s="75">
        <f t="array" ref="FF103">SUM((YEAR(Gastos!$A$2:$A$2500)=FF$1)*(MONTH(Gastos!$A$2:$A$2500)=FF$3)*(Gastos!$B$2:$B$2500=$A103)*(Gastos!$D$2:$D$2500))</f>
        <v>0</v>
      </c>
      <c r="FG103" s="75">
        <f t="array" ref="FG103">SUM((YEAR(Gastos!$A$2:$A$2500)=FG$1)*(MONTH(Gastos!$A$2:$A$2500)=FG$3)*(Gastos!$B$2:$B$2500=$A103)*(Gastos!$D$2:$D$2500))</f>
        <v>0</v>
      </c>
      <c r="FH103" s="75">
        <f t="array" ref="FH103">SUM((YEAR(Gastos!$A$2:$A$2500)=FH$1)*(MONTH(Gastos!$A$2:$A$2500)=FH$3)*(Gastos!$B$2:$B$2500=$A103)*(Gastos!$D$2:$D$2500))</f>
        <v>0</v>
      </c>
      <c r="FI103" s="75">
        <f t="array" ref="FI103">SUM((YEAR(Gastos!$A$2:$A$2500)=FI$1)*(MONTH(Gastos!$A$2:$A$2500)=FI$3)*(Gastos!$B$2:$B$2500=$A103)*(Gastos!$D$2:$D$2500))</f>
        <v>0</v>
      </c>
      <c r="FJ103" s="75">
        <f t="array" ref="FJ103">SUM((YEAR(Gastos!$A$2:$A$2500)=FJ$1)*(MONTH(Gastos!$A$2:$A$2500)=FJ$3)*(Gastos!$B$2:$B$2500=$A103)*(Gastos!$D$2:$D$2500))</f>
        <v>0</v>
      </c>
      <c r="FK103" s="75">
        <f t="array" ref="FK103">SUM((YEAR(Gastos!$A$2:$A$2500)=FK$1)*(MONTH(Gastos!$A$2:$A$2500)=FK$3)*(Gastos!$B$2:$B$2500=$A103)*(Gastos!$D$2:$D$2500))</f>
        <v>0</v>
      </c>
      <c r="FL103" s="75">
        <f t="array" ref="FL103">SUM((YEAR(Gastos!$A$2:$A$2500)=FL$1)*(MONTH(Gastos!$A$2:$A$2500)=FL$3)*(Gastos!$B$2:$B$2500=$A103)*(Gastos!$D$2:$D$2500))</f>
        <v>0</v>
      </c>
      <c r="FM103" s="75">
        <f t="array" ref="FM103">SUM((YEAR(Gastos!$A$2:$A$2500)=FM$1)*(MONTH(Gastos!$A$2:$A$2500)=FM$3)*(Gastos!$B$2:$B$2500=$A103)*(Gastos!$D$2:$D$2500))</f>
        <v>0</v>
      </c>
      <c r="FN103" s="75">
        <f t="array" ref="FN103">SUM((YEAR(Gastos!$A$2:$A$2500)=FN$1)*(MONTH(Gastos!$A$2:$A$2500)=FN$3)*(Gastos!$B$2:$B$2500=$A103)*(Gastos!$D$2:$D$2500))</f>
        <v>0</v>
      </c>
      <c r="FO103" s="75">
        <f t="array" ref="FO103">SUM((YEAR(Gastos!$A$2:$A$2500)=FO$1)*(MONTH(Gastos!$A$2:$A$2500)=FO$3)*(Gastos!$B$2:$B$2500=$A103)*(Gastos!$D$2:$D$2500))</f>
        <v>0</v>
      </c>
      <c r="FP103" s="75">
        <f t="array" ref="FP103">SUM((YEAR(Gastos!$A$2:$A$2500)=FP$1)*(MONTH(Gastos!$A$2:$A$2500)=FP$3)*(Gastos!$B$2:$B$2500=$A103)*(Gastos!$D$2:$D$2500))</f>
        <v>0</v>
      </c>
      <c r="FQ103" s="75">
        <f t="array" ref="FQ103">SUM((YEAR(Gastos!$A$2:$A$2500)=FQ$1)*(MONTH(Gastos!$A$2:$A$2500)=FQ$3)*(Gastos!$B$2:$B$2500=$A103)*(Gastos!$D$2:$D$2500))</f>
        <v>0</v>
      </c>
      <c r="FR103" s="75">
        <f t="array" ref="FR103">SUM((YEAR(Gastos!$A$2:$A$2500)=FR$1)*(MONTH(Gastos!$A$2:$A$2500)=FR$3)*(Gastos!$B$2:$B$2500=$A103)*(Gastos!$D$2:$D$2500))</f>
        <v>0</v>
      </c>
      <c r="FS103" s="75">
        <f t="array" ref="FS103">SUM((YEAR(Gastos!$A$2:$A$2500)=FS$1)*(MONTH(Gastos!$A$2:$A$2500)=FS$3)*(Gastos!$B$2:$B$2500=$A103)*(Gastos!$D$2:$D$2500))</f>
        <v>0</v>
      </c>
      <c r="FT103" s="75">
        <f t="array" ref="FT103">SUM((YEAR(Gastos!$A$2:$A$2500)=FT$1)*(MONTH(Gastos!$A$2:$A$2500)=FT$3)*(Gastos!$B$2:$B$2500=$A103)*(Gastos!$D$2:$D$2500))</f>
        <v>0</v>
      </c>
      <c r="FU103" s="75">
        <f t="array" ref="FU103">SUM((YEAR(Gastos!$A$2:$A$2500)=FU$1)*(MONTH(Gastos!$A$2:$A$2500)=FU$3)*(Gastos!$B$2:$B$2500=$A103)*(Gastos!$D$2:$D$2500))</f>
        <v>0</v>
      </c>
      <c r="FV103" s="75">
        <f t="array" ref="FV103">SUM((YEAR(Gastos!$A$2:$A$2500)=FV$1)*(MONTH(Gastos!$A$2:$A$2500)=FV$3)*(Gastos!$B$2:$B$2500=$A103)*(Gastos!$D$2:$D$2500))</f>
        <v>0</v>
      </c>
      <c r="FW103" s="75">
        <f t="array" ref="FW103">SUM((YEAR(Gastos!$A$2:$A$2500)=FW$1)*(MONTH(Gastos!$A$2:$A$2500)=FW$3)*(Gastos!$B$2:$B$2500=$A103)*(Gastos!$D$2:$D$2500))</f>
        <v>0</v>
      </c>
      <c r="FX103" s="75">
        <f t="array" ref="FX103">SUM((YEAR(Gastos!$A$2:$A$2500)=FX$1)*(MONTH(Gastos!$A$2:$A$2500)=FX$3)*(Gastos!$B$2:$B$2500=$A103)*(Gastos!$D$2:$D$2500))</f>
        <v>0</v>
      </c>
      <c r="FY103" s="75">
        <f t="array" ref="FY103">SUM((YEAR(Gastos!$A$2:$A$2500)=FY$1)*(MONTH(Gastos!$A$2:$A$2500)=FY$3)*(Gastos!$B$2:$B$2500=$A103)*(Gastos!$D$2:$D$2500))</f>
        <v>0</v>
      </c>
      <c r="FZ103" s="76">
        <f t="shared" si="68"/>
        <v>96801.84</v>
      </c>
      <c r="GA103" s="80"/>
      <c r="GB103" s="82"/>
    </row>
    <row r="104" spans="1:193" ht="22" thickTop="1" thickBot="1" x14ac:dyDescent="0.55000000000000004">
      <c r="A104" s="83" t="s">
        <v>573</v>
      </c>
      <c r="B104" s="84">
        <f t="shared" ref="B104:GA104" si="69">SUM(B4:B103)</f>
        <v>21693.200000000001</v>
      </c>
      <c r="C104" s="84">
        <f t="shared" si="69"/>
        <v>24910.2</v>
      </c>
      <c r="D104" s="84">
        <f t="shared" si="69"/>
        <v>34165.08</v>
      </c>
      <c r="E104" s="84">
        <f t="shared" si="69"/>
        <v>0</v>
      </c>
      <c r="F104" s="84">
        <f t="shared" si="69"/>
        <v>65692.41</v>
      </c>
      <c r="G104" s="84">
        <f t="shared" si="69"/>
        <v>51551.520000000004</v>
      </c>
      <c r="H104" s="84">
        <f t="shared" si="69"/>
        <v>33662.300000000003</v>
      </c>
      <c r="I104" s="84">
        <f t="shared" si="69"/>
        <v>37859.4</v>
      </c>
      <c r="J104" s="84">
        <f t="shared" si="69"/>
        <v>29066.6</v>
      </c>
      <c r="K104" s="84">
        <f t="shared" si="69"/>
        <v>12927.6</v>
      </c>
      <c r="L104" s="84">
        <f t="shared" si="69"/>
        <v>63269.599999999999</v>
      </c>
      <c r="M104" s="84">
        <f t="shared" si="69"/>
        <v>81231.399999999994</v>
      </c>
      <c r="N104" s="84">
        <f t="shared" si="69"/>
        <v>31016.400000000001</v>
      </c>
      <c r="O104" s="84">
        <f t="shared" si="69"/>
        <v>39603.4</v>
      </c>
      <c r="P104" s="84">
        <f t="shared" si="69"/>
        <v>49906.400000000001</v>
      </c>
      <c r="Q104" s="84">
        <f t="shared" si="69"/>
        <v>34389.199999999997</v>
      </c>
      <c r="R104" s="84">
        <f t="shared" si="69"/>
        <v>40052.379999999997</v>
      </c>
      <c r="S104" s="84">
        <f t="shared" si="69"/>
        <v>37711.800000000003</v>
      </c>
      <c r="T104" s="84">
        <f t="shared" si="69"/>
        <v>39383.870000000003</v>
      </c>
      <c r="U104" s="84">
        <f t="shared" si="69"/>
        <v>63774.100000000006</v>
      </c>
      <c r="V104" s="84">
        <f t="shared" si="69"/>
        <v>41684.199999999997</v>
      </c>
      <c r="W104" s="84">
        <f t="shared" si="69"/>
        <v>48695.4</v>
      </c>
      <c r="X104" s="84">
        <f t="shared" si="69"/>
        <v>46093.2</v>
      </c>
      <c r="Y104" s="84">
        <f t="shared" si="69"/>
        <v>55830.8</v>
      </c>
      <c r="Z104" s="84">
        <f t="shared" si="69"/>
        <v>25369</v>
      </c>
      <c r="AA104" s="84">
        <f t="shared" si="69"/>
        <v>32321.4</v>
      </c>
      <c r="AB104" s="84">
        <f t="shared" si="69"/>
        <v>49835.199999999997</v>
      </c>
      <c r="AC104" s="84">
        <f t="shared" si="69"/>
        <v>37008.799999999996</v>
      </c>
      <c r="AD104" s="84">
        <f t="shared" si="69"/>
        <v>41163.599999999999</v>
      </c>
      <c r="AE104" s="84">
        <f t="shared" si="69"/>
        <v>33276.800000000003</v>
      </c>
      <c r="AF104" s="84">
        <f t="shared" si="69"/>
        <v>31121.599999999999</v>
      </c>
      <c r="AG104" s="84">
        <f t="shared" si="69"/>
        <v>47128.800000000003</v>
      </c>
      <c r="AH104" s="84">
        <f t="shared" si="69"/>
        <v>31404.400000000001</v>
      </c>
      <c r="AI104" s="84">
        <f t="shared" si="69"/>
        <v>35184.199999999997</v>
      </c>
      <c r="AJ104" s="84">
        <f t="shared" si="69"/>
        <v>43940</v>
      </c>
      <c r="AK104" s="84">
        <f t="shared" si="69"/>
        <v>55621.08</v>
      </c>
      <c r="AL104" s="84">
        <f t="shared" si="69"/>
        <v>33492.6</v>
      </c>
      <c r="AM104" s="84">
        <f t="shared" si="69"/>
        <v>14592.8</v>
      </c>
      <c r="AN104" s="84">
        <f t="shared" si="69"/>
        <v>40443.4</v>
      </c>
      <c r="AO104" s="84">
        <f t="shared" si="69"/>
        <v>43584.4</v>
      </c>
      <c r="AP104" s="84">
        <f t="shared" si="69"/>
        <v>45966.21</v>
      </c>
      <c r="AQ104" s="84">
        <f t="shared" si="69"/>
        <v>25087.200000000001</v>
      </c>
      <c r="AR104" s="84">
        <f t="shared" si="69"/>
        <v>67850.06</v>
      </c>
      <c r="AS104" s="84">
        <f t="shared" si="69"/>
        <v>32841.759999999995</v>
      </c>
      <c r="AT104" s="84">
        <f t="shared" si="69"/>
        <v>47340.639999999999</v>
      </c>
      <c r="AU104" s="84">
        <f t="shared" si="69"/>
        <v>31166.799999999999</v>
      </c>
      <c r="AV104" s="84">
        <f t="shared" si="69"/>
        <v>46849.16</v>
      </c>
      <c r="AW104" s="84">
        <f t="shared" si="69"/>
        <v>53051.64</v>
      </c>
      <c r="AX104" s="84">
        <f t="shared" si="69"/>
        <v>33118.199999999997</v>
      </c>
      <c r="AY104" s="84">
        <f t="shared" si="69"/>
        <v>38172.6</v>
      </c>
      <c r="AZ104" s="84">
        <f t="shared" si="69"/>
        <v>43888.4</v>
      </c>
      <c r="BA104" s="84">
        <f t="shared" si="69"/>
        <v>15127.8</v>
      </c>
      <c r="BB104" s="84">
        <f t="shared" si="69"/>
        <v>12537.6</v>
      </c>
      <c r="BC104" s="84">
        <f t="shared" si="69"/>
        <v>68603.8</v>
      </c>
      <c r="BD104" s="84">
        <f t="shared" si="69"/>
        <v>17470.04</v>
      </c>
      <c r="BE104" s="84">
        <f t="shared" si="69"/>
        <v>80691.16</v>
      </c>
      <c r="BF104" s="84">
        <f t="shared" si="69"/>
        <v>36497.919999999998</v>
      </c>
      <c r="BG104" s="84">
        <f t="shared" si="69"/>
        <v>51677.43</v>
      </c>
      <c r="BH104" s="84">
        <f t="shared" si="69"/>
        <v>51454.47</v>
      </c>
      <c r="BI104" s="84">
        <f t="shared" si="69"/>
        <v>51066.75</v>
      </c>
      <c r="BJ104" s="84">
        <f t="shared" si="69"/>
        <v>37397.279999999999</v>
      </c>
      <c r="BK104" s="84">
        <f t="shared" si="69"/>
        <v>61419.020000000004</v>
      </c>
      <c r="BL104" s="84">
        <f t="shared" si="69"/>
        <v>61436.82</v>
      </c>
      <c r="BM104" s="84">
        <f t="shared" si="69"/>
        <v>50407.439999999995</v>
      </c>
      <c r="BN104" s="84">
        <f t="shared" si="69"/>
        <v>75699.319999999992</v>
      </c>
      <c r="BO104" s="84">
        <f t="shared" si="69"/>
        <v>38976.46</v>
      </c>
      <c r="BP104" s="84">
        <f t="shared" si="69"/>
        <v>64713.83</v>
      </c>
      <c r="BQ104" s="84">
        <f t="shared" si="69"/>
        <v>39868.82</v>
      </c>
      <c r="BR104" s="84">
        <f t="shared" si="69"/>
        <v>35809.78</v>
      </c>
      <c r="BS104" s="84">
        <f t="shared" si="69"/>
        <v>34777.15</v>
      </c>
      <c r="BT104" s="84">
        <f t="shared" si="69"/>
        <v>4781.32</v>
      </c>
      <c r="BU104" s="84">
        <f t="shared" si="69"/>
        <v>26117.16</v>
      </c>
      <c r="BV104" s="84">
        <f t="shared" si="69"/>
        <v>58006.16</v>
      </c>
      <c r="BW104" s="84">
        <f t="shared" si="69"/>
        <v>35658.559999999998</v>
      </c>
      <c r="BX104" s="84">
        <f t="shared" si="69"/>
        <v>61122.03</v>
      </c>
      <c r="BY104" s="84">
        <f t="shared" si="69"/>
        <v>55510.18</v>
      </c>
      <c r="BZ104" s="84">
        <f t="shared" si="69"/>
        <v>45490.060000000005</v>
      </c>
      <c r="CA104" s="84">
        <f t="shared" si="69"/>
        <v>36682.720000000001</v>
      </c>
      <c r="CB104" s="84">
        <f t="shared" si="69"/>
        <v>61809.619999999995</v>
      </c>
      <c r="CC104" s="84">
        <f t="shared" si="69"/>
        <v>73737.040000000008</v>
      </c>
      <c r="CD104" s="84">
        <f t="shared" si="69"/>
        <v>46606.6</v>
      </c>
      <c r="CE104" s="84">
        <f t="shared" si="69"/>
        <v>48792.52</v>
      </c>
      <c r="CF104" s="84">
        <f t="shared" si="69"/>
        <v>38621.24</v>
      </c>
      <c r="CG104" s="84">
        <f t="shared" si="69"/>
        <v>49878.6</v>
      </c>
      <c r="CH104" s="84">
        <f t="shared" si="69"/>
        <v>44406.59</v>
      </c>
      <c r="CI104" s="84">
        <f t="shared" si="69"/>
        <v>45559.8</v>
      </c>
      <c r="CJ104" s="84">
        <f t="shared" si="69"/>
        <v>49737.89</v>
      </c>
      <c r="CK104" s="84">
        <f t="shared" si="69"/>
        <v>51713.25</v>
      </c>
      <c r="CL104" s="84">
        <f t="shared" si="69"/>
        <v>52258</v>
      </c>
      <c r="CM104" s="84">
        <f t="shared" si="69"/>
        <v>42190.400000000001</v>
      </c>
      <c r="CN104" s="84">
        <f t="shared" si="69"/>
        <v>57783.130000000005</v>
      </c>
      <c r="CO104" s="84">
        <f t="shared" si="69"/>
        <v>54486.789999999994</v>
      </c>
      <c r="CP104" s="84">
        <f t="shared" si="69"/>
        <v>71348.459999999992</v>
      </c>
      <c r="CQ104" s="84">
        <f t="shared" si="69"/>
        <v>54946.21</v>
      </c>
      <c r="CR104" s="84">
        <f t="shared" si="69"/>
        <v>39085.57</v>
      </c>
      <c r="CS104" s="84">
        <f t="shared" si="69"/>
        <v>49226.01</v>
      </c>
      <c r="CT104" s="84">
        <f t="shared" si="69"/>
        <v>47980.75</v>
      </c>
      <c r="CU104" s="84">
        <f t="shared" si="69"/>
        <v>36621.520000000004</v>
      </c>
      <c r="CV104" s="84">
        <f t="shared" si="69"/>
        <v>111729.45000000001</v>
      </c>
      <c r="CW104" s="84">
        <f t="shared" si="69"/>
        <v>44348.2</v>
      </c>
      <c r="CX104" s="84">
        <f t="shared" si="69"/>
        <v>25144.649999999998</v>
      </c>
      <c r="CY104" s="84">
        <f t="shared" si="69"/>
        <v>72264.03</v>
      </c>
      <c r="CZ104" s="84">
        <f t="shared" si="69"/>
        <v>26622.799999999999</v>
      </c>
      <c r="DA104" s="84">
        <f t="shared" si="69"/>
        <v>106794.93000000001</v>
      </c>
      <c r="DB104" s="84">
        <f t="shared" si="69"/>
        <v>22557.64</v>
      </c>
      <c r="DC104" s="84">
        <f t="shared" si="69"/>
        <v>57736.9</v>
      </c>
      <c r="DD104" s="84">
        <f t="shared" si="69"/>
        <v>18642.599999999999</v>
      </c>
      <c r="DE104" s="84">
        <f t="shared" si="69"/>
        <v>85374.200000000012</v>
      </c>
      <c r="DF104" s="84">
        <f t="shared" si="69"/>
        <v>51488.01</v>
      </c>
      <c r="DG104" s="84">
        <f t="shared" si="69"/>
        <v>41936</v>
      </c>
      <c r="DH104" s="84">
        <f t="shared" si="69"/>
        <v>60720.979999999996</v>
      </c>
      <c r="DI104" s="84">
        <f t="shared" si="69"/>
        <v>31243.8</v>
      </c>
      <c r="DJ104" s="84">
        <f t="shared" si="69"/>
        <v>50853.8</v>
      </c>
      <c r="DK104" s="84">
        <f t="shared" si="69"/>
        <v>40114.199999999997</v>
      </c>
      <c r="DL104" s="84">
        <f t="shared" si="69"/>
        <v>45958.400000000001</v>
      </c>
      <c r="DM104" s="84">
        <f t="shared" si="69"/>
        <v>41143.050000000003</v>
      </c>
      <c r="DN104" s="84">
        <f t="shared" si="69"/>
        <v>38940.400000000001</v>
      </c>
      <c r="DO104" s="84">
        <f t="shared" si="69"/>
        <v>42988.42</v>
      </c>
      <c r="DP104" s="84">
        <f t="shared" si="69"/>
        <v>48109.270000000004</v>
      </c>
      <c r="DQ104" s="84">
        <f t="shared" si="69"/>
        <v>45694.58</v>
      </c>
      <c r="DR104" s="84">
        <f t="shared" ref="DR104:FY104" si="70">SUM(DR4:DR103)</f>
        <v>43584.6</v>
      </c>
      <c r="DS104" s="84">
        <f t="shared" si="70"/>
        <v>39534.550000000003</v>
      </c>
      <c r="DT104" s="84">
        <f t="shared" si="70"/>
        <v>42308.4</v>
      </c>
      <c r="DU104" s="84">
        <f t="shared" si="70"/>
        <v>33204.840000000004</v>
      </c>
      <c r="DV104" s="84">
        <f t="shared" si="70"/>
        <v>69689.08</v>
      </c>
      <c r="DW104" s="84">
        <f t="shared" si="70"/>
        <v>53541.599999999999</v>
      </c>
      <c r="DX104" s="84">
        <f t="shared" si="70"/>
        <v>73596.72</v>
      </c>
      <c r="DY104" s="84">
        <f t="shared" si="70"/>
        <v>48562.11</v>
      </c>
      <c r="DZ104" s="84">
        <f t="shared" si="70"/>
        <v>46322.400000000001</v>
      </c>
      <c r="EA104" s="84">
        <f t="shared" si="70"/>
        <v>33435.06</v>
      </c>
      <c r="EB104" s="84">
        <f t="shared" si="70"/>
        <v>9912</v>
      </c>
      <c r="EC104" s="84">
        <f t="shared" si="70"/>
        <v>51348.6</v>
      </c>
      <c r="ED104" s="84">
        <f t="shared" si="70"/>
        <v>148162.20000000001</v>
      </c>
      <c r="EE104" s="84">
        <f t="shared" si="70"/>
        <v>53199</v>
      </c>
      <c r="EF104" s="84">
        <f t="shared" si="70"/>
        <v>37089.800000000003</v>
      </c>
      <c r="EG104" s="84">
        <f t="shared" si="70"/>
        <v>23555.42</v>
      </c>
      <c r="EH104" s="84">
        <f t="shared" si="70"/>
        <v>39781.020000000004</v>
      </c>
      <c r="EI104" s="84">
        <f t="shared" si="70"/>
        <v>36781.020000000004</v>
      </c>
      <c r="EJ104" s="84">
        <f t="shared" si="70"/>
        <v>47895.42</v>
      </c>
      <c r="EK104" s="84">
        <f t="shared" si="70"/>
        <v>48556.240000000005</v>
      </c>
      <c r="EL104" s="84">
        <f t="shared" si="70"/>
        <v>63124.180000000008</v>
      </c>
      <c r="EM104" s="84">
        <f t="shared" si="70"/>
        <v>55448.79</v>
      </c>
      <c r="EN104" s="84">
        <f t="shared" si="70"/>
        <v>154298.58000000002</v>
      </c>
      <c r="EO104" s="84">
        <f t="shared" si="70"/>
        <v>46793</v>
      </c>
      <c r="EP104" s="84">
        <f t="shared" si="70"/>
        <v>0</v>
      </c>
      <c r="EQ104" s="84">
        <f t="shared" si="70"/>
        <v>0</v>
      </c>
      <c r="ER104" s="84">
        <f t="shared" si="70"/>
        <v>0</v>
      </c>
      <c r="ES104" s="84">
        <f t="shared" si="70"/>
        <v>0</v>
      </c>
      <c r="ET104" s="84">
        <f t="shared" si="70"/>
        <v>0</v>
      </c>
      <c r="EU104" s="84">
        <f t="shared" si="70"/>
        <v>0</v>
      </c>
      <c r="EV104" s="84">
        <f t="shared" si="70"/>
        <v>0</v>
      </c>
      <c r="EW104" s="84">
        <f t="shared" si="70"/>
        <v>0</v>
      </c>
      <c r="EX104" s="84">
        <f t="shared" si="70"/>
        <v>0</v>
      </c>
      <c r="EY104" s="84">
        <f t="shared" si="70"/>
        <v>0</v>
      </c>
      <c r="EZ104" s="84">
        <f t="shared" si="70"/>
        <v>0</v>
      </c>
      <c r="FA104" s="84">
        <f t="shared" si="70"/>
        <v>0</v>
      </c>
      <c r="FB104" s="84">
        <f t="shared" si="70"/>
        <v>0</v>
      </c>
      <c r="FC104" s="84">
        <f t="shared" si="70"/>
        <v>0</v>
      </c>
      <c r="FD104" s="84">
        <f t="shared" si="70"/>
        <v>0</v>
      </c>
      <c r="FE104" s="84">
        <f t="shared" si="70"/>
        <v>0</v>
      </c>
      <c r="FF104" s="84">
        <f t="shared" si="70"/>
        <v>0</v>
      </c>
      <c r="FG104" s="84">
        <f t="shared" si="70"/>
        <v>0</v>
      </c>
      <c r="FH104" s="84">
        <f t="shared" si="70"/>
        <v>0</v>
      </c>
      <c r="FI104" s="84">
        <f t="shared" si="70"/>
        <v>0</v>
      </c>
      <c r="FJ104" s="84">
        <f t="shared" si="70"/>
        <v>0</v>
      </c>
      <c r="FK104" s="84">
        <f t="shared" si="70"/>
        <v>0</v>
      </c>
      <c r="FL104" s="84">
        <f t="shared" si="70"/>
        <v>0</v>
      </c>
      <c r="FM104" s="84">
        <f t="shared" si="70"/>
        <v>0</v>
      </c>
      <c r="FN104" s="84">
        <f t="shared" si="70"/>
        <v>0</v>
      </c>
      <c r="FO104" s="84">
        <f t="shared" si="70"/>
        <v>0</v>
      </c>
      <c r="FP104" s="84">
        <f t="shared" si="70"/>
        <v>0</v>
      </c>
      <c r="FQ104" s="84">
        <f t="shared" si="70"/>
        <v>0</v>
      </c>
      <c r="FR104" s="84">
        <f t="shared" si="70"/>
        <v>0</v>
      </c>
      <c r="FS104" s="84">
        <f t="shared" si="70"/>
        <v>0</v>
      </c>
      <c r="FT104" s="84">
        <f t="shared" si="70"/>
        <v>0</v>
      </c>
      <c r="FU104" s="84">
        <f t="shared" si="70"/>
        <v>0</v>
      </c>
      <c r="FV104" s="84">
        <f t="shared" si="70"/>
        <v>0</v>
      </c>
      <c r="FW104" s="84">
        <f t="shared" si="70"/>
        <v>0</v>
      </c>
      <c r="FX104" s="84">
        <f t="shared" si="70"/>
        <v>0</v>
      </c>
      <c r="FY104" s="84">
        <f t="shared" si="70"/>
        <v>0</v>
      </c>
      <c r="FZ104" s="85">
        <f t="shared" si="69"/>
        <v>6680913.2200000007</v>
      </c>
      <c r="GA104" s="86">
        <f t="shared" si="69"/>
        <v>0</v>
      </c>
      <c r="GB104" s="85">
        <f>SUM(GB4:GB103)</f>
        <v>75483.719999999987</v>
      </c>
      <c r="GC104" s="87"/>
    </row>
    <row r="105" spans="1:193" ht="16.5" thickTop="1" thickBot="1" x14ac:dyDescent="0.4">
      <c r="A105" s="60" t="s">
        <v>574</v>
      </c>
      <c r="M105" s="84">
        <f>SUM(B104:M104)</f>
        <v>456029.30999999994</v>
      </c>
      <c r="Y105" s="84">
        <f>SUM(N104:Y104)</f>
        <v>528141.15000000014</v>
      </c>
      <c r="AK105" s="84">
        <f>SUM(Z104:AK104)</f>
        <v>463374.88000000006</v>
      </c>
      <c r="AW105" s="84">
        <f>SUM(AL104:AW104)</f>
        <v>482266.67000000004</v>
      </c>
      <c r="BI105" s="84">
        <f>SUM(AX104:BI104)</f>
        <v>500306.16999999993</v>
      </c>
      <c r="BU105" s="84">
        <f>SUM(BJ104:BU104)</f>
        <v>531404.4</v>
      </c>
      <c r="CG105" s="84">
        <f>SUM(BV104:CG104)</f>
        <v>611915.32999999996</v>
      </c>
      <c r="CS105" s="84">
        <f>SUM(CH104:CS104)</f>
        <v>612742.09999999986</v>
      </c>
      <c r="DE105" s="84">
        <f>SUM(CT104:DE104)</f>
        <v>655817.67000000016</v>
      </c>
      <c r="DQ105" s="84">
        <f>SUM(DF104:DQ104)</f>
        <v>539190.91</v>
      </c>
      <c r="EC105" s="84">
        <f t="shared" ref="EC105" si="71">SUM(DR104:EC104)</f>
        <v>545039.96</v>
      </c>
      <c r="EO105" s="84">
        <f t="shared" ref="EO105" si="72">SUM(ED104:EO104)</f>
        <v>754684.66999999993</v>
      </c>
      <c r="FA105" s="84">
        <f t="shared" ref="FA105" si="73">SUM(EP104:FA104)</f>
        <v>0</v>
      </c>
      <c r="FM105" s="84">
        <f t="shared" ref="FM105" si="74">SUM(FB104:FM104)</f>
        <v>0</v>
      </c>
      <c r="FY105" s="84">
        <f t="shared" ref="FY105" si="75">SUM(FN104:FY104)</f>
        <v>0</v>
      </c>
      <c r="FZ105" s="60"/>
      <c r="GA105" s="60"/>
      <c r="GB105" s="60"/>
    </row>
    <row r="106" spans="1:193" ht="15" thickTop="1" x14ac:dyDescent="0.35">
      <c r="A106" s="88" t="s">
        <v>575</v>
      </c>
      <c r="B106" s="89">
        <v>29573.130000000005</v>
      </c>
      <c r="C106" s="89">
        <v>26913.5</v>
      </c>
      <c r="D106" s="89">
        <v>32166.5</v>
      </c>
      <c r="E106" s="89">
        <v>51766.37999999999</v>
      </c>
      <c r="F106" s="89">
        <v>38624.87000000001</v>
      </c>
      <c r="G106" s="89">
        <v>37625.85000000002</v>
      </c>
      <c r="H106" s="89">
        <v>47895.9</v>
      </c>
      <c r="I106" s="89">
        <v>37446.53</v>
      </c>
      <c r="J106" s="89">
        <v>28671.85</v>
      </c>
      <c r="K106" s="89">
        <v>41030.67</v>
      </c>
      <c r="L106" s="89">
        <v>40024.490000000013</v>
      </c>
      <c r="M106" s="89">
        <v>111213.28000000004</v>
      </c>
      <c r="N106" s="89">
        <v>38580.579999999994</v>
      </c>
      <c r="O106" s="89">
        <v>30214.640000000003</v>
      </c>
      <c r="P106" s="89">
        <v>36774.509999999995</v>
      </c>
      <c r="Q106" s="89">
        <v>26494.27</v>
      </c>
      <c r="R106" s="89">
        <v>32141.8</v>
      </c>
      <c r="S106" s="89">
        <v>61810.17</v>
      </c>
      <c r="T106" s="89">
        <v>43883.86</v>
      </c>
      <c r="U106" s="89">
        <v>37463.919999999991</v>
      </c>
      <c r="V106" s="89">
        <v>33910.65</v>
      </c>
      <c r="W106" s="89">
        <v>46787.450000000004</v>
      </c>
      <c r="X106" s="89">
        <v>67977.460000000006</v>
      </c>
      <c r="Y106" s="89">
        <v>47782.490000000005</v>
      </c>
      <c r="Z106" s="89">
        <v>38118.18</v>
      </c>
      <c r="AA106" s="89">
        <v>47671.439999999981</v>
      </c>
      <c r="AB106" s="89">
        <v>30793.220000000005</v>
      </c>
      <c r="AC106" s="89">
        <v>30569.220000000008</v>
      </c>
      <c r="AD106" s="89">
        <v>29287.81</v>
      </c>
      <c r="AE106" s="89">
        <v>23148.719999999998</v>
      </c>
      <c r="AF106" s="89">
        <v>29748.609999999997</v>
      </c>
      <c r="AG106" s="89">
        <v>41558.55999999999</v>
      </c>
      <c r="AH106" s="89">
        <v>37574.18</v>
      </c>
      <c r="AI106" s="89">
        <v>30367.129999999994</v>
      </c>
      <c r="AJ106" s="89">
        <v>66291.069999999992</v>
      </c>
      <c r="AK106" s="89">
        <v>44072.81</v>
      </c>
      <c r="AL106" s="89">
        <v>27047.190000000002</v>
      </c>
      <c r="AM106" s="89">
        <v>26215.859999999993</v>
      </c>
      <c r="AN106" s="89">
        <v>35120.239999999998</v>
      </c>
      <c r="AO106" s="89">
        <v>48517.63</v>
      </c>
      <c r="AP106" s="89">
        <v>36969.760000000009</v>
      </c>
      <c r="AQ106" s="89">
        <v>28036.449999999997</v>
      </c>
      <c r="AR106" s="89">
        <v>106289.45</v>
      </c>
      <c r="AS106" s="89">
        <v>42971.39</v>
      </c>
      <c r="AT106" s="89">
        <v>31246.57</v>
      </c>
      <c r="AU106" s="89">
        <v>37250.43</v>
      </c>
      <c r="AV106" s="89">
        <v>24990.280000000002</v>
      </c>
      <c r="AW106" s="89">
        <v>53143.920000000006</v>
      </c>
      <c r="AX106" s="89">
        <v>39072.909999999982</v>
      </c>
      <c r="AY106" s="89">
        <v>26274.690000000002</v>
      </c>
      <c r="AZ106" s="89">
        <v>25850.970000000012</v>
      </c>
      <c r="BA106" s="89">
        <v>25537.840000000004</v>
      </c>
      <c r="BB106" s="89">
        <v>33816.650000000009</v>
      </c>
      <c r="BC106" s="89">
        <v>41947.68</v>
      </c>
      <c r="BD106" s="89">
        <v>31786.3</v>
      </c>
      <c r="BE106" s="89">
        <v>85548.929999999978</v>
      </c>
      <c r="BF106" s="89">
        <v>64172.4</v>
      </c>
      <c r="BG106" s="89">
        <v>85687.919999999984</v>
      </c>
      <c r="BH106" s="89">
        <v>68788.680000000008</v>
      </c>
      <c r="BI106" s="89">
        <v>55437.499999999993</v>
      </c>
      <c r="BJ106" s="89">
        <v>56739.009999999987</v>
      </c>
      <c r="BK106" s="89">
        <v>43231.509999999995</v>
      </c>
      <c r="BL106" s="89">
        <v>35712.810000000005</v>
      </c>
      <c r="BM106" s="89">
        <v>44667.089999999989</v>
      </c>
      <c r="BN106" s="89">
        <v>49328.059999999983</v>
      </c>
      <c r="BO106" s="89">
        <v>36052.670000000006</v>
      </c>
      <c r="BP106" s="89">
        <v>34873.140000000007</v>
      </c>
      <c r="BQ106" s="89">
        <v>37133.670000000006</v>
      </c>
      <c r="BR106" s="89">
        <v>30901.190000000002</v>
      </c>
      <c r="BS106" s="89">
        <v>29114.41</v>
      </c>
      <c r="BT106" s="89">
        <v>30039.730000000007</v>
      </c>
      <c r="BU106" s="89">
        <v>52824.510000000009</v>
      </c>
      <c r="BV106" s="89">
        <v>45238.06</v>
      </c>
      <c r="BW106" s="89">
        <v>58777.649999999987</v>
      </c>
      <c r="BX106" s="89">
        <v>55435.179999999986</v>
      </c>
      <c r="BY106" s="89">
        <v>40887.11</v>
      </c>
      <c r="BZ106" s="89">
        <v>43247.44999999999</v>
      </c>
      <c r="CA106" s="89">
        <v>48837.01999999999</v>
      </c>
      <c r="CB106" s="89">
        <v>41585.319999999978</v>
      </c>
      <c r="CC106" s="89">
        <v>44112.24</v>
      </c>
      <c r="CD106" s="89">
        <v>44910.37999999999</v>
      </c>
      <c r="CE106" s="89">
        <v>40296.349999999984</v>
      </c>
      <c r="CF106" s="89">
        <v>38247.49</v>
      </c>
      <c r="CG106" s="89">
        <v>49677.469999999994</v>
      </c>
      <c r="CH106" s="89">
        <v>64504.249999999985</v>
      </c>
      <c r="CI106" s="89">
        <v>43147.069999999978</v>
      </c>
      <c r="CJ106" s="89">
        <v>64474.87000000001</v>
      </c>
      <c r="CK106" s="89">
        <v>88894.029999999984</v>
      </c>
      <c r="CL106" s="89">
        <v>57127.74</v>
      </c>
      <c r="CM106" s="89">
        <v>52571.899999999994</v>
      </c>
      <c r="CN106" s="89">
        <v>59623.82</v>
      </c>
      <c r="CO106" s="89">
        <v>39894.339999999989</v>
      </c>
      <c r="CP106" s="89">
        <v>31157.179999999997</v>
      </c>
      <c r="CQ106" s="89">
        <v>35010.689999999995</v>
      </c>
      <c r="CR106" s="89">
        <v>72753.270000000019</v>
      </c>
      <c r="CS106" s="89">
        <v>51028.36</v>
      </c>
      <c r="CT106" s="89">
        <v>78728.009999999995</v>
      </c>
      <c r="CU106" s="89">
        <v>31524.009999999995</v>
      </c>
      <c r="CV106" s="89">
        <v>51575.259999999995</v>
      </c>
      <c r="CW106" s="89">
        <v>35154.620000000003</v>
      </c>
      <c r="CX106" s="89">
        <v>47739.369999999995</v>
      </c>
      <c r="CY106" s="89">
        <v>57183.789999999994</v>
      </c>
      <c r="CZ106" s="89">
        <v>39669.139999999992</v>
      </c>
      <c r="DA106" s="89">
        <v>84985.339999999967</v>
      </c>
      <c r="DB106" s="89">
        <v>36297.479999999989</v>
      </c>
      <c r="DC106" s="89">
        <v>46769.189999999995</v>
      </c>
      <c r="DD106" s="89">
        <v>37023</v>
      </c>
      <c r="DE106" s="89">
        <v>50960.010000000009</v>
      </c>
      <c r="DF106" s="89">
        <v>80640.169999999969</v>
      </c>
      <c r="DG106" s="89">
        <v>43611.189999999995</v>
      </c>
      <c r="DH106" s="89">
        <v>48377.457000000002</v>
      </c>
      <c r="DI106" s="89">
        <v>37592.42</v>
      </c>
      <c r="DJ106" s="89">
        <v>53120.06</v>
      </c>
      <c r="DK106" s="89">
        <v>35044.76</v>
      </c>
      <c r="DL106" s="89">
        <v>51235.380000000005</v>
      </c>
      <c r="DM106" s="89">
        <v>44178.26999999999</v>
      </c>
      <c r="DN106" s="89">
        <v>35494.69999999999</v>
      </c>
      <c r="DO106" s="89">
        <v>43420.559999999983</v>
      </c>
      <c r="DP106" s="89">
        <v>44761.42</v>
      </c>
      <c r="DQ106" s="89">
        <v>51084.17</v>
      </c>
      <c r="DR106" s="89">
        <v>106742.23999999999</v>
      </c>
      <c r="DS106" s="89">
        <v>50083.37</v>
      </c>
      <c r="DT106" s="89">
        <v>32550.23</v>
      </c>
      <c r="DU106" s="89">
        <v>55890.30999999999</v>
      </c>
      <c r="DV106" s="89">
        <v>39510.529999999992</v>
      </c>
      <c r="DW106" s="89">
        <v>39908.140000000014</v>
      </c>
      <c r="DX106" s="89">
        <v>38962.149999999994</v>
      </c>
      <c r="DY106" s="89">
        <v>43315.180000000008</v>
      </c>
      <c r="DZ106" s="89">
        <v>46763.990000000005</v>
      </c>
      <c r="EA106" s="89">
        <v>34773.360000000001</v>
      </c>
      <c r="EB106" s="89">
        <v>27384.560000000001</v>
      </c>
      <c r="EC106" s="89">
        <v>51973.939999999988</v>
      </c>
      <c r="ED106" s="89">
        <v>136091.82999999996</v>
      </c>
      <c r="EE106" s="89">
        <v>44438.44999999999</v>
      </c>
      <c r="EF106" s="89">
        <v>36428.79</v>
      </c>
      <c r="EG106" s="89">
        <v>29439.569999999996</v>
      </c>
      <c r="EH106" s="89">
        <v>35000</v>
      </c>
      <c r="EI106" s="89">
        <v>38765.69999999999</v>
      </c>
      <c r="EJ106" s="89">
        <v>46232.549999999996</v>
      </c>
      <c r="EK106" s="89">
        <v>46252.99</v>
      </c>
      <c r="EL106" s="89">
        <v>76686.62</v>
      </c>
      <c r="EM106" s="89">
        <v>50324.01999999999</v>
      </c>
      <c r="EN106" s="89">
        <v>125184.70000000001</v>
      </c>
      <c r="EO106" s="89">
        <v>82760.869999999981</v>
      </c>
      <c r="EP106" s="89">
        <v>108701.94</v>
      </c>
      <c r="EQ106" s="89">
        <v>0</v>
      </c>
      <c r="ER106" s="89">
        <v>0</v>
      </c>
      <c r="ES106" s="89">
        <v>0</v>
      </c>
      <c r="ET106" s="89">
        <v>0</v>
      </c>
      <c r="EU106" s="89">
        <v>0</v>
      </c>
      <c r="EV106" s="89">
        <v>0</v>
      </c>
      <c r="EW106" s="89">
        <v>0</v>
      </c>
      <c r="EX106" s="89">
        <v>0</v>
      </c>
      <c r="EY106" s="89">
        <v>0</v>
      </c>
      <c r="EZ106" s="89">
        <v>0</v>
      </c>
      <c r="FA106" s="89">
        <v>0</v>
      </c>
      <c r="FB106" s="89">
        <v>0</v>
      </c>
      <c r="FC106" s="89">
        <v>0</v>
      </c>
      <c r="FD106" s="89">
        <v>0</v>
      </c>
      <c r="FE106" s="89">
        <v>0</v>
      </c>
      <c r="FF106" s="89">
        <v>0</v>
      </c>
      <c r="FG106" s="89">
        <v>0</v>
      </c>
      <c r="FH106" s="89">
        <v>0</v>
      </c>
      <c r="FI106" s="89">
        <v>0</v>
      </c>
      <c r="FJ106" s="89">
        <v>0</v>
      </c>
      <c r="FK106" s="89">
        <v>0</v>
      </c>
      <c r="FL106" s="89">
        <v>0</v>
      </c>
      <c r="FM106" s="89">
        <v>0</v>
      </c>
      <c r="FN106" s="89">
        <v>0</v>
      </c>
      <c r="FO106" s="89">
        <v>0</v>
      </c>
      <c r="FP106" s="89">
        <v>0</v>
      </c>
      <c r="FQ106" s="89">
        <v>0</v>
      </c>
      <c r="FR106" s="89">
        <v>0</v>
      </c>
      <c r="FS106" s="89">
        <v>0</v>
      </c>
      <c r="FT106" s="89">
        <v>0</v>
      </c>
      <c r="FU106" s="89">
        <v>0</v>
      </c>
      <c r="FV106" s="89">
        <v>0</v>
      </c>
      <c r="FW106" s="89">
        <v>0</v>
      </c>
      <c r="FX106" s="89">
        <v>0</v>
      </c>
      <c r="FY106" s="89">
        <v>0</v>
      </c>
      <c r="FZ106" s="60"/>
      <c r="GA106" s="60"/>
      <c r="GB106" s="60"/>
      <c r="GG106" s="60">
        <v>0</v>
      </c>
      <c r="GH106" s="60">
        <v>0</v>
      </c>
      <c r="GI106" s="60">
        <v>0</v>
      </c>
      <c r="GJ106" s="60">
        <v>0</v>
      </c>
      <c r="GK106" s="60">
        <v>0</v>
      </c>
    </row>
    <row r="107" spans="1:193" ht="15.5" x14ac:dyDescent="0.35">
      <c r="M107" s="90">
        <f>SUM(B106:M106)</f>
        <v>522952.95</v>
      </c>
      <c r="Y107" s="90">
        <f>SUM(N106:Y106)</f>
        <v>503821.8</v>
      </c>
      <c r="AK107" s="90">
        <f>SUM(Z106:AK106)</f>
        <v>449200.94999999995</v>
      </c>
      <c r="AW107" s="90">
        <f>SUM(AL106:AW106)</f>
        <v>497799.17000000004</v>
      </c>
      <c r="BI107" s="90">
        <f>SUM(AX106:BI106)</f>
        <v>583922.47</v>
      </c>
      <c r="BU107" s="90">
        <f>SUM(BJ106:BU106)</f>
        <v>480617.79999999993</v>
      </c>
      <c r="CG107" s="90">
        <f>SUM(BV106:CG106)</f>
        <v>551251.71999999986</v>
      </c>
      <c r="CS107" s="90">
        <f>SUM(CH106:CS106)</f>
        <v>660187.5199999999</v>
      </c>
      <c r="DE107" s="90">
        <f>SUM(CT106:DE106)</f>
        <v>597609.22</v>
      </c>
      <c r="DQ107" s="90">
        <f>SUM(DF106:DQ106)</f>
        <v>568560.55699999991</v>
      </c>
      <c r="EC107" s="90">
        <f t="shared" ref="EC107" si="76">SUM(DR106:EC106)</f>
        <v>567857.99999999988</v>
      </c>
      <c r="EO107" s="90">
        <f t="shared" ref="EO107" si="77">SUM(ED106:EO106)</f>
        <v>747606.09</v>
      </c>
      <c r="FA107" s="90">
        <f t="shared" ref="FA107" si="78">SUM(EP106:FA106)</f>
        <v>108701.94</v>
      </c>
      <c r="FM107" s="90">
        <f t="shared" ref="FM107" si="79">SUM(FB106:FM106)</f>
        <v>0</v>
      </c>
      <c r="FY107" s="90">
        <f t="shared" ref="FY107" si="80">SUM(FN106:FY106)</f>
        <v>0</v>
      </c>
      <c r="FZ107" s="60"/>
      <c r="GA107" s="60"/>
      <c r="GB107" s="60"/>
    </row>
    <row r="108" spans="1:193" x14ac:dyDescent="0.35">
      <c r="A108" s="88" t="s">
        <v>576</v>
      </c>
      <c r="B108" s="91">
        <f>B106-B104</f>
        <v>7879.9300000000039</v>
      </c>
      <c r="C108" s="91">
        <f t="shared" ref="C108:BN108" si="81">C106-C104</f>
        <v>2003.2999999999993</v>
      </c>
      <c r="D108" s="91">
        <f t="shared" si="81"/>
        <v>-1998.5800000000017</v>
      </c>
      <c r="E108" s="91">
        <f t="shared" si="81"/>
        <v>51766.37999999999</v>
      </c>
      <c r="F108" s="91">
        <f t="shared" si="81"/>
        <v>-27067.539999999994</v>
      </c>
      <c r="G108" s="91">
        <f t="shared" si="81"/>
        <v>-13925.669999999984</v>
      </c>
      <c r="H108" s="91">
        <f t="shared" si="81"/>
        <v>14233.599999999999</v>
      </c>
      <c r="I108" s="91">
        <f t="shared" si="81"/>
        <v>-412.87000000000262</v>
      </c>
      <c r="J108" s="91">
        <f t="shared" si="81"/>
        <v>-394.75</v>
      </c>
      <c r="K108" s="91">
        <f t="shared" si="81"/>
        <v>28103.07</v>
      </c>
      <c r="L108" s="91">
        <f t="shared" si="81"/>
        <v>-23245.109999999986</v>
      </c>
      <c r="M108" s="91">
        <f t="shared" si="81"/>
        <v>29981.880000000048</v>
      </c>
      <c r="N108" s="91">
        <f t="shared" si="81"/>
        <v>7564.179999999993</v>
      </c>
      <c r="O108" s="91">
        <f t="shared" si="81"/>
        <v>-9388.7599999999984</v>
      </c>
      <c r="P108" s="91">
        <f t="shared" si="81"/>
        <v>-13131.890000000007</v>
      </c>
      <c r="Q108" s="91">
        <f t="shared" si="81"/>
        <v>-7894.9299999999967</v>
      </c>
      <c r="R108" s="91">
        <f t="shared" si="81"/>
        <v>-7910.5799999999981</v>
      </c>
      <c r="S108" s="91">
        <f t="shared" si="81"/>
        <v>24098.369999999995</v>
      </c>
      <c r="T108" s="91">
        <f t="shared" si="81"/>
        <v>4499.989999999998</v>
      </c>
      <c r="U108" s="91">
        <f t="shared" si="81"/>
        <v>-26310.180000000015</v>
      </c>
      <c r="V108" s="91">
        <f t="shared" si="81"/>
        <v>-7773.5499999999956</v>
      </c>
      <c r="W108" s="91">
        <f t="shared" si="81"/>
        <v>-1907.9499999999971</v>
      </c>
      <c r="X108" s="91">
        <f t="shared" si="81"/>
        <v>21884.260000000009</v>
      </c>
      <c r="Y108" s="91">
        <f t="shared" si="81"/>
        <v>-8048.3099999999977</v>
      </c>
      <c r="Z108" s="91">
        <f t="shared" si="81"/>
        <v>12749.18</v>
      </c>
      <c r="AA108" s="91">
        <f t="shared" si="81"/>
        <v>15350.039999999979</v>
      </c>
      <c r="AB108" s="91">
        <f t="shared" si="81"/>
        <v>-19041.979999999992</v>
      </c>
      <c r="AC108" s="91">
        <f t="shared" si="81"/>
        <v>-6439.5799999999872</v>
      </c>
      <c r="AD108" s="91">
        <f t="shared" si="81"/>
        <v>-11875.789999999997</v>
      </c>
      <c r="AE108" s="91">
        <f t="shared" si="81"/>
        <v>-10128.080000000005</v>
      </c>
      <c r="AF108" s="91">
        <f t="shared" si="81"/>
        <v>-1372.9900000000016</v>
      </c>
      <c r="AG108" s="91">
        <f t="shared" si="81"/>
        <v>-5570.2400000000125</v>
      </c>
      <c r="AH108" s="91">
        <f t="shared" si="81"/>
        <v>6169.7799999999988</v>
      </c>
      <c r="AI108" s="91">
        <f t="shared" si="81"/>
        <v>-4817.0700000000033</v>
      </c>
      <c r="AJ108" s="91">
        <f t="shared" si="81"/>
        <v>22351.069999999992</v>
      </c>
      <c r="AK108" s="91">
        <f t="shared" si="81"/>
        <v>-11548.270000000004</v>
      </c>
      <c r="AL108" s="91">
        <f t="shared" si="81"/>
        <v>-6445.4099999999962</v>
      </c>
      <c r="AM108" s="91">
        <f t="shared" si="81"/>
        <v>11623.059999999994</v>
      </c>
      <c r="AN108" s="91">
        <f t="shared" si="81"/>
        <v>-5323.1600000000035</v>
      </c>
      <c r="AO108" s="91">
        <f t="shared" si="81"/>
        <v>4933.2299999999959</v>
      </c>
      <c r="AP108" s="91">
        <f t="shared" si="81"/>
        <v>-8996.4499999999898</v>
      </c>
      <c r="AQ108" s="91">
        <f t="shared" si="81"/>
        <v>2949.2499999999964</v>
      </c>
      <c r="AR108" s="91">
        <f t="shared" si="81"/>
        <v>38439.39</v>
      </c>
      <c r="AS108" s="91">
        <f t="shared" si="81"/>
        <v>10129.630000000005</v>
      </c>
      <c r="AT108" s="91">
        <f t="shared" si="81"/>
        <v>-16094.07</v>
      </c>
      <c r="AU108" s="91">
        <f t="shared" si="81"/>
        <v>6083.630000000001</v>
      </c>
      <c r="AV108" s="91">
        <f t="shared" si="81"/>
        <v>-21858.880000000001</v>
      </c>
      <c r="AW108" s="91">
        <f t="shared" si="81"/>
        <v>92.280000000006112</v>
      </c>
      <c r="AX108" s="91">
        <f t="shared" si="81"/>
        <v>5954.7099999999846</v>
      </c>
      <c r="AY108" s="91">
        <f t="shared" si="81"/>
        <v>-11897.909999999996</v>
      </c>
      <c r="AZ108" s="91">
        <f t="shared" si="81"/>
        <v>-18037.429999999989</v>
      </c>
      <c r="BA108" s="91">
        <f t="shared" si="81"/>
        <v>10410.040000000005</v>
      </c>
      <c r="BB108" s="91">
        <f t="shared" si="81"/>
        <v>21279.05000000001</v>
      </c>
      <c r="BC108" s="91">
        <f t="shared" si="81"/>
        <v>-26656.120000000003</v>
      </c>
      <c r="BD108" s="91">
        <f t="shared" si="81"/>
        <v>14316.259999999998</v>
      </c>
      <c r="BE108" s="91">
        <f t="shared" si="81"/>
        <v>4857.769999999975</v>
      </c>
      <c r="BF108" s="91">
        <f t="shared" si="81"/>
        <v>27674.480000000003</v>
      </c>
      <c r="BG108" s="91">
        <f t="shared" si="81"/>
        <v>34010.489999999983</v>
      </c>
      <c r="BH108" s="91">
        <f t="shared" si="81"/>
        <v>17334.210000000006</v>
      </c>
      <c r="BI108" s="91">
        <f t="shared" si="81"/>
        <v>4370.7499999999927</v>
      </c>
      <c r="BJ108" s="91">
        <f t="shared" si="81"/>
        <v>19341.729999999989</v>
      </c>
      <c r="BK108" s="91">
        <f t="shared" si="81"/>
        <v>-18187.510000000009</v>
      </c>
      <c r="BL108" s="91">
        <f t="shared" si="81"/>
        <v>-25724.009999999995</v>
      </c>
      <c r="BM108" s="91">
        <f t="shared" si="81"/>
        <v>-5740.3500000000058</v>
      </c>
      <c r="BN108" s="91">
        <f t="shared" si="81"/>
        <v>-26371.260000000009</v>
      </c>
      <c r="BO108" s="91">
        <f t="shared" ref="BO108:DQ108" si="82">BO106-BO104</f>
        <v>-2923.7899999999936</v>
      </c>
      <c r="BP108" s="91">
        <f t="shared" si="82"/>
        <v>-29840.689999999995</v>
      </c>
      <c r="BQ108" s="91">
        <f t="shared" si="82"/>
        <v>-2735.1499999999942</v>
      </c>
      <c r="BR108" s="91">
        <f t="shared" si="82"/>
        <v>-4908.5899999999965</v>
      </c>
      <c r="BS108" s="91">
        <f t="shared" si="82"/>
        <v>-5662.7400000000016</v>
      </c>
      <c r="BT108" s="91">
        <f t="shared" si="82"/>
        <v>25258.410000000007</v>
      </c>
      <c r="BU108" s="91">
        <f t="shared" si="82"/>
        <v>26707.350000000009</v>
      </c>
      <c r="BV108" s="91">
        <f t="shared" si="82"/>
        <v>-12768.100000000006</v>
      </c>
      <c r="BW108" s="91">
        <f t="shared" si="82"/>
        <v>23119.089999999989</v>
      </c>
      <c r="BX108" s="91">
        <f t="shared" si="82"/>
        <v>-5686.8500000000131</v>
      </c>
      <c r="BY108" s="91">
        <f t="shared" si="82"/>
        <v>-14623.07</v>
      </c>
      <c r="BZ108" s="91">
        <f t="shared" si="82"/>
        <v>-2242.6100000000151</v>
      </c>
      <c r="CA108" s="91">
        <f t="shared" si="82"/>
        <v>12154.299999999988</v>
      </c>
      <c r="CB108" s="91">
        <f t="shared" si="82"/>
        <v>-20224.300000000017</v>
      </c>
      <c r="CC108" s="91">
        <f t="shared" si="82"/>
        <v>-29624.80000000001</v>
      </c>
      <c r="CD108" s="91">
        <f t="shared" si="82"/>
        <v>-1696.2200000000084</v>
      </c>
      <c r="CE108" s="91">
        <f t="shared" si="82"/>
        <v>-8496.1700000000128</v>
      </c>
      <c r="CF108" s="91">
        <f t="shared" si="82"/>
        <v>-373.75</v>
      </c>
      <c r="CG108" s="91">
        <f t="shared" si="82"/>
        <v>-201.13000000000466</v>
      </c>
      <c r="CH108" s="91">
        <f t="shared" si="82"/>
        <v>20097.659999999989</v>
      </c>
      <c r="CI108" s="91">
        <f t="shared" si="82"/>
        <v>-2412.730000000025</v>
      </c>
      <c r="CJ108" s="91">
        <f t="shared" si="82"/>
        <v>14736.98000000001</v>
      </c>
      <c r="CK108" s="91">
        <f t="shared" si="82"/>
        <v>37180.779999999984</v>
      </c>
      <c r="CL108" s="91">
        <f t="shared" si="82"/>
        <v>4869.739999999998</v>
      </c>
      <c r="CM108" s="91">
        <f t="shared" si="82"/>
        <v>10381.499999999993</v>
      </c>
      <c r="CN108" s="91">
        <f t="shared" si="82"/>
        <v>1840.6899999999951</v>
      </c>
      <c r="CO108" s="91">
        <f t="shared" si="82"/>
        <v>-14592.450000000004</v>
      </c>
      <c r="CP108" s="91">
        <f t="shared" si="82"/>
        <v>-40191.279999999999</v>
      </c>
      <c r="CQ108" s="91">
        <f t="shared" si="82"/>
        <v>-19935.520000000004</v>
      </c>
      <c r="CR108" s="91">
        <f t="shared" si="82"/>
        <v>33667.700000000019</v>
      </c>
      <c r="CS108" s="91">
        <f t="shared" si="82"/>
        <v>1802.3499999999985</v>
      </c>
      <c r="CT108" s="91">
        <f t="shared" si="82"/>
        <v>30747.259999999995</v>
      </c>
      <c r="CU108" s="91">
        <f t="shared" si="82"/>
        <v>-5097.5100000000093</v>
      </c>
      <c r="CV108" s="91">
        <f t="shared" si="82"/>
        <v>-60154.190000000017</v>
      </c>
      <c r="CW108" s="91">
        <f t="shared" si="82"/>
        <v>-9193.5799999999945</v>
      </c>
      <c r="CX108" s="91">
        <f t="shared" si="82"/>
        <v>22594.719999999998</v>
      </c>
      <c r="CY108" s="91">
        <f t="shared" si="82"/>
        <v>-15080.240000000005</v>
      </c>
      <c r="CZ108" s="91">
        <f t="shared" si="82"/>
        <v>13046.339999999993</v>
      </c>
      <c r="DA108" s="91">
        <f t="shared" si="82"/>
        <v>-21809.59000000004</v>
      </c>
      <c r="DB108" s="91">
        <f t="shared" si="82"/>
        <v>13739.839999999989</v>
      </c>
      <c r="DC108" s="91">
        <f t="shared" si="82"/>
        <v>-10967.710000000006</v>
      </c>
      <c r="DD108" s="91">
        <f t="shared" si="82"/>
        <v>18380.400000000001</v>
      </c>
      <c r="DE108" s="91">
        <f t="shared" si="82"/>
        <v>-34414.19</v>
      </c>
      <c r="DF108" s="91">
        <f t="shared" si="82"/>
        <v>29152.159999999967</v>
      </c>
      <c r="DG108" s="91">
        <f t="shared" si="82"/>
        <v>1675.1899999999951</v>
      </c>
      <c r="DH108" s="91">
        <f t="shared" si="82"/>
        <v>-12343.522999999994</v>
      </c>
      <c r="DI108" s="91">
        <f t="shared" si="82"/>
        <v>6348.619999999999</v>
      </c>
      <c r="DJ108" s="91">
        <f t="shared" si="82"/>
        <v>2266.2599999999948</v>
      </c>
      <c r="DK108" s="91">
        <f t="shared" si="82"/>
        <v>-5069.4399999999951</v>
      </c>
      <c r="DL108" s="91">
        <f t="shared" si="82"/>
        <v>5276.9800000000032</v>
      </c>
      <c r="DM108" s="91">
        <f t="shared" si="82"/>
        <v>3035.2199999999866</v>
      </c>
      <c r="DN108" s="91">
        <f t="shared" si="82"/>
        <v>-3445.7000000000116</v>
      </c>
      <c r="DO108" s="91">
        <f t="shared" si="82"/>
        <v>432.13999999998487</v>
      </c>
      <c r="DP108" s="91">
        <f t="shared" si="82"/>
        <v>-3347.8500000000058</v>
      </c>
      <c r="DQ108" s="91">
        <f t="shared" si="82"/>
        <v>5389.5899999999965</v>
      </c>
      <c r="DR108" s="91">
        <f t="shared" ref="DR108:FY108" si="83">DR106-DR104</f>
        <v>63157.639999999992</v>
      </c>
      <c r="DS108" s="91">
        <f t="shared" si="83"/>
        <v>10548.82</v>
      </c>
      <c r="DT108" s="91">
        <f t="shared" si="83"/>
        <v>-9758.1700000000019</v>
      </c>
      <c r="DU108" s="91">
        <f t="shared" si="83"/>
        <v>22685.469999999987</v>
      </c>
      <c r="DV108" s="91">
        <f t="shared" si="83"/>
        <v>-30178.55000000001</v>
      </c>
      <c r="DW108" s="91">
        <f t="shared" si="83"/>
        <v>-13633.459999999985</v>
      </c>
      <c r="DX108" s="91">
        <f t="shared" si="83"/>
        <v>-34634.570000000007</v>
      </c>
      <c r="DY108" s="91">
        <f t="shared" si="83"/>
        <v>-5246.929999999993</v>
      </c>
      <c r="DZ108" s="91">
        <f t="shared" si="83"/>
        <v>441.59000000000378</v>
      </c>
      <c r="EA108" s="91">
        <f t="shared" si="83"/>
        <v>1338.3000000000029</v>
      </c>
      <c r="EB108" s="91">
        <f t="shared" si="83"/>
        <v>17472.560000000001</v>
      </c>
      <c r="EC108" s="91">
        <f t="shared" si="83"/>
        <v>625.33999999998923</v>
      </c>
      <c r="ED108" s="91">
        <f t="shared" si="83"/>
        <v>-12070.370000000054</v>
      </c>
      <c r="EE108" s="91">
        <f t="shared" si="83"/>
        <v>-8760.5500000000102</v>
      </c>
      <c r="EF108" s="91">
        <f t="shared" si="83"/>
        <v>-661.01000000000204</v>
      </c>
      <c r="EG108" s="91">
        <f t="shared" si="83"/>
        <v>5884.1499999999978</v>
      </c>
      <c r="EH108" s="91">
        <f t="shared" si="83"/>
        <v>-4781.0200000000041</v>
      </c>
      <c r="EI108" s="91">
        <f t="shared" si="83"/>
        <v>1984.6799999999857</v>
      </c>
      <c r="EJ108" s="91">
        <f t="shared" si="83"/>
        <v>-1662.8700000000026</v>
      </c>
      <c r="EK108" s="91">
        <f t="shared" si="83"/>
        <v>-2303.2500000000073</v>
      </c>
      <c r="EL108" s="91">
        <f t="shared" si="83"/>
        <v>13562.439999999988</v>
      </c>
      <c r="EM108" s="91">
        <f t="shared" si="83"/>
        <v>-5124.7700000000114</v>
      </c>
      <c r="EN108" s="91">
        <f t="shared" si="83"/>
        <v>-29113.880000000005</v>
      </c>
      <c r="EO108" s="91">
        <f t="shared" si="83"/>
        <v>35967.869999999981</v>
      </c>
      <c r="EP108" s="91">
        <f t="shared" si="83"/>
        <v>108701.94</v>
      </c>
      <c r="EQ108" s="91">
        <f t="shared" si="83"/>
        <v>0</v>
      </c>
      <c r="ER108" s="91">
        <f t="shared" si="83"/>
        <v>0</v>
      </c>
      <c r="ES108" s="91">
        <f t="shared" si="83"/>
        <v>0</v>
      </c>
      <c r="ET108" s="91">
        <f t="shared" si="83"/>
        <v>0</v>
      </c>
      <c r="EU108" s="91">
        <f t="shared" si="83"/>
        <v>0</v>
      </c>
      <c r="EV108" s="91">
        <f t="shared" si="83"/>
        <v>0</v>
      </c>
      <c r="EW108" s="91">
        <f t="shared" si="83"/>
        <v>0</v>
      </c>
      <c r="EX108" s="91">
        <f t="shared" si="83"/>
        <v>0</v>
      </c>
      <c r="EY108" s="91">
        <f t="shared" si="83"/>
        <v>0</v>
      </c>
      <c r="EZ108" s="91">
        <f t="shared" si="83"/>
        <v>0</v>
      </c>
      <c r="FA108" s="91">
        <f t="shared" si="83"/>
        <v>0</v>
      </c>
      <c r="FB108" s="91">
        <f t="shared" si="83"/>
        <v>0</v>
      </c>
      <c r="FC108" s="91">
        <f t="shared" si="83"/>
        <v>0</v>
      </c>
      <c r="FD108" s="91">
        <f t="shared" si="83"/>
        <v>0</v>
      </c>
      <c r="FE108" s="91">
        <f t="shared" si="83"/>
        <v>0</v>
      </c>
      <c r="FF108" s="91">
        <f t="shared" si="83"/>
        <v>0</v>
      </c>
      <c r="FG108" s="91">
        <f t="shared" si="83"/>
        <v>0</v>
      </c>
      <c r="FH108" s="91">
        <f t="shared" si="83"/>
        <v>0</v>
      </c>
      <c r="FI108" s="91">
        <f t="shared" si="83"/>
        <v>0</v>
      </c>
      <c r="FJ108" s="91">
        <f t="shared" si="83"/>
        <v>0</v>
      </c>
      <c r="FK108" s="91">
        <f t="shared" si="83"/>
        <v>0</v>
      </c>
      <c r="FL108" s="91">
        <f t="shared" si="83"/>
        <v>0</v>
      </c>
      <c r="FM108" s="91">
        <f t="shared" si="83"/>
        <v>0</v>
      </c>
      <c r="FN108" s="91">
        <f t="shared" si="83"/>
        <v>0</v>
      </c>
      <c r="FO108" s="91">
        <f t="shared" si="83"/>
        <v>0</v>
      </c>
      <c r="FP108" s="91">
        <f t="shared" si="83"/>
        <v>0</v>
      </c>
      <c r="FQ108" s="91">
        <f t="shared" si="83"/>
        <v>0</v>
      </c>
      <c r="FR108" s="91">
        <f t="shared" si="83"/>
        <v>0</v>
      </c>
      <c r="FS108" s="91">
        <f t="shared" si="83"/>
        <v>0</v>
      </c>
      <c r="FT108" s="91">
        <f t="shared" si="83"/>
        <v>0</v>
      </c>
      <c r="FU108" s="91">
        <f t="shared" si="83"/>
        <v>0</v>
      </c>
      <c r="FV108" s="91">
        <f t="shared" si="83"/>
        <v>0</v>
      </c>
      <c r="FW108" s="91">
        <f t="shared" si="83"/>
        <v>0</v>
      </c>
      <c r="FX108" s="91">
        <f t="shared" si="83"/>
        <v>0</v>
      </c>
      <c r="FY108" s="91">
        <f t="shared" si="83"/>
        <v>0</v>
      </c>
      <c r="FZ108" s="60"/>
      <c r="GA108" s="60"/>
      <c r="GB108" s="60"/>
    </row>
    <row r="109" spans="1:193" ht="15.5" x14ac:dyDescent="0.35">
      <c r="M109" s="92">
        <f>SUM(B108:M108)</f>
        <v>66923.640000000072</v>
      </c>
      <c r="Y109" s="92">
        <f>SUM(N108:Y108)</f>
        <v>-24319.350000000006</v>
      </c>
      <c r="AK109" s="92">
        <f>SUM(Z108:AK108)</f>
        <v>-14173.930000000033</v>
      </c>
      <c r="AW109" s="92">
        <f>SUM(AL108:AW108)</f>
        <v>15532.500000000011</v>
      </c>
      <c r="BI109" s="92">
        <f>SUM(AX108:BI108)</f>
        <v>83616.299999999959</v>
      </c>
      <c r="BU109" s="92">
        <f>SUM(BJ108:BU108)</f>
        <v>-50786.600000000006</v>
      </c>
      <c r="CG109" s="92">
        <f>SUM(BV108:CG108)</f>
        <v>-60663.61000000011</v>
      </c>
      <c r="CS109" s="92">
        <f>SUM(CH108:CS108)</f>
        <v>47445.419999999969</v>
      </c>
      <c r="DE109" s="92">
        <f>SUM(CT108:DE108)</f>
        <v>-58208.450000000099</v>
      </c>
      <c r="DQ109" s="92">
        <f>SUM(DF108:DQ108)</f>
        <v>29369.646999999921</v>
      </c>
      <c r="EC109" s="92">
        <f t="shared" ref="EC109" si="84">SUM(DR108:EC108)</f>
        <v>22818.039999999983</v>
      </c>
      <c r="EO109" s="92">
        <f t="shared" ref="EO109" si="85">SUM(ED108:EO108)</f>
        <v>-7078.5800000001473</v>
      </c>
      <c r="FA109" s="92">
        <f t="shared" ref="FA109" si="86">SUM(EP108:FA108)</f>
        <v>108701.94</v>
      </c>
      <c r="FM109" s="92">
        <f t="shared" ref="FM109" si="87">SUM(FB108:FM108)</f>
        <v>0</v>
      </c>
      <c r="FY109" s="92">
        <f t="shared" ref="FY109" si="88">SUM(FN108:FY108)</f>
        <v>0</v>
      </c>
      <c r="FZ109" s="60"/>
      <c r="GA109" s="60"/>
      <c r="GB109" s="60"/>
    </row>
    <row r="110" spans="1:193" x14ac:dyDescent="0.35">
      <c r="FZ110" s="60"/>
      <c r="GA110" s="60"/>
      <c r="GB110" s="60"/>
    </row>
    <row r="111" spans="1:193" s="93" customFormat="1" x14ac:dyDescent="0.35">
      <c r="A111" s="60"/>
      <c r="CG111" s="60"/>
      <c r="CH111" s="60"/>
      <c r="CI111" s="60"/>
      <c r="CJ111" s="60"/>
      <c r="CK111" s="60"/>
      <c r="CL111" s="60"/>
      <c r="CM111" s="60"/>
      <c r="CN111" s="60"/>
      <c r="CO111" s="60"/>
      <c r="CP111" s="60"/>
      <c r="CQ111" s="60"/>
      <c r="CR111" s="60"/>
      <c r="CS111" s="60"/>
      <c r="CT111" s="60"/>
      <c r="CU111" s="60"/>
      <c r="CV111" s="60"/>
      <c r="CW111" s="60"/>
      <c r="CX111" s="60"/>
      <c r="CY111" s="60"/>
      <c r="CZ111" s="60"/>
      <c r="DA111" s="60"/>
      <c r="DB111" s="60"/>
      <c r="DC111" s="60"/>
      <c r="DD111" s="60"/>
      <c r="DE111" s="60"/>
      <c r="DF111" s="60"/>
      <c r="DG111" s="60"/>
      <c r="DH111" s="60"/>
      <c r="DI111" s="60"/>
      <c r="DJ111" s="60"/>
      <c r="DK111" s="60"/>
      <c r="DL111" s="60"/>
      <c r="DM111" s="60"/>
      <c r="DN111" s="60"/>
      <c r="DO111" s="60"/>
      <c r="DP111" s="60"/>
      <c r="DQ111" s="60"/>
      <c r="DR111" s="60"/>
      <c r="DS111" s="60"/>
      <c r="DT111" s="60"/>
      <c r="DU111" s="60"/>
      <c r="DV111" s="60"/>
      <c r="DW111" s="60"/>
      <c r="DX111" s="60"/>
      <c r="DY111" s="60"/>
      <c r="DZ111" s="60"/>
      <c r="EA111" s="60"/>
      <c r="EB111" s="60"/>
      <c r="EC111" s="60"/>
      <c r="ED111" s="60"/>
      <c r="EE111" s="60"/>
      <c r="EF111" s="60"/>
      <c r="EG111" s="60"/>
      <c r="EH111" s="60"/>
      <c r="EI111" s="60"/>
      <c r="EJ111" s="60"/>
      <c r="EK111" s="60"/>
      <c r="EL111" s="60"/>
      <c r="EM111" s="60"/>
      <c r="EN111" s="60"/>
      <c r="EO111" s="60"/>
      <c r="EP111" s="60"/>
      <c r="EQ111" s="60"/>
      <c r="ER111" s="60"/>
      <c r="ES111" s="60"/>
      <c r="ET111" s="60"/>
      <c r="EU111" s="60"/>
      <c r="EV111" s="60"/>
      <c r="EW111" s="60"/>
      <c r="EX111" s="60"/>
      <c r="EY111" s="60"/>
      <c r="EZ111" s="60"/>
      <c r="FA111" s="60"/>
      <c r="FB111" s="60"/>
      <c r="FC111" s="60"/>
      <c r="FD111" s="60"/>
      <c r="FE111" s="60"/>
      <c r="FF111" s="60"/>
      <c r="FG111" s="60"/>
      <c r="FH111" s="60"/>
      <c r="FI111" s="60"/>
      <c r="FJ111" s="60"/>
      <c r="FK111" s="60"/>
      <c r="FL111" s="60"/>
      <c r="FM111" s="60"/>
      <c r="FN111" s="60"/>
      <c r="FO111" s="60"/>
      <c r="FP111" s="60"/>
      <c r="FQ111" s="60"/>
      <c r="FR111" s="60"/>
      <c r="FS111" s="60"/>
      <c r="FT111" s="60"/>
      <c r="FU111" s="60"/>
      <c r="FV111" s="60"/>
      <c r="FW111" s="60"/>
      <c r="FX111" s="60"/>
      <c r="FY111" s="60"/>
      <c r="FZ111" s="60"/>
      <c r="GA111" s="60"/>
      <c r="GB111" s="60"/>
    </row>
    <row r="112" spans="1:193" s="93" customFormat="1" x14ac:dyDescent="0.35">
      <c r="A112" s="88" t="s">
        <v>803</v>
      </c>
      <c r="B112" s="96">
        <f>B108</f>
        <v>7879.9300000000039</v>
      </c>
      <c r="C112" s="96">
        <f>B112+C108</f>
        <v>9883.2300000000032</v>
      </c>
      <c r="D112" s="96">
        <f t="shared" ref="D112:BO112" si="89">C112+D108</f>
        <v>7884.6500000000015</v>
      </c>
      <c r="E112" s="96">
        <f t="shared" si="89"/>
        <v>59651.029999999992</v>
      </c>
      <c r="F112" s="96">
        <f t="shared" si="89"/>
        <v>32583.489999999998</v>
      </c>
      <c r="G112" s="96">
        <f t="shared" si="89"/>
        <v>18657.820000000014</v>
      </c>
      <c r="H112" s="96">
        <f t="shared" si="89"/>
        <v>32891.420000000013</v>
      </c>
      <c r="I112" s="96">
        <f t="shared" si="89"/>
        <v>32478.55000000001</v>
      </c>
      <c r="J112" s="96">
        <f t="shared" si="89"/>
        <v>32083.80000000001</v>
      </c>
      <c r="K112" s="96">
        <f t="shared" si="89"/>
        <v>60186.87000000001</v>
      </c>
      <c r="L112" s="96">
        <f t="shared" si="89"/>
        <v>36941.760000000024</v>
      </c>
      <c r="M112" s="96">
        <f t="shared" si="89"/>
        <v>66923.640000000072</v>
      </c>
      <c r="N112" s="96">
        <f t="shared" si="89"/>
        <v>74487.820000000065</v>
      </c>
      <c r="O112" s="96">
        <f t="shared" si="89"/>
        <v>65099.06000000007</v>
      </c>
      <c r="P112" s="96">
        <f t="shared" si="89"/>
        <v>51967.170000000064</v>
      </c>
      <c r="Q112" s="96">
        <f t="shared" si="89"/>
        <v>44072.240000000063</v>
      </c>
      <c r="R112" s="96">
        <f t="shared" si="89"/>
        <v>36161.660000000062</v>
      </c>
      <c r="S112" s="96">
        <f t="shared" si="89"/>
        <v>60260.030000000057</v>
      </c>
      <c r="T112" s="96">
        <f t="shared" si="89"/>
        <v>64760.020000000055</v>
      </c>
      <c r="U112" s="96">
        <f t="shared" si="89"/>
        <v>38449.84000000004</v>
      </c>
      <c r="V112" s="96">
        <f t="shared" si="89"/>
        <v>30676.290000000045</v>
      </c>
      <c r="W112" s="96">
        <f t="shared" si="89"/>
        <v>28768.340000000047</v>
      </c>
      <c r="X112" s="96">
        <f t="shared" si="89"/>
        <v>50652.600000000057</v>
      </c>
      <c r="Y112" s="96">
        <f t="shared" si="89"/>
        <v>42604.290000000059</v>
      </c>
      <c r="Z112" s="96">
        <f t="shared" si="89"/>
        <v>55353.470000000059</v>
      </c>
      <c r="AA112" s="96">
        <f t="shared" si="89"/>
        <v>70703.510000000038</v>
      </c>
      <c r="AB112" s="96">
        <f t="shared" si="89"/>
        <v>51661.530000000042</v>
      </c>
      <c r="AC112" s="96">
        <f t="shared" si="89"/>
        <v>45221.950000000055</v>
      </c>
      <c r="AD112" s="96">
        <f t="shared" si="89"/>
        <v>33346.160000000062</v>
      </c>
      <c r="AE112" s="96">
        <f t="shared" si="89"/>
        <v>23218.080000000056</v>
      </c>
      <c r="AF112" s="96">
        <f t="shared" si="89"/>
        <v>21845.090000000055</v>
      </c>
      <c r="AG112" s="96">
        <f t="shared" si="89"/>
        <v>16274.850000000042</v>
      </c>
      <c r="AH112" s="96">
        <f t="shared" si="89"/>
        <v>22444.630000000041</v>
      </c>
      <c r="AI112" s="96">
        <f t="shared" si="89"/>
        <v>17627.560000000038</v>
      </c>
      <c r="AJ112" s="96">
        <f t="shared" si="89"/>
        <v>39978.630000000034</v>
      </c>
      <c r="AK112" s="96">
        <f t="shared" si="89"/>
        <v>28430.36000000003</v>
      </c>
      <c r="AL112" s="96">
        <f t="shared" si="89"/>
        <v>21984.950000000033</v>
      </c>
      <c r="AM112" s="96">
        <f t="shared" si="89"/>
        <v>33608.010000000024</v>
      </c>
      <c r="AN112" s="96">
        <f t="shared" si="89"/>
        <v>28284.85000000002</v>
      </c>
      <c r="AO112" s="96">
        <f t="shared" si="89"/>
        <v>33218.080000000016</v>
      </c>
      <c r="AP112" s="96">
        <f t="shared" si="89"/>
        <v>24221.630000000026</v>
      </c>
      <c r="AQ112" s="96">
        <f t="shared" si="89"/>
        <v>27170.880000000023</v>
      </c>
      <c r="AR112" s="96">
        <f t="shared" si="89"/>
        <v>65610.270000000019</v>
      </c>
      <c r="AS112" s="96">
        <f t="shared" si="89"/>
        <v>75739.900000000023</v>
      </c>
      <c r="AT112" s="96">
        <f t="shared" si="89"/>
        <v>59645.830000000024</v>
      </c>
      <c r="AU112" s="96">
        <f t="shared" si="89"/>
        <v>65729.460000000021</v>
      </c>
      <c r="AV112" s="96">
        <f t="shared" si="89"/>
        <v>43870.580000000016</v>
      </c>
      <c r="AW112" s="96">
        <f t="shared" si="89"/>
        <v>43962.860000000022</v>
      </c>
      <c r="AX112" s="96">
        <f t="shared" si="89"/>
        <v>49917.570000000007</v>
      </c>
      <c r="AY112" s="96">
        <f t="shared" si="89"/>
        <v>38019.660000000011</v>
      </c>
      <c r="AZ112" s="96">
        <f t="shared" si="89"/>
        <v>19982.230000000021</v>
      </c>
      <c r="BA112" s="96">
        <f t="shared" si="89"/>
        <v>30392.270000000026</v>
      </c>
      <c r="BB112" s="96">
        <f t="shared" si="89"/>
        <v>51671.320000000036</v>
      </c>
      <c r="BC112" s="96">
        <f t="shared" si="89"/>
        <v>25015.200000000033</v>
      </c>
      <c r="BD112" s="96">
        <f t="shared" si="89"/>
        <v>39331.460000000036</v>
      </c>
      <c r="BE112" s="96">
        <f t="shared" si="89"/>
        <v>44189.23000000001</v>
      </c>
      <c r="BF112" s="96">
        <f t="shared" si="89"/>
        <v>71863.710000000021</v>
      </c>
      <c r="BG112" s="96">
        <f t="shared" si="89"/>
        <v>105874.20000000001</v>
      </c>
      <c r="BH112" s="96">
        <f t="shared" si="89"/>
        <v>123208.41000000002</v>
      </c>
      <c r="BI112" s="96">
        <f t="shared" si="89"/>
        <v>127579.16</v>
      </c>
      <c r="BJ112" s="96">
        <f t="shared" si="89"/>
        <v>146920.88999999998</v>
      </c>
      <c r="BK112" s="96">
        <f t="shared" si="89"/>
        <v>128733.37999999998</v>
      </c>
      <c r="BL112" s="96">
        <f t="shared" si="89"/>
        <v>103009.36999999998</v>
      </c>
      <c r="BM112" s="96">
        <f t="shared" si="89"/>
        <v>97269.019999999975</v>
      </c>
      <c r="BN112" s="96">
        <f t="shared" si="89"/>
        <v>70897.759999999966</v>
      </c>
      <c r="BO112" s="96">
        <f t="shared" si="89"/>
        <v>67973.969999999972</v>
      </c>
      <c r="BP112" s="96">
        <f t="shared" ref="BP112:EA112" si="90">BO112+BP108</f>
        <v>38133.279999999977</v>
      </c>
      <c r="BQ112" s="96">
        <f t="shared" si="90"/>
        <v>35398.129999999983</v>
      </c>
      <c r="BR112" s="96">
        <f t="shared" si="90"/>
        <v>30489.539999999986</v>
      </c>
      <c r="BS112" s="96">
        <f t="shared" si="90"/>
        <v>24826.799999999985</v>
      </c>
      <c r="BT112" s="96">
        <f t="shared" si="90"/>
        <v>50085.209999999992</v>
      </c>
      <c r="BU112" s="96">
        <f t="shared" si="90"/>
        <v>76792.56</v>
      </c>
      <c r="BV112" s="96">
        <f t="shared" si="90"/>
        <v>64024.459999999992</v>
      </c>
      <c r="BW112" s="96">
        <f t="shared" si="90"/>
        <v>87143.549999999988</v>
      </c>
      <c r="BX112" s="96">
        <f t="shared" si="90"/>
        <v>81456.699999999983</v>
      </c>
      <c r="BY112" s="96">
        <f t="shared" si="90"/>
        <v>66833.629999999976</v>
      </c>
      <c r="BZ112" s="96">
        <f t="shared" si="90"/>
        <v>64591.01999999996</v>
      </c>
      <c r="CA112" s="96">
        <f t="shared" si="90"/>
        <v>76745.319999999949</v>
      </c>
      <c r="CB112" s="96">
        <f t="shared" si="90"/>
        <v>56521.019999999931</v>
      </c>
      <c r="CC112" s="96">
        <f t="shared" si="90"/>
        <v>26896.219999999921</v>
      </c>
      <c r="CD112" s="96">
        <f t="shared" si="90"/>
        <v>25199.999999999913</v>
      </c>
      <c r="CE112" s="96">
        <f t="shared" si="90"/>
        <v>16703.8299999999</v>
      </c>
      <c r="CF112" s="96">
        <f t="shared" si="90"/>
        <v>16330.0799999999</v>
      </c>
      <c r="CG112" s="96">
        <f t="shared" si="90"/>
        <v>16128.949999999895</v>
      </c>
      <c r="CH112" s="96">
        <f t="shared" si="90"/>
        <v>36226.609999999884</v>
      </c>
      <c r="CI112" s="96">
        <f t="shared" si="90"/>
        <v>33813.879999999859</v>
      </c>
      <c r="CJ112" s="96">
        <f t="shared" si="90"/>
        <v>48550.85999999987</v>
      </c>
      <c r="CK112" s="96">
        <f t="shared" si="90"/>
        <v>85731.639999999854</v>
      </c>
      <c r="CL112" s="96">
        <f t="shared" si="90"/>
        <v>90601.379999999859</v>
      </c>
      <c r="CM112" s="96">
        <f t="shared" si="90"/>
        <v>100982.87999999986</v>
      </c>
      <c r="CN112" s="96">
        <f t="shared" si="90"/>
        <v>102823.56999999986</v>
      </c>
      <c r="CO112" s="96">
        <f t="shared" si="90"/>
        <v>88231.11999999985</v>
      </c>
      <c r="CP112" s="96">
        <f t="shared" si="90"/>
        <v>48039.839999999851</v>
      </c>
      <c r="CQ112" s="96">
        <f t="shared" si="90"/>
        <v>28104.319999999847</v>
      </c>
      <c r="CR112" s="96">
        <f t="shared" si="90"/>
        <v>61772.019999999866</v>
      </c>
      <c r="CS112" s="96">
        <f t="shared" si="90"/>
        <v>63574.369999999864</v>
      </c>
      <c r="CT112" s="96">
        <f t="shared" si="90"/>
        <v>94321.629999999859</v>
      </c>
      <c r="CU112" s="96">
        <f t="shared" si="90"/>
        <v>89224.11999999985</v>
      </c>
      <c r="CV112" s="96">
        <f t="shared" si="90"/>
        <v>29069.929999999833</v>
      </c>
      <c r="CW112" s="96">
        <f t="shared" si="90"/>
        <v>19876.349999999838</v>
      </c>
      <c r="CX112" s="96">
        <f t="shared" si="90"/>
        <v>42471.069999999832</v>
      </c>
      <c r="CY112" s="96">
        <f t="shared" si="90"/>
        <v>27390.829999999827</v>
      </c>
      <c r="CZ112" s="96">
        <f t="shared" si="90"/>
        <v>40437.169999999824</v>
      </c>
      <c r="DA112" s="96">
        <f t="shared" si="90"/>
        <v>18627.579999999783</v>
      </c>
      <c r="DB112" s="96">
        <f t="shared" si="90"/>
        <v>32367.419999999773</v>
      </c>
      <c r="DC112" s="96">
        <f t="shared" si="90"/>
        <v>21399.709999999766</v>
      </c>
      <c r="DD112" s="96">
        <f t="shared" si="90"/>
        <v>39780.109999999768</v>
      </c>
      <c r="DE112" s="96">
        <f t="shared" si="90"/>
        <v>5365.9199999997654</v>
      </c>
      <c r="DF112" s="96">
        <f t="shared" si="90"/>
        <v>34518.079999999733</v>
      </c>
      <c r="DG112" s="96">
        <f t="shared" si="90"/>
        <v>36193.269999999728</v>
      </c>
      <c r="DH112" s="96">
        <f t="shared" si="90"/>
        <v>23849.746999999734</v>
      </c>
      <c r="DI112" s="96">
        <f t="shared" si="90"/>
        <v>30198.366999999733</v>
      </c>
      <c r="DJ112" s="96">
        <f t="shared" si="90"/>
        <v>32464.626999999728</v>
      </c>
      <c r="DK112" s="96">
        <f t="shared" si="90"/>
        <v>27395.186999999733</v>
      </c>
      <c r="DL112" s="96">
        <f t="shared" si="90"/>
        <v>32672.166999999736</v>
      </c>
      <c r="DM112" s="96">
        <f t="shared" si="90"/>
        <v>35707.386999999726</v>
      </c>
      <c r="DN112" s="96">
        <f t="shared" si="90"/>
        <v>32261.686999999714</v>
      </c>
      <c r="DO112" s="96">
        <f t="shared" si="90"/>
        <v>32693.826999999699</v>
      </c>
      <c r="DP112" s="96">
        <f t="shared" si="90"/>
        <v>29345.976999999693</v>
      </c>
      <c r="DQ112" s="96">
        <f t="shared" si="90"/>
        <v>34735.56699999969</v>
      </c>
      <c r="DR112" s="96">
        <f t="shared" si="90"/>
        <v>97893.206999999675</v>
      </c>
      <c r="DS112" s="96">
        <f t="shared" si="90"/>
        <v>108442.02699999968</v>
      </c>
      <c r="DT112" s="96">
        <f t="shared" si="90"/>
        <v>98683.856999999683</v>
      </c>
      <c r="DU112" s="96">
        <f t="shared" si="90"/>
        <v>121369.32699999967</v>
      </c>
      <c r="DV112" s="96">
        <f t="shared" si="90"/>
        <v>91190.776999999653</v>
      </c>
      <c r="DW112" s="96">
        <f t="shared" si="90"/>
        <v>77557.316999999661</v>
      </c>
      <c r="DX112" s="96">
        <f t="shared" si="90"/>
        <v>42922.746999999654</v>
      </c>
      <c r="DY112" s="96">
        <f t="shared" si="90"/>
        <v>37675.816999999661</v>
      </c>
      <c r="DZ112" s="96">
        <f t="shared" si="90"/>
        <v>38117.406999999665</v>
      </c>
      <c r="EA112" s="96">
        <f t="shared" si="90"/>
        <v>39455.706999999667</v>
      </c>
      <c r="EB112" s="96">
        <f t="shared" ref="EB112:FY112" si="91">EA112+EB108</f>
        <v>56928.266999999672</v>
      </c>
      <c r="EC112" s="96">
        <f t="shared" si="91"/>
        <v>57553.606999999662</v>
      </c>
      <c r="ED112" s="96">
        <f t="shared" si="91"/>
        <v>45483.236999999608</v>
      </c>
      <c r="EE112" s="96">
        <f t="shared" si="91"/>
        <v>36722.686999999598</v>
      </c>
      <c r="EF112" s="96">
        <f t="shared" si="91"/>
        <v>36061.676999999596</v>
      </c>
      <c r="EG112" s="96">
        <f t="shared" si="91"/>
        <v>41945.826999999597</v>
      </c>
      <c r="EH112" s="96">
        <f t="shared" si="91"/>
        <v>37164.806999999593</v>
      </c>
      <c r="EI112" s="96">
        <f t="shared" si="91"/>
        <v>39149.486999999579</v>
      </c>
      <c r="EJ112" s="96">
        <f t="shared" si="91"/>
        <v>37486.616999999576</v>
      </c>
      <c r="EK112" s="96">
        <f t="shared" si="91"/>
        <v>35183.366999999569</v>
      </c>
      <c r="EL112" s="96">
        <f t="shared" si="91"/>
        <v>48745.806999999557</v>
      </c>
      <c r="EM112" s="96">
        <f t="shared" si="91"/>
        <v>43621.036999999546</v>
      </c>
      <c r="EN112" s="96">
        <f t="shared" si="91"/>
        <v>14507.156999999541</v>
      </c>
      <c r="EO112" s="96">
        <f t="shared" si="91"/>
        <v>50475.026999999522</v>
      </c>
      <c r="EP112" s="96">
        <f t="shared" si="91"/>
        <v>159176.96699999954</v>
      </c>
      <c r="EQ112" s="96">
        <f t="shared" si="91"/>
        <v>159176.96699999954</v>
      </c>
      <c r="ER112" s="96">
        <f t="shared" si="91"/>
        <v>159176.96699999954</v>
      </c>
      <c r="ES112" s="96">
        <f t="shared" si="91"/>
        <v>159176.96699999954</v>
      </c>
      <c r="ET112" s="96">
        <f t="shared" si="91"/>
        <v>159176.96699999954</v>
      </c>
      <c r="EU112" s="96">
        <f t="shared" si="91"/>
        <v>159176.96699999954</v>
      </c>
      <c r="EV112" s="96">
        <f t="shared" si="91"/>
        <v>159176.96699999954</v>
      </c>
      <c r="EW112" s="96">
        <f t="shared" si="91"/>
        <v>159176.96699999954</v>
      </c>
      <c r="EX112" s="96">
        <f t="shared" si="91"/>
        <v>159176.96699999954</v>
      </c>
      <c r="EY112" s="96">
        <f t="shared" si="91"/>
        <v>159176.96699999954</v>
      </c>
      <c r="EZ112" s="96">
        <f t="shared" si="91"/>
        <v>159176.96699999954</v>
      </c>
      <c r="FA112" s="96">
        <f t="shared" si="91"/>
        <v>159176.96699999954</v>
      </c>
      <c r="FB112" s="96">
        <f t="shared" si="91"/>
        <v>159176.96699999954</v>
      </c>
      <c r="FC112" s="96">
        <f t="shared" si="91"/>
        <v>159176.96699999954</v>
      </c>
      <c r="FD112" s="96">
        <f t="shared" si="91"/>
        <v>159176.96699999954</v>
      </c>
      <c r="FE112" s="96">
        <f t="shared" si="91"/>
        <v>159176.96699999954</v>
      </c>
      <c r="FF112" s="96">
        <f t="shared" si="91"/>
        <v>159176.96699999954</v>
      </c>
      <c r="FG112" s="96">
        <f t="shared" si="91"/>
        <v>159176.96699999954</v>
      </c>
      <c r="FH112" s="96">
        <f t="shared" si="91"/>
        <v>159176.96699999954</v>
      </c>
      <c r="FI112" s="96">
        <f t="shared" si="91"/>
        <v>159176.96699999954</v>
      </c>
      <c r="FJ112" s="96">
        <f t="shared" si="91"/>
        <v>159176.96699999954</v>
      </c>
      <c r="FK112" s="96">
        <f t="shared" si="91"/>
        <v>159176.96699999954</v>
      </c>
      <c r="FL112" s="96">
        <f t="shared" si="91"/>
        <v>159176.96699999954</v>
      </c>
      <c r="FM112" s="96">
        <f t="shared" si="91"/>
        <v>159176.96699999954</v>
      </c>
      <c r="FN112" s="96">
        <f t="shared" si="91"/>
        <v>159176.96699999954</v>
      </c>
      <c r="FO112" s="96">
        <f t="shared" si="91"/>
        <v>159176.96699999954</v>
      </c>
      <c r="FP112" s="96">
        <f t="shared" si="91"/>
        <v>159176.96699999954</v>
      </c>
      <c r="FQ112" s="96">
        <f t="shared" si="91"/>
        <v>159176.96699999954</v>
      </c>
      <c r="FR112" s="96">
        <f t="shared" si="91"/>
        <v>159176.96699999954</v>
      </c>
      <c r="FS112" s="96">
        <f t="shared" si="91"/>
        <v>159176.96699999954</v>
      </c>
      <c r="FT112" s="96">
        <f t="shared" si="91"/>
        <v>159176.96699999954</v>
      </c>
      <c r="FU112" s="96">
        <f t="shared" si="91"/>
        <v>159176.96699999954</v>
      </c>
      <c r="FV112" s="96">
        <f t="shared" si="91"/>
        <v>159176.96699999954</v>
      </c>
      <c r="FW112" s="96">
        <f t="shared" si="91"/>
        <v>159176.96699999954</v>
      </c>
      <c r="FX112" s="96">
        <f t="shared" si="91"/>
        <v>159176.96699999954</v>
      </c>
      <c r="FY112" s="96">
        <f t="shared" si="91"/>
        <v>159176.96699999954</v>
      </c>
      <c r="FZ112" s="60"/>
      <c r="GA112" s="60"/>
      <c r="GB112" s="60"/>
    </row>
    <row r="113" spans="2:184" x14ac:dyDescent="0.35">
      <c r="B113" s="93"/>
      <c r="FZ113" s="60"/>
      <c r="GA113" s="60"/>
      <c r="GB113" s="60"/>
    </row>
    <row r="114" spans="2:184" x14ac:dyDescent="0.35">
      <c r="B114" s="93"/>
      <c r="FZ114" s="60"/>
      <c r="GA114" s="60"/>
      <c r="GB114" s="60"/>
    </row>
    <row r="115" spans="2:184" x14ac:dyDescent="0.35">
      <c r="B115" s="93"/>
      <c r="CF115" s="60" t="s">
        <v>986</v>
      </c>
      <c r="CG115" s="98">
        <f>SUM(BV4:CG4)</f>
        <v>298901</v>
      </c>
      <c r="CR115" s="60" t="s">
        <v>986</v>
      </c>
      <c r="CS115" s="98">
        <f>SUM(CH4:CS4)</f>
        <v>317264</v>
      </c>
      <c r="DD115" s="60" t="s">
        <v>986</v>
      </c>
      <c r="DE115" s="98">
        <f>SUM(CT4:DE4)</f>
        <v>349990</v>
      </c>
      <c r="DP115" s="60" t="s">
        <v>986</v>
      </c>
      <c r="DQ115" s="98">
        <f>SUM(DF4:DQ4)</f>
        <v>335145</v>
      </c>
      <c r="EB115" s="60" t="s">
        <v>986</v>
      </c>
      <c r="EC115" s="98">
        <f>SUM(DR4:EC4)</f>
        <v>312898</v>
      </c>
      <c r="EN115" s="60" t="s">
        <v>986</v>
      </c>
      <c r="EO115" s="98">
        <f>SUM(ED4:EO4)</f>
        <v>471752</v>
      </c>
      <c r="FZ115" s="60"/>
      <c r="GA115" s="60"/>
      <c r="GB115" s="60"/>
    </row>
    <row r="116" spans="2:184" x14ac:dyDescent="0.35">
      <c r="B116" s="93"/>
      <c r="CF116" s="60" t="s">
        <v>985</v>
      </c>
      <c r="CG116" s="98">
        <f>SUM(BV5:CG16)</f>
        <v>224600.88</v>
      </c>
      <c r="CR116" s="60" t="s">
        <v>985</v>
      </c>
      <c r="CS116" s="98">
        <f>SUM(CH5:CS16)</f>
        <v>214926.80000000002</v>
      </c>
      <c r="DD116" s="60" t="s">
        <v>985</v>
      </c>
      <c r="DE116" s="98">
        <f>SUM(CT5:DE16)</f>
        <v>201705.32</v>
      </c>
      <c r="DP116" s="60" t="s">
        <v>985</v>
      </c>
      <c r="DQ116" s="98">
        <f>SUM(DF5:DQ16)</f>
        <v>183148.27000000002</v>
      </c>
      <c r="EB116" s="60" t="s">
        <v>985</v>
      </c>
      <c r="EC116" s="98">
        <f>SUM(DR5:EC16)</f>
        <v>208390.16</v>
      </c>
      <c r="EN116" s="60" t="s">
        <v>985</v>
      </c>
      <c r="EO116" s="98">
        <f>SUM(ED5:EO16)</f>
        <v>244507.87999999998</v>
      </c>
      <c r="FZ116" s="60"/>
      <c r="GA116" s="60"/>
      <c r="GB116" s="60"/>
    </row>
    <row r="117" spans="2:184" x14ac:dyDescent="0.35">
      <c r="B117" s="93"/>
      <c r="CF117" s="60" t="s">
        <v>987</v>
      </c>
      <c r="CG117" s="98">
        <f>SUM(BV17:CG103)</f>
        <v>88413.45</v>
      </c>
      <c r="CR117" s="60" t="s">
        <v>987</v>
      </c>
      <c r="CS117" s="98">
        <f>SUM(CH17:CS103)</f>
        <v>80551.299999999988</v>
      </c>
      <c r="DD117" s="60" t="s">
        <v>987</v>
      </c>
      <c r="DE117" s="98">
        <f>SUM(CT17:DE103)</f>
        <v>104122.35</v>
      </c>
      <c r="DP117" s="60" t="s">
        <v>987</v>
      </c>
      <c r="DQ117" s="98">
        <f>SUM(DF17:DQ103)</f>
        <v>20897.64</v>
      </c>
      <c r="EB117" s="60" t="s">
        <v>987</v>
      </c>
      <c r="EC117" s="98">
        <f>SUM(DR17:EC103)</f>
        <v>23751.8</v>
      </c>
      <c r="EN117" s="60" t="s">
        <v>987</v>
      </c>
      <c r="EO117" s="98">
        <f>SUM(ED17:EO103)</f>
        <v>38424.79</v>
      </c>
      <c r="FZ117" s="60"/>
      <c r="GA117" s="60"/>
      <c r="GB117" s="60"/>
    </row>
    <row r="118" spans="2:184" x14ac:dyDescent="0.35">
      <c r="B118" s="93"/>
      <c r="FZ118" s="60"/>
      <c r="GA118" s="60"/>
      <c r="GB118" s="60"/>
    </row>
    <row r="119" spans="2:184" x14ac:dyDescent="0.35">
      <c r="J119" s="60" t="s">
        <v>988</v>
      </c>
      <c r="K119" s="60" t="s">
        <v>986</v>
      </c>
      <c r="L119" s="60" t="s">
        <v>985</v>
      </c>
      <c r="M119" s="60" t="s">
        <v>987</v>
      </c>
      <c r="V119" s="60" t="s">
        <v>988</v>
      </c>
      <c r="W119" s="60" t="s">
        <v>986</v>
      </c>
      <c r="X119" s="60" t="s">
        <v>985</v>
      </c>
      <c r="Y119" s="60" t="s">
        <v>987</v>
      </c>
      <c r="AH119" s="60" t="s">
        <v>988</v>
      </c>
      <c r="AI119" s="60" t="s">
        <v>986</v>
      </c>
      <c r="AJ119" s="60" t="s">
        <v>985</v>
      </c>
      <c r="AK119" s="60" t="s">
        <v>987</v>
      </c>
      <c r="AT119" s="60" t="s">
        <v>988</v>
      </c>
      <c r="AU119" s="60" t="s">
        <v>986</v>
      </c>
      <c r="AV119" s="60" t="s">
        <v>985</v>
      </c>
      <c r="AW119" s="60" t="s">
        <v>987</v>
      </c>
      <c r="BF119" s="60" t="s">
        <v>988</v>
      </c>
      <c r="BG119" s="60" t="s">
        <v>986</v>
      </c>
      <c r="BH119" s="60" t="s">
        <v>985</v>
      </c>
      <c r="BI119" s="60" t="s">
        <v>987</v>
      </c>
      <c r="BR119" s="60" t="s">
        <v>988</v>
      </c>
      <c r="BS119" s="60" t="s">
        <v>986</v>
      </c>
      <c r="BT119" s="60" t="s">
        <v>985</v>
      </c>
      <c r="BU119" s="60" t="s">
        <v>987</v>
      </c>
      <c r="CD119" s="60" t="s">
        <v>988</v>
      </c>
      <c r="CE119" s="60" t="s">
        <v>986</v>
      </c>
      <c r="CF119" s="60" t="s">
        <v>985</v>
      </c>
      <c r="CG119" s="60" t="s">
        <v>987</v>
      </c>
      <c r="CP119" s="60" t="s">
        <v>988</v>
      </c>
      <c r="CQ119" s="60" t="s">
        <v>986</v>
      </c>
      <c r="CR119" s="60" t="s">
        <v>985</v>
      </c>
      <c r="CS119" s="60" t="s">
        <v>987</v>
      </c>
      <c r="DB119" s="60" t="s">
        <v>988</v>
      </c>
      <c r="DC119" s="60" t="s">
        <v>986</v>
      </c>
      <c r="DD119" s="60" t="s">
        <v>985</v>
      </c>
      <c r="DE119" s="60" t="s">
        <v>987</v>
      </c>
      <c r="DN119" s="60" t="s">
        <v>988</v>
      </c>
      <c r="DO119" s="60" t="s">
        <v>986</v>
      </c>
      <c r="DP119" s="60" t="s">
        <v>985</v>
      </c>
      <c r="DQ119" s="60" t="s">
        <v>987</v>
      </c>
      <c r="DZ119" s="60" t="s">
        <v>988</v>
      </c>
      <c r="EA119" s="60" t="s">
        <v>986</v>
      </c>
      <c r="EB119" s="60" t="s">
        <v>985</v>
      </c>
      <c r="EC119" s="60" t="s">
        <v>987</v>
      </c>
      <c r="EL119" s="60" t="s">
        <v>988</v>
      </c>
      <c r="EM119" s="60" t="s">
        <v>986</v>
      </c>
      <c r="EN119" s="60" t="s">
        <v>985</v>
      </c>
      <c r="EO119" s="60" t="s">
        <v>987</v>
      </c>
      <c r="FZ119" s="60"/>
      <c r="GA119" s="60"/>
      <c r="GB119" s="60"/>
    </row>
    <row r="120" spans="2:184" x14ac:dyDescent="0.35">
      <c r="J120" s="60">
        <f t="shared" ref="J120" si="92">M1</f>
        <v>2014</v>
      </c>
      <c r="K120" s="98">
        <f t="shared" ref="K120" si="93">SUM(B4:M4)</f>
        <v>146246</v>
      </c>
      <c r="L120" s="98">
        <f t="shared" ref="L120" si="94">SUM(B5:M16)</f>
        <v>141205.72</v>
      </c>
      <c r="M120" s="98">
        <f t="shared" ref="M120" si="95">SUM(B17:M103)</f>
        <v>168577.59</v>
      </c>
      <c r="V120" s="60">
        <f t="shared" ref="V120" si="96">Y1</f>
        <v>2015</v>
      </c>
      <c r="W120" s="98">
        <f t="shared" ref="W120" si="97">SUM(N4:Y4)</f>
        <v>186332</v>
      </c>
      <c r="X120" s="98">
        <f t="shared" ref="X120" si="98">SUM(N5:Y16)</f>
        <v>139390.79999999996</v>
      </c>
      <c r="Y120" s="98">
        <f t="shared" ref="Y120" si="99">SUM(N17:Y103)</f>
        <v>202418.35</v>
      </c>
      <c r="AH120" s="60">
        <f t="shared" ref="AH120" si="100">AK1</f>
        <v>2016</v>
      </c>
      <c r="AI120" s="98">
        <f t="shared" ref="AI120" si="101">SUM(Z4:AK4)</f>
        <v>198585</v>
      </c>
      <c r="AJ120" s="98">
        <f t="shared" ref="AJ120" si="102">SUM(Z5:AK16)</f>
        <v>153479.67999999999</v>
      </c>
      <c r="AK120" s="98">
        <f t="shared" ref="AK120" si="103">SUM(Z17:AK103)</f>
        <v>111310.2</v>
      </c>
      <c r="AT120" s="60">
        <f t="shared" ref="AT120" si="104">AW1</f>
        <v>2017</v>
      </c>
      <c r="AU120" s="98">
        <f t="shared" ref="AU120" si="105">SUM(AL4:AW4)</f>
        <v>247841</v>
      </c>
      <c r="AV120" s="98">
        <f t="shared" ref="AV120" si="106">SUM(AL5:AW16)</f>
        <v>115185.56</v>
      </c>
      <c r="AW120" s="98">
        <f t="shared" ref="AW120" si="107">SUM(AL17:AW103)</f>
        <v>119240.11</v>
      </c>
      <c r="BF120" s="60">
        <f t="shared" ref="BF120" si="108">BI1</f>
        <v>2018</v>
      </c>
      <c r="BG120" s="98">
        <f t="shared" ref="BG120" si="109">SUM(AX4:BI4)</f>
        <v>279334.59999999998</v>
      </c>
      <c r="BH120" s="98">
        <f t="shared" ref="BH120" si="110">SUM(AX5:BI16)</f>
        <v>94718.739999999991</v>
      </c>
      <c r="BI120" s="98">
        <f t="shared" ref="BI120" si="111">SUM(AX17:BI103)</f>
        <v>126252.83</v>
      </c>
      <c r="BR120" s="60">
        <f t="shared" ref="BR120" si="112">BU1</f>
        <v>2019</v>
      </c>
      <c r="BS120" s="98">
        <f t="shared" ref="BS120" si="113">SUM(BJ4:BU4)</f>
        <v>241895</v>
      </c>
      <c r="BT120" s="98">
        <f t="shared" ref="BT120" si="114">SUM(BJ5:BU16)</f>
        <v>107004.22</v>
      </c>
      <c r="BU120" s="98">
        <f t="shared" ref="BU120" si="115">SUM(BJ17:BU103)</f>
        <v>182505.18000000002</v>
      </c>
      <c r="CD120" s="60">
        <f t="shared" ref="CD120" si="116">CG1</f>
        <v>2020</v>
      </c>
      <c r="CE120" s="98">
        <f t="shared" ref="CE120" si="117">SUM(BV4:CG4)</f>
        <v>298901</v>
      </c>
      <c r="CF120" s="98">
        <f t="shared" ref="CF120" si="118">SUM(BV5:CG16)</f>
        <v>224600.88</v>
      </c>
      <c r="CG120" s="98">
        <f t="shared" ref="CG120" si="119">SUM(BV17:CG103)</f>
        <v>88413.45</v>
      </c>
      <c r="CP120" s="60">
        <f t="shared" ref="CP120" si="120">CS1</f>
        <v>2021</v>
      </c>
      <c r="CQ120" s="98">
        <f t="shared" ref="CQ120" si="121">SUM(CH4:CS4)</f>
        <v>317264</v>
      </c>
      <c r="CR120" s="98">
        <f t="shared" ref="CR120" si="122">SUM(CH5:CS16)</f>
        <v>214926.80000000002</v>
      </c>
      <c r="CS120" s="98">
        <f t="shared" ref="CS120" si="123">SUM(CH17:CS103)</f>
        <v>80551.299999999988</v>
      </c>
      <c r="DB120" s="60">
        <f t="shared" ref="DB120" si="124">DE1</f>
        <v>2022</v>
      </c>
      <c r="DC120" s="98">
        <f t="shared" ref="DC120" si="125">SUM(CT4:DE4)</f>
        <v>349990</v>
      </c>
      <c r="DD120" s="98">
        <f t="shared" ref="DD120" si="126">SUM(CT5:DE16)</f>
        <v>201705.32</v>
      </c>
      <c r="DE120" s="98">
        <f t="shared" ref="DE120" si="127">SUM(CT17:DE103)</f>
        <v>104122.35</v>
      </c>
      <c r="DN120" s="60">
        <f t="shared" ref="DN120" si="128">DQ1</f>
        <v>2023</v>
      </c>
      <c r="DO120" s="98">
        <f t="shared" ref="DO120" si="129">SUM(DF4:DQ4)</f>
        <v>335145</v>
      </c>
      <c r="DP120" s="98">
        <f t="shared" ref="DP120" si="130">SUM(DF5:DQ16)</f>
        <v>183148.27000000002</v>
      </c>
      <c r="DQ120" s="98">
        <f t="shared" ref="DQ120" si="131">SUM(DF17:DQ103)</f>
        <v>20897.64</v>
      </c>
      <c r="DZ120" s="60">
        <f t="shared" ref="DZ120" si="132">EC1</f>
        <v>2024</v>
      </c>
      <c r="EA120" s="98">
        <f t="shared" ref="EA120" si="133">SUM(DR4:EC4)</f>
        <v>312898</v>
      </c>
      <c r="EB120" s="98">
        <f t="shared" ref="EB120" si="134">SUM(DR5:EC16)</f>
        <v>208390.16</v>
      </c>
      <c r="EC120" s="98">
        <f t="shared" ref="EC120" si="135">SUM(DR17:EC103)</f>
        <v>23751.8</v>
      </c>
      <c r="EL120" s="60">
        <f>EO1</f>
        <v>2025</v>
      </c>
      <c r="EM120" s="98">
        <f>SUM(ED4:EO4)</f>
        <v>471752</v>
      </c>
      <c r="EN120" s="98">
        <f>SUM(ED5:EO16)</f>
        <v>244507.87999999998</v>
      </c>
      <c r="EO120" s="98">
        <f>SUM(ED17:EO103)</f>
        <v>38424.79</v>
      </c>
      <c r="FZ120" s="60"/>
      <c r="GA120" s="60"/>
      <c r="GB120" s="60"/>
    </row>
    <row r="121" spans="2:184" x14ac:dyDescent="0.35">
      <c r="B121" s="93"/>
      <c r="FZ121" s="60"/>
      <c r="GA121" s="60"/>
      <c r="GB121" s="60"/>
    </row>
    <row r="122" spans="2:184" x14ac:dyDescent="0.35">
      <c r="B122" s="93"/>
      <c r="FZ122" s="60"/>
      <c r="GA122" s="60"/>
      <c r="GB122" s="60"/>
    </row>
    <row r="123" spans="2:184" x14ac:dyDescent="0.35">
      <c r="B123" s="93"/>
      <c r="FZ123" s="60"/>
      <c r="GA123" s="60"/>
      <c r="GB123" s="60"/>
    </row>
    <row r="124" spans="2:184" x14ac:dyDescent="0.35">
      <c r="B124" s="93"/>
      <c r="FZ124" s="60"/>
      <c r="GA124" s="60"/>
      <c r="GB124" s="60"/>
    </row>
    <row r="125" spans="2:184" x14ac:dyDescent="0.35">
      <c r="B125" s="93"/>
      <c r="FZ125" s="60"/>
      <c r="GA125" s="60"/>
      <c r="GB125" s="60"/>
    </row>
    <row r="126" spans="2:184" x14ac:dyDescent="0.35">
      <c r="B126" s="93"/>
      <c r="FZ126" s="60"/>
      <c r="GA126" s="60"/>
      <c r="GB126" s="60"/>
    </row>
    <row r="127" spans="2:184" x14ac:dyDescent="0.35">
      <c r="B127" s="93"/>
      <c r="FZ127" s="60"/>
      <c r="GA127" s="60"/>
      <c r="GB127" s="60"/>
    </row>
    <row r="128" spans="2:184" x14ac:dyDescent="0.35">
      <c r="B128" s="93"/>
      <c r="FZ128" s="60"/>
      <c r="GA128" s="60"/>
      <c r="GB128" s="60"/>
    </row>
    <row r="129" spans="2:184" x14ac:dyDescent="0.35">
      <c r="B129" s="93"/>
      <c r="FZ129" s="60"/>
      <c r="GA129" s="60"/>
      <c r="GB129" s="60"/>
    </row>
    <row r="130" spans="2:184" x14ac:dyDescent="0.35">
      <c r="B130" s="93"/>
      <c r="FZ130" s="60"/>
      <c r="GA130" s="60"/>
      <c r="GB130" s="60"/>
    </row>
    <row r="131" spans="2:184" x14ac:dyDescent="0.35">
      <c r="B131" s="93"/>
      <c r="FZ131" s="60"/>
      <c r="GA131" s="60"/>
      <c r="GB131" s="60"/>
    </row>
    <row r="132" spans="2:184" x14ac:dyDescent="0.35">
      <c r="B132" s="93"/>
      <c r="FZ132" s="60"/>
      <c r="GA132" s="60"/>
      <c r="GB132" s="60"/>
    </row>
    <row r="133" spans="2:184" x14ac:dyDescent="0.35">
      <c r="B133" s="93"/>
      <c r="FZ133" s="60"/>
      <c r="GA133" s="60"/>
      <c r="GB133" s="60"/>
    </row>
    <row r="134" spans="2:184" x14ac:dyDescent="0.35">
      <c r="B134" s="93"/>
      <c r="FZ134" s="60"/>
      <c r="GA134" s="60"/>
      <c r="GB134" s="60"/>
    </row>
    <row r="135" spans="2:184" x14ac:dyDescent="0.35">
      <c r="B135" s="93"/>
      <c r="FZ135" s="60"/>
      <c r="GA135" s="60"/>
      <c r="GB135" s="60"/>
    </row>
    <row r="136" spans="2:184" x14ac:dyDescent="0.35">
      <c r="B136" s="93"/>
      <c r="FZ136" s="60"/>
      <c r="GA136" s="60"/>
      <c r="GB136" s="60"/>
    </row>
    <row r="137" spans="2:184" x14ac:dyDescent="0.35">
      <c r="B137" s="93"/>
      <c r="FZ137" s="60"/>
      <c r="GA137" s="60"/>
      <c r="GB137" s="60"/>
    </row>
    <row r="138" spans="2:184" x14ac:dyDescent="0.35">
      <c r="B138" s="93"/>
      <c r="FZ138" s="60"/>
      <c r="GA138" s="60"/>
      <c r="GB138" s="60"/>
    </row>
    <row r="139" spans="2:184" x14ac:dyDescent="0.35">
      <c r="B139" s="93"/>
      <c r="FZ139" s="60"/>
      <c r="GA139" s="60"/>
      <c r="GB139" s="60"/>
    </row>
    <row r="140" spans="2:184" x14ac:dyDescent="0.35">
      <c r="B140" s="93"/>
      <c r="FZ140" s="60"/>
      <c r="GA140" s="60"/>
      <c r="GB140" s="60"/>
    </row>
    <row r="141" spans="2:184" x14ac:dyDescent="0.35">
      <c r="B141" s="93"/>
      <c r="FZ141" s="60"/>
      <c r="GA141" s="60"/>
      <c r="GB141" s="60"/>
    </row>
    <row r="142" spans="2:184" x14ac:dyDescent="0.35">
      <c r="B142" s="93"/>
      <c r="FZ142" s="60"/>
      <c r="GA142" s="60"/>
      <c r="GB142" s="60"/>
    </row>
    <row r="143" spans="2:184" x14ac:dyDescent="0.35">
      <c r="B143" s="93"/>
      <c r="FZ143" s="60"/>
      <c r="GA143" s="60"/>
      <c r="GB143" s="60"/>
    </row>
    <row r="144" spans="2:184" x14ac:dyDescent="0.35">
      <c r="B144" s="93"/>
      <c r="FZ144" s="60"/>
      <c r="GA144" s="60"/>
      <c r="GB144" s="60"/>
    </row>
    <row r="145" spans="2:184" x14ac:dyDescent="0.35">
      <c r="B145" s="93"/>
      <c r="FZ145" s="60"/>
      <c r="GA145" s="60"/>
      <c r="GB145" s="60"/>
    </row>
    <row r="146" spans="2:184" x14ac:dyDescent="0.35">
      <c r="B146" s="93"/>
      <c r="FZ146" s="60"/>
      <c r="GA146" s="60"/>
      <c r="GB146" s="60"/>
    </row>
    <row r="147" spans="2:184" x14ac:dyDescent="0.35">
      <c r="B147" s="93"/>
      <c r="FZ147" s="60"/>
      <c r="GA147" s="60"/>
      <c r="GB147" s="60"/>
    </row>
    <row r="148" spans="2:184" x14ac:dyDescent="0.35">
      <c r="B148" s="93"/>
      <c r="FZ148" s="60"/>
      <c r="GA148" s="60"/>
      <c r="GB148" s="60"/>
    </row>
    <row r="149" spans="2:184" x14ac:dyDescent="0.35">
      <c r="B149" s="93"/>
      <c r="FZ149" s="60"/>
      <c r="GA149" s="60"/>
      <c r="GB149" s="60"/>
    </row>
    <row r="150" spans="2:184" x14ac:dyDescent="0.35">
      <c r="B150" s="93"/>
      <c r="FZ150" s="60"/>
      <c r="GA150" s="60"/>
      <c r="GB150" s="60"/>
    </row>
    <row r="151" spans="2:184" x14ac:dyDescent="0.35">
      <c r="B151" s="93"/>
      <c r="FZ151" s="60"/>
      <c r="GA151" s="60"/>
      <c r="GB151" s="60"/>
    </row>
    <row r="152" spans="2:184" x14ac:dyDescent="0.35">
      <c r="B152" s="93"/>
      <c r="FZ152" s="60"/>
      <c r="GA152" s="60"/>
      <c r="GB152" s="60"/>
    </row>
    <row r="153" spans="2:184" x14ac:dyDescent="0.35">
      <c r="B153" s="93"/>
      <c r="FZ153" s="60"/>
      <c r="GA153" s="60"/>
      <c r="GB153" s="60"/>
    </row>
    <row r="154" spans="2:184" x14ac:dyDescent="0.35">
      <c r="B154" s="93"/>
      <c r="FZ154" s="60"/>
      <c r="GA154" s="60"/>
      <c r="GB154" s="60"/>
    </row>
    <row r="155" spans="2:184" x14ac:dyDescent="0.35">
      <c r="B155" s="93"/>
      <c r="FZ155" s="60"/>
      <c r="GA155" s="60"/>
      <c r="GB155" s="60"/>
    </row>
    <row r="156" spans="2:184" x14ac:dyDescent="0.35">
      <c r="B156" s="93"/>
      <c r="FZ156" s="60"/>
      <c r="GA156" s="60"/>
      <c r="GB156" s="60"/>
    </row>
    <row r="157" spans="2:184" x14ac:dyDescent="0.35">
      <c r="B157" s="93"/>
      <c r="FZ157" s="60"/>
      <c r="GA157" s="60"/>
      <c r="GB157" s="60"/>
    </row>
    <row r="158" spans="2:184" x14ac:dyDescent="0.35">
      <c r="B158" s="93"/>
      <c r="FZ158" s="60"/>
      <c r="GA158" s="60"/>
      <c r="GB158" s="60"/>
    </row>
    <row r="159" spans="2:184" x14ac:dyDescent="0.35">
      <c r="B159" s="93"/>
      <c r="FZ159" s="60"/>
      <c r="GA159" s="60"/>
      <c r="GB159" s="60"/>
    </row>
    <row r="160" spans="2:184" x14ac:dyDescent="0.35">
      <c r="B160" s="93"/>
      <c r="FZ160" s="60"/>
      <c r="GA160" s="60"/>
      <c r="GB160" s="60"/>
    </row>
    <row r="161" spans="2:184" x14ac:dyDescent="0.35">
      <c r="B161" s="93"/>
      <c r="FZ161" s="60"/>
      <c r="GA161" s="60"/>
      <c r="GB161" s="60"/>
    </row>
    <row r="162" spans="2:184" x14ac:dyDescent="0.35">
      <c r="B162" s="93"/>
      <c r="FZ162" s="60"/>
      <c r="GA162" s="60"/>
      <c r="GB162" s="60"/>
    </row>
    <row r="163" spans="2:184" x14ac:dyDescent="0.35">
      <c r="B163" s="93"/>
      <c r="FZ163" s="60"/>
      <c r="GA163" s="60"/>
      <c r="GB163" s="60"/>
    </row>
    <row r="164" spans="2:184" x14ac:dyDescent="0.35">
      <c r="B164" s="93"/>
      <c r="FZ164" s="60"/>
      <c r="GA164" s="60"/>
      <c r="GB164" s="60"/>
    </row>
    <row r="165" spans="2:184" x14ac:dyDescent="0.35">
      <c r="B165" s="93"/>
      <c r="FZ165" s="60"/>
      <c r="GA165" s="60"/>
      <c r="GB165" s="60"/>
    </row>
    <row r="166" spans="2:184" x14ac:dyDescent="0.35">
      <c r="B166" s="93"/>
      <c r="FZ166" s="60"/>
      <c r="GA166" s="60"/>
      <c r="GB166" s="60"/>
    </row>
    <row r="167" spans="2:184" x14ac:dyDescent="0.35">
      <c r="B167" s="93"/>
      <c r="FZ167" s="60"/>
      <c r="GA167" s="60"/>
      <c r="GB167" s="60"/>
    </row>
    <row r="168" spans="2:184" x14ac:dyDescent="0.35">
      <c r="B168" s="93"/>
      <c r="FZ168" s="60"/>
      <c r="GA168" s="60"/>
      <c r="GB168" s="60"/>
    </row>
    <row r="169" spans="2:184" x14ac:dyDescent="0.35">
      <c r="B169" s="93"/>
      <c r="FZ169" s="60"/>
      <c r="GA169" s="60"/>
      <c r="GB169" s="60"/>
    </row>
    <row r="170" spans="2:184" x14ac:dyDescent="0.35">
      <c r="B170" s="93"/>
      <c r="FZ170" s="60"/>
      <c r="GA170" s="60"/>
      <c r="GB170" s="60"/>
    </row>
    <row r="171" spans="2:184" x14ac:dyDescent="0.35">
      <c r="B171" s="93"/>
      <c r="FZ171" s="60"/>
      <c r="GA171" s="60"/>
      <c r="GB171" s="60"/>
    </row>
    <row r="172" spans="2:184" x14ac:dyDescent="0.35">
      <c r="B172" s="93"/>
      <c r="FZ172" s="60"/>
      <c r="GA172" s="60"/>
      <c r="GB172" s="60"/>
    </row>
    <row r="173" spans="2:184" x14ac:dyDescent="0.35">
      <c r="B173" s="93"/>
      <c r="FZ173" s="60"/>
      <c r="GA173" s="60"/>
      <c r="GB173" s="60"/>
    </row>
    <row r="174" spans="2:184" x14ac:dyDescent="0.35">
      <c r="B174" s="93"/>
      <c r="FZ174" s="60"/>
      <c r="GA174" s="60"/>
      <c r="GB174" s="60"/>
    </row>
    <row r="175" spans="2:184" x14ac:dyDescent="0.35">
      <c r="B175" s="93"/>
      <c r="FZ175" s="60"/>
      <c r="GA175" s="60"/>
      <c r="GB175" s="60"/>
    </row>
    <row r="176" spans="2:184" x14ac:dyDescent="0.35">
      <c r="B176" s="93"/>
      <c r="FZ176" s="60"/>
      <c r="GA176" s="60"/>
      <c r="GB176" s="60"/>
    </row>
    <row r="177" spans="2:184" x14ac:dyDescent="0.35">
      <c r="B177" s="93"/>
      <c r="FZ177" s="60"/>
      <c r="GA177" s="60"/>
      <c r="GB177" s="60"/>
    </row>
    <row r="178" spans="2:184" x14ac:dyDescent="0.35">
      <c r="B178" s="93"/>
      <c r="FZ178" s="60"/>
      <c r="GA178" s="60"/>
      <c r="GB178" s="60"/>
    </row>
    <row r="179" spans="2:184" x14ac:dyDescent="0.35">
      <c r="B179" s="93"/>
      <c r="FZ179" s="60"/>
      <c r="GA179" s="60"/>
      <c r="GB179" s="60"/>
    </row>
    <row r="180" spans="2:184" x14ac:dyDescent="0.35">
      <c r="B180" s="93"/>
      <c r="FZ180" s="60"/>
      <c r="GA180" s="60"/>
      <c r="GB180" s="60"/>
    </row>
    <row r="181" spans="2:184" x14ac:dyDescent="0.35">
      <c r="B181" s="93"/>
      <c r="FZ181" s="60"/>
      <c r="GA181" s="60"/>
      <c r="GB181" s="60"/>
    </row>
    <row r="182" spans="2:184" x14ac:dyDescent="0.35">
      <c r="B182" s="93"/>
      <c r="FZ182" s="60"/>
      <c r="GA182" s="60"/>
      <c r="GB182" s="60"/>
    </row>
    <row r="183" spans="2:184" x14ac:dyDescent="0.35">
      <c r="B183" s="93"/>
      <c r="FZ183" s="60"/>
      <c r="GA183" s="60"/>
      <c r="GB183" s="60"/>
    </row>
    <row r="184" spans="2:184" x14ac:dyDescent="0.35">
      <c r="B184" s="93"/>
      <c r="FZ184" s="60"/>
      <c r="GA184" s="60"/>
      <c r="GB184" s="60"/>
    </row>
    <row r="185" spans="2:184" x14ac:dyDescent="0.35">
      <c r="B185" s="93"/>
      <c r="FZ185" s="60"/>
      <c r="GA185" s="60"/>
      <c r="GB185" s="60"/>
    </row>
    <row r="186" spans="2:184" x14ac:dyDescent="0.35">
      <c r="B186" s="93"/>
      <c r="FZ186" s="60"/>
      <c r="GA186" s="60"/>
      <c r="GB186" s="60"/>
    </row>
    <row r="187" spans="2:184" x14ac:dyDescent="0.35">
      <c r="B187" s="93"/>
      <c r="FZ187" s="60"/>
      <c r="GA187" s="60"/>
      <c r="GB187" s="60"/>
    </row>
    <row r="188" spans="2:184" x14ac:dyDescent="0.35">
      <c r="B188" s="93"/>
      <c r="FZ188" s="60"/>
      <c r="GA188" s="60"/>
      <c r="GB188" s="60"/>
    </row>
    <row r="189" spans="2:184" x14ac:dyDescent="0.35">
      <c r="B189" s="93"/>
      <c r="FZ189" s="60"/>
      <c r="GA189" s="60"/>
      <c r="GB189" s="60"/>
    </row>
    <row r="190" spans="2:184" x14ac:dyDescent="0.35">
      <c r="B190" s="93"/>
      <c r="FZ190" s="60"/>
      <c r="GA190" s="60"/>
      <c r="GB190" s="60"/>
    </row>
    <row r="191" spans="2:184" x14ac:dyDescent="0.35">
      <c r="B191" s="93"/>
      <c r="FZ191" s="60"/>
      <c r="GA191" s="60"/>
      <c r="GB191" s="60"/>
    </row>
    <row r="192" spans="2:184" x14ac:dyDescent="0.35">
      <c r="B192" s="93"/>
      <c r="FZ192" s="60"/>
      <c r="GA192" s="60"/>
      <c r="GB192" s="60"/>
    </row>
    <row r="193" spans="2:184" x14ac:dyDescent="0.35">
      <c r="B193" s="93"/>
      <c r="FZ193" s="60"/>
      <c r="GA193" s="60"/>
      <c r="GB193" s="60"/>
    </row>
    <row r="194" spans="2:184" x14ac:dyDescent="0.35">
      <c r="B194" s="93"/>
      <c r="FZ194" s="60"/>
      <c r="GA194" s="60"/>
      <c r="GB194" s="60"/>
    </row>
    <row r="195" spans="2:184" x14ac:dyDescent="0.35">
      <c r="B195" s="93"/>
      <c r="FZ195" s="60"/>
      <c r="GA195" s="60"/>
      <c r="GB195" s="60"/>
    </row>
    <row r="196" spans="2:184" x14ac:dyDescent="0.35">
      <c r="B196" s="93"/>
      <c r="FZ196" s="60"/>
      <c r="GA196" s="60"/>
      <c r="GB196" s="60"/>
    </row>
    <row r="197" spans="2:184" x14ac:dyDescent="0.35">
      <c r="B197" s="93"/>
      <c r="FZ197" s="60"/>
      <c r="GA197" s="60"/>
      <c r="GB197" s="60"/>
    </row>
    <row r="198" spans="2:184" x14ac:dyDescent="0.35">
      <c r="B198" s="93"/>
      <c r="FZ198" s="60"/>
      <c r="GA198" s="60"/>
      <c r="GB198" s="60"/>
    </row>
    <row r="199" spans="2:184" x14ac:dyDescent="0.35">
      <c r="B199" s="93"/>
      <c r="FZ199" s="60"/>
      <c r="GA199" s="60"/>
      <c r="GB199" s="60"/>
    </row>
    <row r="200" spans="2:184" x14ac:dyDescent="0.35">
      <c r="B200" s="93"/>
      <c r="FZ200" s="60"/>
      <c r="GA200" s="60"/>
      <c r="GB200" s="60"/>
    </row>
    <row r="201" spans="2:184" x14ac:dyDescent="0.35">
      <c r="B201" s="93"/>
      <c r="FZ201" s="60"/>
      <c r="GA201" s="60"/>
      <c r="GB201" s="60"/>
    </row>
    <row r="202" spans="2:184" x14ac:dyDescent="0.35">
      <c r="B202" s="93"/>
      <c r="FZ202" s="60"/>
      <c r="GA202" s="60"/>
      <c r="GB202" s="60"/>
    </row>
    <row r="203" spans="2:184" x14ac:dyDescent="0.35">
      <c r="B203" s="93"/>
      <c r="FZ203" s="60"/>
      <c r="GA203" s="60"/>
      <c r="GB203" s="60"/>
    </row>
    <row r="204" spans="2:184" x14ac:dyDescent="0.35">
      <c r="B204" s="93"/>
      <c r="FZ204" s="60"/>
      <c r="GA204" s="60"/>
      <c r="GB204" s="60"/>
    </row>
    <row r="205" spans="2:184" x14ac:dyDescent="0.35">
      <c r="B205" s="93"/>
      <c r="FZ205" s="60"/>
      <c r="GA205" s="60"/>
      <c r="GB205" s="60"/>
    </row>
    <row r="206" spans="2:184" x14ac:dyDescent="0.35">
      <c r="B206" s="93"/>
      <c r="FZ206" s="60"/>
      <c r="GA206" s="60"/>
      <c r="GB206" s="60"/>
    </row>
    <row r="207" spans="2:184" x14ac:dyDescent="0.35">
      <c r="B207" s="93"/>
      <c r="FZ207" s="60"/>
      <c r="GA207" s="60"/>
      <c r="GB207" s="60"/>
    </row>
    <row r="208" spans="2:184" x14ac:dyDescent="0.35">
      <c r="B208" s="93"/>
      <c r="FZ208" s="60"/>
      <c r="GA208" s="60"/>
      <c r="GB208" s="60"/>
    </row>
    <row r="209" spans="2:184" x14ac:dyDescent="0.35">
      <c r="B209" s="93"/>
      <c r="FZ209" s="60"/>
      <c r="GA209" s="60"/>
      <c r="GB209" s="60"/>
    </row>
    <row r="210" spans="2:184" x14ac:dyDescent="0.35">
      <c r="B210" s="93"/>
      <c r="FZ210" s="60"/>
      <c r="GA210" s="60"/>
      <c r="GB210" s="60"/>
    </row>
    <row r="211" spans="2:184" x14ac:dyDescent="0.35">
      <c r="B211" s="93"/>
      <c r="FZ211" s="60"/>
      <c r="GA211" s="60"/>
      <c r="GB211" s="60"/>
    </row>
    <row r="212" spans="2:184" x14ac:dyDescent="0.35">
      <c r="B212" s="93"/>
      <c r="FZ212" s="60"/>
      <c r="GA212" s="60"/>
      <c r="GB212" s="60"/>
    </row>
    <row r="213" spans="2:184" x14ac:dyDescent="0.35">
      <c r="B213" s="93"/>
      <c r="FZ213" s="60"/>
      <c r="GA213" s="60"/>
      <c r="GB213" s="60"/>
    </row>
    <row r="214" spans="2:184" x14ac:dyDescent="0.35">
      <c r="B214" s="93"/>
      <c r="FZ214" s="60"/>
      <c r="GA214" s="60"/>
      <c r="GB214" s="60"/>
    </row>
    <row r="215" spans="2:184" x14ac:dyDescent="0.35">
      <c r="B215" s="93"/>
      <c r="FZ215" s="60"/>
      <c r="GA215" s="60"/>
      <c r="GB215" s="60"/>
    </row>
    <row r="216" spans="2:184" x14ac:dyDescent="0.35">
      <c r="B216" s="93"/>
      <c r="FZ216" s="60"/>
      <c r="GA216" s="60"/>
      <c r="GB216" s="60"/>
    </row>
    <row r="217" spans="2:184" x14ac:dyDescent="0.35">
      <c r="B217" s="93"/>
      <c r="FZ217" s="60"/>
      <c r="GA217" s="60"/>
      <c r="GB217" s="60"/>
    </row>
    <row r="218" spans="2:184" x14ac:dyDescent="0.35">
      <c r="B218" s="93"/>
      <c r="FZ218" s="60"/>
      <c r="GA218" s="60"/>
      <c r="GB218" s="60"/>
    </row>
    <row r="219" spans="2:184" x14ac:dyDescent="0.35">
      <c r="B219" s="93"/>
      <c r="FZ219" s="60"/>
      <c r="GA219" s="60"/>
      <c r="GB219" s="60"/>
    </row>
    <row r="220" spans="2:184" x14ac:dyDescent="0.35">
      <c r="B220" s="93"/>
      <c r="FZ220" s="60"/>
      <c r="GA220" s="60"/>
      <c r="GB220" s="60"/>
    </row>
    <row r="221" spans="2:184" x14ac:dyDescent="0.35">
      <c r="B221" s="93"/>
      <c r="FZ221" s="60"/>
      <c r="GA221" s="60"/>
      <c r="GB221" s="60"/>
    </row>
    <row r="222" spans="2:184" x14ac:dyDescent="0.35">
      <c r="B222" s="93"/>
      <c r="FZ222" s="60"/>
      <c r="GA222" s="60"/>
      <c r="GB222" s="60"/>
    </row>
    <row r="223" spans="2:184" x14ac:dyDescent="0.35">
      <c r="B223" s="93"/>
      <c r="FZ223" s="60"/>
      <c r="GA223" s="60"/>
      <c r="GB223" s="60"/>
    </row>
    <row r="224" spans="2:184" x14ac:dyDescent="0.35">
      <c r="B224" s="93"/>
      <c r="FZ224" s="60"/>
      <c r="GA224" s="60"/>
      <c r="GB224" s="60"/>
    </row>
    <row r="225" spans="2:184" x14ac:dyDescent="0.35">
      <c r="B225" s="93"/>
      <c r="FZ225" s="60"/>
      <c r="GA225" s="60"/>
      <c r="GB225" s="60"/>
    </row>
    <row r="226" spans="2:184" x14ac:dyDescent="0.35">
      <c r="B226" s="93"/>
      <c r="FZ226" s="60"/>
      <c r="GA226" s="60"/>
      <c r="GB226" s="60"/>
    </row>
    <row r="227" spans="2:184" x14ac:dyDescent="0.35">
      <c r="B227" s="93"/>
      <c r="FZ227" s="60"/>
      <c r="GA227" s="60"/>
      <c r="GB227" s="60"/>
    </row>
    <row r="228" spans="2:184" x14ac:dyDescent="0.35">
      <c r="B228" s="93"/>
      <c r="FZ228" s="60"/>
      <c r="GA228" s="60"/>
      <c r="GB228" s="60"/>
    </row>
    <row r="229" spans="2:184" x14ac:dyDescent="0.35">
      <c r="B229" s="93"/>
      <c r="FZ229" s="60"/>
      <c r="GA229" s="60"/>
      <c r="GB229" s="60"/>
    </row>
    <row r="230" spans="2:184" x14ac:dyDescent="0.35">
      <c r="B230" s="93"/>
      <c r="FZ230" s="60"/>
      <c r="GA230" s="60"/>
      <c r="GB230" s="60"/>
    </row>
    <row r="231" spans="2:184" x14ac:dyDescent="0.35">
      <c r="B231" s="93"/>
      <c r="FZ231" s="60"/>
      <c r="GA231" s="60"/>
      <c r="GB231" s="60"/>
    </row>
    <row r="232" spans="2:184" x14ac:dyDescent="0.35">
      <c r="B232" s="93"/>
      <c r="FZ232" s="60"/>
      <c r="GA232" s="60"/>
      <c r="GB232" s="60"/>
    </row>
    <row r="233" spans="2:184" x14ac:dyDescent="0.35">
      <c r="B233" s="93"/>
      <c r="FZ233" s="60"/>
      <c r="GA233" s="60"/>
      <c r="GB233" s="60"/>
    </row>
    <row r="234" spans="2:184" x14ac:dyDescent="0.35">
      <c r="B234" s="93"/>
      <c r="FZ234" s="60"/>
      <c r="GA234" s="60"/>
      <c r="GB234" s="60"/>
    </row>
    <row r="235" spans="2:184" x14ac:dyDescent="0.35">
      <c r="B235" s="93"/>
      <c r="FZ235" s="60"/>
      <c r="GA235" s="60"/>
      <c r="GB235" s="60"/>
    </row>
    <row r="236" spans="2:184" x14ac:dyDescent="0.35">
      <c r="B236" s="93"/>
      <c r="FZ236" s="60"/>
      <c r="GA236" s="60"/>
      <c r="GB236" s="60"/>
    </row>
    <row r="237" spans="2:184" x14ac:dyDescent="0.35">
      <c r="B237" s="93"/>
      <c r="FZ237" s="60"/>
      <c r="GA237" s="60"/>
      <c r="GB237" s="60"/>
    </row>
    <row r="238" spans="2:184" x14ac:dyDescent="0.35">
      <c r="B238" s="93"/>
      <c r="FZ238" s="60"/>
      <c r="GA238" s="60"/>
      <c r="GB238" s="60"/>
    </row>
    <row r="239" spans="2:184" x14ac:dyDescent="0.35">
      <c r="B239" s="93"/>
      <c r="FZ239" s="60"/>
      <c r="GA239" s="60"/>
      <c r="GB239" s="60"/>
    </row>
    <row r="240" spans="2:184" x14ac:dyDescent="0.35">
      <c r="B240" s="93"/>
      <c r="FZ240" s="60"/>
      <c r="GA240" s="60"/>
      <c r="GB240" s="60"/>
    </row>
    <row r="241" spans="2:184" x14ac:dyDescent="0.35">
      <c r="B241" s="93"/>
      <c r="FZ241" s="60"/>
      <c r="GA241" s="60"/>
      <c r="GB241" s="60"/>
    </row>
    <row r="242" spans="2:184" x14ac:dyDescent="0.35">
      <c r="B242" s="93"/>
      <c r="FZ242" s="60"/>
      <c r="GA242" s="60"/>
      <c r="GB242" s="60"/>
    </row>
    <row r="243" spans="2:184" x14ac:dyDescent="0.35">
      <c r="B243" s="93"/>
      <c r="FZ243" s="60"/>
      <c r="GA243" s="60"/>
      <c r="GB243" s="60"/>
    </row>
    <row r="244" spans="2:184" x14ac:dyDescent="0.35">
      <c r="B244" s="93"/>
      <c r="FZ244" s="60"/>
      <c r="GA244" s="60"/>
      <c r="GB244" s="60"/>
    </row>
    <row r="245" spans="2:184" x14ac:dyDescent="0.35">
      <c r="B245" s="93"/>
      <c r="FZ245" s="60"/>
      <c r="GA245" s="60"/>
      <c r="GB245" s="60"/>
    </row>
    <row r="246" spans="2:184" x14ac:dyDescent="0.35">
      <c r="B246" s="93"/>
      <c r="FZ246" s="60"/>
      <c r="GA246" s="60"/>
      <c r="GB246" s="60"/>
    </row>
    <row r="247" spans="2:184" x14ac:dyDescent="0.35">
      <c r="B247" s="93"/>
      <c r="FZ247" s="60"/>
      <c r="GA247" s="60"/>
      <c r="GB247" s="60"/>
    </row>
    <row r="248" spans="2:184" x14ac:dyDescent="0.35">
      <c r="B248" s="93"/>
      <c r="FZ248" s="60"/>
      <c r="GA248" s="60"/>
      <c r="GB248" s="60"/>
    </row>
    <row r="249" spans="2:184" x14ac:dyDescent="0.35">
      <c r="B249" s="93"/>
      <c r="FZ249" s="60"/>
      <c r="GA249" s="60"/>
      <c r="GB249" s="60"/>
    </row>
    <row r="250" spans="2:184" x14ac:dyDescent="0.35">
      <c r="B250" s="93"/>
      <c r="FZ250" s="60"/>
      <c r="GA250" s="60"/>
      <c r="GB250" s="60"/>
    </row>
    <row r="251" spans="2:184" x14ac:dyDescent="0.35">
      <c r="B251" s="93"/>
      <c r="FZ251" s="60"/>
      <c r="GA251" s="60"/>
      <c r="GB251" s="60"/>
    </row>
    <row r="252" spans="2:184" x14ac:dyDescent="0.35">
      <c r="B252" s="93"/>
      <c r="FZ252" s="60"/>
      <c r="GA252" s="60"/>
      <c r="GB252" s="60"/>
    </row>
    <row r="253" spans="2:184" x14ac:dyDescent="0.35">
      <c r="B253" s="93"/>
      <c r="FZ253" s="60"/>
      <c r="GA253" s="60"/>
      <c r="GB253" s="60"/>
    </row>
    <row r="254" spans="2:184" x14ac:dyDescent="0.35">
      <c r="B254" s="93"/>
      <c r="FZ254" s="60"/>
      <c r="GA254" s="60"/>
      <c r="GB254" s="60"/>
    </row>
    <row r="255" spans="2:184" x14ac:dyDescent="0.35">
      <c r="B255" s="93"/>
      <c r="FZ255" s="60"/>
      <c r="GA255" s="60"/>
      <c r="GB255" s="60"/>
    </row>
    <row r="256" spans="2:184" x14ac:dyDescent="0.35">
      <c r="B256" s="93"/>
      <c r="FZ256" s="60"/>
      <c r="GA256" s="60"/>
      <c r="GB256" s="60"/>
    </row>
    <row r="257" spans="2:184" x14ac:dyDescent="0.35">
      <c r="B257" s="93"/>
      <c r="FZ257" s="60"/>
      <c r="GA257" s="60"/>
      <c r="GB257" s="60"/>
    </row>
    <row r="258" spans="2:184" x14ac:dyDescent="0.35">
      <c r="B258" s="93"/>
      <c r="FZ258" s="60"/>
      <c r="GA258" s="60"/>
      <c r="GB258" s="60"/>
    </row>
    <row r="259" spans="2:184" x14ac:dyDescent="0.35">
      <c r="B259" s="93"/>
      <c r="FZ259" s="60"/>
      <c r="GA259" s="60"/>
      <c r="GB259" s="60"/>
    </row>
    <row r="260" spans="2:184" x14ac:dyDescent="0.35">
      <c r="B260" s="93"/>
      <c r="FZ260" s="60"/>
      <c r="GA260" s="60"/>
      <c r="GB260" s="60"/>
    </row>
    <row r="261" spans="2:184" x14ac:dyDescent="0.35">
      <c r="B261" s="93"/>
      <c r="FZ261" s="60"/>
      <c r="GA261" s="60"/>
      <c r="GB261" s="60"/>
    </row>
    <row r="262" spans="2:184" x14ac:dyDescent="0.35">
      <c r="B262" s="93"/>
      <c r="FZ262" s="60"/>
      <c r="GA262" s="60"/>
      <c r="GB262" s="60"/>
    </row>
    <row r="263" spans="2:184" x14ac:dyDescent="0.35">
      <c r="B263" s="93"/>
      <c r="FZ263" s="60"/>
      <c r="GA263" s="60"/>
      <c r="GB263" s="60"/>
    </row>
    <row r="264" spans="2:184" x14ac:dyDescent="0.35">
      <c r="B264" s="93"/>
      <c r="FZ264" s="60"/>
      <c r="GA264" s="60"/>
      <c r="GB264" s="60"/>
    </row>
    <row r="265" spans="2:184" x14ac:dyDescent="0.35">
      <c r="B265" s="93"/>
      <c r="FZ265" s="60"/>
      <c r="GA265" s="60"/>
      <c r="GB265" s="60"/>
    </row>
    <row r="266" spans="2:184" x14ac:dyDescent="0.35">
      <c r="B266" s="93"/>
      <c r="FZ266" s="60"/>
      <c r="GA266" s="60"/>
      <c r="GB266" s="60"/>
    </row>
    <row r="267" spans="2:184" x14ac:dyDescent="0.35">
      <c r="B267" s="93"/>
      <c r="FZ267" s="60"/>
      <c r="GA267" s="60"/>
      <c r="GB267" s="60"/>
    </row>
    <row r="268" spans="2:184" x14ac:dyDescent="0.35">
      <c r="B268" s="93"/>
      <c r="FZ268" s="60"/>
      <c r="GA268" s="60"/>
      <c r="GB268" s="60"/>
    </row>
    <row r="269" spans="2:184" x14ac:dyDescent="0.35">
      <c r="B269" s="93"/>
      <c r="FZ269" s="60"/>
      <c r="GA269" s="60"/>
      <c r="GB269" s="60"/>
    </row>
    <row r="270" spans="2:184" x14ac:dyDescent="0.35">
      <c r="B270" s="93"/>
      <c r="FZ270" s="60"/>
      <c r="GA270" s="60"/>
      <c r="GB270" s="60"/>
    </row>
    <row r="271" spans="2:184" x14ac:dyDescent="0.35">
      <c r="B271" s="93"/>
      <c r="FZ271" s="60"/>
      <c r="GA271" s="60"/>
      <c r="GB271" s="60"/>
    </row>
    <row r="272" spans="2:184" x14ac:dyDescent="0.35">
      <c r="B272" s="93"/>
      <c r="FZ272" s="60"/>
      <c r="GA272" s="60"/>
      <c r="GB272" s="60"/>
    </row>
    <row r="273" spans="2:184" x14ac:dyDescent="0.35">
      <c r="B273" s="93"/>
      <c r="FZ273" s="60"/>
      <c r="GA273" s="60"/>
      <c r="GB273" s="60"/>
    </row>
    <row r="274" spans="2:184" x14ac:dyDescent="0.35">
      <c r="B274" s="93"/>
      <c r="FZ274" s="60"/>
      <c r="GA274" s="60"/>
      <c r="GB274" s="60"/>
    </row>
    <row r="275" spans="2:184" x14ac:dyDescent="0.35">
      <c r="B275" s="93"/>
      <c r="FZ275" s="60"/>
      <c r="GA275" s="60"/>
      <c r="GB275" s="60"/>
    </row>
    <row r="276" spans="2:184" x14ac:dyDescent="0.35">
      <c r="B276" s="93"/>
      <c r="FZ276" s="60"/>
      <c r="GA276" s="60"/>
      <c r="GB276" s="60"/>
    </row>
    <row r="277" spans="2:184" x14ac:dyDescent="0.35">
      <c r="B277" s="93"/>
      <c r="FZ277" s="60"/>
      <c r="GA277" s="60"/>
      <c r="GB277" s="60"/>
    </row>
    <row r="278" spans="2:184" x14ac:dyDescent="0.35">
      <c r="B278" s="93"/>
      <c r="FZ278" s="60"/>
      <c r="GA278" s="60"/>
      <c r="GB278" s="60"/>
    </row>
    <row r="279" spans="2:184" x14ac:dyDescent="0.35">
      <c r="B279" s="93"/>
      <c r="FZ279" s="60"/>
      <c r="GA279" s="60"/>
      <c r="GB279" s="60"/>
    </row>
    <row r="280" spans="2:184" x14ac:dyDescent="0.35">
      <c r="B280" s="93"/>
      <c r="FZ280" s="60"/>
      <c r="GA280" s="60"/>
      <c r="GB280" s="60"/>
    </row>
    <row r="281" spans="2:184" x14ac:dyDescent="0.35">
      <c r="B281" s="93"/>
      <c r="FZ281" s="60"/>
      <c r="GA281" s="60"/>
      <c r="GB281" s="60"/>
    </row>
    <row r="282" spans="2:184" x14ac:dyDescent="0.35">
      <c r="B282" s="93"/>
      <c r="FZ282" s="60"/>
      <c r="GA282" s="60"/>
      <c r="GB282" s="60"/>
    </row>
    <row r="283" spans="2:184" x14ac:dyDescent="0.35">
      <c r="B283" s="93"/>
      <c r="FZ283" s="60"/>
      <c r="GA283" s="60"/>
      <c r="GB283" s="60"/>
    </row>
    <row r="284" spans="2:184" x14ac:dyDescent="0.35">
      <c r="B284" s="93"/>
      <c r="FZ284" s="60"/>
      <c r="GA284" s="60"/>
      <c r="GB284" s="60"/>
    </row>
    <row r="285" spans="2:184" x14ac:dyDescent="0.35">
      <c r="B285" s="93"/>
      <c r="FZ285" s="60"/>
      <c r="GA285" s="60"/>
      <c r="GB285" s="60"/>
    </row>
    <row r="286" spans="2:184" x14ac:dyDescent="0.35">
      <c r="B286" s="93"/>
      <c r="FZ286" s="60"/>
      <c r="GA286" s="60"/>
      <c r="GB286" s="60"/>
    </row>
    <row r="287" spans="2:184" x14ac:dyDescent="0.35">
      <c r="B287" s="93"/>
      <c r="FZ287" s="60"/>
      <c r="GA287" s="60"/>
      <c r="GB287" s="60"/>
    </row>
    <row r="288" spans="2:184" x14ac:dyDescent="0.35">
      <c r="B288" s="93"/>
      <c r="FZ288" s="60"/>
      <c r="GA288" s="60"/>
      <c r="GB288" s="60"/>
    </row>
    <row r="289" spans="2:184" x14ac:dyDescent="0.35">
      <c r="B289" s="93"/>
      <c r="FZ289" s="60"/>
      <c r="GA289" s="60"/>
      <c r="GB289" s="60"/>
    </row>
    <row r="290" spans="2:184" x14ac:dyDescent="0.35">
      <c r="B290" s="93"/>
      <c r="FZ290" s="60"/>
      <c r="GA290" s="60"/>
      <c r="GB290" s="60"/>
    </row>
    <row r="291" spans="2:184" x14ac:dyDescent="0.35">
      <c r="B291" s="93"/>
      <c r="FZ291" s="60"/>
      <c r="GA291" s="60"/>
      <c r="GB291" s="60"/>
    </row>
    <row r="292" spans="2:184" x14ac:dyDescent="0.35">
      <c r="B292" s="93"/>
      <c r="FZ292" s="60"/>
      <c r="GA292" s="60"/>
      <c r="GB292" s="60"/>
    </row>
    <row r="293" spans="2:184" x14ac:dyDescent="0.35">
      <c r="B293" s="93"/>
      <c r="FZ293" s="60"/>
      <c r="GA293" s="60"/>
      <c r="GB293" s="60"/>
    </row>
    <row r="294" spans="2:184" x14ac:dyDescent="0.35">
      <c r="B294" s="93"/>
      <c r="FZ294" s="60"/>
      <c r="GA294" s="60"/>
      <c r="GB294" s="60"/>
    </row>
    <row r="295" spans="2:184" x14ac:dyDescent="0.35">
      <c r="B295" s="93"/>
      <c r="FZ295" s="60"/>
      <c r="GA295" s="60"/>
      <c r="GB295" s="60"/>
    </row>
    <row r="296" spans="2:184" x14ac:dyDescent="0.35">
      <c r="B296" s="93"/>
      <c r="FZ296" s="60"/>
      <c r="GA296" s="60"/>
      <c r="GB296" s="60"/>
    </row>
    <row r="297" spans="2:184" x14ac:dyDescent="0.35">
      <c r="B297" s="93"/>
      <c r="FZ297" s="60"/>
      <c r="GA297" s="60"/>
      <c r="GB297" s="60"/>
    </row>
    <row r="298" spans="2:184" x14ac:dyDescent="0.35">
      <c r="B298" s="93"/>
      <c r="FZ298" s="60"/>
      <c r="GA298" s="60"/>
      <c r="GB298" s="60"/>
    </row>
    <row r="299" spans="2:184" x14ac:dyDescent="0.35">
      <c r="B299" s="93"/>
      <c r="FZ299" s="60"/>
      <c r="GA299" s="60"/>
      <c r="GB299" s="60"/>
    </row>
    <row r="300" spans="2:184" x14ac:dyDescent="0.35">
      <c r="B300" s="93"/>
      <c r="FZ300" s="60"/>
      <c r="GA300" s="60"/>
      <c r="GB300" s="60"/>
    </row>
    <row r="301" spans="2:184" x14ac:dyDescent="0.35">
      <c r="B301" s="93"/>
      <c r="FZ301" s="60"/>
      <c r="GA301" s="60"/>
      <c r="GB301" s="60"/>
    </row>
    <row r="302" spans="2:184" x14ac:dyDescent="0.35">
      <c r="B302" s="93"/>
      <c r="FZ302" s="60"/>
      <c r="GA302" s="60"/>
      <c r="GB302" s="60"/>
    </row>
    <row r="303" spans="2:184" x14ac:dyDescent="0.35">
      <c r="B303" s="93"/>
      <c r="FZ303" s="60"/>
      <c r="GA303" s="60"/>
      <c r="GB303" s="60"/>
    </row>
    <row r="304" spans="2:184" x14ac:dyDescent="0.35">
      <c r="B304" s="93"/>
      <c r="FZ304" s="60"/>
      <c r="GA304" s="60"/>
      <c r="GB304" s="60"/>
    </row>
    <row r="305" spans="2:184" x14ac:dyDescent="0.35">
      <c r="B305" s="93"/>
      <c r="FZ305" s="60"/>
      <c r="GA305" s="60"/>
      <c r="GB305" s="60"/>
    </row>
    <row r="306" spans="2:184" x14ac:dyDescent="0.35">
      <c r="B306" s="93"/>
      <c r="FZ306" s="60"/>
      <c r="GA306" s="60"/>
      <c r="GB306" s="60"/>
    </row>
    <row r="307" spans="2:184" x14ac:dyDescent="0.35">
      <c r="FZ307" s="60"/>
      <c r="GA307" s="60"/>
      <c r="GB307" s="60"/>
    </row>
    <row r="308" spans="2:184" x14ac:dyDescent="0.35">
      <c r="FZ308" s="60"/>
      <c r="GA308" s="60"/>
      <c r="GB308" s="60"/>
    </row>
    <row r="309" spans="2:184" x14ac:dyDescent="0.35">
      <c r="FZ309" s="60"/>
      <c r="GA309" s="60"/>
      <c r="GB309" s="60"/>
    </row>
    <row r="310" spans="2:184" x14ac:dyDescent="0.35">
      <c r="B310" s="93"/>
      <c r="FZ310" s="60"/>
      <c r="GA310" s="60"/>
      <c r="GB310" s="60"/>
    </row>
    <row r="311" spans="2:184" x14ac:dyDescent="0.35">
      <c r="B311" s="93"/>
      <c r="FZ311" s="60"/>
      <c r="GA311" s="60"/>
      <c r="GB311" s="60"/>
    </row>
    <row r="312" spans="2:184" x14ac:dyDescent="0.35">
      <c r="B312" s="93"/>
      <c r="FZ312" s="60"/>
      <c r="GA312" s="60"/>
      <c r="GB312" s="60"/>
    </row>
    <row r="313" spans="2:184" x14ac:dyDescent="0.35">
      <c r="B313" s="93"/>
      <c r="FZ313" s="60"/>
      <c r="GA313" s="60"/>
      <c r="GB313" s="60"/>
    </row>
    <row r="314" spans="2:184" x14ac:dyDescent="0.35">
      <c r="B314" s="93"/>
      <c r="FZ314" s="60"/>
      <c r="GA314" s="60"/>
      <c r="GB314" s="60"/>
    </row>
    <row r="315" spans="2:184" x14ac:dyDescent="0.35">
      <c r="B315" s="93"/>
      <c r="FZ315" s="60"/>
      <c r="GA315" s="60"/>
      <c r="GB315" s="60"/>
    </row>
    <row r="316" spans="2:184" x14ac:dyDescent="0.35">
      <c r="FZ316" s="60"/>
      <c r="GA316" s="60"/>
      <c r="GB316" s="60"/>
    </row>
    <row r="317" spans="2:184" x14ac:dyDescent="0.35">
      <c r="FZ317" s="60"/>
      <c r="GA317" s="60"/>
      <c r="GB317" s="60"/>
    </row>
    <row r="318" spans="2:184" x14ac:dyDescent="0.35">
      <c r="FZ318" s="60"/>
      <c r="GA318" s="60"/>
      <c r="GB318" s="60"/>
    </row>
    <row r="319" spans="2:184" x14ac:dyDescent="0.35">
      <c r="FZ319" s="60"/>
      <c r="GA319" s="60"/>
      <c r="GB319" s="60"/>
    </row>
    <row r="320" spans="2:184" x14ac:dyDescent="0.35">
      <c r="FZ320" s="60"/>
      <c r="GA320" s="60"/>
      <c r="GB320" s="60"/>
    </row>
    <row r="321" s="60" customFormat="1" x14ac:dyDescent="0.35"/>
    <row r="322" s="60" customFormat="1" x14ac:dyDescent="0.35"/>
    <row r="323" s="60" customFormat="1" x14ac:dyDescent="0.35"/>
    <row r="324" s="60" customFormat="1" x14ac:dyDescent="0.35"/>
    <row r="325" s="60" customFormat="1" x14ac:dyDescent="0.35"/>
    <row r="326" s="60" customFormat="1" x14ac:dyDescent="0.35"/>
    <row r="327" s="60" customFormat="1" x14ac:dyDescent="0.35"/>
    <row r="328" s="60" customFormat="1" x14ac:dyDescent="0.35"/>
    <row r="329" s="60" customFormat="1" x14ac:dyDescent="0.35"/>
    <row r="330" s="60" customFormat="1" x14ac:dyDescent="0.35"/>
    <row r="331" s="60" customFormat="1" x14ac:dyDescent="0.35"/>
    <row r="332" s="60" customFormat="1" x14ac:dyDescent="0.35"/>
    <row r="333" s="60" customFormat="1" x14ac:dyDescent="0.35"/>
    <row r="334" s="60" customFormat="1" x14ac:dyDescent="0.35"/>
    <row r="335" s="60" customFormat="1" x14ac:dyDescent="0.35"/>
    <row r="336" s="60" customFormat="1" x14ac:dyDescent="0.35"/>
    <row r="337" s="60" customFormat="1" x14ac:dyDescent="0.35"/>
    <row r="338" s="60" customFormat="1" x14ac:dyDescent="0.35"/>
    <row r="339" s="60" customFormat="1" x14ac:dyDescent="0.35"/>
    <row r="340" s="60" customFormat="1" x14ac:dyDescent="0.35"/>
    <row r="341" s="60" customFormat="1" x14ac:dyDescent="0.35"/>
    <row r="342" s="60" customFormat="1" x14ac:dyDescent="0.35"/>
    <row r="343" s="60" customFormat="1" x14ac:dyDescent="0.35"/>
    <row r="344" s="60" customFormat="1" x14ac:dyDescent="0.35"/>
    <row r="345" s="60" customFormat="1" x14ac:dyDescent="0.35"/>
    <row r="346" s="60" customFormat="1" x14ac:dyDescent="0.35"/>
    <row r="347" s="60" customFormat="1" x14ac:dyDescent="0.35"/>
    <row r="348" s="60" customFormat="1" x14ac:dyDescent="0.35"/>
    <row r="349" s="60" customFormat="1" x14ac:dyDescent="0.35"/>
    <row r="350" s="60" customFormat="1" x14ac:dyDescent="0.35"/>
    <row r="351" s="60" customFormat="1" x14ac:dyDescent="0.35"/>
    <row r="352" s="60" customFormat="1" x14ac:dyDescent="0.35"/>
    <row r="353" s="60" customFormat="1" x14ac:dyDescent="0.35"/>
    <row r="354" s="60" customFormat="1" x14ac:dyDescent="0.35"/>
    <row r="355" s="60" customFormat="1" x14ac:dyDescent="0.35"/>
    <row r="356" s="60" customFormat="1" x14ac:dyDescent="0.35"/>
    <row r="357" s="60" customFormat="1" x14ac:dyDescent="0.35"/>
    <row r="358" s="60" customFormat="1" x14ac:dyDescent="0.35"/>
    <row r="359" s="60" customFormat="1" x14ac:dyDescent="0.35"/>
    <row r="360" s="60" customFormat="1" x14ac:dyDescent="0.35"/>
    <row r="361" s="60" customFormat="1" x14ac:dyDescent="0.35"/>
    <row r="362" s="60" customFormat="1" x14ac:dyDescent="0.35"/>
    <row r="363" s="60" customFormat="1" x14ac:dyDescent="0.35"/>
    <row r="364" s="60" customFormat="1" x14ac:dyDescent="0.35"/>
    <row r="365" s="60" customFormat="1" x14ac:dyDescent="0.35"/>
    <row r="366" s="60" customFormat="1" x14ac:dyDescent="0.35"/>
    <row r="367" s="60" customFormat="1" x14ac:dyDescent="0.35"/>
    <row r="368" s="60" customFormat="1" x14ac:dyDescent="0.35"/>
    <row r="369" s="60" customFormat="1" x14ac:dyDescent="0.35"/>
    <row r="370" s="60" customFormat="1" x14ac:dyDescent="0.35"/>
    <row r="371" s="60" customFormat="1" x14ac:dyDescent="0.35"/>
    <row r="372" s="60" customFormat="1" x14ac:dyDescent="0.35"/>
    <row r="373" s="60" customFormat="1" x14ac:dyDescent="0.35"/>
    <row r="374" s="60" customFormat="1" x14ac:dyDescent="0.35"/>
    <row r="375" s="60" customFormat="1" x14ac:dyDescent="0.35"/>
    <row r="376" s="60" customFormat="1" x14ac:dyDescent="0.35"/>
    <row r="377" s="60" customFormat="1" x14ac:dyDescent="0.35"/>
    <row r="378" s="60" customFormat="1" x14ac:dyDescent="0.35"/>
    <row r="379" s="60" customFormat="1" x14ac:dyDescent="0.35"/>
    <row r="380" s="60" customFormat="1" x14ac:dyDescent="0.35"/>
    <row r="381" s="60" customFormat="1" x14ac:dyDescent="0.35"/>
    <row r="382" s="60" customFormat="1" x14ac:dyDescent="0.35"/>
    <row r="383" s="60" customFormat="1" x14ac:dyDescent="0.35"/>
    <row r="384" s="60" customFormat="1" x14ac:dyDescent="0.35"/>
    <row r="385" s="60" customFormat="1" x14ac:dyDescent="0.35"/>
    <row r="386" s="60" customFormat="1" x14ac:dyDescent="0.35"/>
    <row r="387" s="60" customFormat="1" x14ac:dyDescent="0.35"/>
    <row r="388" s="60" customFormat="1" x14ac:dyDescent="0.35"/>
    <row r="389" s="60" customFormat="1" x14ac:dyDescent="0.35"/>
    <row r="390" s="60" customFormat="1" x14ac:dyDescent="0.35"/>
    <row r="391" s="60" customFormat="1" x14ac:dyDescent="0.35"/>
    <row r="392" s="60" customFormat="1" x14ac:dyDescent="0.35"/>
    <row r="393" s="60" customFormat="1" x14ac:dyDescent="0.35"/>
    <row r="394" s="60" customFormat="1" x14ac:dyDescent="0.35"/>
    <row r="395" s="60" customFormat="1" x14ac:dyDescent="0.35"/>
    <row r="396" s="60" customFormat="1" x14ac:dyDescent="0.35"/>
    <row r="397" s="60" customFormat="1" x14ac:dyDescent="0.35"/>
    <row r="398" s="60" customFormat="1" x14ac:dyDescent="0.35"/>
    <row r="399" s="60" customFormat="1" x14ac:dyDescent="0.35"/>
    <row r="400" s="60" customFormat="1" x14ac:dyDescent="0.35"/>
    <row r="401" s="60" customFormat="1" x14ac:dyDescent="0.35"/>
    <row r="402" s="60" customFormat="1" x14ac:dyDescent="0.35"/>
    <row r="403" s="60" customFormat="1" x14ac:dyDescent="0.35"/>
    <row r="404" s="60" customFormat="1" x14ac:dyDescent="0.35"/>
    <row r="405" s="60" customFormat="1" x14ac:dyDescent="0.35"/>
    <row r="406" s="60" customFormat="1" x14ac:dyDescent="0.35"/>
    <row r="407" s="60" customFormat="1" x14ac:dyDescent="0.35"/>
    <row r="408" s="60" customFormat="1" x14ac:dyDescent="0.35"/>
    <row r="409" s="60" customFormat="1" x14ac:dyDescent="0.35"/>
    <row r="410" s="60" customFormat="1" x14ac:dyDescent="0.35"/>
    <row r="411" s="60" customFormat="1" x14ac:dyDescent="0.35"/>
    <row r="412" s="60" customFormat="1" x14ac:dyDescent="0.35"/>
    <row r="413" s="60" customFormat="1" x14ac:dyDescent="0.35"/>
    <row r="414" s="60" customFormat="1" x14ac:dyDescent="0.35"/>
    <row r="415" s="60" customFormat="1" x14ac:dyDescent="0.35"/>
    <row r="416" s="60" customFormat="1" x14ac:dyDescent="0.35"/>
    <row r="417" s="60" customFormat="1" x14ac:dyDescent="0.35"/>
    <row r="418" s="60" customFormat="1" x14ac:dyDescent="0.35"/>
    <row r="419" s="60" customFormat="1" x14ac:dyDescent="0.35"/>
    <row r="420" s="60" customFormat="1" x14ac:dyDescent="0.35"/>
    <row r="421" s="60" customFormat="1" x14ac:dyDescent="0.35"/>
    <row r="422" s="60" customFormat="1" x14ac:dyDescent="0.35"/>
    <row r="423" s="60" customFormat="1" x14ac:dyDescent="0.35"/>
    <row r="424" s="60" customFormat="1" x14ac:dyDescent="0.35"/>
    <row r="425" s="60" customFormat="1" x14ac:dyDescent="0.35"/>
    <row r="426" s="60" customFormat="1" x14ac:dyDescent="0.35"/>
    <row r="427" s="60" customFormat="1" x14ac:dyDescent="0.35"/>
    <row r="428" s="60" customFormat="1" x14ac:dyDescent="0.35"/>
    <row r="429" s="60" customFormat="1" x14ac:dyDescent="0.35"/>
    <row r="430" s="60" customFormat="1" x14ac:dyDescent="0.35"/>
    <row r="431" s="60" customFormat="1" x14ac:dyDescent="0.35"/>
    <row r="432" s="60" customFormat="1" x14ac:dyDescent="0.35"/>
    <row r="433" s="60" customFormat="1" x14ac:dyDescent="0.35"/>
    <row r="434" s="60" customFormat="1" x14ac:dyDescent="0.35"/>
    <row r="435" s="60" customFormat="1" x14ac:dyDescent="0.35"/>
    <row r="436" s="60" customFormat="1" x14ac:dyDescent="0.35"/>
    <row r="437" s="60" customFormat="1" x14ac:dyDescent="0.35"/>
    <row r="438" s="60" customFormat="1" x14ac:dyDescent="0.35"/>
    <row r="439" s="60" customFormat="1" x14ac:dyDescent="0.35"/>
    <row r="440" s="60" customFormat="1" x14ac:dyDescent="0.35"/>
    <row r="441" s="60" customFormat="1" x14ac:dyDescent="0.35"/>
    <row r="442" s="60" customFormat="1" x14ac:dyDescent="0.35"/>
    <row r="443" s="60" customFormat="1" x14ac:dyDescent="0.35"/>
    <row r="444" s="60" customFormat="1" x14ac:dyDescent="0.35"/>
    <row r="445" s="60" customFormat="1" x14ac:dyDescent="0.35"/>
    <row r="446" s="60" customFormat="1" x14ac:dyDescent="0.35"/>
    <row r="447" s="60" customFormat="1" x14ac:dyDescent="0.35"/>
    <row r="448" s="60" customFormat="1" x14ac:dyDescent="0.35"/>
    <row r="449" s="60" customFormat="1" x14ac:dyDescent="0.35"/>
    <row r="450" s="60" customFormat="1" x14ac:dyDescent="0.35"/>
    <row r="451" s="60" customFormat="1" x14ac:dyDescent="0.35"/>
    <row r="452" s="60" customFormat="1" x14ac:dyDescent="0.35"/>
    <row r="453" s="60" customFormat="1" x14ac:dyDescent="0.35"/>
    <row r="454" s="60" customFormat="1" x14ac:dyDescent="0.35"/>
    <row r="455" s="60" customFormat="1" x14ac:dyDescent="0.35"/>
    <row r="456" s="60" customFormat="1" x14ac:dyDescent="0.35"/>
    <row r="457" s="60" customFormat="1" x14ac:dyDescent="0.35"/>
    <row r="458" s="60" customFormat="1" x14ac:dyDescent="0.35"/>
    <row r="459" s="60" customFormat="1" x14ac:dyDescent="0.35"/>
    <row r="460" s="60" customFormat="1" x14ac:dyDescent="0.35"/>
    <row r="461" s="60" customFormat="1" x14ac:dyDescent="0.35"/>
    <row r="462" s="60" customFormat="1" x14ac:dyDescent="0.35"/>
    <row r="463" s="60" customFormat="1" x14ac:dyDescent="0.35"/>
    <row r="464" s="60" customFormat="1" x14ac:dyDescent="0.35"/>
    <row r="465" s="60" customFormat="1" x14ac:dyDescent="0.35"/>
    <row r="466" s="60" customFormat="1" x14ac:dyDescent="0.35"/>
    <row r="467" s="60" customFormat="1" x14ac:dyDescent="0.35"/>
    <row r="468" s="60" customFormat="1" x14ac:dyDescent="0.35"/>
    <row r="469" s="60" customFormat="1" x14ac:dyDescent="0.35"/>
    <row r="470" s="60" customFormat="1" x14ac:dyDescent="0.35"/>
    <row r="471" s="60" customFormat="1" x14ac:dyDescent="0.35"/>
    <row r="472" s="60" customFormat="1" x14ac:dyDescent="0.35"/>
    <row r="473" s="60" customFormat="1" x14ac:dyDescent="0.35"/>
    <row r="474" s="60" customFormat="1" x14ac:dyDescent="0.35"/>
    <row r="475" s="60" customFormat="1" x14ac:dyDescent="0.35"/>
    <row r="476" s="60" customFormat="1" x14ac:dyDescent="0.35"/>
    <row r="477" s="60" customFormat="1" x14ac:dyDescent="0.35"/>
    <row r="478" s="60" customFormat="1" x14ac:dyDescent="0.35"/>
    <row r="479" s="60" customFormat="1" x14ac:dyDescent="0.35"/>
    <row r="480" s="60" customFormat="1" x14ac:dyDescent="0.35"/>
    <row r="481" s="60" customFormat="1" x14ac:dyDescent="0.35"/>
    <row r="482" s="60" customFormat="1" x14ac:dyDescent="0.35"/>
    <row r="483" s="60" customFormat="1" x14ac:dyDescent="0.35"/>
    <row r="484" s="60" customFormat="1" x14ac:dyDescent="0.35"/>
    <row r="485" s="60" customFormat="1" x14ac:dyDescent="0.35"/>
    <row r="486" s="60" customFormat="1" x14ac:dyDescent="0.35"/>
    <row r="487" s="60" customFormat="1" x14ac:dyDescent="0.35"/>
    <row r="488" s="60" customFormat="1" x14ac:dyDescent="0.35"/>
    <row r="489" s="60" customFormat="1" x14ac:dyDescent="0.35"/>
    <row r="490" s="60" customFormat="1" x14ac:dyDescent="0.35"/>
    <row r="491" s="60" customFormat="1" x14ac:dyDescent="0.35"/>
    <row r="492" s="60" customFormat="1" x14ac:dyDescent="0.35"/>
    <row r="493" s="60" customFormat="1" x14ac:dyDescent="0.35"/>
    <row r="494" s="60" customFormat="1" x14ac:dyDescent="0.35"/>
    <row r="495" s="60" customFormat="1" x14ac:dyDescent="0.35"/>
    <row r="496" s="60" customFormat="1" x14ac:dyDescent="0.35"/>
    <row r="497" s="60" customFormat="1" x14ac:dyDescent="0.35"/>
    <row r="498" s="60" customFormat="1" x14ac:dyDescent="0.35"/>
    <row r="499" s="60" customFormat="1" x14ac:dyDescent="0.35"/>
    <row r="500" s="60" customFormat="1" x14ac:dyDescent="0.35"/>
    <row r="501" s="60" customFormat="1" x14ac:dyDescent="0.35"/>
    <row r="502" s="60" customFormat="1" x14ac:dyDescent="0.35"/>
    <row r="503" s="60" customFormat="1" x14ac:dyDescent="0.35"/>
    <row r="504" s="60" customFormat="1" x14ac:dyDescent="0.35"/>
    <row r="505" s="60" customFormat="1" x14ac:dyDescent="0.35"/>
    <row r="506" s="60" customFormat="1" x14ac:dyDescent="0.35"/>
    <row r="507" s="60" customFormat="1" x14ac:dyDescent="0.35"/>
    <row r="508" s="60" customFormat="1" x14ac:dyDescent="0.35"/>
    <row r="509" s="60" customFormat="1" x14ac:dyDescent="0.35"/>
    <row r="510" s="60" customFormat="1" x14ac:dyDescent="0.35"/>
    <row r="511" s="60" customFormat="1" x14ac:dyDescent="0.35"/>
    <row r="512" s="60" customFormat="1" x14ac:dyDescent="0.35"/>
    <row r="513" s="60" customFormat="1" x14ac:dyDescent="0.35"/>
    <row r="514" s="60" customFormat="1" x14ac:dyDescent="0.35"/>
    <row r="515" s="60" customFormat="1" x14ac:dyDescent="0.35"/>
    <row r="516" s="60" customFormat="1" x14ac:dyDescent="0.35"/>
    <row r="517" s="60" customFormat="1" x14ac:dyDescent="0.35"/>
    <row r="518" s="60" customFormat="1" x14ac:dyDescent="0.35"/>
    <row r="519" s="60" customFormat="1" x14ac:dyDescent="0.35"/>
    <row r="520" s="60" customFormat="1" x14ac:dyDescent="0.35"/>
    <row r="521" s="60" customFormat="1" x14ac:dyDescent="0.35"/>
    <row r="522" s="60" customFormat="1" x14ac:dyDescent="0.35"/>
    <row r="523" s="60" customFormat="1" x14ac:dyDescent="0.35"/>
    <row r="524" s="60" customFormat="1" x14ac:dyDescent="0.35"/>
    <row r="525" s="60" customFormat="1" x14ac:dyDescent="0.35"/>
    <row r="526" s="60" customFormat="1" x14ac:dyDescent="0.35"/>
    <row r="527" s="60" customFormat="1" x14ac:dyDescent="0.35"/>
    <row r="528" s="60" customFormat="1" x14ac:dyDescent="0.35"/>
    <row r="529" s="60" customFormat="1" x14ac:dyDescent="0.35"/>
    <row r="530" s="60" customFormat="1" x14ac:dyDescent="0.35"/>
    <row r="531" s="60" customFormat="1" x14ac:dyDescent="0.35"/>
    <row r="532" s="60" customFormat="1" x14ac:dyDescent="0.35"/>
    <row r="533" s="60" customFormat="1" x14ac:dyDescent="0.35"/>
    <row r="534" s="60" customFormat="1" x14ac:dyDescent="0.35"/>
    <row r="535" s="60" customFormat="1" x14ac:dyDescent="0.35"/>
    <row r="536" s="60" customFormat="1" x14ac:dyDescent="0.35"/>
    <row r="537" s="60" customFormat="1" x14ac:dyDescent="0.35"/>
    <row r="538" s="60" customFormat="1" x14ac:dyDescent="0.35"/>
    <row r="539" s="60" customFormat="1" x14ac:dyDescent="0.35"/>
    <row r="540" s="60" customFormat="1" x14ac:dyDescent="0.35"/>
    <row r="541" s="60" customFormat="1" x14ac:dyDescent="0.35"/>
    <row r="542" s="60" customFormat="1" x14ac:dyDescent="0.35"/>
    <row r="543" s="60" customFormat="1" x14ac:dyDescent="0.35"/>
    <row r="544" s="60" customFormat="1" x14ac:dyDescent="0.35"/>
    <row r="545" s="60" customFormat="1" x14ac:dyDescent="0.35"/>
    <row r="546" s="60" customFormat="1" x14ac:dyDescent="0.35"/>
    <row r="547" s="60" customFormat="1" x14ac:dyDescent="0.35"/>
    <row r="548" s="60" customFormat="1" x14ac:dyDescent="0.35"/>
    <row r="549" s="60" customFormat="1" x14ac:dyDescent="0.35"/>
    <row r="550" s="60" customFormat="1" x14ac:dyDescent="0.35"/>
    <row r="551" s="60" customFormat="1" x14ac:dyDescent="0.35"/>
    <row r="552" s="60" customFormat="1" x14ac:dyDescent="0.35"/>
    <row r="553" s="60" customFormat="1" x14ac:dyDescent="0.35"/>
    <row r="554" s="60" customFormat="1" x14ac:dyDescent="0.35"/>
    <row r="555" s="60" customFormat="1" x14ac:dyDescent="0.35"/>
    <row r="556" s="60" customFormat="1" x14ac:dyDescent="0.35"/>
    <row r="557" s="60" customFormat="1" x14ac:dyDescent="0.35"/>
    <row r="558" s="60" customFormat="1" x14ac:dyDescent="0.35"/>
    <row r="559" s="60" customFormat="1" x14ac:dyDescent="0.35"/>
    <row r="560" s="60" customFormat="1" x14ac:dyDescent="0.35"/>
    <row r="561" s="60" customFormat="1" x14ac:dyDescent="0.35"/>
    <row r="562" s="60" customFormat="1" x14ac:dyDescent="0.35"/>
    <row r="563" s="60" customFormat="1" x14ac:dyDescent="0.35"/>
    <row r="564" s="60" customFormat="1" x14ac:dyDescent="0.35"/>
    <row r="565" s="60" customFormat="1" x14ac:dyDescent="0.35"/>
    <row r="566" s="60" customFormat="1" x14ac:dyDescent="0.35"/>
    <row r="567" s="60" customFormat="1" x14ac:dyDescent="0.35"/>
    <row r="568" s="60" customFormat="1" x14ac:dyDescent="0.35"/>
    <row r="569" s="60" customFormat="1" x14ac:dyDescent="0.35"/>
    <row r="570" s="60" customFormat="1" x14ac:dyDescent="0.35"/>
    <row r="571" s="60" customFormat="1" x14ac:dyDescent="0.35"/>
    <row r="572" s="60" customFormat="1" x14ac:dyDescent="0.35"/>
    <row r="573" s="60" customFormat="1" x14ac:dyDescent="0.35"/>
    <row r="574" s="60" customFormat="1" x14ac:dyDescent="0.35"/>
    <row r="575" s="60" customFormat="1" x14ac:dyDescent="0.35"/>
    <row r="576" s="60" customFormat="1" x14ac:dyDescent="0.35"/>
    <row r="577" s="60" customFormat="1" x14ac:dyDescent="0.35"/>
    <row r="578" s="60" customFormat="1" x14ac:dyDescent="0.35"/>
    <row r="579" s="60" customFormat="1" x14ac:dyDescent="0.35"/>
    <row r="580" s="60" customFormat="1" x14ac:dyDescent="0.35"/>
    <row r="581" s="60" customFormat="1" x14ac:dyDescent="0.35"/>
    <row r="582" s="60" customFormat="1" x14ac:dyDescent="0.35"/>
    <row r="583" s="60" customFormat="1" x14ac:dyDescent="0.35"/>
    <row r="584" s="60" customFormat="1" x14ac:dyDescent="0.35"/>
    <row r="585" s="60" customFormat="1" x14ac:dyDescent="0.35"/>
    <row r="586" s="60" customFormat="1" x14ac:dyDescent="0.35"/>
    <row r="587" s="60" customFormat="1" x14ac:dyDescent="0.35"/>
    <row r="588" s="60" customFormat="1" x14ac:dyDescent="0.35"/>
    <row r="589" s="60" customFormat="1" x14ac:dyDescent="0.35"/>
    <row r="590" s="60" customFormat="1" x14ac:dyDescent="0.35"/>
    <row r="591" s="60" customFormat="1" x14ac:dyDescent="0.35"/>
    <row r="592" s="60" customFormat="1" x14ac:dyDescent="0.35"/>
    <row r="593" s="60" customFormat="1" x14ac:dyDescent="0.35"/>
    <row r="594" s="60" customFormat="1" x14ac:dyDescent="0.35"/>
    <row r="595" s="60" customFormat="1" x14ac:dyDescent="0.35"/>
    <row r="596" s="60" customFormat="1" x14ac:dyDescent="0.35"/>
    <row r="597" s="60" customFormat="1" x14ac:dyDescent="0.35"/>
    <row r="598" s="60" customFormat="1" x14ac:dyDescent="0.35"/>
    <row r="599" s="60" customFormat="1" x14ac:dyDescent="0.35"/>
    <row r="600" s="60" customFormat="1" x14ac:dyDescent="0.35"/>
    <row r="601" s="60" customFormat="1" x14ac:dyDescent="0.35"/>
    <row r="602" s="60" customFormat="1" x14ac:dyDescent="0.35"/>
    <row r="603" s="60" customFormat="1" x14ac:dyDescent="0.35"/>
    <row r="604" s="60" customFormat="1" x14ac:dyDescent="0.35"/>
    <row r="605" s="60" customFormat="1" x14ac:dyDescent="0.35"/>
    <row r="606" s="60" customFormat="1" x14ac:dyDescent="0.35"/>
    <row r="607" s="60" customFormat="1" x14ac:dyDescent="0.35"/>
    <row r="608" s="60" customFormat="1" x14ac:dyDescent="0.35"/>
    <row r="609" s="60" customFormat="1" x14ac:dyDescent="0.35"/>
    <row r="610" s="60" customFormat="1" x14ac:dyDescent="0.35"/>
    <row r="611" s="60" customFormat="1" x14ac:dyDescent="0.35"/>
    <row r="612" s="60" customFormat="1" x14ac:dyDescent="0.35"/>
    <row r="613" s="60" customFormat="1" x14ac:dyDescent="0.35"/>
    <row r="614" s="60" customFormat="1" x14ac:dyDescent="0.35"/>
    <row r="615" s="60" customFormat="1" x14ac:dyDescent="0.35"/>
    <row r="616" s="60" customFormat="1" x14ac:dyDescent="0.35"/>
    <row r="617" s="60" customFormat="1" x14ac:dyDescent="0.35"/>
    <row r="618" s="60" customFormat="1" x14ac:dyDescent="0.35"/>
    <row r="619" s="60" customFormat="1" x14ac:dyDescent="0.35"/>
    <row r="620" s="60" customFormat="1" x14ac:dyDescent="0.35"/>
    <row r="621" s="60" customFormat="1" x14ac:dyDescent="0.35"/>
    <row r="622" s="60" customFormat="1" x14ac:dyDescent="0.35"/>
    <row r="623" s="60" customFormat="1" x14ac:dyDescent="0.35"/>
    <row r="624" s="60" customFormat="1" x14ac:dyDescent="0.35"/>
    <row r="625" s="60" customFormat="1" x14ac:dyDescent="0.35"/>
    <row r="626" s="60" customFormat="1" x14ac:dyDescent="0.35"/>
    <row r="627" s="60" customFormat="1" x14ac:dyDescent="0.35"/>
    <row r="628" s="60" customFormat="1" x14ac:dyDescent="0.35"/>
    <row r="629" s="60" customFormat="1" x14ac:dyDescent="0.35"/>
    <row r="630" s="60" customFormat="1" x14ac:dyDescent="0.35"/>
    <row r="631" s="60" customFormat="1" x14ac:dyDescent="0.35"/>
    <row r="632" s="60" customFormat="1" x14ac:dyDescent="0.35"/>
    <row r="633" s="60" customFormat="1" x14ac:dyDescent="0.35"/>
    <row r="634" s="60" customFormat="1" x14ac:dyDescent="0.35"/>
    <row r="635" s="60" customFormat="1" x14ac:dyDescent="0.35"/>
    <row r="636" s="60" customFormat="1" x14ac:dyDescent="0.35"/>
    <row r="637" s="60" customFormat="1" x14ac:dyDescent="0.35"/>
    <row r="638" s="60" customFormat="1" x14ac:dyDescent="0.35"/>
    <row r="639" s="60" customFormat="1" x14ac:dyDescent="0.35"/>
    <row r="640" s="60" customFormat="1" x14ac:dyDescent="0.35"/>
    <row r="641" s="60" customFormat="1" x14ac:dyDescent="0.35"/>
    <row r="642" s="60" customFormat="1" x14ac:dyDescent="0.35"/>
    <row r="643" s="60" customFormat="1" x14ac:dyDescent="0.35"/>
    <row r="644" s="60" customFormat="1" x14ac:dyDescent="0.35"/>
    <row r="645" s="60" customFormat="1" x14ac:dyDescent="0.35"/>
    <row r="646" s="60" customFormat="1" x14ac:dyDescent="0.35"/>
    <row r="647" s="60" customFormat="1" x14ac:dyDescent="0.35"/>
    <row r="648" s="60" customFormat="1" x14ac:dyDescent="0.35"/>
    <row r="649" s="60" customFormat="1" x14ac:dyDescent="0.35"/>
    <row r="650" s="60" customFormat="1" x14ac:dyDescent="0.35"/>
    <row r="651" s="60" customFormat="1" x14ac:dyDescent="0.35"/>
    <row r="652" s="60" customFormat="1" x14ac:dyDescent="0.35"/>
    <row r="653" s="60" customFormat="1" x14ac:dyDescent="0.35"/>
    <row r="654" s="60" customFormat="1" x14ac:dyDescent="0.35"/>
    <row r="655" s="60" customFormat="1" x14ac:dyDescent="0.35"/>
    <row r="656" s="60" customFormat="1" x14ac:dyDescent="0.35"/>
    <row r="657" s="60" customFormat="1" x14ac:dyDescent="0.35"/>
    <row r="658" s="60" customFormat="1" x14ac:dyDescent="0.35"/>
    <row r="659" s="60" customFormat="1" x14ac:dyDescent="0.35"/>
    <row r="660" s="60" customFormat="1" x14ac:dyDescent="0.35"/>
    <row r="661" s="60" customFormat="1" x14ac:dyDescent="0.35"/>
    <row r="662" s="60" customFormat="1" x14ac:dyDescent="0.35"/>
    <row r="663" s="60" customFormat="1" x14ac:dyDescent="0.35"/>
    <row r="664" s="60" customFormat="1" x14ac:dyDescent="0.35"/>
    <row r="665" s="60" customFormat="1" x14ac:dyDescent="0.35"/>
    <row r="666" s="60" customFormat="1" x14ac:dyDescent="0.35"/>
    <row r="667" s="60" customFormat="1" x14ac:dyDescent="0.35"/>
    <row r="668" s="60" customFormat="1" x14ac:dyDescent="0.35"/>
    <row r="669" s="60" customFormat="1" x14ac:dyDescent="0.35"/>
    <row r="670" s="60" customFormat="1" x14ac:dyDescent="0.35"/>
    <row r="671" s="60" customFormat="1" x14ac:dyDescent="0.35"/>
    <row r="672" s="60" customFormat="1" x14ac:dyDescent="0.35"/>
    <row r="673" s="60" customFormat="1" x14ac:dyDescent="0.35"/>
    <row r="674" s="60" customFormat="1" x14ac:dyDescent="0.35"/>
    <row r="675" s="60" customFormat="1" x14ac:dyDescent="0.35"/>
    <row r="676" s="60" customFormat="1" x14ac:dyDescent="0.35"/>
    <row r="677" s="60" customFormat="1" x14ac:dyDescent="0.35"/>
    <row r="678" s="60" customFormat="1" x14ac:dyDescent="0.35"/>
    <row r="679" s="60" customFormat="1" x14ac:dyDescent="0.35"/>
    <row r="680" s="60" customFormat="1" x14ac:dyDescent="0.35"/>
    <row r="681" s="60" customFormat="1" x14ac:dyDescent="0.35"/>
    <row r="682" s="60" customFormat="1" x14ac:dyDescent="0.35"/>
    <row r="683" s="60" customFormat="1" x14ac:dyDescent="0.35"/>
    <row r="684" s="60" customFormat="1" x14ac:dyDescent="0.35"/>
    <row r="685" s="60" customFormat="1" x14ac:dyDescent="0.35"/>
    <row r="686" s="60" customFormat="1" x14ac:dyDescent="0.35"/>
    <row r="687" s="60" customFormat="1" x14ac:dyDescent="0.35"/>
    <row r="688" s="60" customFormat="1" x14ac:dyDescent="0.35"/>
    <row r="689" s="60" customFormat="1" x14ac:dyDescent="0.35"/>
    <row r="690" s="60" customFormat="1" x14ac:dyDescent="0.35"/>
    <row r="691" s="60" customFormat="1" x14ac:dyDescent="0.35"/>
    <row r="692" s="60" customFormat="1" x14ac:dyDescent="0.35"/>
    <row r="693" s="60" customFormat="1" x14ac:dyDescent="0.35"/>
    <row r="694" s="60" customFormat="1" x14ac:dyDescent="0.35"/>
    <row r="695" s="60" customFormat="1" x14ac:dyDescent="0.35"/>
    <row r="696" s="60" customFormat="1" x14ac:dyDescent="0.35"/>
    <row r="697" s="60" customFormat="1" x14ac:dyDescent="0.35"/>
    <row r="698" s="60" customFormat="1" x14ac:dyDescent="0.35"/>
    <row r="699" s="60" customFormat="1" x14ac:dyDescent="0.35"/>
    <row r="700" s="60" customFormat="1" x14ac:dyDescent="0.35"/>
    <row r="701" s="60" customFormat="1" x14ac:dyDescent="0.35"/>
    <row r="702" s="60" customFormat="1" x14ac:dyDescent="0.35"/>
    <row r="703" s="60" customFormat="1" x14ac:dyDescent="0.35"/>
    <row r="704" s="60" customFormat="1" x14ac:dyDescent="0.35"/>
    <row r="705" s="60" customFormat="1" x14ac:dyDescent="0.35"/>
    <row r="706" s="60" customFormat="1" x14ac:dyDescent="0.35"/>
    <row r="707" s="60" customFormat="1" x14ac:dyDescent="0.35"/>
    <row r="708" s="60" customFormat="1" x14ac:dyDescent="0.35"/>
    <row r="709" s="60" customFormat="1" x14ac:dyDescent="0.35"/>
    <row r="710" s="60" customFormat="1" x14ac:dyDescent="0.35"/>
    <row r="711" s="60" customFormat="1" x14ac:dyDescent="0.35"/>
    <row r="712" s="60" customFormat="1" x14ac:dyDescent="0.35"/>
    <row r="713" s="60" customFormat="1" x14ac:dyDescent="0.35"/>
    <row r="714" s="60" customFormat="1" x14ac:dyDescent="0.35"/>
    <row r="715" s="60" customFormat="1" x14ac:dyDescent="0.35"/>
    <row r="716" s="60" customFormat="1" x14ac:dyDescent="0.35"/>
    <row r="717" s="60" customFormat="1" x14ac:dyDescent="0.35"/>
    <row r="718" s="60" customFormat="1" x14ac:dyDescent="0.35"/>
    <row r="719" s="60" customFormat="1" x14ac:dyDescent="0.35"/>
    <row r="720" s="60" customFormat="1" x14ac:dyDescent="0.35"/>
    <row r="721" s="60" customFormat="1" x14ac:dyDescent="0.35"/>
    <row r="722" s="60" customFormat="1" x14ac:dyDescent="0.35"/>
    <row r="723" s="60" customFormat="1" x14ac:dyDescent="0.35"/>
    <row r="724" s="60" customFormat="1" x14ac:dyDescent="0.35"/>
    <row r="725" s="60" customFormat="1" x14ac:dyDescent="0.35"/>
    <row r="726" s="60" customFormat="1" x14ac:dyDescent="0.35"/>
    <row r="727" s="60" customFormat="1" x14ac:dyDescent="0.35"/>
    <row r="728" s="60" customFormat="1" x14ac:dyDescent="0.35"/>
    <row r="729" s="60" customFormat="1" x14ac:dyDescent="0.35"/>
    <row r="730" s="60" customFormat="1" x14ac:dyDescent="0.35"/>
    <row r="731" s="60" customFormat="1" x14ac:dyDescent="0.35"/>
    <row r="732" s="60" customFormat="1" x14ac:dyDescent="0.35"/>
    <row r="733" s="60" customFormat="1" x14ac:dyDescent="0.35"/>
    <row r="734" s="60" customFormat="1" x14ac:dyDescent="0.35"/>
    <row r="735" s="60" customFormat="1" x14ac:dyDescent="0.35"/>
    <row r="736" s="60" customFormat="1" x14ac:dyDescent="0.35"/>
    <row r="737" s="60" customFormat="1" x14ac:dyDescent="0.35"/>
    <row r="738" s="60" customFormat="1" x14ac:dyDescent="0.35"/>
    <row r="739" s="60" customFormat="1" x14ac:dyDescent="0.35"/>
    <row r="740" s="60" customFormat="1" x14ac:dyDescent="0.35"/>
    <row r="741" s="60" customFormat="1" x14ac:dyDescent="0.35"/>
    <row r="742" s="60" customFormat="1" x14ac:dyDescent="0.35"/>
    <row r="743" s="60" customFormat="1" x14ac:dyDescent="0.35"/>
    <row r="744" s="60" customFormat="1" x14ac:dyDescent="0.35"/>
    <row r="745" s="60" customFormat="1" x14ac:dyDescent="0.35"/>
    <row r="746" s="60" customFormat="1" x14ac:dyDescent="0.35"/>
    <row r="747" s="60" customFormat="1" x14ac:dyDescent="0.35"/>
    <row r="748" s="60" customFormat="1" x14ac:dyDescent="0.35"/>
    <row r="749" s="60" customFormat="1" x14ac:dyDescent="0.35"/>
    <row r="750" s="60" customFormat="1" x14ac:dyDescent="0.35"/>
    <row r="751" s="60" customFormat="1" x14ac:dyDescent="0.35"/>
    <row r="752" s="60" customFormat="1" x14ac:dyDescent="0.35"/>
    <row r="753" s="60" customFormat="1" x14ac:dyDescent="0.35"/>
    <row r="754" s="60" customFormat="1" x14ac:dyDescent="0.35"/>
    <row r="755" s="60" customFormat="1" x14ac:dyDescent="0.35"/>
    <row r="756" s="60" customFormat="1" x14ac:dyDescent="0.35"/>
    <row r="757" s="60" customFormat="1" x14ac:dyDescent="0.35"/>
    <row r="758" s="60" customFormat="1" x14ac:dyDescent="0.35"/>
    <row r="759" s="60" customFormat="1" x14ac:dyDescent="0.35"/>
    <row r="760" s="60" customFormat="1" x14ac:dyDescent="0.35"/>
    <row r="761" s="60" customFormat="1" x14ac:dyDescent="0.35"/>
    <row r="762" s="60" customFormat="1" x14ac:dyDescent="0.35"/>
    <row r="763" s="60" customFormat="1" x14ac:dyDescent="0.35"/>
    <row r="764" s="60" customFormat="1" x14ac:dyDescent="0.35"/>
    <row r="765" s="60" customFormat="1" x14ac:dyDescent="0.35"/>
    <row r="766" s="60" customFormat="1" x14ac:dyDescent="0.35"/>
    <row r="767" s="60" customFormat="1" x14ac:dyDescent="0.35"/>
    <row r="768" s="60" customFormat="1" x14ac:dyDescent="0.35"/>
    <row r="769" s="60" customFormat="1" x14ac:dyDescent="0.35"/>
    <row r="770" s="60" customFormat="1" x14ac:dyDescent="0.35"/>
    <row r="771" s="60" customFormat="1" x14ac:dyDescent="0.35"/>
    <row r="772" s="60" customFormat="1" x14ac:dyDescent="0.35"/>
    <row r="773" s="60" customFormat="1" x14ac:dyDescent="0.35"/>
    <row r="774" s="60" customFormat="1" x14ac:dyDescent="0.35"/>
    <row r="775" s="60" customFormat="1" x14ac:dyDescent="0.35"/>
    <row r="776" s="60" customFormat="1" x14ac:dyDescent="0.35"/>
    <row r="777" s="60" customFormat="1" x14ac:dyDescent="0.35"/>
    <row r="778" s="60" customFormat="1" x14ac:dyDescent="0.35"/>
    <row r="779" s="60" customFormat="1" x14ac:dyDescent="0.35"/>
    <row r="780" s="60" customFormat="1" x14ac:dyDescent="0.35"/>
    <row r="781" s="60" customFormat="1" x14ac:dyDescent="0.35"/>
    <row r="782" s="60" customFormat="1" x14ac:dyDescent="0.35"/>
    <row r="783" s="60" customFormat="1" x14ac:dyDescent="0.35"/>
    <row r="784" s="60" customFormat="1" x14ac:dyDescent="0.35"/>
    <row r="785" s="60" customFormat="1" x14ac:dyDescent="0.35"/>
    <row r="786" s="60" customFormat="1" x14ac:dyDescent="0.35"/>
    <row r="787" s="60" customFormat="1" x14ac:dyDescent="0.35"/>
    <row r="788" s="60" customFormat="1" x14ac:dyDescent="0.35"/>
    <row r="789" s="60" customFormat="1" x14ac:dyDescent="0.35"/>
    <row r="790" s="60" customFormat="1" x14ac:dyDescent="0.35"/>
    <row r="791" s="60" customFormat="1" x14ac:dyDescent="0.35"/>
    <row r="792" s="60" customFormat="1" x14ac:dyDescent="0.35"/>
    <row r="793" s="60" customFormat="1" x14ac:dyDescent="0.35"/>
    <row r="794" s="60" customFormat="1" x14ac:dyDescent="0.35"/>
    <row r="795" s="60" customFormat="1" x14ac:dyDescent="0.35"/>
    <row r="796" s="60" customFormat="1" x14ac:dyDescent="0.35"/>
    <row r="797" s="60" customFormat="1" x14ac:dyDescent="0.35"/>
    <row r="798" s="60" customFormat="1" x14ac:dyDescent="0.35"/>
    <row r="799" s="60" customFormat="1" x14ac:dyDescent="0.35"/>
    <row r="800" s="60" customFormat="1" x14ac:dyDescent="0.35"/>
    <row r="801" s="60" customFormat="1" x14ac:dyDescent="0.35"/>
    <row r="802" s="60" customFormat="1" x14ac:dyDescent="0.35"/>
    <row r="803" s="60" customFormat="1" x14ac:dyDescent="0.35"/>
    <row r="804" s="60" customFormat="1" x14ac:dyDescent="0.35"/>
    <row r="805" s="60" customFormat="1" x14ac:dyDescent="0.35"/>
    <row r="806" s="60" customFormat="1" x14ac:dyDescent="0.35"/>
    <row r="807" s="60" customFormat="1" x14ac:dyDescent="0.35"/>
    <row r="808" s="60" customFormat="1" x14ac:dyDescent="0.35"/>
    <row r="809" s="60" customFormat="1" x14ac:dyDescent="0.35"/>
    <row r="810" s="60" customFormat="1" x14ac:dyDescent="0.35"/>
    <row r="811" s="60" customFormat="1" x14ac:dyDescent="0.35"/>
    <row r="812" s="60" customFormat="1" x14ac:dyDescent="0.35"/>
    <row r="813" s="60" customFormat="1" x14ac:dyDescent="0.35"/>
    <row r="814" s="60" customFormat="1" x14ac:dyDescent="0.35"/>
    <row r="815" s="60" customFormat="1" x14ac:dyDescent="0.35"/>
    <row r="816" s="60" customFormat="1" x14ac:dyDescent="0.35"/>
    <row r="817" s="60" customFormat="1" x14ac:dyDescent="0.35"/>
    <row r="818" s="60" customFormat="1" x14ac:dyDescent="0.35"/>
    <row r="819" s="60" customFormat="1" x14ac:dyDescent="0.35"/>
    <row r="820" s="60" customFormat="1" x14ac:dyDescent="0.35"/>
    <row r="821" s="60" customFormat="1" x14ac:dyDescent="0.35"/>
    <row r="822" s="60" customFormat="1" x14ac:dyDescent="0.35"/>
    <row r="823" s="60" customFormat="1" x14ac:dyDescent="0.35"/>
    <row r="824" s="60" customFormat="1" x14ac:dyDescent="0.35"/>
    <row r="825" s="60" customFormat="1" x14ac:dyDescent="0.35"/>
    <row r="826" s="60" customFormat="1" x14ac:dyDescent="0.35"/>
    <row r="827" s="60" customFormat="1" x14ac:dyDescent="0.35"/>
    <row r="828" s="60" customFormat="1" x14ac:dyDescent="0.35"/>
    <row r="829" s="60" customFormat="1" x14ac:dyDescent="0.35"/>
    <row r="830" s="60" customFormat="1" x14ac:dyDescent="0.35"/>
    <row r="831" s="60" customFormat="1" x14ac:dyDescent="0.35"/>
    <row r="832" s="60" customFormat="1" x14ac:dyDescent="0.35"/>
    <row r="833" s="60" customFormat="1" x14ac:dyDescent="0.35"/>
    <row r="834" s="60" customFormat="1" x14ac:dyDescent="0.35"/>
    <row r="835" s="60" customFormat="1" x14ac:dyDescent="0.35"/>
    <row r="836" s="60" customFormat="1" x14ac:dyDescent="0.35"/>
    <row r="837" s="60" customFormat="1" x14ac:dyDescent="0.35"/>
    <row r="838" s="60" customFormat="1" x14ac:dyDescent="0.35"/>
    <row r="839" s="60" customFormat="1" x14ac:dyDescent="0.35"/>
    <row r="840" s="60" customFormat="1" x14ac:dyDescent="0.35"/>
    <row r="841" s="60" customFormat="1" x14ac:dyDescent="0.35"/>
    <row r="842" s="60" customFormat="1" x14ac:dyDescent="0.35"/>
    <row r="843" s="60" customFormat="1" x14ac:dyDescent="0.35"/>
    <row r="844" s="60" customFormat="1" x14ac:dyDescent="0.35"/>
    <row r="845" s="60" customFormat="1" x14ac:dyDescent="0.35"/>
    <row r="846" s="60" customFormat="1" x14ac:dyDescent="0.35"/>
    <row r="847" s="60" customFormat="1" x14ac:dyDescent="0.35"/>
    <row r="848" s="60" customFormat="1" x14ac:dyDescent="0.35"/>
    <row r="849" s="60" customFormat="1" x14ac:dyDescent="0.35"/>
    <row r="850" s="60" customFormat="1" x14ac:dyDescent="0.35"/>
    <row r="851" s="60" customFormat="1" x14ac:dyDescent="0.35"/>
    <row r="852" s="60" customFormat="1" x14ac:dyDescent="0.35"/>
    <row r="853" s="60" customFormat="1" x14ac:dyDescent="0.35"/>
    <row r="854" s="60" customFormat="1" x14ac:dyDescent="0.35"/>
    <row r="855" s="60" customFormat="1" x14ac:dyDescent="0.35"/>
    <row r="856" s="60" customFormat="1" x14ac:dyDescent="0.35"/>
    <row r="857" s="60" customFormat="1" x14ac:dyDescent="0.35"/>
    <row r="858" s="60" customFormat="1" x14ac:dyDescent="0.35"/>
    <row r="859" s="60" customFormat="1" x14ac:dyDescent="0.35"/>
    <row r="860" s="60" customFormat="1" x14ac:dyDescent="0.35"/>
    <row r="861" s="60" customFormat="1" x14ac:dyDescent="0.35"/>
    <row r="862" s="60" customFormat="1" x14ac:dyDescent="0.35"/>
    <row r="863" s="60" customFormat="1" x14ac:dyDescent="0.35"/>
    <row r="864" s="60" customFormat="1" x14ac:dyDescent="0.35"/>
    <row r="865" s="60" customFormat="1" x14ac:dyDescent="0.35"/>
    <row r="866" s="60" customFormat="1" x14ac:dyDescent="0.35"/>
    <row r="867" s="60" customFormat="1" x14ac:dyDescent="0.35"/>
    <row r="868" s="60" customFormat="1" x14ac:dyDescent="0.35"/>
    <row r="869" s="60" customFormat="1" x14ac:dyDescent="0.35"/>
    <row r="870" s="60" customFormat="1" x14ac:dyDescent="0.35"/>
    <row r="871" s="60" customFormat="1" x14ac:dyDescent="0.35"/>
    <row r="872" s="60" customFormat="1" x14ac:dyDescent="0.35"/>
    <row r="873" s="60" customFormat="1" x14ac:dyDescent="0.35"/>
    <row r="874" s="60" customFormat="1" x14ac:dyDescent="0.35"/>
    <row r="875" s="60" customFormat="1" x14ac:dyDescent="0.35"/>
    <row r="876" s="60" customFormat="1" x14ac:dyDescent="0.35"/>
    <row r="877" s="60" customFormat="1" x14ac:dyDescent="0.35"/>
    <row r="878" s="60" customFormat="1" x14ac:dyDescent="0.35"/>
    <row r="879" s="60" customFormat="1" x14ac:dyDescent="0.35"/>
    <row r="880" s="60" customFormat="1" x14ac:dyDescent="0.35"/>
    <row r="881" s="60" customFormat="1" x14ac:dyDescent="0.35"/>
    <row r="882" s="60" customFormat="1" x14ac:dyDescent="0.35"/>
    <row r="883" s="60" customFormat="1" x14ac:dyDescent="0.35"/>
    <row r="884" s="60" customFormat="1" x14ac:dyDescent="0.35"/>
    <row r="885" s="60" customFormat="1" x14ac:dyDescent="0.35"/>
    <row r="886" s="60" customFormat="1" x14ac:dyDescent="0.35"/>
    <row r="887" s="60" customFormat="1" x14ac:dyDescent="0.35"/>
    <row r="888" s="60" customFormat="1" x14ac:dyDescent="0.35"/>
    <row r="889" s="60" customFormat="1" x14ac:dyDescent="0.35"/>
    <row r="890" s="60" customFormat="1" x14ac:dyDescent="0.35"/>
    <row r="891" s="60" customFormat="1" x14ac:dyDescent="0.35"/>
    <row r="892" s="60" customFormat="1" x14ac:dyDescent="0.35"/>
    <row r="893" s="60" customFormat="1" x14ac:dyDescent="0.35"/>
    <row r="894" s="60" customFormat="1" x14ac:dyDescent="0.35"/>
    <row r="895" s="60" customFormat="1" x14ac:dyDescent="0.35"/>
    <row r="896" s="60" customFormat="1" x14ac:dyDescent="0.35"/>
    <row r="897" s="60" customFormat="1" x14ac:dyDescent="0.35"/>
    <row r="898" s="60" customFormat="1" x14ac:dyDescent="0.35"/>
    <row r="899" s="60" customFormat="1" x14ac:dyDescent="0.35"/>
    <row r="900" s="60" customFormat="1" x14ac:dyDescent="0.35"/>
    <row r="901" s="60" customFormat="1" x14ac:dyDescent="0.35"/>
    <row r="902" s="60" customFormat="1" x14ac:dyDescent="0.35"/>
    <row r="903" s="60" customFormat="1" x14ac:dyDescent="0.35"/>
    <row r="904" s="60" customFormat="1" x14ac:dyDescent="0.35"/>
    <row r="905" s="60" customFormat="1" x14ac:dyDescent="0.35"/>
    <row r="906" s="60" customFormat="1" x14ac:dyDescent="0.35"/>
    <row r="907" s="60" customFormat="1" x14ac:dyDescent="0.35"/>
    <row r="908" s="60" customFormat="1" x14ac:dyDescent="0.35"/>
    <row r="909" s="60" customFormat="1" x14ac:dyDescent="0.35"/>
    <row r="910" s="60" customFormat="1" x14ac:dyDescent="0.35"/>
    <row r="911" s="60" customFormat="1" x14ac:dyDescent="0.35"/>
    <row r="912" s="60" customFormat="1" x14ac:dyDescent="0.35"/>
    <row r="913" s="60" customFormat="1" x14ac:dyDescent="0.35"/>
    <row r="914" s="60" customFormat="1" x14ac:dyDescent="0.35"/>
    <row r="915" s="60" customFormat="1" x14ac:dyDescent="0.35"/>
    <row r="916" s="60" customFormat="1" x14ac:dyDescent="0.35"/>
    <row r="917" s="60" customFormat="1" x14ac:dyDescent="0.35"/>
    <row r="918" s="60" customFormat="1" x14ac:dyDescent="0.35"/>
    <row r="919" s="60" customFormat="1" x14ac:dyDescent="0.35"/>
    <row r="920" s="60" customFormat="1" x14ac:dyDescent="0.35"/>
    <row r="921" s="60" customFormat="1" x14ac:dyDescent="0.35"/>
    <row r="922" s="60" customFormat="1" x14ac:dyDescent="0.35"/>
    <row r="923" s="60" customFormat="1" x14ac:dyDescent="0.35"/>
    <row r="924" s="60" customFormat="1" x14ac:dyDescent="0.35"/>
    <row r="925" s="60" customFormat="1" x14ac:dyDescent="0.35"/>
    <row r="926" s="60" customFormat="1" x14ac:dyDescent="0.35"/>
    <row r="927" s="60" customFormat="1" x14ac:dyDescent="0.35"/>
    <row r="928" s="60" customFormat="1" x14ac:dyDescent="0.35"/>
    <row r="929" s="60" customFormat="1" x14ac:dyDescent="0.35"/>
    <row r="930" s="60" customFormat="1" x14ac:dyDescent="0.35"/>
    <row r="931" s="60" customFormat="1" x14ac:dyDescent="0.35"/>
    <row r="932" s="60" customFormat="1" x14ac:dyDescent="0.35"/>
    <row r="933" s="60" customFormat="1" x14ac:dyDescent="0.35"/>
    <row r="934" s="60" customFormat="1" x14ac:dyDescent="0.35"/>
    <row r="935" s="60" customFormat="1" x14ac:dyDescent="0.35"/>
    <row r="936" s="60" customFormat="1" x14ac:dyDescent="0.35"/>
    <row r="937" s="60" customFormat="1" x14ac:dyDescent="0.35"/>
    <row r="938" s="60" customFormat="1" x14ac:dyDescent="0.35"/>
    <row r="939" s="60" customFormat="1" x14ac:dyDescent="0.35"/>
    <row r="940" s="60" customFormat="1" x14ac:dyDescent="0.35"/>
    <row r="941" s="60" customFormat="1" x14ac:dyDescent="0.35"/>
    <row r="942" s="60" customFormat="1" x14ac:dyDescent="0.35"/>
    <row r="943" s="60" customFormat="1" x14ac:dyDescent="0.35"/>
    <row r="944" s="60" customFormat="1" x14ac:dyDescent="0.35"/>
    <row r="945" s="60" customFormat="1" x14ac:dyDescent="0.35"/>
    <row r="946" s="60" customFormat="1" x14ac:dyDescent="0.35"/>
    <row r="947" s="60" customFormat="1" x14ac:dyDescent="0.35"/>
    <row r="948" s="60" customFormat="1" x14ac:dyDescent="0.35"/>
    <row r="949" s="60" customFormat="1" x14ac:dyDescent="0.35"/>
    <row r="950" s="60" customFormat="1" x14ac:dyDescent="0.35"/>
    <row r="951" s="60" customFormat="1" x14ac:dyDescent="0.35"/>
    <row r="952" s="60" customFormat="1" x14ac:dyDescent="0.35"/>
    <row r="953" s="60" customFormat="1" x14ac:dyDescent="0.35"/>
    <row r="954" s="60" customFormat="1" x14ac:dyDescent="0.35"/>
    <row r="955" s="60" customFormat="1" x14ac:dyDescent="0.35"/>
    <row r="956" s="60" customFormat="1" x14ac:dyDescent="0.35"/>
    <row r="957" s="60" customFormat="1" x14ac:dyDescent="0.35"/>
    <row r="958" s="60" customFormat="1" x14ac:dyDescent="0.35"/>
    <row r="959" s="60" customFormat="1" x14ac:dyDescent="0.35"/>
    <row r="960" s="60" customFormat="1" x14ac:dyDescent="0.35"/>
    <row r="961" s="60" customFormat="1" x14ac:dyDescent="0.35"/>
    <row r="962" s="60" customFormat="1" x14ac:dyDescent="0.35"/>
    <row r="963" s="60" customFormat="1" x14ac:dyDescent="0.35"/>
    <row r="964" s="60" customFormat="1" x14ac:dyDescent="0.35"/>
    <row r="965" s="60" customFormat="1" x14ac:dyDescent="0.35"/>
    <row r="966" s="60" customFormat="1" x14ac:dyDescent="0.35"/>
    <row r="967" s="60" customFormat="1" x14ac:dyDescent="0.35"/>
    <row r="968" s="60" customFormat="1" x14ac:dyDescent="0.35"/>
    <row r="969" s="60" customFormat="1" x14ac:dyDescent="0.35"/>
    <row r="970" s="60" customFormat="1" x14ac:dyDescent="0.35"/>
    <row r="971" s="60" customFormat="1" x14ac:dyDescent="0.35"/>
    <row r="972" s="60" customFormat="1" x14ac:dyDescent="0.35"/>
    <row r="973" s="60" customFormat="1" x14ac:dyDescent="0.35"/>
    <row r="974" s="60" customFormat="1" x14ac:dyDescent="0.35"/>
    <row r="975" s="60" customFormat="1" x14ac:dyDescent="0.35"/>
    <row r="976" s="60" customFormat="1" x14ac:dyDescent="0.35"/>
    <row r="977" s="60" customFormat="1" x14ac:dyDescent="0.35"/>
    <row r="978" s="60" customFormat="1" x14ac:dyDescent="0.35"/>
    <row r="979" s="60" customFormat="1" x14ac:dyDescent="0.35"/>
    <row r="980" s="60" customFormat="1" x14ac:dyDescent="0.35"/>
    <row r="981" s="60" customFormat="1" x14ac:dyDescent="0.35"/>
    <row r="982" s="60" customFormat="1" x14ac:dyDescent="0.35"/>
    <row r="983" s="60" customFormat="1" x14ac:dyDescent="0.35"/>
    <row r="984" s="60" customFormat="1" x14ac:dyDescent="0.35"/>
    <row r="985" s="60" customFormat="1" x14ac:dyDescent="0.35"/>
    <row r="986" s="60" customFormat="1" x14ac:dyDescent="0.35"/>
    <row r="987" s="60" customFormat="1" x14ac:dyDescent="0.35"/>
    <row r="988" s="60" customFormat="1" x14ac:dyDescent="0.35"/>
    <row r="989" s="60" customFormat="1" x14ac:dyDescent="0.35"/>
    <row r="990" s="60" customFormat="1" x14ac:dyDescent="0.35"/>
    <row r="991" s="60" customFormat="1" x14ac:dyDescent="0.35"/>
    <row r="992" s="60" customFormat="1" x14ac:dyDescent="0.35"/>
    <row r="993" s="60" customFormat="1" x14ac:dyDescent="0.35"/>
    <row r="994" s="60" customFormat="1" x14ac:dyDescent="0.35"/>
    <row r="995" s="60" customFormat="1" x14ac:dyDescent="0.35"/>
    <row r="996" s="60" customFormat="1" x14ac:dyDescent="0.35"/>
    <row r="997" s="60" customFormat="1" x14ac:dyDescent="0.35"/>
    <row r="998" s="60" customFormat="1" x14ac:dyDescent="0.35"/>
    <row r="999" s="60" customFormat="1" x14ac:dyDescent="0.35"/>
    <row r="1000" s="60" customFormat="1" x14ac:dyDescent="0.35"/>
    <row r="1001" s="60" customFormat="1" x14ac:dyDescent="0.35"/>
    <row r="1002" s="60" customFormat="1" x14ac:dyDescent="0.35"/>
    <row r="1003" s="60" customFormat="1" x14ac:dyDescent="0.35"/>
    <row r="1004" s="60" customFormat="1" x14ac:dyDescent="0.35"/>
    <row r="1005" s="60" customFormat="1" x14ac:dyDescent="0.35"/>
    <row r="1006" s="60" customFormat="1" x14ac:dyDescent="0.35"/>
    <row r="1007" s="60" customFormat="1" x14ac:dyDescent="0.35"/>
    <row r="1008" s="60" customFormat="1" x14ac:dyDescent="0.35"/>
    <row r="1009" s="60" customFormat="1" x14ac:dyDescent="0.35"/>
    <row r="1010" s="60" customFormat="1" x14ac:dyDescent="0.35"/>
    <row r="1011" s="60" customFormat="1" x14ac:dyDescent="0.35"/>
    <row r="1012" s="60" customFormat="1" x14ac:dyDescent="0.35"/>
    <row r="1013" s="60" customFormat="1" x14ac:dyDescent="0.35"/>
    <row r="1014" s="60" customFormat="1" x14ac:dyDescent="0.35"/>
    <row r="1015" s="60" customFormat="1" x14ac:dyDescent="0.35"/>
    <row r="1016" s="60" customFormat="1" x14ac:dyDescent="0.35"/>
    <row r="1017" s="60" customFormat="1" x14ac:dyDescent="0.35"/>
    <row r="1018" s="60" customFormat="1" x14ac:dyDescent="0.35"/>
    <row r="1019" s="60" customFormat="1" x14ac:dyDescent="0.35"/>
    <row r="1020" s="60" customFormat="1" x14ac:dyDescent="0.35"/>
    <row r="1021" s="60" customFormat="1" x14ac:dyDescent="0.35"/>
    <row r="1022" s="60" customFormat="1" x14ac:dyDescent="0.35"/>
    <row r="1023" s="60" customFormat="1" x14ac:dyDescent="0.35"/>
    <row r="1024" s="60" customFormat="1" x14ac:dyDescent="0.35"/>
    <row r="1025" s="60" customFormat="1" x14ac:dyDescent="0.35"/>
    <row r="1026" s="60" customFormat="1" x14ac:dyDescent="0.35"/>
    <row r="1027" s="60" customFormat="1" x14ac:dyDescent="0.35"/>
    <row r="1028" s="60" customFormat="1" x14ac:dyDescent="0.35"/>
    <row r="1029" s="60" customFormat="1" x14ac:dyDescent="0.35"/>
    <row r="1030" s="60" customFormat="1" x14ac:dyDescent="0.35"/>
    <row r="1031" s="60" customFormat="1" x14ac:dyDescent="0.35"/>
    <row r="1032" s="60" customFormat="1" x14ac:dyDescent="0.35"/>
    <row r="1033" s="60" customFormat="1" x14ac:dyDescent="0.35"/>
    <row r="1034" s="60" customFormat="1" x14ac:dyDescent="0.35"/>
    <row r="1035" s="60" customFormat="1" x14ac:dyDescent="0.35"/>
    <row r="1036" s="60" customFormat="1" x14ac:dyDescent="0.35"/>
    <row r="1037" s="60" customFormat="1" x14ac:dyDescent="0.35"/>
    <row r="1038" s="60" customFormat="1" x14ac:dyDescent="0.35"/>
    <row r="1039" s="60" customFormat="1" x14ac:dyDescent="0.35"/>
    <row r="1040" s="60" customFormat="1" x14ac:dyDescent="0.35"/>
    <row r="1041" s="60" customFormat="1" x14ac:dyDescent="0.35"/>
    <row r="1042" s="60" customFormat="1" x14ac:dyDescent="0.35"/>
    <row r="1043" s="60" customFormat="1" x14ac:dyDescent="0.35"/>
    <row r="1044" s="60" customFormat="1" x14ac:dyDescent="0.35"/>
    <row r="1045" s="60" customFormat="1" x14ac:dyDescent="0.35"/>
    <row r="1046" s="60" customFormat="1" x14ac:dyDescent="0.35"/>
    <row r="1047" s="60" customFormat="1" x14ac:dyDescent="0.35"/>
    <row r="1048" s="60" customFormat="1" x14ac:dyDescent="0.35"/>
    <row r="1049" s="60" customFormat="1" x14ac:dyDescent="0.35"/>
    <row r="1050" s="60" customFormat="1" x14ac:dyDescent="0.35"/>
    <row r="1051" s="60" customFormat="1" x14ac:dyDescent="0.35"/>
    <row r="1052" s="60" customFormat="1" x14ac:dyDescent="0.35"/>
    <row r="1053" s="60" customFormat="1" x14ac:dyDescent="0.35"/>
    <row r="1054" s="60" customFormat="1" x14ac:dyDescent="0.35"/>
    <row r="1055" s="60" customFormat="1" x14ac:dyDescent="0.35"/>
    <row r="1056" s="60" customFormat="1" x14ac:dyDescent="0.35"/>
    <row r="1057" s="60" customFormat="1" x14ac:dyDescent="0.35"/>
    <row r="1058" s="60" customFormat="1" x14ac:dyDescent="0.35"/>
    <row r="1059" s="60" customFormat="1" x14ac:dyDescent="0.35"/>
    <row r="1060" s="60" customFormat="1" x14ac:dyDescent="0.35"/>
    <row r="1061" s="60" customFormat="1" x14ac:dyDescent="0.35"/>
    <row r="1062" s="60" customFormat="1" x14ac:dyDescent="0.35"/>
    <row r="1063" s="60" customFormat="1" x14ac:dyDescent="0.35"/>
    <row r="1064" s="60" customFormat="1" x14ac:dyDescent="0.35"/>
    <row r="1065" s="60" customFormat="1" x14ac:dyDescent="0.35"/>
    <row r="1066" s="60" customFormat="1" x14ac:dyDescent="0.35"/>
    <row r="1067" s="60" customFormat="1" x14ac:dyDescent="0.35"/>
    <row r="1068" s="60" customFormat="1" x14ac:dyDescent="0.35"/>
    <row r="1069" s="60" customFormat="1" x14ac:dyDescent="0.35"/>
    <row r="1070" s="60" customFormat="1" x14ac:dyDescent="0.35"/>
    <row r="1071" s="60" customFormat="1" x14ac:dyDescent="0.35"/>
    <row r="1072" s="60" customFormat="1" x14ac:dyDescent="0.35"/>
    <row r="1073" s="60" customFormat="1" x14ac:dyDescent="0.35"/>
    <row r="1074" s="60" customFormat="1" x14ac:dyDescent="0.35"/>
    <row r="1075" s="60" customFormat="1" x14ac:dyDescent="0.35"/>
    <row r="1076" s="60" customFormat="1" x14ac:dyDescent="0.35"/>
    <row r="1077" s="60" customFormat="1" x14ac:dyDescent="0.35"/>
    <row r="1078" s="60" customFormat="1" x14ac:dyDescent="0.35"/>
    <row r="1079" s="60" customFormat="1" x14ac:dyDescent="0.35"/>
    <row r="1080" s="60" customFormat="1" x14ac:dyDescent="0.35"/>
    <row r="1081" s="60" customFormat="1" x14ac:dyDescent="0.35"/>
    <row r="1082" s="60" customFormat="1" x14ac:dyDescent="0.35"/>
    <row r="1083" s="60" customFormat="1" x14ac:dyDescent="0.35"/>
    <row r="1084" s="60" customFormat="1" x14ac:dyDescent="0.35"/>
    <row r="1085" s="60" customFormat="1" x14ac:dyDescent="0.35"/>
    <row r="1086" s="60" customFormat="1" x14ac:dyDescent="0.35"/>
    <row r="1087" s="60" customFormat="1" x14ac:dyDescent="0.35"/>
    <row r="1088" s="60" customFormat="1" x14ac:dyDescent="0.35"/>
    <row r="1089" s="60" customFormat="1" x14ac:dyDescent="0.35"/>
    <row r="1090" s="60" customFormat="1" x14ac:dyDescent="0.35"/>
    <row r="1091" s="60" customFormat="1" x14ac:dyDescent="0.35"/>
    <row r="1092" s="60" customFormat="1" x14ac:dyDescent="0.35"/>
    <row r="1093" s="60" customFormat="1" x14ac:dyDescent="0.35"/>
    <row r="1094" s="60" customFormat="1" x14ac:dyDescent="0.35"/>
    <row r="1095" s="60" customFormat="1" x14ac:dyDescent="0.35"/>
    <row r="1096" s="60" customFormat="1" x14ac:dyDescent="0.35"/>
    <row r="1097" s="60" customFormat="1" x14ac:dyDescent="0.35"/>
    <row r="1098" s="60" customFormat="1" x14ac:dyDescent="0.35"/>
    <row r="1099" s="60" customFormat="1" x14ac:dyDescent="0.35"/>
    <row r="1100" s="60" customFormat="1" x14ac:dyDescent="0.35"/>
    <row r="1101" s="60" customFormat="1" x14ac:dyDescent="0.35"/>
    <row r="1102" s="60" customFormat="1" x14ac:dyDescent="0.35"/>
    <row r="1103" s="60" customFormat="1" x14ac:dyDescent="0.35"/>
    <row r="1104" s="60" customFormat="1" x14ac:dyDescent="0.35"/>
    <row r="1105" s="60" customFormat="1" x14ac:dyDescent="0.35"/>
    <row r="1106" s="60" customFormat="1" x14ac:dyDescent="0.35"/>
    <row r="1107" s="60" customFormat="1" x14ac:dyDescent="0.35"/>
    <row r="1108" s="60" customFormat="1" x14ac:dyDescent="0.35"/>
    <row r="1109" s="60" customFormat="1" x14ac:dyDescent="0.35"/>
    <row r="1110" s="60" customFormat="1" x14ac:dyDescent="0.35"/>
    <row r="1111" s="60" customFormat="1" x14ac:dyDescent="0.35"/>
    <row r="1112" s="60" customFormat="1" x14ac:dyDescent="0.35"/>
    <row r="1113" s="60" customFormat="1" x14ac:dyDescent="0.35"/>
    <row r="1114" s="60" customFormat="1" x14ac:dyDescent="0.35"/>
    <row r="1115" s="60" customFormat="1" x14ac:dyDescent="0.35"/>
    <row r="1116" s="60" customFormat="1" x14ac:dyDescent="0.35"/>
    <row r="1117" s="60" customFormat="1" x14ac:dyDescent="0.35"/>
    <row r="1118" s="60" customFormat="1" x14ac:dyDescent="0.35"/>
    <row r="1119" s="60" customFormat="1" x14ac:dyDescent="0.35"/>
    <row r="1120" s="60" customFormat="1" x14ac:dyDescent="0.35"/>
    <row r="1121" s="60" customFormat="1" x14ac:dyDescent="0.35"/>
    <row r="1122" s="60" customFormat="1" x14ac:dyDescent="0.35"/>
    <row r="1123" s="60" customFormat="1" x14ac:dyDescent="0.35"/>
    <row r="1124" s="60" customFormat="1" x14ac:dyDescent="0.35"/>
    <row r="1125" s="60" customFormat="1" x14ac:dyDescent="0.35"/>
    <row r="1126" s="60" customFormat="1" x14ac:dyDescent="0.35"/>
    <row r="1127" s="60" customFormat="1" x14ac:dyDescent="0.35"/>
    <row r="1128" s="60" customFormat="1" x14ac:dyDescent="0.35"/>
    <row r="1129" s="60" customFormat="1" x14ac:dyDescent="0.35"/>
    <row r="1130" s="60" customFormat="1" x14ac:dyDescent="0.35"/>
    <row r="1131" s="60" customFormat="1" x14ac:dyDescent="0.35"/>
    <row r="1132" s="60" customFormat="1" x14ac:dyDescent="0.35"/>
    <row r="1133" s="60" customFormat="1" x14ac:dyDescent="0.35"/>
    <row r="1134" s="60" customFormat="1" x14ac:dyDescent="0.35"/>
    <row r="1135" s="60" customFormat="1" x14ac:dyDescent="0.35"/>
    <row r="1136" s="60" customFormat="1" x14ac:dyDescent="0.35"/>
    <row r="1137" s="60" customFormat="1" x14ac:dyDescent="0.35"/>
    <row r="1138" s="60" customFormat="1" x14ac:dyDescent="0.35"/>
    <row r="1139" s="60" customFormat="1" x14ac:dyDescent="0.35"/>
    <row r="1140" s="60" customFormat="1" x14ac:dyDescent="0.35"/>
    <row r="1141" s="60" customFormat="1" x14ac:dyDescent="0.35"/>
    <row r="1142" s="60" customFormat="1" x14ac:dyDescent="0.35"/>
    <row r="1143" s="60" customFormat="1" x14ac:dyDescent="0.35"/>
    <row r="1144" s="60" customFormat="1" x14ac:dyDescent="0.35"/>
    <row r="1145" s="60" customFormat="1" x14ac:dyDescent="0.35"/>
    <row r="1146" s="60" customFormat="1" x14ac:dyDescent="0.35"/>
    <row r="1147" s="60" customFormat="1" x14ac:dyDescent="0.35"/>
    <row r="1148" s="60" customFormat="1" x14ac:dyDescent="0.35"/>
    <row r="1149" s="60" customFormat="1" x14ac:dyDescent="0.35"/>
    <row r="1150" s="60" customFormat="1" x14ac:dyDescent="0.35"/>
    <row r="1151" s="60" customFormat="1" x14ac:dyDescent="0.35"/>
    <row r="1152" s="60" customFormat="1" x14ac:dyDescent="0.35"/>
    <row r="1153" s="60" customFormat="1" x14ac:dyDescent="0.35"/>
    <row r="1154" s="60" customFormat="1" x14ac:dyDescent="0.35"/>
    <row r="1155" s="60" customFormat="1" x14ac:dyDescent="0.35"/>
    <row r="1156" s="60" customFormat="1" x14ac:dyDescent="0.35"/>
    <row r="1157" s="60" customFormat="1" x14ac:dyDescent="0.35"/>
    <row r="1158" s="60" customFormat="1" x14ac:dyDescent="0.35"/>
    <row r="1159" s="60" customFormat="1" x14ac:dyDescent="0.35"/>
    <row r="1160" s="60" customFormat="1" x14ac:dyDescent="0.35"/>
    <row r="1161" s="60" customFormat="1" x14ac:dyDescent="0.35"/>
    <row r="1162" s="60" customFormat="1" x14ac:dyDescent="0.35"/>
    <row r="1163" s="60" customFormat="1" x14ac:dyDescent="0.35"/>
    <row r="1164" s="60" customFormat="1" x14ac:dyDescent="0.35"/>
    <row r="1165" s="60" customFormat="1" x14ac:dyDescent="0.35"/>
    <row r="1166" s="60" customFormat="1" x14ac:dyDescent="0.35"/>
    <row r="1167" s="60" customFormat="1" x14ac:dyDescent="0.35"/>
    <row r="1168" s="60" customFormat="1" x14ac:dyDescent="0.35"/>
    <row r="1169" s="60" customFormat="1" x14ac:dyDescent="0.35"/>
    <row r="1170" s="60" customFormat="1" x14ac:dyDescent="0.35"/>
    <row r="1171" s="60" customFormat="1" x14ac:dyDescent="0.35"/>
    <row r="1172" s="60" customFormat="1" x14ac:dyDescent="0.35"/>
    <row r="1173" s="60" customFormat="1" x14ac:dyDescent="0.35"/>
    <row r="1174" s="60" customFormat="1" x14ac:dyDescent="0.35"/>
    <row r="1175" s="60" customFormat="1" x14ac:dyDescent="0.35"/>
    <row r="1176" s="60" customFormat="1" x14ac:dyDescent="0.35"/>
    <row r="1177" s="60" customFormat="1" x14ac:dyDescent="0.35"/>
    <row r="1178" s="60" customFormat="1" x14ac:dyDescent="0.35"/>
    <row r="1179" s="60" customFormat="1" x14ac:dyDescent="0.35"/>
    <row r="1180" s="60" customFormat="1" x14ac:dyDescent="0.35"/>
    <row r="1181" s="60" customFormat="1" x14ac:dyDescent="0.35"/>
    <row r="1182" s="60" customFormat="1" x14ac:dyDescent="0.35"/>
    <row r="1183" s="60" customFormat="1" x14ac:dyDescent="0.35"/>
    <row r="1184" s="60" customFormat="1" x14ac:dyDescent="0.35"/>
    <row r="1185" s="60" customFormat="1" x14ac:dyDescent="0.35"/>
    <row r="1186" s="60" customFormat="1" x14ac:dyDescent="0.35"/>
    <row r="1187" s="60" customFormat="1" x14ac:dyDescent="0.35"/>
    <row r="1188" s="60" customFormat="1" x14ac:dyDescent="0.35"/>
    <row r="1189" s="60" customFormat="1" x14ac:dyDescent="0.35"/>
    <row r="1190" s="60" customFormat="1" x14ac:dyDescent="0.35"/>
    <row r="1191" s="60" customFormat="1" x14ac:dyDescent="0.35"/>
    <row r="1192" s="60" customFormat="1" x14ac:dyDescent="0.35"/>
    <row r="1193" s="60" customFormat="1" x14ac:dyDescent="0.35"/>
    <row r="1194" s="60" customFormat="1" x14ac:dyDescent="0.35"/>
    <row r="1195" s="60" customFormat="1" x14ac:dyDescent="0.35"/>
    <row r="1196" s="60" customFormat="1" x14ac:dyDescent="0.35"/>
    <row r="1197" s="60" customFormat="1" x14ac:dyDescent="0.35"/>
    <row r="1198" s="60" customFormat="1" x14ac:dyDescent="0.35"/>
    <row r="1199" s="60" customFormat="1" x14ac:dyDescent="0.35"/>
    <row r="1200" s="60" customFormat="1" x14ac:dyDescent="0.35"/>
    <row r="1201" s="60" customFormat="1" x14ac:dyDescent="0.35"/>
    <row r="1202" s="60" customFormat="1" x14ac:dyDescent="0.35"/>
    <row r="1203" s="60" customFormat="1" x14ac:dyDescent="0.35"/>
    <row r="1204" s="60" customFormat="1" x14ac:dyDescent="0.35"/>
    <row r="1205" s="60" customFormat="1" x14ac:dyDescent="0.35"/>
    <row r="1206" s="60" customFormat="1" x14ac:dyDescent="0.35"/>
    <row r="1207" s="60" customFormat="1" x14ac:dyDescent="0.35"/>
    <row r="1208" s="60" customFormat="1" x14ac:dyDescent="0.35"/>
    <row r="1209" s="60" customFormat="1" x14ac:dyDescent="0.35"/>
    <row r="1210" s="60" customFormat="1" x14ac:dyDescent="0.35"/>
    <row r="1211" s="60" customFormat="1" x14ac:dyDescent="0.35"/>
    <row r="1212" s="60" customFormat="1" x14ac:dyDescent="0.35"/>
    <row r="1213" s="60" customFormat="1" x14ac:dyDescent="0.35"/>
    <row r="1214" s="60" customFormat="1" x14ac:dyDescent="0.35"/>
    <row r="1215" s="60" customFormat="1" x14ac:dyDescent="0.35"/>
    <row r="1216" s="60" customFormat="1" x14ac:dyDescent="0.35"/>
    <row r="1217" s="60" customFormat="1" x14ac:dyDescent="0.35"/>
    <row r="1218" s="60" customFormat="1" x14ac:dyDescent="0.35"/>
    <row r="1219" s="60" customFormat="1" x14ac:dyDescent="0.35"/>
    <row r="1220" s="60" customFormat="1" x14ac:dyDescent="0.35"/>
    <row r="1221" s="60" customFormat="1" x14ac:dyDescent="0.35"/>
    <row r="1222" s="60" customFormat="1" x14ac:dyDescent="0.35"/>
    <row r="1223" s="60" customFormat="1" x14ac:dyDescent="0.35"/>
    <row r="1224" s="60" customFormat="1" x14ac:dyDescent="0.35"/>
    <row r="1225" s="60" customFormat="1" x14ac:dyDescent="0.35"/>
    <row r="1226" s="60" customFormat="1" x14ac:dyDescent="0.35"/>
    <row r="1227" s="60" customFormat="1" x14ac:dyDescent="0.35"/>
    <row r="1228" s="60" customFormat="1" x14ac:dyDescent="0.35"/>
    <row r="1229" s="60" customFormat="1" x14ac:dyDescent="0.35"/>
    <row r="1230" s="60" customFormat="1" x14ac:dyDescent="0.35"/>
    <row r="1231" s="60" customFormat="1" x14ac:dyDescent="0.35"/>
    <row r="1232" s="60" customFormat="1" x14ac:dyDescent="0.35"/>
    <row r="1233" s="60" customFormat="1" x14ac:dyDescent="0.35"/>
    <row r="1234" s="60" customFormat="1" x14ac:dyDescent="0.35"/>
    <row r="1235" s="60" customFormat="1" x14ac:dyDescent="0.35"/>
    <row r="1236" s="60" customFormat="1" x14ac:dyDescent="0.35"/>
    <row r="1237" s="60" customFormat="1" x14ac:dyDescent="0.35"/>
    <row r="1238" s="60" customFormat="1" x14ac:dyDescent="0.35"/>
    <row r="1239" s="60" customFormat="1" x14ac:dyDescent="0.35"/>
    <row r="1240" s="60" customFormat="1" x14ac:dyDescent="0.35"/>
    <row r="1241" s="60" customFormat="1" x14ac:dyDescent="0.35"/>
    <row r="1242" s="60" customFormat="1" x14ac:dyDescent="0.35"/>
    <row r="1243" s="60" customFormat="1" x14ac:dyDescent="0.35"/>
    <row r="1244" s="60" customFormat="1" x14ac:dyDescent="0.35"/>
    <row r="1245" s="60" customFormat="1" x14ac:dyDescent="0.35"/>
    <row r="1246" s="60" customFormat="1" x14ac:dyDescent="0.35"/>
    <row r="1247" s="60" customFormat="1" x14ac:dyDescent="0.35"/>
    <row r="1248" s="60" customFormat="1" x14ac:dyDescent="0.35"/>
    <row r="1249" s="60" customFormat="1" x14ac:dyDescent="0.35"/>
    <row r="1250" s="60" customFormat="1" x14ac:dyDescent="0.35"/>
    <row r="1251" s="60" customFormat="1" x14ac:dyDescent="0.35"/>
    <row r="1252" s="60" customFormat="1" x14ac:dyDescent="0.35"/>
    <row r="1253" s="60" customFormat="1" x14ac:dyDescent="0.35"/>
    <row r="1254" s="60" customFormat="1" x14ac:dyDescent="0.35"/>
    <row r="1255" s="60" customFormat="1" x14ac:dyDescent="0.35"/>
    <row r="1256" s="60" customFormat="1" x14ac:dyDescent="0.35"/>
    <row r="1257" s="60" customFormat="1" x14ac:dyDescent="0.35"/>
    <row r="1258" s="60" customFormat="1" x14ac:dyDescent="0.35"/>
    <row r="1259" s="60" customFormat="1" x14ac:dyDescent="0.35"/>
    <row r="1260" s="60" customFormat="1" x14ac:dyDescent="0.35"/>
    <row r="1261" s="60" customFormat="1" x14ac:dyDescent="0.35"/>
    <row r="1262" s="60" customFormat="1" x14ac:dyDescent="0.35"/>
    <row r="1263" s="60" customFormat="1" x14ac:dyDescent="0.35"/>
    <row r="1264" s="60" customFormat="1" x14ac:dyDescent="0.35"/>
    <row r="1265" s="60" customFormat="1" x14ac:dyDescent="0.35"/>
    <row r="1266" s="60" customFormat="1" x14ac:dyDescent="0.35"/>
    <row r="1267" s="60" customFormat="1" x14ac:dyDescent="0.35"/>
    <row r="1268" s="60" customFormat="1" x14ac:dyDescent="0.35"/>
    <row r="1269" s="60" customFormat="1" x14ac:dyDescent="0.35"/>
    <row r="1270" s="60" customFormat="1" x14ac:dyDescent="0.35"/>
    <row r="1271" s="60" customFormat="1" x14ac:dyDescent="0.35"/>
    <row r="1272" s="60" customFormat="1" x14ac:dyDescent="0.35"/>
    <row r="1273" s="60" customFormat="1" x14ac:dyDescent="0.35"/>
    <row r="1274" s="60" customFormat="1" x14ac:dyDescent="0.35"/>
    <row r="1275" s="60" customFormat="1" x14ac:dyDescent="0.35"/>
    <row r="1276" s="60" customFormat="1" x14ac:dyDescent="0.35"/>
    <row r="1277" s="60" customFormat="1" x14ac:dyDescent="0.35"/>
    <row r="1278" s="60" customFormat="1" x14ac:dyDescent="0.35"/>
    <row r="1279" s="60" customFormat="1" x14ac:dyDescent="0.35"/>
    <row r="1280" s="60" customFormat="1" x14ac:dyDescent="0.35"/>
    <row r="1281" s="60" customFormat="1" x14ac:dyDescent="0.35"/>
    <row r="1282" s="60" customFormat="1" x14ac:dyDescent="0.35"/>
    <row r="1283" s="60" customFormat="1" x14ac:dyDescent="0.35"/>
    <row r="1284" s="60" customFormat="1" x14ac:dyDescent="0.35"/>
    <row r="1285" s="60" customFormat="1" x14ac:dyDescent="0.35"/>
    <row r="1286" s="60" customFormat="1" x14ac:dyDescent="0.35"/>
    <row r="1287" s="60" customFormat="1" x14ac:dyDescent="0.35"/>
    <row r="1288" s="60" customFormat="1" x14ac:dyDescent="0.35"/>
    <row r="1289" s="60" customFormat="1" x14ac:dyDescent="0.35"/>
    <row r="1290" s="60" customFormat="1" x14ac:dyDescent="0.35"/>
    <row r="1291" s="60" customFormat="1" x14ac:dyDescent="0.35"/>
    <row r="1292" s="60" customFormat="1" x14ac:dyDescent="0.35"/>
    <row r="1293" s="60" customFormat="1" x14ac:dyDescent="0.35"/>
    <row r="1294" s="60" customFormat="1" x14ac:dyDescent="0.35"/>
    <row r="1295" s="60" customFormat="1" x14ac:dyDescent="0.35"/>
    <row r="1296" s="60" customFormat="1" x14ac:dyDescent="0.35"/>
    <row r="1297" s="60" customFormat="1" x14ac:dyDescent="0.35"/>
    <row r="1298" s="60" customFormat="1" x14ac:dyDescent="0.35"/>
    <row r="1299" s="60" customFormat="1" x14ac:dyDescent="0.35"/>
    <row r="1300" s="60" customFormat="1" x14ac:dyDescent="0.35"/>
    <row r="1301" s="60" customFormat="1" x14ac:dyDescent="0.35"/>
    <row r="1302" s="60" customFormat="1" x14ac:dyDescent="0.35"/>
    <row r="1303" s="60" customFormat="1" x14ac:dyDescent="0.35"/>
    <row r="1304" s="60" customFormat="1" x14ac:dyDescent="0.35"/>
    <row r="1305" s="60" customFormat="1" x14ac:dyDescent="0.35"/>
    <row r="1306" s="60" customFormat="1" x14ac:dyDescent="0.35"/>
    <row r="1307" s="60" customFormat="1" x14ac:dyDescent="0.35"/>
    <row r="1308" s="60" customFormat="1" x14ac:dyDescent="0.35"/>
    <row r="1309" s="60" customFormat="1" x14ac:dyDescent="0.35"/>
    <row r="1310" s="60" customFormat="1" x14ac:dyDescent="0.35"/>
    <row r="1311" s="60" customFormat="1" x14ac:dyDescent="0.35"/>
    <row r="1312" s="60" customFormat="1" x14ac:dyDescent="0.35"/>
    <row r="1313" s="60" customFormat="1" x14ac:dyDescent="0.35"/>
    <row r="1314" s="60" customFormat="1" x14ac:dyDescent="0.35"/>
    <row r="1315" s="60" customFormat="1" x14ac:dyDescent="0.35"/>
    <row r="1316" s="60" customFormat="1" x14ac:dyDescent="0.35"/>
    <row r="1317" s="60" customFormat="1" x14ac:dyDescent="0.35"/>
    <row r="1318" s="60" customFormat="1" x14ac:dyDescent="0.35"/>
    <row r="1319" s="60" customFormat="1" x14ac:dyDescent="0.35"/>
    <row r="1320" s="60" customFormat="1" x14ac:dyDescent="0.35"/>
    <row r="1321" s="60" customFormat="1" x14ac:dyDescent="0.35"/>
    <row r="1322" s="60" customFormat="1" x14ac:dyDescent="0.35"/>
    <row r="1323" s="60" customFormat="1" x14ac:dyDescent="0.35"/>
    <row r="1324" s="60" customFormat="1" x14ac:dyDescent="0.35"/>
    <row r="1325" s="60" customFormat="1" x14ac:dyDescent="0.35"/>
    <row r="1326" s="60" customFormat="1" x14ac:dyDescent="0.35"/>
    <row r="1327" s="60" customFormat="1" x14ac:dyDescent="0.35"/>
    <row r="1328" s="60" customFormat="1" x14ac:dyDescent="0.35"/>
    <row r="1329" s="60" customFormat="1" x14ac:dyDescent="0.35"/>
    <row r="1330" s="60" customFormat="1" x14ac:dyDescent="0.35"/>
    <row r="1331" s="60" customFormat="1" x14ac:dyDescent="0.35"/>
    <row r="1332" s="60" customFormat="1" x14ac:dyDescent="0.35"/>
    <row r="1333" s="60" customFormat="1" x14ac:dyDescent="0.35"/>
    <row r="1334" s="60" customFormat="1" x14ac:dyDescent="0.35"/>
    <row r="1335" s="60" customFormat="1" x14ac:dyDescent="0.35"/>
    <row r="1336" s="60" customFormat="1" x14ac:dyDescent="0.35"/>
    <row r="1337" s="60" customFormat="1" x14ac:dyDescent="0.35"/>
    <row r="1338" s="60" customFormat="1" x14ac:dyDescent="0.35"/>
    <row r="1339" s="60" customFormat="1" x14ac:dyDescent="0.35"/>
    <row r="1340" s="60" customFormat="1" x14ac:dyDescent="0.35"/>
    <row r="1341" s="60" customFormat="1" x14ac:dyDescent="0.35"/>
    <row r="1342" s="60" customFormat="1" x14ac:dyDescent="0.35"/>
    <row r="1343" s="60" customFormat="1" x14ac:dyDescent="0.35"/>
    <row r="1344" s="60" customFormat="1" x14ac:dyDescent="0.35"/>
    <row r="1345" s="60" customFormat="1" x14ac:dyDescent="0.35"/>
    <row r="1346" s="60" customFormat="1" x14ac:dyDescent="0.35"/>
    <row r="1347" s="60" customFormat="1" x14ac:dyDescent="0.35"/>
    <row r="1348" s="60" customFormat="1" x14ac:dyDescent="0.35"/>
    <row r="1349" s="60" customFormat="1" x14ac:dyDescent="0.35"/>
    <row r="1350" s="60" customFormat="1" x14ac:dyDescent="0.35"/>
    <row r="1351" s="60" customFormat="1" x14ac:dyDescent="0.35"/>
    <row r="1352" s="60" customFormat="1" x14ac:dyDescent="0.35"/>
    <row r="1353" s="60" customFormat="1" x14ac:dyDescent="0.35"/>
    <row r="1354" s="60" customFormat="1" x14ac:dyDescent="0.35"/>
    <row r="1355" s="60" customFormat="1" x14ac:dyDescent="0.35"/>
    <row r="1356" s="60" customFormat="1" x14ac:dyDescent="0.35"/>
    <row r="1357" s="60" customFormat="1" x14ac:dyDescent="0.35"/>
    <row r="1358" s="60" customFormat="1" x14ac:dyDescent="0.35"/>
    <row r="1359" s="60" customFormat="1" x14ac:dyDescent="0.35"/>
    <row r="1360" s="60" customFormat="1" x14ac:dyDescent="0.35"/>
    <row r="1361" s="60" customFormat="1" x14ac:dyDescent="0.35"/>
    <row r="1362" s="60" customFormat="1" x14ac:dyDescent="0.35"/>
    <row r="1363" s="60" customFormat="1" x14ac:dyDescent="0.35"/>
    <row r="1364" s="60" customFormat="1" x14ac:dyDescent="0.35"/>
    <row r="1365" s="60" customFormat="1" x14ac:dyDescent="0.35"/>
    <row r="1366" s="60" customFormat="1" x14ac:dyDescent="0.35"/>
    <row r="1367" s="60" customFormat="1" x14ac:dyDescent="0.35"/>
    <row r="1368" s="60" customFormat="1" x14ac:dyDescent="0.35"/>
    <row r="1369" s="60" customFormat="1" x14ac:dyDescent="0.35"/>
    <row r="1370" s="60" customFormat="1" x14ac:dyDescent="0.35"/>
    <row r="1371" s="60" customFormat="1" x14ac:dyDescent="0.35"/>
    <row r="1372" s="60" customFormat="1" x14ac:dyDescent="0.35"/>
    <row r="1373" s="60" customFormat="1" x14ac:dyDescent="0.35"/>
    <row r="1374" s="60" customFormat="1" x14ac:dyDescent="0.35"/>
    <row r="1375" s="60" customFormat="1" x14ac:dyDescent="0.35"/>
    <row r="1376" s="60" customFormat="1" x14ac:dyDescent="0.35"/>
    <row r="1377" s="60" customFormat="1" x14ac:dyDescent="0.35"/>
    <row r="1378" s="60" customFormat="1" x14ac:dyDescent="0.35"/>
    <row r="1379" s="60" customFormat="1" x14ac:dyDescent="0.35"/>
    <row r="1380" s="60" customFormat="1" x14ac:dyDescent="0.35"/>
    <row r="1381" s="60" customFormat="1" x14ac:dyDescent="0.35"/>
    <row r="1382" s="60" customFormat="1" x14ac:dyDescent="0.35"/>
    <row r="1383" s="60" customFormat="1" x14ac:dyDescent="0.35"/>
    <row r="1384" s="60" customFormat="1" x14ac:dyDescent="0.35"/>
    <row r="1385" s="60" customFormat="1" x14ac:dyDescent="0.35"/>
    <row r="1386" s="60" customFormat="1" x14ac:dyDescent="0.35"/>
    <row r="1387" s="60" customFormat="1" x14ac:dyDescent="0.35"/>
    <row r="1388" s="60" customFormat="1" x14ac:dyDescent="0.35"/>
    <row r="1389" s="60" customFormat="1" x14ac:dyDescent="0.35"/>
    <row r="1390" s="60" customFormat="1" x14ac:dyDescent="0.35"/>
    <row r="1391" s="60" customFormat="1" x14ac:dyDescent="0.35"/>
    <row r="1392" s="60" customFormat="1" x14ac:dyDescent="0.35"/>
    <row r="1393" s="60" customFormat="1" x14ac:dyDescent="0.35"/>
    <row r="1394" s="60" customFormat="1" x14ac:dyDescent="0.35"/>
    <row r="1395" s="60" customFormat="1" x14ac:dyDescent="0.35"/>
    <row r="1396" s="60" customFormat="1" x14ac:dyDescent="0.35"/>
    <row r="1397" s="60" customFormat="1" x14ac:dyDescent="0.35"/>
    <row r="1398" s="60" customFormat="1" x14ac:dyDescent="0.35"/>
    <row r="1399" s="60" customFormat="1" x14ac:dyDescent="0.35"/>
    <row r="1400" s="60" customFormat="1" x14ac:dyDescent="0.35"/>
    <row r="1401" s="60" customFormat="1" x14ac:dyDescent="0.35"/>
    <row r="1402" s="60" customFormat="1" x14ac:dyDescent="0.35"/>
    <row r="1403" s="60" customFormat="1" x14ac:dyDescent="0.35"/>
    <row r="1404" s="60" customFormat="1" x14ac:dyDescent="0.35"/>
    <row r="1405" s="60" customFormat="1" x14ac:dyDescent="0.35"/>
    <row r="1406" s="60" customFormat="1" x14ac:dyDescent="0.35"/>
    <row r="1407" s="60" customFormat="1" x14ac:dyDescent="0.35"/>
    <row r="1408" s="60" customFormat="1" x14ac:dyDescent="0.35"/>
    <row r="1409" s="60" customFormat="1" x14ac:dyDescent="0.35"/>
    <row r="1410" s="60" customFormat="1" x14ac:dyDescent="0.35"/>
    <row r="1411" s="60" customFormat="1" x14ac:dyDescent="0.35"/>
    <row r="1412" s="60" customFormat="1" x14ac:dyDescent="0.35"/>
    <row r="1413" s="60" customFormat="1" x14ac:dyDescent="0.35"/>
    <row r="1414" s="60" customFormat="1" x14ac:dyDescent="0.35"/>
    <row r="1415" s="60" customFormat="1" x14ac:dyDescent="0.35"/>
    <row r="1416" s="60" customFormat="1" x14ac:dyDescent="0.35"/>
    <row r="1417" s="60" customFormat="1" x14ac:dyDescent="0.35"/>
    <row r="1418" s="60" customFormat="1" x14ac:dyDescent="0.35"/>
    <row r="1419" s="60" customFormat="1" x14ac:dyDescent="0.35"/>
    <row r="1420" s="60" customFormat="1" x14ac:dyDescent="0.35"/>
    <row r="1421" s="60" customFormat="1" x14ac:dyDescent="0.35"/>
    <row r="1422" s="60" customFormat="1" x14ac:dyDescent="0.35"/>
    <row r="1423" s="60" customFormat="1" x14ac:dyDescent="0.35"/>
    <row r="1424" s="60" customFormat="1" x14ac:dyDescent="0.35"/>
    <row r="1425" s="60" customFormat="1" x14ac:dyDescent="0.35"/>
    <row r="1426" s="60" customFormat="1" x14ac:dyDescent="0.35"/>
    <row r="1427" s="60" customFormat="1" x14ac:dyDescent="0.35"/>
    <row r="1428" s="60" customFormat="1" x14ac:dyDescent="0.35"/>
    <row r="1429" s="60" customFormat="1" x14ac:dyDescent="0.35"/>
    <row r="1430" s="60" customFormat="1" x14ac:dyDescent="0.35"/>
    <row r="1431" s="60" customFormat="1" x14ac:dyDescent="0.35"/>
    <row r="1432" s="60" customFormat="1" x14ac:dyDescent="0.35"/>
    <row r="1433" s="60" customFormat="1" x14ac:dyDescent="0.35"/>
    <row r="1434" s="60" customFormat="1" x14ac:dyDescent="0.35"/>
    <row r="1435" s="60" customFormat="1" x14ac:dyDescent="0.35"/>
    <row r="1436" s="60" customFormat="1" x14ac:dyDescent="0.35"/>
    <row r="1437" s="60" customFormat="1" x14ac:dyDescent="0.35"/>
    <row r="1438" s="60" customFormat="1" x14ac:dyDescent="0.35"/>
    <row r="1439" s="60" customFormat="1" x14ac:dyDescent="0.35"/>
    <row r="1440" s="60" customFormat="1" x14ac:dyDescent="0.35"/>
    <row r="1441" s="60" customFormat="1" x14ac:dyDescent="0.35"/>
    <row r="1442" s="60" customFormat="1" x14ac:dyDescent="0.35"/>
    <row r="1443" s="60" customFormat="1" x14ac:dyDescent="0.35"/>
    <row r="1444" s="60" customFormat="1" x14ac:dyDescent="0.35"/>
    <row r="1445" s="60" customFormat="1" x14ac:dyDescent="0.35"/>
    <row r="1446" s="60" customFormat="1" x14ac:dyDescent="0.35"/>
    <row r="1447" s="60" customFormat="1" x14ac:dyDescent="0.35"/>
    <row r="1448" s="60" customFormat="1" x14ac:dyDescent="0.35"/>
    <row r="1449" s="60" customFormat="1" x14ac:dyDescent="0.35"/>
    <row r="1450" s="60" customFormat="1" x14ac:dyDescent="0.35"/>
    <row r="1451" s="60" customFormat="1" x14ac:dyDescent="0.35"/>
    <row r="1452" s="60" customFormat="1" x14ac:dyDescent="0.35"/>
    <row r="1453" s="60" customFormat="1" x14ac:dyDescent="0.35"/>
    <row r="1454" s="60" customFormat="1" x14ac:dyDescent="0.35"/>
    <row r="1455" s="60" customFormat="1" x14ac:dyDescent="0.35"/>
    <row r="1456" s="60" customFormat="1" x14ac:dyDescent="0.35"/>
    <row r="1457" s="60" customFormat="1" x14ac:dyDescent="0.35"/>
    <row r="1458" s="60" customFormat="1" x14ac:dyDescent="0.35"/>
    <row r="1459" s="60" customFormat="1" x14ac:dyDescent="0.35"/>
    <row r="1460" s="60" customFormat="1" x14ac:dyDescent="0.35"/>
    <row r="1461" s="60" customFormat="1" x14ac:dyDescent="0.35"/>
    <row r="1462" s="60" customFormat="1" x14ac:dyDescent="0.35"/>
    <row r="1463" s="60" customFormat="1" x14ac:dyDescent="0.35"/>
    <row r="1464" s="60" customFormat="1" x14ac:dyDescent="0.35"/>
    <row r="1465" s="60" customFormat="1" x14ac:dyDescent="0.35"/>
    <row r="1466" s="60" customFormat="1" x14ac:dyDescent="0.35"/>
    <row r="1467" s="60" customFormat="1" x14ac:dyDescent="0.35"/>
    <row r="1468" s="60" customFormat="1" x14ac:dyDescent="0.35"/>
    <row r="1469" s="60" customFormat="1" x14ac:dyDescent="0.35"/>
    <row r="1470" s="60" customFormat="1" x14ac:dyDescent="0.35"/>
    <row r="1471" s="60" customFormat="1" x14ac:dyDescent="0.35"/>
    <row r="1472" s="60" customFormat="1" x14ac:dyDescent="0.35"/>
    <row r="1473" s="60" customFormat="1" x14ac:dyDescent="0.35"/>
    <row r="1474" s="60" customFormat="1" x14ac:dyDescent="0.35"/>
    <row r="1475" s="60" customFormat="1" x14ac:dyDescent="0.35"/>
    <row r="1476" s="60" customFormat="1" x14ac:dyDescent="0.35"/>
    <row r="1477" s="60" customFormat="1" x14ac:dyDescent="0.35"/>
    <row r="1478" s="60" customFormat="1" x14ac:dyDescent="0.35"/>
    <row r="1479" s="60" customFormat="1" x14ac:dyDescent="0.35"/>
    <row r="1480" s="60" customFormat="1" x14ac:dyDescent="0.35"/>
    <row r="1481" s="60" customFormat="1" x14ac:dyDescent="0.35"/>
    <row r="1482" s="60" customFormat="1" x14ac:dyDescent="0.35"/>
    <row r="1483" s="60" customFormat="1" x14ac:dyDescent="0.35"/>
    <row r="1484" s="60" customFormat="1" x14ac:dyDescent="0.35"/>
    <row r="1485" s="60" customFormat="1" x14ac:dyDescent="0.35"/>
    <row r="1486" s="60" customFormat="1" x14ac:dyDescent="0.35"/>
    <row r="1487" s="60" customFormat="1" x14ac:dyDescent="0.35"/>
    <row r="1488" s="60" customFormat="1" x14ac:dyDescent="0.35"/>
    <row r="1489" s="60" customFormat="1" x14ac:dyDescent="0.35"/>
    <row r="1490" s="60" customFormat="1" x14ac:dyDescent="0.35"/>
    <row r="1491" s="60" customFormat="1" x14ac:dyDescent="0.35"/>
    <row r="1492" s="60" customFormat="1" x14ac:dyDescent="0.35"/>
    <row r="1493" s="60" customFormat="1" x14ac:dyDescent="0.35"/>
    <row r="1494" s="60" customFormat="1" x14ac:dyDescent="0.35"/>
    <row r="1495" s="60" customFormat="1" x14ac:dyDescent="0.35"/>
    <row r="1496" s="60" customFormat="1" x14ac:dyDescent="0.35"/>
    <row r="1497" s="60" customFormat="1" x14ac:dyDescent="0.35"/>
    <row r="1498" s="60" customFormat="1" x14ac:dyDescent="0.35"/>
    <row r="1499" s="60" customFormat="1" x14ac:dyDescent="0.35"/>
    <row r="1500" s="60" customFormat="1" x14ac:dyDescent="0.35"/>
    <row r="1501" s="60" customFormat="1" x14ac:dyDescent="0.35"/>
    <row r="1502" s="60" customFormat="1" x14ac:dyDescent="0.35"/>
    <row r="1503" s="60" customFormat="1" x14ac:dyDescent="0.35"/>
    <row r="1504" s="60" customFormat="1" x14ac:dyDescent="0.35"/>
    <row r="1505" s="60" customFormat="1" x14ac:dyDescent="0.35"/>
    <row r="1506" s="60" customFormat="1" x14ac:dyDescent="0.35"/>
    <row r="1507" s="60" customFormat="1" x14ac:dyDescent="0.35"/>
    <row r="1508" s="60" customFormat="1" x14ac:dyDescent="0.35"/>
    <row r="1509" s="60" customFormat="1" x14ac:dyDescent="0.35"/>
    <row r="1510" s="60" customFormat="1" x14ac:dyDescent="0.35"/>
    <row r="1511" s="60" customFormat="1" x14ac:dyDescent="0.35"/>
    <row r="1512" s="60" customFormat="1" x14ac:dyDescent="0.35"/>
    <row r="1513" s="60" customFormat="1" x14ac:dyDescent="0.35"/>
    <row r="1514" s="60" customFormat="1" x14ac:dyDescent="0.35"/>
    <row r="1515" s="60" customFormat="1" x14ac:dyDescent="0.35"/>
    <row r="1516" s="60" customFormat="1" x14ac:dyDescent="0.35"/>
    <row r="1517" s="60" customFormat="1" x14ac:dyDescent="0.35"/>
    <row r="1518" s="60" customFormat="1" x14ac:dyDescent="0.35"/>
    <row r="1519" s="60" customFormat="1" x14ac:dyDescent="0.35"/>
    <row r="1520" s="60" customFormat="1" x14ac:dyDescent="0.35"/>
    <row r="1521" s="60" customFormat="1" x14ac:dyDescent="0.35"/>
    <row r="1522" s="60" customFormat="1" x14ac:dyDescent="0.35"/>
    <row r="1523" s="60" customFormat="1" x14ac:dyDescent="0.35"/>
    <row r="1524" s="60" customFormat="1" x14ac:dyDescent="0.35"/>
    <row r="1525" s="60" customFormat="1" x14ac:dyDescent="0.35"/>
    <row r="1526" s="60" customFormat="1" x14ac:dyDescent="0.35"/>
    <row r="1527" s="60" customFormat="1" x14ac:dyDescent="0.35"/>
    <row r="1528" s="60" customFormat="1" x14ac:dyDescent="0.35"/>
    <row r="1529" s="60" customFormat="1" x14ac:dyDescent="0.35"/>
    <row r="1530" s="60" customFormat="1" x14ac:dyDescent="0.35"/>
    <row r="1531" s="60" customFormat="1" x14ac:dyDescent="0.35"/>
    <row r="1532" s="60" customFormat="1" x14ac:dyDescent="0.35"/>
    <row r="1533" s="60" customFormat="1" x14ac:dyDescent="0.35"/>
    <row r="1534" s="60" customFormat="1" x14ac:dyDescent="0.35"/>
    <row r="1535" s="60" customFormat="1" x14ac:dyDescent="0.35"/>
    <row r="1536" s="60" customFormat="1" x14ac:dyDescent="0.35"/>
    <row r="1537" s="60" customFormat="1" x14ac:dyDescent="0.35"/>
    <row r="1538" s="60" customFormat="1" x14ac:dyDescent="0.35"/>
    <row r="1539" s="60" customFormat="1" x14ac:dyDescent="0.35"/>
    <row r="1540" s="60" customFormat="1" x14ac:dyDescent="0.35"/>
    <row r="1541" s="60" customFormat="1" x14ac:dyDescent="0.35"/>
    <row r="1542" s="60" customFormat="1" x14ac:dyDescent="0.35"/>
    <row r="1543" s="60" customFormat="1" x14ac:dyDescent="0.35"/>
    <row r="1544" s="60" customFormat="1" x14ac:dyDescent="0.35"/>
    <row r="1545" s="60" customFormat="1" x14ac:dyDescent="0.35"/>
    <row r="1546" s="60" customFormat="1" x14ac:dyDescent="0.35"/>
    <row r="1547" s="60" customFormat="1" x14ac:dyDescent="0.35"/>
    <row r="1548" s="60" customFormat="1" x14ac:dyDescent="0.35"/>
    <row r="1549" s="60" customFormat="1" x14ac:dyDescent="0.35"/>
    <row r="1550" s="60" customFormat="1" x14ac:dyDescent="0.35"/>
    <row r="1551" s="60" customFormat="1" x14ac:dyDescent="0.35"/>
    <row r="1552" s="60" customFormat="1" x14ac:dyDescent="0.35"/>
    <row r="1553" s="60" customFormat="1" x14ac:dyDescent="0.35"/>
    <row r="1554" s="60" customFormat="1" x14ac:dyDescent="0.35"/>
    <row r="1555" s="60" customFormat="1" x14ac:dyDescent="0.35"/>
    <row r="1556" s="60" customFormat="1" x14ac:dyDescent="0.35"/>
    <row r="1557" s="60" customFormat="1" x14ac:dyDescent="0.35"/>
    <row r="1558" s="60" customFormat="1" x14ac:dyDescent="0.35"/>
    <row r="1559" s="60" customFormat="1" x14ac:dyDescent="0.35"/>
    <row r="1560" s="60" customFormat="1" x14ac:dyDescent="0.35"/>
    <row r="1561" s="60" customFormat="1" x14ac:dyDescent="0.35"/>
    <row r="1562" s="60" customFormat="1" x14ac:dyDescent="0.35"/>
    <row r="1563" s="60" customFormat="1" x14ac:dyDescent="0.35"/>
    <row r="1564" s="60" customFormat="1" x14ac:dyDescent="0.35"/>
    <row r="1565" s="60" customFormat="1" x14ac:dyDescent="0.35"/>
    <row r="1566" s="60" customFormat="1" x14ac:dyDescent="0.35"/>
    <row r="1567" s="60" customFormat="1" x14ac:dyDescent="0.35"/>
    <row r="1568" s="60" customFormat="1" x14ac:dyDescent="0.35"/>
    <row r="1569" s="60" customFormat="1" x14ac:dyDescent="0.35"/>
    <row r="1570" s="60" customFormat="1" x14ac:dyDescent="0.35"/>
    <row r="1571" s="60" customFormat="1" x14ac:dyDescent="0.35"/>
    <row r="1572" s="60" customFormat="1" x14ac:dyDescent="0.35"/>
    <row r="1573" s="60" customFormat="1" x14ac:dyDescent="0.35"/>
    <row r="1574" s="60" customFormat="1" x14ac:dyDescent="0.35"/>
    <row r="1575" s="60" customFormat="1" x14ac:dyDescent="0.35"/>
    <row r="1576" s="60" customFormat="1" x14ac:dyDescent="0.35"/>
    <row r="1577" s="60" customFormat="1" x14ac:dyDescent="0.35"/>
    <row r="1578" s="60" customFormat="1" x14ac:dyDescent="0.35"/>
    <row r="1579" s="60" customFormat="1" x14ac:dyDescent="0.35"/>
    <row r="1580" s="60" customFormat="1" x14ac:dyDescent="0.35"/>
    <row r="1581" s="60" customFormat="1" x14ac:dyDescent="0.35"/>
    <row r="1582" s="60" customFormat="1" x14ac:dyDescent="0.35"/>
    <row r="1583" s="60" customFormat="1" x14ac:dyDescent="0.35"/>
    <row r="1584" s="60" customFormat="1" x14ac:dyDescent="0.35"/>
    <row r="1585" s="60" customFormat="1" x14ac:dyDescent="0.35"/>
    <row r="1586" s="60" customFormat="1" x14ac:dyDescent="0.35"/>
    <row r="1587" s="60" customFormat="1" x14ac:dyDescent="0.35"/>
    <row r="1588" s="60" customFormat="1" x14ac:dyDescent="0.35"/>
    <row r="1589" s="60" customFormat="1" x14ac:dyDescent="0.35"/>
    <row r="1590" s="60" customFormat="1" x14ac:dyDescent="0.35"/>
    <row r="1591" s="60" customFormat="1" x14ac:dyDescent="0.35"/>
    <row r="1592" s="60" customFormat="1" x14ac:dyDescent="0.35"/>
    <row r="1593" s="60" customFormat="1" x14ac:dyDescent="0.35"/>
    <row r="1594" s="60" customFormat="1" x14ac:dyDescent="0.35"/>
    <row r="1595" s="60" customFormat="1" x14ac:dyDescent="0.35"/>
    <row r="1596" s="60" customFormat="1" x14ac:dyDescent="0.35"/>
    <row r="1597" s="60" customFormat="1" x14ac:dyDescent="0.35"/>
    <row r="1598" s="60" customFormat="1" x14ac:dyDescent="0.35"/>
    <row r="1599" s="60" customFormat="1" x14ac:dyDescent="0.35"/>
    <row r="1600" s="60" customFormat="1" x14ac:dyDescent="0.35"/>
    <row r="1601" s="60" customFormat="1" x14ac:dyDescent="0.35"/>
    <row r="1602" s="60" customFormat="1" x14ac:dyDescent="0.35"/>
    <row r="1603" s="60" customFormat="1" x14ac:dyDescent="0.35"/>
    <row r="1604" s="60" customFormat="1" x14ac:dyDescent="0.35"/>
    <row r="1605" s="60" customFormat="1" x14ac:dyDescent="0.35"/>
    <row r="1606" s="60" customFormat="1" x14ac:dyDescent="0.35"/>
    <row r="1607" s="60" customFormat="1" x14ac:dyDescent="0.35"/>
    <row r="1608" s="60" customFormat="1" x14ac:dyDescent="0.35"/>
    <row r="1609" s="60" customFormat="1" x14ac:dyDescent="0.35"/>
    <row r="1610" s="60" customFormat="1" x14ac:dyDescent="0.35"/>
    <row r="1611" s="60" customFormat="1" x14ac:dyDescent="0.35"/>
    <row r="1612" s="60" customFormat="1" x14ac:dyDescent="0.35"/>
    <row r="1613" s="60" customFormat="1" x14ac:dyDescent="0.35"/>
    <row r="1614" s="60" customFormat="1" x14ac:dyDescent="0.35"/>
    <row r="1615" s="60" customFormat="1" x14ac:dyDescent="0.35"/>
    <row r="1616" s="60" customFormat="1" x14ac:dyDescent="0.35"/>
    <row r="1617" s="60" customFormat="1" x14ac:dyDescent="0.35"/>
    <row r="1618" s="60" customFormat="1" x14ac:dyDescent="0.35"/>
    <row r="1619" s="60" customFormat="1" x14ac:dyDescent="0.35"/>
    <row r="1620" s="60" customFormat="1" x14ac:dyDescent="0.35"/>
    <row r="1621" s="60" customFormat="1" x14ac:dyDescent="0.35"/>
    <row r="1622" s="60" customFormat="1" x14ac:dyDescent="0.35"/>
    <row r="1623" s="60" customFormat="1" x14ac:dyDescent="0.35"/>
    <row r="1624" s="60" customFormat="1" x14ac:dyDescent="0.35"/>
    <row r="1625" s="60" customFormat="1" x14ac:dyDescent="0.35"/>
    <row r="1626" s="60" customFormat="1" x14ac:dyDescent="0.35"/>
    <row r="1627" s="60" customFormat="1" x14ac:dyDescent="0.35"/>
    <row r="1628" s="60" customFormat="1" x14ac:dyDescent="0.35"/>
    <row r="1629" s="60" customFormat="1" x14ac:dyDescent="0.35"/>
    <row r="1630" s="60" customFormat="1" x14ac:dyDescent="0.35"/>
    <row r="1631" s="60" customFormat="1" x14ac:dyDescent="0.35"/>
    <row r="1632" s="60" customFormat="1" x14ac:dyDescent="0.35"/>
    <row r="1633" s="60" customFormat="1" x14ac:dyDescent="0.35"/>
    <row r="1634" s="60" customFormat="1" x14ac:dyDescent="0.35"/>
    <row r="1635" s="60" customFormat="1" x14ac:dyDescent="0.35"/>
    <row r="1636" s="60" customFormat="1" x14ac:dyDescent="0.35"/>
    <row r="1637" s="60" customFormat="1" x14ac:dyDescent="0.35"/>
    <row r="1638" s="60" customFormat="1" x14ac:dyDescent="0.35"/>
    <row r="1639" s="60" customFormat="1" x14ac:dyDescent="0.35"/>
    <row r="1640" s="60" customFormat="1" x14ac:dyDescent="0.35"/>
    <row r="1641" s="60" customFormat="1" x14ac:dyDescent="0.35"/>
    <row r="1642" s="60" customFormat="1" x14ac:dyDescent="0.35"/>
    <row r="1643" s="60" customFormat="1" x14ac:dyDescent="0.35"/>
    <row r="1644" s="60" customFormat="1" x14ac:dyDescent="0.35"/>
    <row r="1645" s="60" customFormat="1" x14ac:dyDescent="0.35"/>
    <row r="1646" s="60" customFormat="1" x14ac:dyDescent="0.35"/>
    <row r="1647" s="60" customFormat="1" x14ac:dyDescent="0.35"/>
    <row r="1648" s="60" customFormat="1" x14ac:dyDescent="0.35"/>
    <row r="1649" s="60" customFormat="1" x14ac:dyDescent="0.35"/>
    <row r="1650" s="60" customFormat="1" x14ac:dyDescent="0.35"/>
    <row r="1651" s="60" customFormat="1" x14ac:dyDescent="0.35"/>
    <row r="1652" s="60" customFormat="1" x14ac:dyDescent="0.35"/>
    <row r="1653" s="60" customFormat="1" x14ac:dyDescent="0.35"/>
    <row r="1654" s="60" customFormat="1" x14ac:dyDescent="0.35"/>
    <row r="1655" s="60" customFormat="1" x14ac:dyDescent="0.35"/>
    <row r="1656" s="60" customFormat="1" x14ac:dyDescent="0.35"/>
    <row r="1657" s="60" customFormat="1" x14ac:dyDescent="0.35"/>
    <row r="1658" s="60" customFormat="1" x14ac:dyDescent="0.35"/>
    <row r="1659" s="60" customFormat="1" x14ac:dyDescent="0.35"/>
    <row r="1660" s="60" customFormat="1" x14ac:dyDescent="0.35"/>
    <row r="1661" s="60" customFormat="1" x14ac:dyDescent="0.35"/>
    <row r="1662" s="60" customFormat="1" x14ac:dyDescent="0.35"/>
    <row r="1663" s="60" customFormat="1" x14ac:dyDescent="0.35"/>
    <row r="1664" s="60" customFormat="1" x14ac:dyDescent="0.35"/>
    <row r="1665" s="60" customFormat="1" x14ac:dyDescent="0.35"/>
    <row r="1666" s="60" customFormat="1" x14ac:dyDescent="0.35"/>
    <row r="1667" s="60" customFormat="1" x14ac:dyDescent="0.35"/>
    <row r="1668" s="60" customFormat="1" x14ac:dyDescent="0.35"/>
    <row r="1669" s="60" customFormat="1" x14ac:dyDescent="0.35"/>
    <row r="1670" s="60" customFormat="1" x14ac:dyDescent="0.35"/>
    <row r="1671" s="60" customFormat="1" x14ac:dyDescent="0.35"/>
    <row r="1672" s="60" customFormat="1" x14ac:dyDescent="0.35"/>
    <row r="1673" s="60" customFormat="1" x14ac:dyDescent="0.35"/>
    <row r="1674" s="60" customFormat="1" x14ac:dyDescent="0.35"/>
    <row r="1675" s="60" customFormat="1" x14ac:dyDescent="0.35"/>
    <row r="1676" s="60" customFormat="1" x14ac:dyDescent="0.35"/>
    <row r="1677" s="60" customFormat="1" x14ac:dyDescent="0.35"/>
    <row r="1678" s="60" customFormat="1" x14ac:dyDescent="0.35"/>
    <row r="1679" s="60" customFormat="1" x14ac:dyDescent="0.35"/>
    <row r="1680" s="60" customFormat="1" x14ac:dyDescent="0.35"/>
    <row r="1681" s="60" customFormat="1" x14ac:dyDescent="0.35"/>
    <row r="1682" s="60" customFormat="1" x14ac:dyDescent="0.35"/>
    <row r="1683" s="60" customFormat="1" x14ac:dyDescent="0.35"/>
    <row r="1684" s="60" customFormat="1" x14ac:dyDescent="0.35"/>
    <row r="1685" s="60" customFormat="1" x14ac:dyDescent="0.35"/>
    <row r="1686" s="60" customFormat="1" x14ac:dyDescent="0.35"/>
    <row r="1687" s="60" customFormat="1" x14ac:dyDescent="0.35"/>
    <row r="1688" s="60" customFormat="1" x14ac:dyDescent="0.35"/>
    <row r="1689" s="60" customFormat="1" x14ac:dyDescent="0.35"/>
    <row r="1690" s="60" customFormat="1" x14ac:dyDescent="0.35"/>
    <row r="1691" s="60" customFormat="1" x14ac:dyDescent="0.35"/>
    <row r="1692" s="60" customFormat="1" x14ac:dyDescent="0.35"/>
    <row r="1693" s="60" customFormat="1" x14ac:dyDescent="0.35"/>
    <row r="1694" s="60" customFormat="1" x14ac:dyDescent="0.35"/>
    <row r="1695" s="60" customFormat="1" x14ac:dyDescent="0.35"/>
    <row r="1696" s="60" customFormat="1" x14ac:dyDescent="0.35"/>
    <row r="1697" s="60" customFormat="1" x14ac:dyDescent="0.35"/>
    <row r="1698" s="60" customFormat="1" x14ac:dyDescent="0.35"/>
    <row r="1699" s="60" customFormat="1" x14ac:dyDescent="0.35"/>
    <row r="1700" s="60" customFormat="1" x14ac:dyDescent="0.35"/>
    <row r="1701" s="60" customFormat="1" x14ac:dyDescent="0.35"/>
    <row r="1702" s="60" customFormat="1" x14ac:dyDescent="0.35"/>
    <row r="1703" s="60" customFormat="1" x14ac:dyDescent="0.35"/>
    <row r="1704" s="60" customFormat="1" x14ac:dyDescent="0.35"/>
    <row r="1705" s="60" customFormat="1" x14ac:dyDescent="0.35"/>
    <row r="1706" s="60" customFormat="1" x14ac:dyDescent="0.35"/>
    <row r="1707" s="60" customFormat="1" x14ac:dyDescent="0.35"/>
    <row r="1708" s="60" customFormat="1" x14ac:dyDescent="0.35"/>
    <row r="1709" s="60" customFormat="1" x14ac:dyDescent="0.35"/>
    <row r="1710" s="60" customFormat="1" x14ac:dyDescent="0.35"/>
    <row r="1711" s="60" customFormat="1" x14ac:dyDescent="0.35"/>
    <row r="1712" s="60" customFormat="1" x14ac:dyDescent="0.35"/>
    <row r="1713" s="60" customFormat="1" x14ac:dyDescent="0.35"/>
    <row r="1714" s="60" customFormat="1" x14ac:dyDescent="0.35"/>
    <row r="1715" s="60" customFormat="1" x14ac:dyDescent="0.35"/>
    <row r="1716" s="60" customFormat="1" x14ac:dyDescent="0.35"/>
    <row r="1717" s="60" customFormat="1" x14ac:dyDescent="0.35"/>
    <row r="1718" s="60" customFormat="1" x14ac:dyDescent="0.35"/>
    <row r="1719" s="60" customFormat="1" x14ac:dyDescent="0.35"/>
    <row r="1720" s="60" customFormat="1" x14ac:dyDescent="0.35"/>
    <row r="1721" s="60" customFormat="1" x14ac:dyDescent="0.35"/>
    <row r="1722" s="60" customFormat="1" x14ac:dyDescent="0.35"/>
    <row r="1723" s="60" customFormat="1" x14ac:dyDescent="0.35"/>
    <row r="1724" s="60" customFormat="1" x14ac:dyDescent="0.35"/>
    <row r="1725" s="60" customFormat="1" x14ac:dyDescent="0.35"/>
    <row r="1726" s="60" customFormat="1" x14ac:dyDescent="0.35"/>
    <row r="1727" s="60" customFormat="1" x14ac:dyDescent="0.35"/>
    <row r="1728" s="60" customFormat="1" x14ac:dyDescent="0.35"/>
    <row r="1729" s="60" customFormat="1" x14ac:dyDescent="0.35"/>
    <row r="1730" s="60" customFormat="1" x14ac:dyDescent="0.35"/>
    <row r="1731" s="60" customFormat="1" x14ac:dyDescent="0.35"/>
    <row r="1732" s="60" customFormat="1" x14ac:dyDescent="0.35"/>
    <row r="1733" s="60" customFormat="1" x14ac:dyDescent="0.35"/>
    <row r="1734" s="60" customFormat="1" x14ac:dyDescent="0.35"/>
    <row r="1735" s="60" customFormat="1" x14ac:dyDescent="0.35"/>
    <row r="1736" s="60" customFormat="1" x14ac:dyDescent="0.35"/>
    <row r="1737" s="60" customFormat="1" x14ac:dyDescent="0.35"/>
    <row r="1738" s="60" customFormat="1" x14ac:dyDescent="0.35"/>
    <row r="1739" s="60" customFormat="1" x14ac:dyDescent="0.35"/>
    <row r="1740" s="60" customFormat="1" x14ac:dyDescent="0.35"/>
    <row r="1741" s="60" customFormat="1" x14ac:dyDescent="0.35"/>
    <row r="1742" s="60" customFormat="1" x14ac:dyDescent="0.35"/>
    <row r="1743" s="60" customFormat="1" x14ac:dyDescent="0.35"/>
    <row r="1744" s="60" customFormat="1" x14ac:dyDescent="0.35"/>
    <row r="1745" s="60" customFormat="1" x14ac:dyDescent="0.35"/>
    <row r="1746" s="60" customFormat="1" x14ac:dyDescent="0.35"/>
    <row r="1747" s="60" customFormat="1" x14ac:dyDescent="0.35"/>
    <row r="1748" s="60" customFormat="1" x14ac:dyDescent="0.35"/>
    <row r="1749" s="60" customFormat="1" x14ac:dyDescent="0.35"/>
    <row r="1750" s="60" customFormat="1" x14ac:dyDescent="0.35"/>
    <row r="1751" s="60" customFormat="1" x14ac:dyDescent="0.35"/>
    <row r="1752" s="60" customFormat="1" x14ac:dyDescent="0.35"/>
    <row r="1753" s="60" customFormat="1" x14ac:dyDescent="0.35"/>
    <row r="1754" s="60" customFormat="1" x14ac:dyDescent="0.35"/>
    <row r="1755" s="60" customFormat="1" x14ac:dyDescent="0.35"/>
    <row r="1756" s="60" customFormat="1" x14ac:dyDescent="0.35"/>
    <row r="1757" s="60" customFormat="1" x14ac:dyDescent="0.35"/>
    <row r="1758" s="60" customFormat="1" x14ac:dyDescent="0.35"/>
    <row r="1759" s="60" customFormat="1" x14ac:dyDescent="0.35"/>
    <row r="1760" s="60" customFormat="1" x14ac:dyDescent="0.35"/>
    <row r="1761" s="60" customFormat="1" x14ac:dyDescent="0.35"/>
    <row r="1762" s="60" customFormat="1" x14ac:dyDescent="0.35"/>
    <row r="1763" s="60" customFormat="1" x14ac:dyDescent="0.35"/>
    <row r="1764" s="60" customFormat="1" x14ac:dyDescent="0.35"/>
    <row r="1765" s="60" customFormat="1" x14ac:dyDescent="0.35"/>
    <row r="1766" s="60" customFormat="1" x14ac:dyDescent="0.35"/>
    <row r="1767" s="60" customFormat="1" x14ac:dyDescent="0.35"/>
    <row r="1768" s="60" customFormat="1" x14ac:dyDescent="0.35"/>
    <row r="1769" s="60" customFormat="1" x14ac:dyDescent="0.35"/>
    <row r="1770" s="60" customFormat="1" x14ac:dyDescent="0.35"/>
    <row r="1771" s="60" customFormat="1" x14ac:dyDescent="0.35"/>
    <row r="1772" s="60" customFormat="1" x14ac:dyDescent="0.35"/>
    <row r="1773" s="60" customFormat="1" x14ac:dyDescent="0.35"/>
    <row r="1774" s="60" customFormat="1" x14ac:dyDescent="0.35"/>
    <row r="1775" s="60" customFormat="1" x14ac:dyDescent="0.35"/>
    <row r="1776" s="60" customFormat="1" x14ac:dyDescent="0.35"/>
    <row r="1777" s="60" customFormat="1" x14ac:dyDescent="0.35"/>
    <row r="1778" s="60" customFormat="1" x14ac:dyDescent="0.35"/>
    <row r="1779" s="60" customFormat="1" x14ac:dyDescent="0.35"/>
    <row r="1780" s="60" customFormat="1" x14ac:dyDescent="0.35"/>
    <row r="1781" s="60" customFormat="1" x14ac:dyDescent="0.35"/>
    <row r="1782" s="60" customFormat="1" x14ac:dyDescent="0.35"/>
    <row r="1783" s="60" customFormat="1" x14ac:dyDescent="0.35"/>
    <row r="1784" s="60" customFormat="1" x14ac:dyDescent="0.35"/>
    <row r="1785" s="60" customFormat="1" x14ac:dyDescent="0.35"/>
    <row r="1786" s="60" customFormat="1" x14ac:dyDescent="0.35"/>
    <row r="1787" s="60" customFormat="1" x14ac:dyDescent="0.35"/>
    <row r="1788" s="60" customFormat="1" x14ac:dyDescent="0.35"/>
    <row r="1789" s="60" customFormat="1" x14ac:dyDescent="0.35"/>
    <row r="1790" s="60" customFormat="1" x14ac:dyDescent="0.35"/>
    <row r="1791" s="60" customFormat="1" x14ac:dyDescent="0.35"/>
    <row r="1792" s="60" customFormat="1" x14ac:dyDescent="0.35"/>
    <row r="1793" s="60" customFormat="1" x14ac:dyDescent="0.35"/>
    <row r="1794" s="60" customFormat="1" x14ac:dyDescent="0.35"/>
    <row r="1795" s="60" customFormat="1" x14ac:dyDescent="0.35"/>
    <row r="1796" s="60" customFormat="1" x14ac:dyDescent="0.35"/>
    <row r="1797" s="60" customFormat="1" x14ac:dyDescent="0.35"/>
    <row r="1798" s="60" customFormat="1" x14ac:dyDescent="0.35"/>
    <row r="1799" s="60" customFormat="1" x14ac:dyDescent="0.35"/>
    <row r="1800" s="60" customFormat="1" x14ac:dyDescent="0.35"/>
    <row r="1801" s="60" customFormat="1" x14ac:dyDescent="0.35"/>
    <row r="1802" s="60" customFormat="1" x14ac:dyDescent="0.35"/>
    <row r="1803" s="60" customFormat="1" x14ac:dyDescent="0.35"/>
    <row r="1804" s="60" customFormat="1" x14ac:dyDescent="0.35"/>
    <row r="1805" s="60" customFormat="1" x14ac:dyDescent="0.35"/>
    <row r="1806" s="60" customFormat="1" x14ac:dyDescent="0.35"/>
    <row r="1807" s="60" customFormat="1" x14ac:dyDescent="0.35"/>
    <row r="1808" s="60" customFormat="1" x14ac:dyDescent="0.35"/>
    <row r="1809" s="60" customFormat="1" x14ac:dyDescent="0.35"/>
    <row r="1810" s="60" customFormat="1" x14ac:dyDescent="0.35"/>
    <row r="1811" s="60" customFormat="1" x14ac:dyDescent="0.35"/>
    <row r="1812" s="60" customFormat="1" x14ac:dyDescent="0.35"/>
    <row r="1813" s="60" customFormat="1" x14ac:dyDescent="0.35"/>
    <row r="1814" s="60" customFormat="1" x14ac:dyDescent="0.35"/>
    <row r="1815" s="60" customFormat="1" x14ac:dyDescent="0.35"/>
    <row r="1816" s="60" customFormat="1" x14ac:dyDescent="0.35"/>
    <row r="1817" s="60" customFormat="1" x14ac:dyDescent="0.35"/>
    <row r="1818" s="60" customFormat="1" x14ac:dyDescent="0.35"/>
    <row r="1819" s="60" customFormat="1" x14ac:dyDescent="0.35"/>
    <row r="1820" s="60" customFormat="1" x14ac:dyDescent="0.35"/>
    <row r="1821" s="60" customFormat="1" x14ac:dyDescent="0.35"/>
    <row r="1822" s="60" customFormat="1" x14ac:dyDescent="0.35"/>
    <row r="1823" s="60" customFormat="1" x14ac:dyDescent="0.35"/>
    <row r="1824" s="60" customFormat="1" x14ac:dyDescent="0.35"/>
    <row r="1825" s="60" customFormat="1" x14ac:dyDescent="0.35"/>
    <row r="1826" s="60" customFormat="1" x14ac:dyDescent="0.35"/>
    <row r="1827" s="60" customFormat="1" x14ac:dyDescent="0.35"/>
    <row r="1828" s="60" customFormat="1" x14ac:dyDescent="0.35"/>
    <row r="1829" s="60" customFormat="1" x14ac:dyDescent="0.35"/>
    <row r="1830" s="60" customFormat="1" x14ac:dyDescent="0.35"/>
    <row r="1831" s="60" customFormat="1" x14ac:dyDescent="0.35"/>
    <row r="1832" s="60" customFormat="1" x14ac:dyDescent="0.35"/>
    <row r="1833" s="60" customFormat="1" x14ac:dyDescent="0.35"/>
    <row r="1834" s="60" customFormat="1" x14ac:dyDescent="0.35"/>
    <row r="1835" s="60" customFormat="1" x14ac:dyDescent="0.35"/>
    <row r="1836" s="60" customFormat="1" x14ac:dyDescent="0.35"/>
    <row r="1837" s="60" customFormat="1" x14ac:dyDescent="0.35"/>
    <row r="1838" s="60" customFormat="1" x14ac:dyDescent="0.35"/>
    <row r="1839" s="60" customFormat="1" x14ac:dyDescent="0.35"/>
    <row r="1840" s="60" customFormat="1" x14ac:dyDescent="0.35"/>
    <row r="1841" s="60" customFormat="1" x14ac:dyDescent="0.35"/>
    <row r="1842" s="60" customFormat="1" x14ac:dyDescent="0.35"/>
    <row r="1843" s="60" customFormat="1" x14ac:dyDescent="0.35"/>
    <row r="1844" s="60" customFormat="1" x14ac:dyDescent="0.35"/>
    <row r="1845" s="60" customFormat="1" x14ac:dyDescent="0.35"/>
    <row r="1846" s="60" customFormat="1" x14ac:dyDescent="0.35"/>
    <row r="1847" s="60" customFormat="1" x14ac:dyDescent="0.35"/>
    <row r="1848" s="60" customFormat="1" x14ac:dyDescent="0.35"/>
    <row r="1849" s="60" customFormat="1" x14ac:dyDescent="0.35"/>
    <row r="1850" s="60" customFormat="1" x14ac:dyDescent="0.35"/>
    <row r="1851" s="60" customFormat="1" x14ac:dyDescent="0.35"/>
    <row r="1852" s="60" customFormat="1" x14ac:dyDescent="0.35"/>
    <row r="1853" s="60" customFormat="1" x14ac:dyDescent="0.35"/>
    <row r="1854" s="60" customFormat="1" x14ac:dyDescent="0.35"/>
    <row r="1855" s="60" customFormat="1" x14ac:dyDescent="0.35"/>
    <row r="1856" s="60" customFormat="1" x14ac:dyDescent="0.35"/>
    <row r="1857" s="60" customFormat="1" x14ac:dyDescent="0.35"/>
    <row r="1858" s="60" customFormat="1" x14ac:dyDescent="0.35"/>
    <row r="1859" s="60" customFormat="1" x14ac:dyDescent="0.35"/>
    <row r="1860" s="60" customFormat="1" x14ac:dyDescent="0.35"/>
    <row r="1861" s="60" customFormat="1" x14ac:dyDescent="0.35"/>
    <row r="1862" s="60" customFormat="1" x14ac:dyDescent="0.35"/>
    <row r="1863" s="60" customFormat="1" x14ac:dyDescent="0.35"/>
    <row r="1864" s="60" customFormat="1" x14ac:dyDescent="0.35"/>
    <row r="1865" s="60" customFormat="1" x14ac:dyDescent="0.35"/>
    <row r="1866" s="60" customFormat="1" x14ac:dyDescent="0.35"/>
    <row r="1867" s="60" customFormat="1" x14ac:dyDescent="0.35"/>
    <row r="1868" s="60" customFormat="1" x14ac:dyDescent="0.35"/>
    <row r="1869" s="60" customFormat="1" x14ac:dyDescent="0.35"/>
    <row r="1870" s="60" customFormat="1" x14ac:dyDescent="0.35"/>
    <row r="1871" s="60" customFormat="1" x14ac:dyDescent="0.35"/>
    <row r="1872" s="60" customFormat="1" x14ac:dyDescent="0.35"/>
    <row r="1873" s="60" customFormat="1" x14ac:dyDescent="0.35"/>
    <row r="1874" s="60" customFormat="1" x14ac:dyDescent="0.35"/>
    <row r="1875" s="60" customFormat="1" x14ac:dyDescent="0.35"/>
    <row r="1876" s="60" customFormat="1" x14ac:dyDescent="0.35"/>
    <row r="1877" s="60" customFormat="1" x14ac:dyDescent="0.35"/>
    <row r="1878" s="60" customFormat="1" x14ac:dyDescent="0.35"/>
    <row r="1879" s="60" customFormat="1" x14ac:dyDescent="0.35"/>
    <row r="1880" s="60" customFormat="1" x14ac:dyDescent="0.35"/>
    <row r="1881" s="60" customFormat="1" x14ac:dyDescent="0.35"/>
    <row r="1882" s="60" customFormat="1" x14ac:dyDescent="0.35"/>
    <row r="1883" s="60" customFormat="1" x14ac:dyDescent="0.35"/>
    <row r="1884" s="60" customFormat="1" x14ac:dyDescent="0.35"/>
    <row r="1885" s="60" customFormat="1" x14ac:dyDescent="0.35"/>
    <row r="1886" s="60" customFormat="1" x14ac:dyDescent="0.35"/>
    <row r="1887" s="60" customFormat="1" x14ac:dyDescent="0.35"/>
    <row r="1888" s="60" customFormat="1" x14ac:dyDescent="0.35"/>
    <row r="1889" s="60" customFormat="1" x14ac:dyDescent="0.35"/>
    <row r="1890" s="60" customFormat="1" x14ac:dyDescent="0.35"/>
    <row r="1891" s="60" customFormat="1" x14ac:dyDescent="0.35"/>
    <row r="1892" s="60" customFormat="1" x14ac:dyDescent="0.35"/>
    <row r="1893" s="60" customFormat="1" x14ac:dyDescent="0.35"/>
    <row r="1894" s="60" customFormat="1" x14ac:dyDescent="0.35"/>
    <row r="1895" s="60" customFormat="1" x14ac:dyDescent="0.35"/>
    <row r="1896" s="60" customFormat="1" x14ac:dyDescent="0.35"/>
    <row r="1897" s="60" customFormat="1" x14ac:dyDescent="0.35"/>
    <row r="1898" s="60" customFormat="1" x14ac:dyDescent="0.35"/>
    <row r="1899" s="60" customFormat="1" x14ac:dyDescent="0.35"/>
    <row r="1900" s="60" customFormat="1" x14ac:dyDescent="0.35"/>
    <row r="1901" s="60" customFormat="1" x14ac:dyDescent="0.35"/>
    <row r="1902" s="60" customFormat="1" x14ac:dyDescent="0.35"/>
    <row r="1903" s="60" customFormat="1" x14ac:dyDescent="0.35"/>
    <row r="1904" s="60" customFormat="1" x14ac:dyDescent="0.35"/>
    <row r="1905" s="60" customFormat="1" x14ac:dyDescent="0.35"/>
    <row r="1906" s="60" customFormat="1" x14ac:dyDescent="0.35"/>
    <row r="1907" s="60" customFormat="1" x14ac:dyDescent="0.35"/>
    <row r="1908" s="60" customFormat="1" x14ac:dyDescent="0.35"/>
    <row r="1909" s="60" customFormat="1" x14ac:dyDescent="0.35"/>
    <row r="1910" s="60" customFormat="1" x14ac:dyDescent="0.35"/>
    <row r="1911" s="60" customFormat="1" x14ac:dyDescent="0.35"/>
    <row r="1912" s="60" customFormat="1" x14ac:dyDescent="0.35"/>
    <row r="1913" s="60" customFormat="1" x14ac:dyDescent="0.35"/>
    <row r="1914" s="60" customFormat="1" x14ac:dyDescent="0.35"/>
    <row r="1915" s="60" customFormat="1" x14ac:dyDescent="0.35"/>
    <row r="1916" s="60" customFormat="1" x14ac:dyDescent="0.35"/>
    <row r="1917" s="60" customFormat="1" x14ac:dyDescent="0.35"/>
    <row r="1918" s="60" customFormat="1" x14ac:dyDescent="0.35"/>
    <row r="1919" s="60" customFormat="1" x14ac:dyDescent="0.35"/>
    <row r="1920" s="60" customFormat="1" x14ac:dyDescent="0.35"/>
    <row r="1921" s="60" customFormat="1" x14ac:dyDescent="0.35"/>
    <row r="1922" s="60" customFormat="1" x14ac:dyDescent="0.35"/>
    <row r="1923" s="60" customFormat="1" x14ac:dyDescent="0.35"/>
    <row r="1924" s="60" customFormat="1" x14ac:dyDescent="0.35"/>
    <row r="1925" s="60" customFormat="1" x14ac:dyDescent="0.35"/>
    <row r="1926" s="60" customFormat="1" x14ac:dyDescent="0.35"/>
    <row r="1927" s="60" customFormat="1" x14ac:dyDescent="0.35"/>
    <row r="1928" s="60" customFormat="1" x14ac:dyDescent="0.35"/>
    <row r="1929" s="60" customFormat="1" x14ac:dyDescent="0.35"/>
    <row r="1930" s="60" customFormat="1" x14ac:dyDescent="0.35"/>
    <row r="1931" s="60" customFormat="1" x14ac:dyDescent="0.35"/>
    <row r="1932" s="60" customFormat="1" x14ac:dyDescent="0.35"/>
    <row r="1933" s="60" customFormat="1" x14ac:dyDescent="0.35"/>
    <row r="1934" s="60" customFormat="1" x14ac:dyDescent="0.35"/>
    <row r="1935" s="60" customFormat="1" x14ac:dyDescent="0.35"/>
    <row r="1936" s="60" customFormat="1" x14ac:dyDescent="0.35"/>
    <row r="1937" s="60" customFormat="1" x14ac:dyDescent="0.35"/>
    <row r="1938" s="60" customFormat="1" x14ac:dyDescent="0.35"/>
    <row r="1939" s="60" customFormat="1" x14ac:dyDescent="0.35"/>
    <row r="1940" s="60" customFormat="1" x14ac:dyDescent="0.35"/>
    <row r="1941" s="60" customFormat="1" x14ac:dyDescent="0.35"/>
    <row r="1942" s="60" customFormat="1" x14ac:dyDescent="0.35"/>
    <row r="1943" s="60" customFormat="1" x14ac:dyDescent="0.35"/>
    <row r="1944" s="60" customFormat="1" x14ac:dyDescent="0.35"/>
    <row r="1945" s="60" customFormat="1" x14ac:dyDescent="0.35"/>
    <row r="1946" s="60" customFormat="1" x14ac:dyDescent="0.35"/>
    <row r="1947" s="60" customFormat="1" x14ac:dyDescent="0.35"/>
    <row r="1948" s="60" customFormat="1" x14ac:dyDescent="0.35"/>
    <row r="1949" s="60" customFormat="1" x14ac:dyDescent="0.35"/>
    <row r="1950" s="60" customFormat="1" x14ac:dyDescent="0.35"/>
    <row r="1951" s="60" customFormat="1" x14ac:dyDescent="0.35"/>
    <row r="1952" s="60" customFormat="1" x14ac:dyDescent="0.35"/>
    <row r="1953" s="60" customFormat="1" x14ac:dyDescent="0.35"/>
    <row r="1954" s="60" customFormat="1" x14ac:dyDescent="0.35"/>
    <row r="1955" s="60" customFormat="1" x14ac:dyDescent="0.35"/>
    <row r="1956" s="60" customFormat="1" x14ac:dyDescent="0.35"/>
    <row r="1957" s="60" customFormat="1" x14ac:dyDescent="0.35"/>
    <row r="1958" s="60" customFormat="1" x14ac:dyDescent="0.35"/>
    <row r="1959" s="60" customFormat="1" x14ac:dyDescent="0.35"/>
    <row r="1960" s="60" customFormat="1" x14ac:dyDescent="0.35"/>
    <row r="1961" s="60" customFormat="1" x14ac:dyDescent="0.35"/>
    <row r="1962" s="60" customFormat="1" x14ac:dyDescent="0.35"/>
    <row r="1963" s="60" customFormat="1" x14ac:dyDescent="0.35"/>
    <row r="1964" s="60" customFormat="1" x14ac:dyDescent="0.35"/>
    <row r="1965" s="60" customFormat="1" x14ac:dyDescent="0.35"/>
    <row r="1966" s="60" customFormat="1" x14ac:dyDescent="0.35"/>
    <row r="1967" s="60" customFormat="1" x14ac:dyDescent="0.35"/>
    <row r="1968" s="60" customFormat="1" x14ac:dyDescent="0.35"/>
    <row r="1969" s="60" customFormat="1" x14ac:dyDescent="0.35"/>
    <row r="1970" s="60" customFormat="1" x14ac:dyDescent="0.35"/>
    <row r="1971" s="60" customFormat="1" x14ac:dyDescent="0.35"/>
    <row r="1972" s="60" customFormat="1" x14ac:dyDescent="0.35"/>
    <row r="1973" s="60" customFormat="1" x14ac:dyDescent="0.35"/>
    <row r="1974" s="60" customFormat="1" x14ac:dyDescent="0.35"/>
    <row r="1975" s="60" customFormat="1" x14ac:dyDescent="0.35"/>
    <row r="1976" s="60" customFormat="1" x14ac:dyDescent="0.35"/>
    <row r="1977" s="60" customFormat="1" x14ac:dyDescent="0.35"/>
    <row r="1978" s="60" customFormat="1" x14ac:dyDescent="0.35"/>
    <row r="1979" s="60" customFormat="1" x14ac:dyDescent="0.35"/>
    <row r="1980" s="60" customFormat="1" x14ac:dyDescent="0.35"/>
    <row r="1981" s="60" customFormat="1" x14ac:dyDescent="0.35"/>
    <row r="1982" s="60" customFormat="1" x14ac:dyDescent="0.35"/>
    <row r="1983" s="60" customFormat="1" x14ac:dyDescent="0.35"/>
    <row r="1984" s="60" customFormat="1" x14ac:dyDescent="0.35"/>
    <row r="1985" s="60" customFormat="1" x14ac:dyDescent="0.35"/>
    <row r="1986" s="60" customFormat="1" x14ac:dyDescent="0.35"/>
    <row r="1987" s="60" customFormat="1" x14ac:dyDescent="0.35"/>
    <row r="1988" s="60" customFormat="1" x14ac:dyDescent="0.35"/>
    <row r="1989" s="60" customFormat="1" x14ac:dyDescent="0.35"/>
    <row r="1990" s="60" customFormat="1" x14ac:dyDescent="0.35"/>
    <row r="1991" s="60" customFormat="1" x14ac:dyDescent="0.35"/>
    <row r="1992" s="60" customFormat="1" x14ac:dyDescent="0.35"/>
    <row r="1993" s="60" customFormat="1" x14ac:dyDescent="0.35"/>
    <row r="1994" s="60" customFormat="1" x14ac:dyDescent="0.35"/>
    <row r="1995" s="60" customFormat="1" x14ac:dyDescent="0.35"/>
    <row r="1996" s="60" customFormat="1" x14ac:dyDescent="0.35"/>
    <row r="1997" s="60" customFormat="1" x14ac:dyDescent="0.35"/>
    <row r="1998" s="60" customFormat="1" x14ac:dyDescent="0.35"/>
    <row r="1999" s="60" customFormat="1" x14ac:dyDescent="0.35"/>
    <row r="2000" s="60" customFormat="1" x14ac:dyDescent="0.35"/>
    <row r="2001" s="60" customFormat="1" x14ac:dyDescent="0.35"/>
    <row r="2002" s="60" customFormat="1" x14ac:dyDescent="0.35"/>
    <row r="2003" s="60" customFormat="1" x14ac:dyDescent="0.35"/>
    <row r="2004" s="60" customFormat="1" x14ac:dyDescent="0.35"/>
    <row r="2005" s="60" customFormat="1" x14ac:dyDescent="0.35"/>
    <row r="2006" s="60" customFormat="1" x14ac:dyDescent="0.35"/>
    <row r="2007" s="60" customFormat="1" x14ac:dyDescent="0.35"/>
    <row r="2008" s="60" customFormat="1" x14ac:dyDescent="0.35"/>
    <row r="2009" s="60" customFormat="1" x14ac:dyDescent="0.35"/>
    <row r="2010" s="60" customFormat="1" x14ac:dyDescent="0.35"/>
    <row r="2011" s="60" customFormat="1" x14ac:dyDescent="0.35"/>
    <row r="2012" s="60" customFormat="1" x14ac:dyDescent="0.35"/>
    <row r="2013" s="60" customFormat="1" x14ac:dyDescent="0.35"/>
    <row r="2014" s="60" customFormat="1" x14ac:dyDescent="0.35"/>
    <row r="2015" s="60" customFormat="1" x14ac:dyDescent="0.35"/>
    <row r="2016" s="60" customFormat="1" x14ac:dyDescent="0.35"/>
    <row r="2017" s="60" customFormat="1" x14ac:dyDescent="0.35"/>
    <row r="2018" s="60" customFormat="1" x14ac:dyDescent="0.35"/>
    <row r="2019" s="60" customFormat="1" x14ac:dyDescent="0.35"/>
    <row r="2020" s="60" customFormat="1" x14ac:dyDescent="0.35"/>
    <row r="2021" s="60" customFormat="1" x14ac:dyDescent="0.35"/>
    <row r="2022" s="60" customFormat="1" x14ac:dyDescent="0.35"/>
    <row r="2023" s="60" customFormat="1" x14ac:dyDescent="0.35"/>
    <row r="2024" s="60" customFormat="1" x14ac:dyDescent="0.35"/>
    <row r="2025" s="60" customFormat="1" x14ac:dyDescent="0.35"/>
    <row r="2026" s="60" customFormat="1" x14ac:dyDescent="0.35"/>
    <row r="2027" s="60" customFormat="1" x14ac:dyDescent="0.35"/>
    <row r="2028" s="60" customFormat="1" x14ac:dyDescent="0.35"/>
    <row r="2029" s="60" customFormat="1" x14ac:dyDescent="0.35"/>
    <row r="2030" s="60" customFormat="1" x14ac:dyDescent="0.35"/>
    <row r="2031" s="60" customFormat="1" x14ac:dyDescent="0.35"/>
    <row r="2032" s="60" customFormat="1" x14ac:dyDescent="0.35"/>
    <row r="2033" s="60" customFormat="1" x14ac:dyDescent="0.35"/>
    <row r="2034" s="60" customFormat="1" x14ac:dyDescent="0.35"/>
    <row r="2035" s="60" customFormat="1" x14ac:dyDescent="0.35"/>
    <row r="2036" s="60" customFormat="1" x14ac:dyDescent="0.35"/>
    <row r="2037" s="60" customFormat="1" x14ac:dyDescent="0.35"/>
    <row r="2038" s="60" customFormat="1" x14ac:dyDescent="0.35"/>
    <row r="2039" s="60" customFormat="1" x14ac:dyDescent="0.35"/>
    <row r="2040" s="60" customFormat="1" x14ac:dyDescent="0.35"/>
    <row r="2041" s="60" customFormat="1" x14ac:dyDescent="0.35"/>
    <row r="2042" s="60" customFormat="1" x14ac:dyDescent="0.35"/>
    <row r="2043" s="60" customFormat="1" x14ac:dyDescent="0.35"/>
    <row r="2044" s="60" customFormat="1" x14ac:dyDescent="0.35"/>
    <row r="2045" s="60" customFormat="1" x14ac:dyDescent="0.35"/>
    <row r="2046" s="60" customFormat="1" x14ac:dyDescent="0.35"/>
    <row r="2047" s="60" customFormat="1" x14ac:dyDescent="0.35"/>
    <row r="2048" s="60" customFormat="1" x14ac:dyDescent="0.35"/>
    <row r="2049" s="60" customFormat="1" x14ac:dyDescent="0.35"/>
    <row r="2050" s="60" customFormat="1" x14ac:dyDescent="0.35"/>
    <row r="2051" s="60" customFormat="1" x14ac:dyDescent="0.35"/>
    <row r="2052" s="60" customFormat="1" x14ac:dyDescent="0.35"/>
    <row r="2053" s="60" customFormat="1" x14ac:dyDescent="0.35"/>
    <row r="2054" s="60" customFormat="1" x14ac:dyDescent="0.35"/>
    <row r="2055" s="60" customFormat="1" x14ac:dyDescent="0.35"/>
    <row r="2056" s="60" customFormat="1" x14ac:dyDescent="0.35"/>
    <row r="2057" s="60" customFormat="1" x14ac:dyDescent="0.35"/>
    <row r="2058" s="60" customFormat="1" x14ac:dyDescent="0.35"/>
    <row r="2059" s="60" customFormat="1" x14ac:dyDescent="0.35"/>
    <row r="2060" s="60" customFormat="1" x14ac:dyDescent="0.35"/>
  </sheetData>
  <mergeCells count="2">
    <mergeCell ref="A1:A3"/>
    <mergeCell ref="FZ1:GB1"/>
  </mergeCells>
  <phoneticPr fontId="33" type="noConversion"/>
  <pageMargins left="0.23622047244094491" right="0.23622047244094491" top="0.74803149606299213" bottom="0.74803149606299213" header="0.31496062992125984" footer="0.31496062992125984"/>
  <pageSetup scale="65" orientation="landscape" r:id="rId1"/>
  <ignoredErrors>
    <ignoredError sqref="M108 Y108 AK108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C1803"/>
  <sheetViews>
    <sheetView topLeftCell="A55" workbookViewId="0">
      <selection activeCell="AC36" sqref="AC36"/>
    </sheetView>
  </sheetViews>
  <sheetFormatPr baseColWidth="10" defaultColWidth="11.453125" defaultRowHeight="13" x14ac:dyDescent="0.3"/>
  <cols>
    <col min="1" max="1" width="10.453125" style="54" bestFit="1" customWidth="1"/>
    <col min="2" max="2" width="40.453125" style="55" customWidth="1"/>
    <col min="3" max="3" width="90.453125" style="56" customWidth="1"/>
    <col min="4" max="4" width="12.6328125" style="57" bestFit="1" customWidth="1"/>
    <col min="5" max="5" width="12.453125" style="52" customWidth="1"/>
    <col min="6" max="7" width="12.453125" style="10" customWidth="1"/>
    <col min="8" max="26" width="15.6328125" style="10" customWidth="1"/>
    <col min="27" max="27" width="44.453125" style="13" bestFit="1" customWidth="1"/>
    <col min="28" max="28" width="4" style="13" customWidth="1"/>
    <col min="29" max="29" width="4.36328125" style="13" bestFit="1" customWidth="1"/>
    <col min="30" max="16384" width="11.453125" style="13"/>
  </cols>
  <sheetData>
    <row r="1" spans="1:29" customFormat="1" ht="14.5" x14ac:dyDescent="0.35">
      <c r="A1" s="1" t="s">
        <v>0</v>
      </c>
      <c r="B1" s="1"/>
      <c r="C1" s="1" t="s">
        <v>1</v>
      </c>
      <c r="D1" s="1" t="s">
        <v>2</v>
      </c>
      <c r="E1" s="2" t="s">
        <v>3</v>
      </c>
      <c r="F1" s="1" t="s">
        <v>4</v>
      </c>
      <c r="G1" s="1" t="s">
        <v>5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4" t="s">
        <v>6</v>
      </c>
      <c r="AB1" s="115" t="s">
        <v>7</v>
      </c>
      <c r="AC1" s="115"/>
    </row>
    <row r="2" spans="1:29" ht="15" customHeight="1" x14ac:dyDescent="0.3">
      <c r="A2" s="5">
        <v>40270</v>
      </c>
      <c r="B2" s="6" t="s">
        <v>801</v>
      </c>
      <c r="C2" s="7" t="s">
        <v>8</v>
      </c>
      <c r="D2" s="8">
        <v>399</v>
      </c>
      <c r="E2" s="9"/>
      <c r="AA2" s="11" t="s">
        <v>790</v>
      </c>
      <c r="AB2" s="12">
        <v>1</v>
      </c>
      <c r="AC2" s="12" t="s">
        <v>9</v>
      </c>
    </row>
    <row r="3" spans="1:29" ht="15" customHeight="1" x14ac:dyDescent="0.3">
      <c r="A3" s="5">
        <v>41641</v>
      </c>
      <c r="B3" s="6" t="s">
        <v>791</v>
      </c>
      <c r="C3" s="7"/>
      <c r="D3" s="14">
        <v>3229</v>
      </c>
      <c r="E3" s="9"/>
      <c r="AA3" s="11" t="s">
        <v>791</v>
      </c>
      <c r="AB3" s="12">
        <v>2</v>
      </c>
      <c r="AC3" s="12" t="s">
        <v>10</v>
      </c>
    </row>
    <row r="4" spans="1:29" ht="15" customHeight="1" x14ac:dyDescent="0.3">
      <c r="A4" s="5">
        <v>41645</v>
      </c>
      <c r="B4" s="6" t="s">
        <v>793</v>
      </c>
      <c r="C4" s="7"/>
      <c r="D4" s="15">
        <v>3364</v>
      </c>
      <c r="E4" s="9"/>
      <c r="AA4" s="11" t="s">
        <v>792</v>
      </c>
      <c r="AB4" s="12">
        <v>3</v>
      </c>
      <c r="AC4" s="12" t="s">
        <v>11</v>
      </c>
    </row>
    <row r="5" spans="1:29" x14ac:dyDescent="0.3">
      <c r="A5" s="5">
        <v>41646</v>
      </c>
      <c r="B5" s="6" t="s">
        <v>799</v>
      </c>
      <c r="C5" s="7"/>
      <c r="D5" s="15">
        <v>220</v>
      </c>
      <c r="E5" s="9"/>
      <c r="AA5" s="11" t="s">
        <v>793</v>
      </c>
      <c r="AB5" s="12">
        <v>4</v>
      </c>
      <c r="AC5" s="12" t="s">
        <v>12</v>
      </c>
    </row>
    <row r="6" spans="1:29" ht="15" customHeight="1" x14ac:dyDescent="0.3">
      <c r="A6" s="5">
        <v>41646</v>
      </c>
      <c r="B6" s="6" t="s">
        <v>795</v>
      </c>
      <c r="C6" s="7"/>
      <c r="D6" s="15">
        <v>35.200000000000003</v>
      </c>
      <c r="E6" s="9"/>
      <c r="AA6" s="11" t="s">
        <v>794</v>
      </c>
      <c r="AB6" s="12">
        <v>5</v>
      </c>
      <c r="AC6" s="12" t="s">
        <v>13</v>
      </c>
    </row>
    <row r="7" spans="1:29" ht="15" customHeight="1" x14ac:dyDescent="0.3">
      <c r="A7" s="5">
        <v>41652</v>
      </c>
      <c r="B7" s="6" t="s">
        <v>743</v>
      </c>
      <c r="C7" s="7" t="s">
        <v>14</v>
      </c>
      <c r="D7" s="15">
        <v>2958</v>
      </c>
      <c r="E7" s="9"/>
      <c r="AA7" s="11" t="s">
        <v>795</v>
      </c>
      <c r="AB7" s="12">
        <v>6</v>
      </c>
      <c r="AC7" s="12" t="s">
        <v>15</v>
      </c>
    </row>
    <row r="8" spans="1:29" ht="15" customHeight="1" x14ac:dyDescent="0.3">
      <c r="A8" s="5">
        <v>41663</v>
      </c>
      <c r="B8" s="6" t="s">
        <v>790</v>
      </c>
      <c r="C8" s="7"/>
      <c r="D8" s="15">
        <v>11887</v>
      </c>
      <c r="E8" s="9"/>
      <c r="AA8" s="11" t="s">
        <v>796</v>
      </c>
      <c r="AB8" s="12">
        <v>7</v>
      </c>
      <c r="AC8" s="12" t="s">
        <v>16</v>
      </c>
    </row>
    <row r="9" spans="1:29" ht="15" customHeight="1" x14ac:dyDescent="0.3">
      <c r="A9" s="5">
        <v>41676</v>
      </c>
      <c r="B9" s="6" t="s">
        <v>716</v>
      </c>
      <c r="C9" s="7"/>
      <c r="D9" s="15">
        <v>8120</v>
      </c>
      <c r="E9" s="9"/>
      <c r="AA9" s="11" t="s">
        <v>797</v>
      </c>
      <c r="AB9" s="12">
        <v>8</v>
      </c>
      <c r="AC9" s="12" t="s">
        <v>17</v>
      </c>
    </row>
    <row r="10" spans="1:29" ht="15" customHeight="1" x14ac:dyDescent="0.3">
      <c r="A10" s="5">
        <v>41676</v>
      </c>
      <c r="B10" s="6" t="s">
        <v>793</v>
      </c>
      <c r="C10" s="7"/>
      <c r="D10" s="15">
        <v>3364</v>
      </c>
      <c r="E10" s="9"/>
      <c r="AA10" s="11" t="s">
        <v>798</v>
      </c>
      <c r="AB10" s="12">
        <v>9</v>
      </c>
      <c r="AC10" s="12" t="s">
        <v>18</v>
      </c>
    </row>
    <row r="11" spans="1:29" ht="15" customHeight="1" x14ac:dyDescent="0.3">
      <c r="A11" s="5">
        <v>41677</v>
      </c>
      <c r="B11" s="6" t="s">
        <v>799</v>
      </c>
      <c r="C11" s="7"/>
      <c r="D11" s="15">
        <v>220</v>
      </c>
      <c r="E11" s="9"/>
      <c r="AA11" s="11" t="s">
        <v>802</v>
      </c>
      <c r="AB11" s="12">
        <v>10</v>
      </c>
      <c r="AC11" s="12" t="s">
        <v>19</v>
      </c>
    </row>
    <row r="12" spans="1:29" ht="15" customHeight="1" x14ac:dyDescent="0.3">
      <c r="A12" s="5">
        <v>41677</v>
      </c>
      <c r="B12" s="6" t="s">
        <v>795</v>
      </c>
      <c r="C12" s="7"/>
      <c r="D12" s="15">
        <v>35.200000000000003</v>
      </c>
      <c r="E12" s="9"/>
      <c r="AA12" s="11" t="s">
        <v>799</v>
      </c>
      <c r="AB12" s="12">
        <v>11</v>
      </c>
      <c r="AC12" s="12" t="s">
        <v>20</v>
      </c>
    </row>
    <row r="13" spans="1:29" ht="15" customHeight="1" x14ac:dyDescent="0.3">
      <c r="A13" s="5">
        <v>41696</v>
      </c>
      <c r="B13" s="6" t="s">
        <v>790</v>
      </c>
      <c r="C13" s="7"/>
      <c r="D13" s="15">
        <v>13171</v>
      </c>
      <c r="E13" s="9"/>
      <c r="AA13" s="11" t="s">
        <v>800</v>
      </c>
      <c r="AB13" s="12">
        <v>12</v>
      </c>
      <c r="AC13" s="12" t="s">
        <v>21</v>
      </c>
    </row>
    <row r="14" spans="1:29" ht="15" customHeight="1" x14ac:dyDescent="0.3">
      <c r="A14" s="5">
        <v>41701</v>
      </c>
      <c r="B14" s="16" t="s">
        <v>791</v>
      </c>
      <c r="C14" s="7"/>
      <c r="D14" s="14">
        <v>3924</v>
      </c>
      <c r="E14" s="9"/>
      <c r="AA14" s="11" t="s">
        <v>801</v>
      </c>
      <c r="AB14" s="12"/>
      <c r="AC14" s="12"/>
    </row>
    <row r="15" spans="1:29" ht="15" customHeight="1" x14ac:dyDescent="0.3">
      <c r="A15" s="5">
        <v>41703</v>
      </c>
      <c r="B15" s="6" t="s">
        <v>799</v>
      </c>
      <c r="C15" s="17"/>
      <c r="D15" s="15">
        <v>220</v>
      </c>
      <c r="E15" s="9"/>
      <c r="AA15" s="11" t="s">
        <v>944</v>
      </c>
      <c r="AB15" s="12"/>
      <c r="AC15" s="12"/>
    </row>
    <row r="16" spans="1:29" x14ac:dyDescent="0.3">
      <c r="A16" s="5">
        <v>41703</v>
      </c>
      <c r="B16" s="6" t="s">
        <v>795</v>
      </c>
      <c r="C16" s="7"/>
      <c r="D16" s="15">
        <v>35.200000000000003</v>
      </c>
      <c r="E16" s="9"/>
      <c r="AA16" s="11" t="s">
        <v>715</v>
      </c>
      <c r="AB16" s="12"/>
      <c r="AC16" s="12"/>
    </row>
    <row r="17" spans="1:29" ht="15" customHeight="1" x14ac:dyDescent="0.3">
      <c r="A17" s="5">
        <v>41703</v>
      </c>
      <c r="B17" s="6" t="s">
        <v>743</v>
      </c>
      <c r="C17" s="18"/>
      <c r="D17" s="15">
        <v>2000</v>
      </c>
      <c r="E17" s="9"/>
      <c r="AA17" s="11" t="s">
        <v>716</v>
      </c>
      <c r="AB17" s="12"/>
      <c r="AC17" s="12"/>
    </row>
    <row r="18" spans="1:29" ht="15" customHeight="1" x14ac:dyDescent="0.3">
      <c r="A18" s="5">
        <v>41703</v>
      </c>
      <c r="B18" s="6" t="s">
        <v>746</v>
      </c>
      <c r="C18" s="7"/>
      <c r="D18" s="15">
        <v>363.88</v>
      </c>
      <c r="E18" s="9"/>
      <c r="AA18" s="11" t="s">
        <v>729</v>
      </c>
      <c r="AB18" s="12"/>
      <c r="AC18" s="12"/>
    </row>
    <row r="19" spans="1:29" ht="15" customHeight="1" x14ac:dyDescent="0.3">
      <c r="A19" s="5">
        <v>41704</v>
      </c>
      <c r="B19" s="6" t="s">
        <v>716</v>
      </c>
      <c r="C19" s="7"/>
      <c r="D19" s="15">
        <v>8120</v>
      </c>
      <c r="E19" s="9"/>
      <c r="AA19" s="11" t="s">
        <v>721</v>
      </c>
      <c r="AB19" s="12"/>
      <c r="AC19" s="12"/>
    </row>
    <row r="20" spans="1:29" ht="15" customHeight="1" x14ac:dyDescent="0.3">
      <c r="A20" s="5">
        <v>41704</v>
      </c>
      <c r="B20" s="6" t="s">
        <v>796</v>
      </c>
      <c r="C20" s="18"/>
      <c r="D20" s="15">
        <v>2100</v>
      </c>
      <c r="E20" s="9"/>
      <c r="AA20" s="11" t="s">
        <v>726</v>
      </c>
      <c r="AB20" s="12"/>
      <c r="AC20" s="12"/>
    </row>
    <row r="21" spans="1:29" ht="15" customHeight="1" x14ac:dyDescent="0.3">
      <c r="A21" s="5">
        <v>41704</v>
      </c>
      <c r="B21" s="6" t="s">
        <v>793</v>
      </c>
      <c r="C21" s="18"/>
      <c r="D21" s="15">
        <v>3364</v>
      </c>
      <c r="E21" s="9"/>
      <c r="AA21" s="11" t="s">
        <v>727</v>
      </c>
      <c r="AB21" s="12"/>
      <c r="AC21" s="12"/>
    </row>
    <row r="22" spans="1:29" ht="15" customHeight="1" x14ac:dyDescent="0.3">
      <c r="A22" s="5">
        <v>41718</v>
      </c>
      <c r="B22" s="6" t="s">
        <v>743</v>
      </c>
      <c r="C22" s="7"/>
      <c r="D22" s="15">
        <v>1850</v>
      </c>
      <c r="E22" s="9"/>
      <c r="AA22" s="11" t="s">
        <v>730</v>
      </c>
      <c r="AB22" s="12"/>
      <c r="AC22" s="12"/>
    </row>
    <row r="23" spans="1:29" ht="15" customHeight="1" x14ac:dyDescent="0.3">
      <c r="A23" s="5">
        <v>41724</v>
      </c>
      <c r="B23" s="6" t="s">
        <v>790</v>
      </c>
      <c r="C23" s="18"/>
      <c r="D23" s="15">
        <v>12188</v>
      </c>
      <c r="E23" s="9"/>
      <c r="AA23" s="11" t="s">
        <v>740</v>
      </c>
      <c r="AB23" s="12"/>
      <c r="AC23" s="12"/>
    </row>
    <row r="24" spans="1:29" x14ac:dyDescent="0.3">
      <c r="A24" s="5">
        <v>41761</v>
      </c>
      <c r="B24" s="6" t="s">
        <v>791</v>
      </c>
      <c r="C24" s="18"/>
      <c r="D24" s="14">
        <v>5095</v>
      </c>
      <c r="E24" s="9"/>
      <c r="AA24" s="11" t="s">
        <v>741</v>
      </c>
      <c r="AB24" s="12"/>
      <c r="AC24" s="12"/>
    </row>
    <row r="25" spans="1:29" x14ac:dyDescent="0.3">
      <c r="A25" s="5">
        <v>41765</v>
      </c>
      <c r="B25" s="6" t="s">
        <v>799</v>
      </c>
      <c r="C25" s="18"/>
      <c r="D25" s="15">
        <v>220</v>
      </c>
      <c r="E25" s="9"/>
      <c r="AA25" s="11" t="s">
        <v>742</v>
      </c>
      <c r="AB25" s="12">
        <v>12</v>
      </c>
      <c r="AC25" s="12" t="s">
        <v>21</v>
      </c>
    </row>
    <row r="26" spans="1:29" ht="15" customHeight="1" x14ac:dyDescent="0.3">
      <c r="A26" s="5">
        <v>41765</v>
      </c>
      <c r="B26" s="6" t="s">
        <v>795</v>
      </c>
      <c r="C26" s="18"/>
      <c r="D26" s="15">
        <v>35.200000000000003</v>
      </c>
      <c r="E26" s="9"/>
      <c r="AA26" s="11" t="s">
        <v>755</v>
      </c>
    </row>
    <row r="27" spans="1:29" ht="15" customHeight="1" x14ac:dyDescent="0.3">
      <c r="A27" s="5">
        <v>41772</v>
      </c>
      <c r="B27" s="6" t="s">
        <v>793</v>
      </c>
      <c r="C27" s="18"/>
      <c r="D27" s="15">
        <v>3364</v>
      </c>
      <c r="E27" s="9"/>
      <c r="AA27" s="11" t="s">
        <v>756</v>
      </c>
    </row>
    <row r="28" spans="1:29" ht="15" customHeight="1" x14ac:dyDescent="0.3">
      <c r="A28" s="5">
        <v>41772</v>
      </c>
      <c r="B28" s="6" t="s">
        <v>716</v>
      </c>
      <c r="C28" s="7"/>
      <c r="D28" s="15">
        <v>8120</v>
      </c>
      <c r="E28" s="9"/>
      <c r="AA28" s="11" t="s">
        <v>757</v>
      </c>
    </row>
    <row r="29" spans="1:29" ht="15" customHeight="1" x14ac:dyDescent="0.3">
      <c r="A29" s="5">
        <v>41772</v>
      </c>
      <c r="B29" s="6" t="s">
        <v>796</v>
      </c>
      <c r="C29" s="18" t="s">
        <v>22</v>
      </c>
      <c r="D29" s="15">
        <v>3712</v>
      </c>
      <c r="E29" s="9"/>
      <c r="AA29" s="11" t="s">
        <v>959</v>
      </c>
    </row>
    <row r="30" spans="1:29" ht="15" customHeight="1" x14ac:dyDescent="0.3">
      <c r="A30" s="5">
        <v>41772</v>
      </c>
      <c r="B30" s="6" t="s">
        <v>792</v>
      </c>
      <c r="C30" s="18" t="s">
        <v>23</v>
      </c>
      <c r="D30" s="15">
        <v>4640</v>
      </c>
      <c r="E30" s="9"/>
      <c r="AA30" s="11" t="s">
        <v>758</v>
      </c>
    </row>
    <row r="31" spans="1:29" ht="15" customHeight="1" x14ac:dyDescent="0.3">
      <c r="A31" s="5">
        <v>41772</v>
      </c>
      <c r="B31" s="6" t="s">
        <v>743</v>
      </c>
      <c r="C31" s="7"/>
      <c r="D31" s="15">
        <v>2865.21</v>
      </c>
      <c r="E31" s="9"/>
      <c r="AA31" s="11" t="s">
        <v>761</v>
      </c>
    </row>
    <row r="32" spans="1:29" ht="15" customHeight="1" x14ac:dyDescent="0.3">
      <c r="A32" s="5">
        <v>41772</v>
      </c>
      <c r="B32" s="6" t="s">
        <v>747</v>
      </c>
      <c r="C32" s="7"/>
      <c r="D32" s="15">
        <v>5000</v>
      </c>
      <c r="E32" s="9"/>
      <c r="AA32" s="11" t="s">
        <v>762</v>
      </c>
    </row>
    <row r="33" spans="1:27" ht="15" customHeight="1" x14ac:dyDescent="0.3">
      <c r="A33" s="5">
        <v>41778</v>
      </c>
      <c r="B33" s="6" t="s">
        <v>790</v>
      </c>
      <c r="C33" s="7"/>
      <c r="D33" s="15">
        <v>18721</v>
      </c>
      <c r="E33" s="9"/>
      <c r="AA33" s="11" t="s">
        <v>763</v>
      </c>
    </row>
    <row r="34" spans="1:27" ht="15" customHeight="1" x14ac:dyDescent="0.3">
      <c r="A34" s="5">
        <v>41779</v>
      </c>
      <c r="B34" s="6" t="s">
        <v>716</v>
      </c>
      <c r="C34" s="7"/>
      <c r="D34" s="15">
        <v>8120</v>
      </c>
      <c r="E34" s="9"/>
      <c r="AA34" s="11" t="s">
        <v>768</v>
      </c>
    </row>
    <row r="35" spans="1:27" s="19" customFormat="1" ht="15" customHeight="1" x14ac:dyDescent="0.3">
      <c r="A35" s="5">
        <v>41785</v>
      </c>
      <c r="B35" s="6" t="s">
        <v>796</v>
      </c>
      <c r="C35" s="7"/>
      <c r="D35" s="15">
        <v>5800</v>
      </c>
      <c r="E35" s="9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1" t="s">
        <v>769</v>
      </c>
    </row>
    <row r="36" spans="1:27" s="19" customFormat="1" ht="15" customHeight="1" x14ac:dyDescent="0.3">
      <c r="A36" s="5">
        <v>41795</v>
      </c>
      <c r="B36" s="6" t="s">
        <v>799</v>
      </c>
      <c r="C36" s="7"/>
      <c r="D36" s="15">
        <v>220</v>
      </c>
      <c r="E36" s="9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1" t="s">
        <v>771</v>
      </c>
    </row>
    <row r="37" spans="1:27" x14ac:dyDescent="0.3">
      <c r="A37" s="5">
        <v>41795</v>
      </c>
      <c r="B37" s="6" t="s">
        <v>799</v>
      </c>
      <c r="C37" s="7"/>
      <c r="D37" s="15">
        <v>27</v>
      </c>
      <c r="E37" s="9"/>
      <c r="AA37" s="11" t="s">
        <v>775</v>
      </c>
    </row>
    <row r="38" spans="1:27" ht="15" customHeight="1" x14ac:dyDescent="0.3">
      <c r="A38" s="5">
        <v>41795</v>
      </c>
      <c r="B38" s="6" t="s">
        <v>795</v>
      </c>
      <c r="C38" s="7"/>
      <c r="D38" s="15">
        <v>39.520000000000003</v>
      </c>
      <c r="E38" s="9"/>
      <c r="AA38" s="11" t="s">
        <v>776</v>
      </c>
    </row>
    <row r="39" spans="1:27" ht="15" customHeight="1" x14ac:dyDescent="0.3">
      <c r="A39" s="5">
        <v>41796</v>
      </c>
      <c r="B39" s="6" t="s">
        <v>792</v>
      </c>
      <c r="C39" s="7"/>
      <c r="D39" s="15">
        <v>2320</v>
      </c>
      <c r="E39" s="9"/>
      <c r="AA39" s="11" t="s">
        <v>777</v>
      </c>
    </row>
    <row r="40" spans="1:27" ht="15" customHeight="1" x14ac:dyDescent="0.3">
      <c r="A40" s="5">
        <v>41796</v>
      </c>
      <c r="B40" s="6" t="s">
        <v>793</v>
      </c>
      <c r="C40" s="7"/>
      <c r="D40" s="15">
        <v>3364</v>
      </c>
      <c r="E40" s="9"/>
      <c r="AA40" s="11" t="s">
        <v>778</v>
      </c>
    </row>
    <row r="41" spans="1:27" ht="15" customHeight="1" x14ac:dyDescent="0.3">
      <c r="A41" s="5">
        <v>41807</v>
      </c>
      <c r="B41" s="6" t="s">
        <v>778</v>
      </c>
      <c r="C41" s="18" t="s">
        <v>731</v>
      </c>
      <c r="D41" s="15">
        <v>1150</v>
      </c>
      <c r="E41" s="9"/>
      <c r="AA41" s="11" t="s">
        <v>779</v>
      </c>
    </row>
    <row r="42" spans="1:27" ht="15" customHeight="1" x14ac:dyDescent="0.3">
      <c r="A42" s="5">
        <v>41807</v>
      </c>
      <c r="B42" s="6" t="s">
        <v>778</v>
      </c>
      <c r="C42" s="18" t="s">
        <v>732</v>
      </c>
      <c r="D42" s="15">
        <v>2000</v>
      </c>
      <c r="E42" s="9"/>
      <c r="AA42" s="11" t="s">
        <v>780</v>
      </c>
    </row>
    <row r="43" spans="1:27" ht="15" customHeight="1" x14ac:dyDescent="0.3">
      <c r="A43" s="5">
        <v>41810</v>
      </c>
      <c r="B43" s="6" t="s">
        <v>716</v>
      </c>
      <c r="C43" s="7"/>
      <c r="D43" s="15">
        <v>8120</v>
      </c>
      <c r="E43" s="9"/>
      <c r="AA43" s="11" t="s">
        <v>943</v>
      </c>
    </row>
    <row r="44" spans="1:27" ht="15" customHeight="1" x14ac:dyDescent="0.3">
      <c r="A44" s="5">
        <v>41813</v>
      </c>
      <c r="B44" s="6" t="s">
        <v>796</v>
      </c>
      <c r="C44" s="18"/>
      <c r="D44" s="15">
        <v>5800</v>
      </c>
      <c r="E44" s="9"/>
      <c r="AA44" s="11" t="s">
        <v>781</v>
      </c>
    </row>
    <row r="45" spans="1:27" ht="15" customHeight="1" x14ac:dyDescent="0.3">
      <c r="A45" s="5">
        <v>41814</v>
      </c>
      <c r="B45" s="6" t="s">
        <v>796</v>
      </c>
      <c r="C45" s="7"/>
      <c r="D45" s="15">
        <v>5800</v>
      </c>
      <c r="E45" s="9"/>
      <c r="AA45" s="11" t="s">
        <v>782</v>
      </c>
    </row>
    <row r="46" spans="1:27" ht="15" customHeight="1" x14ac:dyDescent="0.3">
      <c r="A46" s="5">
        <v>41814</v>
      </c>
      <c r="B46" s="6" t="s">
        <v>716</v>
      </c>
      <c r="C46" s="7" t="s">
        <v>25</v>
      </c>
      <c r="D46" s="15">
        <v>2320</v>
      </c>
      <c r="E46" s="9"/>
      <c r="AA46" s="11" t="s">
        <v>783</v>
      </c>
    </row>
    <row r="47" spans="1:27" ht="15" customHeight="1" x14ac:dyDescent="0.3">
      <c r="A47" s="5">
        <v>41814</v>
      </c>
      <c r="B47" s="6" t="s">
        <v>790</v>
      </c>
      <c r="C47" s="18"/>
      <c r="D47" s="15">
        <v>16491</v>
      </c>
      <c r="E47" s="9"/>
      <c r="AA47" s="11" t="s">
        <v>784</v>
      </c>
    </row>
    <row r="48" spans="1:27" ht="15" customHeight="1" x14ac:dyDescent="0.3">
      <c r="A48" s="5">
        <v>41820</v>
      </c>
      <c r="B48" s="6" t="s">
        <v>791</v>
      </c>
      <c r="C48" s="18"/>
      <c r="D48" s="14">
        <v>3900</v>
      </c>
      <c r="E48" s="9"/>
      <c r="AA48" s="11" t="s">
        <v>785</v>
      </c>
    </row>
    <row r="49" spans="1:27" ht="15" customHeight="1" x14ac:dyDescent="0.3">
      <c r="A49" s="5">
        <v>41821</v>
      </c>
      <c r="B49" s="6" t="s">
        <v>740</v>
      </c>
      <c r="C49" s="18"/>
      <c r="D49" s="15">
        <v>30</v>
      </c>
      <c r="E49" s="9"/>
      <c r="AA49" s="11" t="s">
        <v>786</v>
      </c>
    </row>
    <row r="50" spans="1:27" ht="15" customHeight="1" x14ac:dyDescent="0.3">
      <c r="A50" s="5">
        <v>41821</v>
      </c>
      <c r="B50" s="6" t="s">
        <v>794</v>
      </c>
      <c r="C50" s="18"/>
      <c r="D50" s="15">
        <v>4.8</v>
      </c>
      <c r="E50" s="9"/>
      <c r="AA50" s="11" t="s">
        <v>787</v>
      </c>
    </row>
    <row r="51" spans="1:27" ht="15" customHeight="1" x14ac:dyDescent="0.3">
      <c r="A51" s="5">
        <v>41822</v>
      </c>
      <c r="B51" s="6" t="s">
        <v>793</v>
      </c>
      <c r="C51" s="7"/>
      <c r="D51" s="15">
        <v>3364</v>
      </c>
      <c r="E51" s="9"/>
      <c r="AA51" s="11" t="s">
        <v>788</v>
      </c>
    </row>
    <row r="52" spans="1:27" ht="15" customHeight="1" x14ac:dyDescent="0.3">
      <c r="A52" s="5">
        <v>41824</v>
      </c>
      <c r="B52" s="16" t="s">
        <v>799</v>
      </c>
      <c r="C52" s="7"/>
      <c r="D52" s="15">
        <v>220</v>
      </c>
      <c r="E52" s="9"/>
      <c r="AA52" s="11" t="s">
        <v>789</v>
      </c>
    </row>
    <row r="53" spans="1:27" ht="15" customHeight="1" x14ac:dyDescent="0.3">
      <c r="A53" s="5">
        <v>41824</v>
      </c>
      <c r="B53" s="6" t="s">
        <v>799</v>
      </c>
      <c r="C53" s="7"/>
      <c r="D53" s="15">
        <v>30</v>
      </c>
      <c r="E53" s="9"/>
      <c r="AA53" s="11" t="s">
        <v>984</v>
      </c>
    </row>
    <row r="54" spans="1:27" ht="15" customHeight="1" x14ac:dyDescent="0.3">
      <c r="A54" s="5">
        <v>41824</v>
      </c>
      <c r="B54" s="6" t="s">
        <v>795</v>
      </c>
      <c r="C54" s="7"/>
      <c r="D54" s="15">
        <v>40</v>
      </c>
      <c r="E54" s="9"/>
      <c r="AA54" s="11" t="s">
        <v>29</v>
      </c>
    </row>
    <row r="55" spans="1:27" ht="15" customHeight="1" x14ac:dyDescent="0.3">
      <c r="A55" s="5">
        <v>41824</v>
      </c>
      <c r="B55" s="6" t="s">
        <v>778</v>
      </c>
      <c r="C55" s="7" t="s">
        <v>733</v>
      </c>
      <c r="D55" s="15">
        <v>937.5</v>
      </c>
      <c r="E55" s="9"/>
      <c r="AA55" s="11" t="s">
        <v>29</v>
      </c>
    </row>
    <row r="56" spans="1:27" ht="15" customHeight="1" x14ac:dyDescent="0.3">
      <c r="A56" s="5">
        <v>41827</v>
      </c>
      <c r="B56" s="6" t="s">
        <v>775</v>
      </c>
      <c r="C56" s="7" t="s">
        <v>759</v>
      </c>
      <c r="D56" s="15">
        <v>2924</v>
      </c>
      <c r="E56" s="9"/>
      <c r="AA56" s="11" t="s">
        <v>29</v>
      </c>
    </row>
    <row r="57" spans="1:27" ht="15" customHeight="1" x14ac:dyDescent="0.3">
      <c r="A57" s="5">
        <v>41828</v>
      </c>
      <c r="B57" s="6" t="s">
        <v>792</v>
      </c>
      <c r="C57" s="7" t="s">
        <v>26</v>
      </c>
      <c r="D57" s="15">
        <v>2320</v>
      </c>
      <c r="E57" s="9"/>
      <c r="AA57" s="11" t="s">
        <v>29</v>
      </c>
    </row>
    <row r="58" spans="1:27" ht="15" customHeight="1" x14ac:dyDescent="0.3">
      <c r="A58" s="5">
        <v>41828</v>
      </c>
      <c r="B58" s="6" t="s">
        <v>775</v>
      </c>
      <c r="C58" s="7" t="s">
        <v>27</v>
      </c>
      <c r="D58" s="15">
        <v>2320</v>
      </c>
      <c r="E58" s="9"/>
      <c r="AA58" s="11" t="s">
        <v>29</v>
      </c>
    </row>
    <row r="59" spans="1:27" ht="15" customHeight="1" x14ac:dyDescent="0.3">
      <c r="A59" s="5">
        <v>41842</v>
      </c>
      <c r="B59" s="6" t="s">
        <v>796</v>
      </c>
      <c r="C59" s="7" t="s">
        <v>28</v>
      </c>
      <c r="D59" s="15">
        <v>5800</v>
      </c>
      <c r="E59" s="9"/>
      <c r="AA59" s="11" t="s">
        <v>29</v>
      </c>
    </row>
    <row r="60" spans="1:27" ht="15" customHeight="1" x14ac:dyDescent="0.3">
      <c r="A60" s="5">
        <v>41843</v>
      </c>
      <c r="B60" s="6" t="s">
        <v>790</v>
      </c>
      <c r="C60" s="7"/>
      <c r="D60" s="15">
        <v>13352</v>
      </c>
      <c r="E60" s="9"/>
      <c r="AA60" s="11" t="s">
        <v>29</v>
      </c>
    </row>
    <row r="61" spans="1:27" ht="15" customHeight="1" x14ac:dyDescent="0.3">
      <c r="A61" s="5">
        <v>41845</v>
      </c>
      <c r="B61" s="6" t="s">
        <v>792</v>
      </c>
      <c r="C61" s="20" t="s">
        <v>30</v>
      </c>
      <c r="D61" s="15">
        <v>2320</v>
      </c>
      <c r="E61" s="9"/>
      <c r="AA61" s="11" t="s">
        <v>29</v>
      </c>
    </row>
    <row r="62" spans="1:27" ht="15" customHeight="1" x14ac:dyDescent="0.3">
      <c r="A62" s="5">
        <v>41852</v>
      </c>
      <c r="B62" s="6" t="s">
        <v>740</v>
      </c>
      <c r="C62" s="7"/>
      <c r="D62" s="15">
        <v>15</v>
      </c>
      <c r="E62" s="9"/>
      <c r="AA62" s="11" t="s">
        <v>29</v>
      </c>
    </row>
    <row r="63" spans="1:27" ht="15" customHeight="1" x14ac:dyDescent="0.3">
      <c r="A63" s="5">
        <v>41852</v>
      </c>
      <c r="B63" s="6" t="s">
        <v>794</v>
      </c>
      <c r="C63" s="7"/>
      <c r="D63" s="15">
        <v>2.4</v>
      </c>
      <c r="E63" s="9"/>
      <c r="AA63" s="11" t="s">
        <v>29</v>
      </c>
    </row>
    <row r="64" spans="1:27" ht="15" customHeight="1" x14ac:dyDescent="0.3">
      <c r="A64" s="5">
        <v>41855</v>
      </c>
      <c r="B64" s="6" t="s">
        <v>775</v>
      </c>
      <c r="C64" s="18" t="s">
        <v>31</v>
      </c>
      <c r="D64" s="15">
        <v>600</v>
      </c>
      <c r="E64" s="9"/>
      <c r="AA64" s="11" t="s">
        <v>29</v>
      </c>
    </row>
    <row r="65" spans="1:27" ht="15" customHeight="1" x14ac:dyDescent="0.3">
      <c r="A65" s="5">
        <v>41855</v>
      </c>
      <c r="B65" s="6" t="s">
        <v>793</v>
      </c>
      <c r="C65" s="18"/>
      <c r="D65" s="15">
        <v>3364</v>
      </c>
      <c r="E65" s="9"/>
      <c r="AA65" s="11" t="s">
        <v>29</v>
      </c>
    </row>
    <row r="66" spans="1:27" ht="15" customHeight="1" x14ac:dyDescent="0.3">
      <c r="A66" s="5">
        <v>41856</v>
      </c>
      <c r="B66" s="6" t="s">
        <v>721</v>
      </c>
      <c r="C66" s="18"/>
      <c r="D66" s="15">
        <v>5800</v>
      </c>
      <c r="E66" s="9"/>
      <c r="AA66" s="11" t="s">
        <v>29</v>
      </c>
    </row>
    <row r="67" spans="1:27" ht="15" customHeight="1" x14ac:dyDescent="0.3">
      <c r="A67" s="5">
        <v>41857</v>
      </c>
      <c r="B67" s="6" t="s">
        <v>799</v>
      </c>
      <c r="C67" s="18"/>
      <c r="D67" s="15">
        <v>220</v>
      </c>
      <c r="E67" s="9"/>
      <c r="AA67" s="11" t="s">
        <v>29</v>
      </c>
    </row>
    <row r="68" spans="1:27" ht="15" customHeight="1" x14ac:dyDescent="0.3">
      <c r="A68" s="5">
        <v>41857</v>
      </c>
      <c r="B68" s="6" t="s">
        <v>799</v>
      </c>
      <c r="C68" s="18"/>
      <c r="D68" s="15">
        <v>30</v>
      </c>
      <c r="E68" s="9"/>
      <c r="AA68" s="11" t="s">
        <v>29</v>
      </c>
    </row>
    <row r="69" spans="1:27" ht="15" customHeight="1" x14ac:dyDescent="0.3">
      <c r="A69" s="5">
        <v>41857</v>
      </c>
      <c r="B69" s="6" t="s">
        <v>795</v>
      </c>
      <c r="C69" s="18"/>
      <c r="D69" s="15">
        <v>40</v>
      </c>
      <c r="E69" s="9"/>
      <c r="AA69" s="11" t="s">
        <v>29</v>
      </c>
    </row>
    <row r="70" spans="1:27" ht="15" customHeight="1" x14ac:dyDescent="0.3">
      <c r="A70" s="5">
        <v>41866</v>
      </c>
      <c r="B70" s="6" t="s">
        <v>716</v>
      </c>
      <c r="C70" s="18"/>
      <c r="D70" s="15">
        <v>8120</v>
      </c>
      <c r="E70" s="9"/>
      <c r="AA70" s="11" t="s">
        <v>29</v>
      </c>
    </row>
    <row r="71" spans="1:27" ht="15" customHeight="1" x14ac:dyDescent="0.3">
      <c r="A71" s="5">
        <v>41866</v>
      </c>
      <c r="B71" s="6" t="s">
        <v>775</v>
      </c>
      <c r="C71" s="18" t="s">
        <v>760</v>
      </c>
      <c r="D71" s="15">
        <v>1392</v>
      </c>
      <c r="E71" s="9"/>
      <c r="AA71" s="11" t="s">
        <v>29</v>
      </c>
    </row>
    <row r="72" spans="1:27" ht="15" customHeight="1" x14ac:dyDescent="0.3">
      <c r="A72" s="5">
        <v>41870</v>
      </c>
      <c r="B72" s="6" t="s">
        <v>796</v>
      </c>
      <c r="C72" s="7"/>
      <c r="D72" s="15">
        <v>5800</v>
      </c>
      <c r="E72" s="9"/>
      <c r="AA72" s="11" t="s">
        <v>29</v>
      </c>
    </row>
    <row r="73" spans="1:27" ht="15" customHeight="1" x14ac:dyDescent="0.3">
      <c r="A73" s="5">
        <v>41871</v>
      </c>
      <c r="B73" s="6" t="s">
        <v>775</v>
      </c>
      <c r="C73" s="7" t="s">
        <v>722</v>
      </c>
      <c r="D73" s="15">
        <v>5800</v>
      </c>
      <c r="E73" s="9"/>
      <c r="AA73" s="11" t="s">
        <v>29</v>
      </c>
    </row>
    <row r="74" spans="1:27" ht="15" customHeight="1" x14ac:dyDescent="0.3">
      <c r="A74" s="5">
        <v>41876</v>
      </c>
      <c r="B74" s="6" t="s">
        <v>792</v>
      </c>
      <c r="C74" s="7"/>
      <c r="D74" s="15">
        <v>2320</v>
      </c>
      <c r="E74" s="9"/>
      <c r="AA74" s="11" t="s">
        <v>29</v>
      </c>
    </row>
    <row r="75" spans="1:27" ht="15" customHeight="1" x14ac:dyDescent="0.3">
      <c r="A75" s="5">
        <v>41880</v>
      </c>
      <c r="B75" s="6" t="s">
        <v>791</v>
      </c>
      <c r="C75" s="18"/>
      <c r="D75" s="14">
        <v>4356</v>
      </c>
      <c r="E75" s="9"/>
      <c r="AA75" s="11" t="s">
        <v>29</v>
      </c>
    </row>
    <row r="76" spans="1:27" ht="15" customHeight="1" x14ac:dyDescent="0.3">
      <c r="A76" s="5">
        <v>41885</v>
      </c>
      <c r="B76" s="6" t="s">
        <v>793</v>
      </c>
      <c r="C76" s="18"/>
      <c r="D76" s="15">
        <v>3364</v>
      </c>
      <c r="E76" s="9"/>
      <c r="AA76" s="11" t="s">
        <v>29</v>
      </c>
    </row>
    <row r="77" spans="1:27" ht="15" customHeight="1" x14ac:dyDescent="0.3">
      <c r="A77" s="5">
        <v>41886</v>
      </c>
      <c r="B77" s="16" t="s">
        <v>799</v>
      </c>
      <c r="C77" s="18"/>
      <c r="D77" s="15">
        <v>220</v>
      </c>
      <c r="E77" s="9"/>
      <c r="AA77" s="11" t="s">
        <v>29</v>
      </c>
    </row>
    <row r="78" spans="1:27" ht="15" customHeight="1" x14ac:dyDescent="0.3">
      <c r="A78" s="5">
        <v>41886</v>
      </c>
      <c r="B78" s="16" t="s">
        <v>799</v>
      </c>
      <c r="C78" s="18"/>
      <c r="D78" s="15">
        <v>40</v>
      </c>
      <c r="E78" s="9"/>
      <c r="AA78" s="11" t="s">
        <v>29</v>
      </c>
    </row>
    <row r="79" spans="1:27" ht="15" customHeight="1" x14ac:dyDescent="0.3">
      <c r="A79" s="5">
        <v>41886</v>
      </c>
      <c r="B79" s="16" t="s">
        <v>795</v>
      </c>
      <c r="C79" s="18"/>
      <c r="D79" s="15">
        <v>41.6</v>
      </c>
      <c r="E79" s="9"/>
      <c r="AA79" s="11" t="s">
        <v>29</v>
      </c>
    </row>
    <row r="80" spans="1:27" ht="15" customHeight="1" x14ac:dyDescent="0.3">
      <c r="A80" s="5">
        <v>41894</v>
      </c>
      <c r="B80" s="6" t="s">
        <v>775</v>
      </c>
      <c r="C80" s="18" t="s">
        <v>723</v>
      </c>
      <c r="D80" s="15">
        <v>2320</v>
      </c>
      <c r="E80" s="9"/>
      <c r="AA80" s="11" t="s">
        <v>29</v>
      </c>
    </row>
    <row r="81" spans="1:27" ht="15" customHeight="1" x14ac:dyDescent="0.3">
      <c r="A81" s="5">
        <v>41894</v>
      </c>
      <c r="B81" s="6" t="s">
        <v>775</v>
      </c>
      <c r="C81" s="18" t="s">
        <v>32</v>
      </c>
      <c r="D81" s="15">
        <v>741</v>
      </c>
      <c r="E81" s="9"/>
      <c r="AA81" s="11" t="s">
        <v>29</v>
      </c>
    </row>
    <row r="82" spans="1:27" ht="15" customHeight="1" x14ac:dyDescent="0.3">
      <c r="A82" s="5">
        <v>41894</v>
      </c>
      <c r="B82" s="6" t="s">
        <v>792</v>
      </c>
      <c r="C82" s="18"/>
      <c r="D82" s="15">
        <v>2320</v>
      </c>
      <c r="E82" s="9"/>
      <c r="AA82" s="11" t="s">
        <v>29</v>
      </c>
    </row>
    <row r="83" spans="1:27" ht="15" customHeight="1" x14ac:dyDescent="0.3">
      <c r="A83" s="5">
        <v>41894</v>
      </c>
      <c r="B83" s="6" t="s">
        <v>775</v>
      </c>
      <c r="C83" s="18" t="s">
        <v>33</v>
      </c>
      <c r="D83" s="15">
        <v>300</v>
      </c>
      <c r="E83" s="9"/>
      <c r="AA83" s="11" t="s">
        <v>29</v>
      </c>
    </row>
    <row r="84" spans="1:27" ht="15" customHeight="1" x14ac:dyDescent="0.3">
      <c r="A84" s="5">
        <v>41901</v>
      </c>
      <c r="B84" s="21" t="s">
        <v>796</v>
      </c>
      <c r="C84" s="18"/>
      <c r="D84" s="15">
        <v>5800</v>
      </c>
      <c r="E84" s="9"/>
      <c r="AA84" s="11" t="s">
        <v>29</v>
      </c>
    </row>
    <row r="85" spans="1:27" ht="15" customHeight="1" x14ac:dyDescent="0.3">
      <c r="A85" s="5">
        <v>41901</v>
      </c>
      <c r="B85" s="21" t="s">
        <v>775</v>
      </c>
      <c r="C85" s="18" t="s">
        <v>724</v>
      </c>
      <c r="D85" s="15">
        <v>5800</v>
      </c>
      <c r="E85" s="9"/>
      <c r="AA85" s="11" t="s">
        <v>29</v>
      </c>
    </row>
    <row r="86" spans="1:27" ht="15" customHeight="1" x14ac:dyDescent="0.3">
      <c r="A86" s="5">
        <v>41901</v>
      </c>
      <c r="B86" s="21" t="s">
        <v>716</v>
      </c>
      <c r="C86" s="18"/>
      <c r="D86" s="15">
        <v>8120</v>
      </c>
      <c r="E86" s="9"/>
      <c r="AA86" s="11" t="s">
        <v>29</v>
      </c>
    </row>
    <row r="87" spans="1:27" ht="15" customHeight="1" x14ac:dyDescent="0.3">
      <c r="A87" s="5">
        <v>41918</v>
      </c>
      <c r="B87" s="21" t="s">
        <v>799</v>
      </c>
      <c r="C87" s="18"/>
      <c r="D87" s="15">
        <v>220</v>
      </c>
      <c r="E87" s="9"/>
      <c r="AA87" s="11" t="s">
        <v>29</v>
      </c>
    </row>
    <row r="88" spans="1:27" ht="15" customHeight="1" x14ac:dyDescent="0.3">
      <c r="A88" s="5">
        <v>41918</v>
      </c>
      <c r="B88" s="21" t="s">
        <v>797</v>
      </c>
      <c r="C88" s="18"/>
      <c r="D88" s="15">
        <v>40</v>
      </c>
      <c r="E88" s="9"/>
      <c r="AA88" s="11" t="s">
        <v>29</v>
      </c>
    </row>
    <row r="89" spans="1:27" ht="15" customHeight="1" x14ac:dyDescent="0.3">
      <c r="A89" s="5">
        <v>41918</v>
      </c>
      <c r="B89" s="6" t="s">
        <v>795</v>
      </c>
      <c r="C89" s="18"/>
      <c r="D89" s="15">
        <v>41.6</v>
      </c>
      <c r="E89" s="9"/>
      <c r="AA89" s="11" t="s">
        <v>29</v>
      </c>
    </row>
    <row r="90" spans="1:27" ht="15" customHeight="1" x14ac:dyDescent="0.3">
      <c r="A90" s="5">
        <v>41920</v>
      </c>
      <c r="B90" s="21" t="s">
        <v>793</v>
      </c>
      <c r="C90" s="18"/>
      <c r="D90" s="15">
        <v>3364</v>
      </c>
      <c r="E90" s="9"/>
      <c r="AA90" s="11" t="s">
        <v>29</v>
      </c>
    </row>
    <row r="91" spans="1:27" ht="15" customHeight="1" x14ac:dyDescent="0.3">
      <c r="A91" s="5">
        <v>41928</v>
      </c>
      <c r="B91" s="21" t="s">
        <v>792</v>
      </c>
      <c r="C91" s="18"/>
      <c r="D91" s="15">
        <v>2320</v>
      </c>
      <c r="E91" s="9"/>
      <c r="AA91" s="11" t="s">
        <v>744</v>
      </c>
    </row>
    <row r="92" spans="1:27" ht="15" customHeight="1" x14ac:dyDescent="0.3">
      <c r="A92" s="5">
        <v>41936</v>
      </c>
      <c r="B92" s="21" t="s">
        <v>775</v>
      </c>
      <c r="C92" s="18" t="s">
        <v>34</v>
      </c>
      <c r="D92" s="15">
        <v>2500</v>
      </c>
      <c r="E92" s="9"/>
      <c r="AA92" s="11" t="s">
        <v>745</v>
      </c>
    </row>
    <row r="93" spans="1:27" ht="15" customHeight="1" x14ac:dyDescent="0.3">
      <c r="A93" s="5">
        <v>41943</v>
      </c>
      <c r="B93" s="21" t="s">
        <v>791</v>
      </c>
      <c r="C93" s="18"/>
      <c r="D93" s="14">
        <v>4442</v>
      </c>
      <c r="E93" s="9"/>
      <c r="AA93" s="11" t="s">
        <v>754</v>
      </c>
    </row>
    <row r="94" spans="1:27" ht="15" customHeight="1" x14ac:dyDescent="0.3">
      <c r="A94" s="5">
        <v>41946</v>
      </c>
      <c r="B94" s="6" t="s">
        <v>790</v>
      </c>
      <c r="C94" s="18" t="s">
        <v>753</v>
      </c>
      <c r="D94" s="15">
        <v>15373</v>
      </c>
      <c r="E94" s="9"/>
      <c r="AA94" s="11" t="s">
        <v>747</v>
      </c>
    </row>
    <row r="95" spans="1:27" ht="15" customHeight="1" x14ac:dyDescent="0.3">
      <c r="A95" s="5">
        <v>41947</v>
      </c>
      <c r="B95" s="21" t="s">
        <v>793</v>
      </c>
      <c r="C95" s="18"/>
      <c r="D95" s="15">
        <v>3364</v>
      </c>
      <c r="E95" s="9"/>
      <c r="AA95" s="11" t="s">
        <v>748</v>
      </c>
    </row>
    <row r="96" spans="1:27" ht="15" customHeight="1" x14ac:dyDescent="0.3">
      <c r="A96" s="5">
        <v>41947</v>
      </c>
      <c r="B96" s="21" t="s">
        <v>716</v>
      </c>
      <c r="C96" s="18" t="s">
        <v>717</v>
      </c>
      <c r="D96" s="15">
        <v>1500</v>
      </c>
      <c r="E96" s="9"/>
      <c r="AA96" s="11" t="s">
        <v>746</v>
      </c>
    </row>
    <row r="97" spans="1:27" ht="15" customHeight="1" x14ac:dyDescent="0.3">
      <c r="A97" s="5">
        <v>41948</v>
      </c>
      <c r="B97" s="6" t="s">
        <v>790</v>
      </c>
      <c r="C97" s="18" t="s">
        <v>35</v>
      </c>
      <c r="D97" s="15">
        <v>30000</v>
      </c>
      <c r="E97" s="9"/>
      <c r="AA97" s="11" t="s">
        <v>749</v>
      </c>
    </row>
    <row r="98" spans="1:27" ht="15" customHeight="1" x14ac:dyDescent="0.3">
      <c r="A98" s="5">
        <v>41948</v>
      </c>
      <c r="B98" s="6" t="s">
        <v>799</v>
      </c>
      <c r="C98" s="18"/>
      <c r="D98" s="15">
        <v>220</v>
      </c>
      <c r="E98" s="9"/>
      <c r="AA98" s="11" t="s">
        <v>743</v>
      </c>
    </row>
    <row r="99" spans="1:27" ht="15" customHeight="1" x14ac:dyDescent="0.3">
      <c r="A99" s="5">
        <v>41948</v>
      </c>
      <c r="B99" s="21" t="s">
        <v>799</v>
      </c>
      <c r="C99" s="18"/>
      <c r="D99" s="15">
        <v>15</v>
      </c>
      <c r="E99" s="9"/>
      <c r="AA99" s="11" t="s">
        <v>750</v>
      </c>
    </row>
    <row r="100" spans="1:27" ht="15" customHeight="1" x14ac:dyDescent="0.3">
      <c r="A100" s="5">
        <v>41948</v>
      </c>
      <c r="B100" s="21" t="s">
        <v>795</v>
      </c>
      <c r="C100" s="18"/>
      <c r="D100" s="15">
        <v>37.6</v>
      </c>
      <c r="E100" s="9"/>
      <c r="AA100" s="11" t="s">
        <v>751</v>
      </c>
    </row>
    <row r="101" spans="1:27" ht="15" customHeight="1" x14ac:dyDescent="0.3">
      <c r="A101" s="5">
        <v>41957</v>
      </c>
      <c r="B101" s="21" t="s">
        <v>792</v>
      </c>
      <c r="C101" s="18"/>
      <c r="D101" s="15">
        <v>2320</v>
      </c>
      <c r="E101" s="9"/>
      <c r="AA101" s="11" t="s">
        <v>752</v>
      </c>
    </row>
    <row r="102" spans="1:27" ht="15" customHeight="1" x14ac:dyDescent="0.3">
      <c r="A102" s="5">
        <v>41963</v>
      </c>
      <c r="B102" s="21" t="s">
        <v>721</v>
      </c>
      <c r="C102" s="22" t="s">
        <v>725</v>
      </c>
      <c r="D102" s="15">
        <v>3300</v>
      </c>
      <c r="E102" s="9"/>
    </row>
    <row r="103" spans="1:27" ht="15" customHeight="1" x14ac:dyDescent="0.3">
      <c r="A103" s="5">
        <v>41964</v>
      </c>
      <c r="B103" s="21" t="s">
        <v>796</v>
      </c>
      <c r="C103" s="18"/>
      <c r="D103" s="15">
        <v>4640</v>
      </c>
      <c r="E103" s="9"/>
    </row>
    <row r="104" spans="1:27" ht="15" customHeight="1" x14ac:dyDescent="0.3">
      <c r="A104" s="5">
        <v>41964</v>
      </c>
      <c r="B104" s="6" t="s">
        <v>716</v>
      </c>
      <c r="C104" s="18" t="s">
        <v>36</v>
      </c>
      <c r="D104" s="15">
        <v>2500</v>
      </c>
      <c r="E104" s="9"/>
    </row>
    <row r="105" spans="1:27" ht="15" customHeight="1" x14ac:dyDescent="0.3">
      <c r="A105" s="5">
        <v>41974</v>
      </c>
      <c r="B105" s="16" t="s">
        <v>740</v>
      </c>
      <c r="C105" s="18"/>
      <c r="D105" s="15">
        <v>15</v>
      </c>
      <c r="E105" s="9"/>
    </row>
    <row r="106" spans="1:27" ht="15" customHeight="1" x14ac:dyDescent="0.3">
      <c r="A106" s="5">
        <v>41974</v>
      </c>
      <c r="B106" s="16" t="s">
        <v>794</v>
      </c>
      <c r="C106" s="18"/>
      <c r="D106" s="15">
        <v>2.4</v>
      </c>
      <c r="E106" s="9"/>
    </row>
    <row r="107" spans="1:27" ht="15" customHeight="1" x14ac:dyDescent="0.3">
      <c r="A107" s="5">
        <v>41974</v>
      </c>
      <c r="B107" s="16" t="s">
        <v>716</v>
      </c>
      <c r="C107" s="18" t="s">
        <v>37</v>
      </c>
      <c r="D107" s="14">
        <v>12240</v>
      </c>
      <c r="E107" s="9"/>
    </row>
    <row r="108" spans="1:27" ht="15" customHeight="1" x14ac:dyDescent="0.3">
      <c r="A108" s="5">
        <v>41974</v>
      </c>
      <c r="B108" s="16" t="s">
        <v>716</v>
      </c>
      <c r="C108" s="18" t="s">
        <v>37</v>
      </c>
      <c r="D108" s="14">
        <v>12240</v>
      </c>
      <c r="E108" s="9"/>
    </row>
    <row r="109" spans="1:27" ht="15" customHeight="1" x14ac:dyDescent="0.3">
      <c r="A109" s="5">
        <v>41977</v>
      </c>
      <c r="B109" s="16" t="s">
        <v>799</v>
      </c>
      <c r="C109" s="18"/>
      <c r="D109" s="14">
        <v>220</v>
      </c>
      <c r="E109" s="9"/>
    </row>
    <row r="110" spans="1:27" x14ac:dyDescent="0.3">
      <c r="A110" s="5">
        <v>41977</v>
      </c>
      <c r="B110" s="16" t="s">
        <v>797</v>
      </c>
      <c r="C110" s="18"/>
      <c r="D110" s="14">
        <v>30</v>
      </c>
      <c r="E110" s="9"/>
    </row>
    <row r="111" spans="1:27" x14ac:dyDescent="0.3">
      <c r="A111" s="5">
        <v>41977</v>
      </c>
      <c r="B111" s="6" t="s">
        <v>795</v>
      </c>
      <c r="C111" s="7"/>
      <c r="D111" s="14">
        <v>40</v>
      </c>
      <c r="E111" s="9"/>
    </row>
    <row r="112" spans="1:27" x14ac:dyDescent="0.3">
      <c r="A112" s="5">
        <v>41978</v>
      </c>
      <c r="B112" s="6" t="s">
        <v>793</v>
      </c>
      <c r="C112" s="7"/>
      <c r="D112" s="14">
        <v>3364</v>
      </c>
      <c r="E112" s="9"/>
    </row>
    <row r="113" spans="1:5" x14ac:dyDescent="0.3">
      <c r="A113" s="5">
        <v>41982</v>
      </c>
      <c r="B113" s="6" t="s">
        <v>792</v>
      </c>
      <c r="C113" s="7" t="s">
        <v>38</v>
      </c>
      <c r="D113" s="14">
        <v>2900</v>
      </c>
      <c r="E113" s="9"/>
    </row>
    <row r="114" spans="1:5" x14ac:dyDescent="0.3">
      <c r="A114" s="5">
        <v>41982</v>
      </c>
      <c r="B114" s="6" t="s">
        <v>775</v>
      </c>
      <c r="C114" s="7" t="s">
        <v>39</v>
      </c>
      <c r="D114" s="14">
        <v>2000</v>
      </c>
      <c r="E114" s="9"/>
    </row>
    <row r="115" spans="1:5" x14ac:dyDescent="0.3">
      <c r="A115" s="5">
        <v>41984</v>
      </c>
      <c r="B115" s="6" t="s">
        <v>743</v>
      </c>
      <c r="C115" s="7" t="s">
        <v>14</v>
      </c>
      <c r="D115" s="14">
        <v>16370</v>
      </c>
      <c r="E115" s="9"/>
    </row>
    <row r="116" spans="1:5" x14ac:dyDescent="0.3">
      <c r="A116" s="5">
        <v>41989</v>
      </c>
      <c r="B116" s="6" t="s">
        <v>796</v>
      </c>
      <c r="C116" s="7"/>
      <c r="D116" s="14">
        <v>2320</v>
      </c>
      <c r="E116" s="9"/>
    </row>
    <row r="117" spans="1:5" x14ac:dyDescent="0.3">
      <c r="A117" s="5">
        <v>41989</v>
      </c>
      <c r="B117" s="6" t="s">
        <v>716</v>
      </c>
      <c r="C117" s="7"/>
      <c r="D117" s="14">
        <v>8126</v>
      </c>
      <c r="E117" s="9"/>
    </row>
    <row r="118" spans="1:5" x14ac:dyDescent="0.3">
      <c r="A118" s="5">
        <v>41989</v>
      </c>
      <c r="B118" s="6" t="s">
        <v>775</v>
      </c>
      <c r="C118" s="7" t="s">
        <v>40</v>
      </c>
      <c r="D118" s="14">
        <v>300</v>
      </c>
      <c r="E118" s="9"/>
    </row>
    <row r="119" spans="1:5" x14ac:dyDescent="0.3">
      <c r="A119" s="5">
        <v>41997</v>
      </c>
      <c r="B119" s="6" t="s">
        <v>790</v>
      </c>
      <c r="C119" s="7"/>
      <c r="D119" s="14">
        <v>15063</v>
      </c>
      <c r="E119" s="9"/>
    </row>
    <row r="120" spans="1:5" x14ac:dyDescent="0.3">
      <c r="A120" s="5">
        <v>41999</v>
      </c>
      <c r="B120" s="6" t="s">
        <v>775</v>
      </c>
      <c r="C120" s="7" t="s">
        <v>41</v>
      </c>
      <c r="D120" s="14">
        <v>1160</v>
      </c>
      <c r="E120" s="9"/>
    </row>
    <row r="121" spans="1:5" x14ac:dyDescent="0.3">
      <c r="A121" s="5">
        <v>42002</v>
      </c>
      <c r="B121" s="6" t="s">
        <v>791</v>
      </c>
      <c r="C121" s="7"/>
      <c r="D121" s="14">
        <v>4841</v>
      </c>
      <c r="E121" s="9"/>
    </row>
    <row r="122" spans="1:5" x14ac:dyDescent="0.3">
      <c r="A122" s="5">
        <v>42006</v>
      </c>
      <c r="B122" s="6" t="s">
        <v>792</v>
      </c>
      <c r="C122" s="7"/>
      <c r="D122" s="14">
        <v>2320</v>
      </c>
      <c r="E122" s="9"/>
    </row>
    <row r="123" spans="1:5" x14ac:dyDescent="0.3">
      <c r="A123" s="5">
        <v>42009</v>
      </c>
      <c r="B123" s="6" t="s">
        <v>716</v>
      </c>
      <c r="C123" s="7"/>
      <c r="D123" s="14">
        <v>8120</v>
      </c>
      <c r="E123" s="9"/>
    </row>
    <row r="124" spans="1:5" x14ac:dyDescent="0.3">
      <c r="A124" s="5">
        <v>42011</v>
      </c>
      <c r="B124" s="6" t="s">
        <v>799</v>
      </c>
      <c r="C124" s="7"/>
      <c r="D124" s="14">
        <v>220</v>
      </c>
      <c r="E124" s="9"/>
    </row>
    <row r="125" spans="1:5" x14ac:dyDescent="0.3">
      <c r="A125" s="5">
        <v>42011</v>
      </c>
      <c r="B125" s="6" t="s">
        <v>797</v>
      </c>
      <c r="C125" s="7"/>
      <c r="D125" s="14">
        <v>45</v>
      </c>
      <c r="E125" s="9"/>
    </row>
    <row r="126" spans="1:5" x14ac:dyDescent="0.3">
      <c r="A126" s="5">
        <v>42011</v>
      </c>
      <c r="B126" s="6" t="s">
        <v>795</v>
      </c>
      <c r="C126" s="7"/>
      <c r="D126" s="14">
        <v>42.4</v>
      </c>
      <c r="E126" s="9"/>
    </row>
    <row r="127" spans="1:5" x14ac:dyDescent="0.3">
      <c r="A127" s="5">
        <v>42011</v>
      </c>
      <c r="B127" s="6" t="s">
        <v>793</v>
      </c>
      <c r="C127" s="7"/>
      <c r="D127" s="14">
        <v>3364</v>
      </c>
      <c r="E127" s="9"/>
    </row>
    <row r="128" spans="1:5" x14ac:dyDescent="0.3">
      <c r="A128" s="5">
        <v>42030</v>
      </c>
      <c r="B128" s="6" t="s">
        <v>792</v>
      </c>
      <c r="C128" s="7" t="s">
        <v>42</v>
      </c>
      <c r="D128" s="14">
        <v>580</v>
      </c>
      <c r="E128" s="9"/>
    </row>
    <row r="129" spans="1:5" x14ac:dyDescent="0.3">
      <c r="A129" s="5">
        <v>42031</v>
      </c>
      <c r="B129" s="6" t="s">
        <v>790</v>
      </c>
      <c r="C129" s="7"/>
      <c r="D129" s="14">
        <v>16325</v>
      </c>
      <c r="E129" s="9"/>
    </row>
    <row r="130" spans="1:5" x14ac:dyDescent="0.3">
      <c r="A130" s="5">
        <v>42038</v>
      </c>
      <c r="B130" s="6" t="s">
        <v>716</v>
      </c>
      <c r="C130" s="7"/>
      <c r="D130" s="14">
        <v>8120</v>
      </c>
      <c r="E130" s="9"/>
    </row>
    <row r="131" spans="1:5" x14ac:dyDescent="0.3">
      <c r="A131" s="5">
        <v>42039</v>
      </c>
      <c r="B131" s="6" t="s">
        <v>792</v>
      </c>
      <c r="C131" s="7"/>
      <c r="D131" s="14">
        <v>2320</v>
      </c>
      <c r="E131" s="9"/>
    </row>
    <row r="132" spans="1:5" x14ac:dyDescent="0.3">
      <c r="A132" s="5">
        <v>42041</v>
      </c>
      <c r="B132" s="6" t="s">
        <v>799</v>
      </c>
      <c r="C132" s="7"/>
      <c r="D132" s="14">
        <v>220</v>
      </c>
      <c r="E132" s="9"/>
    </row>
    <row r="133" spans="1:5" x14ac:dyDescent="0.3">
      <c r="A133" s="5">
        <v>42041</v>
      </c>
      <c r="B133" s="6" t="s">
        <v>799</v>
      </c>
      <c r="C133" s="7"/>
      <c r="D133" s="14">
        <v>20</v>
      </c>
      <c r="E133" s="9"/>
    </row>
    <row r="134" spans="1:5" x14ac:dyDescent="0.3">
      <c r="A134" s="5">
        <v>42041</v>
      </c>
      <c r="B134" s="6" t="s">
        <v>795</v>
      </c>
      <c r="C134" s="7"/>
      <c r="D134" s="14">
        <v>38.4</v>
      </c>
      <c r="E134" s="9"/>
    </row>
    <row r="135" spans="1:5" x14ac:dyDescent="0.3">
      <c r="A135" s="5">
        <v>42044</v>
      </c>
      <c r="B135" s="6" t="s">
        <v>793</v>
      </c>
      <c r="C135" s="7"/>
      <c r="D135" s="14">
        <v>3364</v>
      </c>
      <c r="E135" s="9"/>
    </row>
    <row r="136" spans="1:5" x14ac:dyDescent="0.3">
      <c r="A136" s="5">
        <v>42045</v>
      </c>
      <c r="B136" s="6" t="s">
        <v>749</v>
      </c>
      <c r="C136" s="7"/>
      <c r="D136" s="14">
        <v>1700</v>
      </c>
      <c r="E136" s="9"/>
    </row>
    <row r="137" spans="1:5" x14ac:dyDescent="0.3">
      <c r="A137" s="5">
        <v>42051</v>
      </c>
      <c r="B137" s="6" t="s">
        <v>796</v>
      </c>
      <c r="C137" s="7" t="s">
        <v>43</v>
      </c>
      <c r="D137" s="14">
        <v>3480</v>
      </c>
      <c r="E137" s="9"/>
    </row>
    <row r="138" spans="1:5" x14ac:dyDescent="0.3">
      <c r="A138" s="5">
        <v>42059</v>
      </c>
      <c r="B138" s="6" t="s">
        <v>743</v>
      </c>
      <c r="C138" s="7" t="s">
        <v>14</v>
      </c>
      <c r="D138" s="14">
        <v>3300</v>
      </c>
      <c r="E138" s="9"/>
    </row>
    <row r="139" spans="1:5" x14ac:dyDescent="0.3">
      <c r="A139" s="5">
        <v>42060</v>
      </c>
      <c r="B139" s="6" t="s">
        <v>790</v>
      </c>
      <c r="C139" s="7"/>
      <c r="D139" s="14">
        <v>17041</v>
      </c>
      <c r="E139" s="9"/>
    </row>
    <row r="140" spans="1:5" x14ac:dyDescent="0.3">
      <c r="A140" s="5">
        <v>42065</v>
      </c>
      <c r="B140" s="6" t="s">
        <v>793</v>
      </c>
      <c r="C140" s="7"/>
      <c r="D140" s="14">
        <v>3364</v>
      </c>
      <c r="E140" s="9"/>
    </row>
    <row r="141" spans="1:5" x14ac:dyDescent="0.3">
      <c r="A141" s="5">
        <v>42065</v>
      </c>
      <c r="B141" s="6" t="s">
        <v>716</v>
      </c>
      <c r="C141" s="7"/>
      <c r="D141" s="14">
        <v>8120</v>
      </c>
      <c r="E141" s="9"/>
    </row>
    <row r="142" spans="1:5" x14ac:dyDescent="0.3">
      <c r="A142" s="5">
        <v>42065</v>
      </c>
      <c r="B142" s="6" t="s">
        <v>792</v>
      </c>
      <c r="C142" s="7"/>
      <c r="D142" s="14">
        <v>2320</v>
      </c>
      <c r="E142" s="9"/>
    </row>
    <row r="143" spans="1:5" x14ac:dyDescent="0.3">
      <c r="A143" s="5">
        <v>42065</v>
      </c>
      <c r="B143" s="6" t="s">
        <v>791</v>
      </c>
      <c r="C143" s="7"/>
      <c r="D143" s="14">
        <v>4884</v>
      </c>
      <c r="E143" s="9"/>
    </row>
    <row r="144" spans="1:5" x14ac:dyDescent="0.3">
      <c r="A144" s="5">
        <v>42067</v>
      </c>
      <c r="B144" s="6" t="s">
        <v>799</v>
      </c>
      <c r="C144" s="7"/>
      <c r="D144" s="14">
        <v>220</v>
      </c>
      <c r="E144" s="9"/>
    </row>
    <row r="145" spans="1:5" x14ac:dyDescent="0.3">
      <c r="A145" s="5">
        <v>42067</v>
      </c>
      <c r="B145" s="6" t="s">
        <v>797</v>
      </c>
      <c r="C145" s="7"/>
      <c r="D145" s="14">
        <v>20</v>
      </c>
      <c r="E145" s="9"/>
    </row>
    <row r="146" spans="1:5" x14ac:dyDescent="0.3">
      <c r="A146" s="5">
        <v>42067</v>
      </c>
      <c r="B146" s="6" t="s">
        <v>795</v>
      </c>
      <c r="C146" s="7"/>
      <c r="D146" s="14">
        <v>38.4</v>
      </c>
      <c r="E146" s="9"/>
    </row>
    <row r="147" spans="1:5" x14ac:dyDescent="0.3">
      <c r="A147" s="5">
        <v>42073</v>
      </c>
      <c r="B147" s="6" t="s">
        <v>775</v>
      </c>
      <c r="C147" s="7" t="s">
        <v>44</v>
      </c>
      <c r="D147" s="14">
        <v>13920</v>
      </c>
      <c r="E147" s="9"/>
    </row>
    <row r="148" spans="1:5" x14ac:dyDescent="0.3">
      <c r="A148" s="5">
        <v>42087</v>
      </c>
      <c r="B148" s="6" t="s">
        <v>790</v>
      </c>
      <c r="C148" s="7"/>
      <c r="D148" s="14">
        <v>14700</v>
      </c>
      <c r="E148" s="9"/>
    </row>
    <row r="149" spans="1:5" x14ac:dyDescent="0.3">
      <c r="A149" s="5">
        <v>42093</v>
      </c>
      <c r="B149" s="6" t="s">
        <v>796</v>
      </c>
      <c r="C149" s="7"/>
      <c r="D149" s="14">
        <v>2320</v>
      </c>
      <c r="E149" s="9"/>
    </row>
    <row r="150" spans="1:5" x14ac:dyDescent="0.3">
      <c r="A150" s="5">
        <v>42095</v>
      </c>
      <c r="B150" s="6" t="s">
        <v>792</v>
      </c>
      <c r="C150" s="7"/>
      <c r="D150" s="14">
        <v>2320</v>
      </c>
      <c r="E150" s="9"/>
    </row>
    <row r="151" spans="1:5" x14ac:dyDescent="0.3">
      <c r="A151" s="5">
        <v>42095</v>
      </c>
      <c r="B151" s="6" t="s">
        <v>793</v>
      </c>
      <c r="C151" s="7"/>
      <c r="D151" s="14">
        <v>3364</v>
      </c>
      <c r="E151" s="9"/>
    </row>
    <row r="152" spans="1:5" x14ac:dyDescent="0.3">
      <c r="A152" s="5">
        <v>42095</v>
      </c>
      <c r="B152" s="6" t="s">
        <v>716</v>
      </c>
      <c r="C152" s="7"/>
      <c r="D152" s="14">
        <v>8120</v>
      </c>
      <c r="E152" s="9"/>
    </row>
    <row r="153" spans="1:5" x14ac:dyDescent="0.3">
      <c r="A153" s="5">
        <v>42101</v>
      </c>
      <c r="B153" s="6" t="s">
        <v>775</v>
      </c>
      <c r="C153" s="7" t="s">
        <v>45</v>
      </c>
      <c r="D153" s="14">
        <v>456</v>
      </c>
      <c r="E153" s="9"/>
    </row>
    <row r="154" spans="1:5" x14ac:dyDescent="0.3">
      <c r="A154" s="5">
        <v>42102</v>
      </c>
      <c r="B154" s="6" t="s">
        <v>799</v>
      </c>
      <c r="C154" s="7"/>
      <c r="D154" s="14">
        <v>220</v>
      </c>
      <c r="E154" s="9"/>
    </row>
    <row r="155" spans="1:5" x14ac:dyDescent="0.3">
      <c r="A155" s="5">
        <v>42102</v>
      </c>
      <c r="B155" s="6" t="s">
        <v>799</v>
      </c>
      <c r="C155" s="7"/>
      <c r="D155" s="14">
        <v>25</v>
      </c>
      <c r="E155" s="9"/>
    </row>
    <row r="156" spans="1:5" x14ac:dyDescent="0.3">
      <c r="A156" s="5">
        <v>42102</v>
      </c>
      <c r="B156" s="6" t="s">
        <v>795</v>
      </c>
      <c r="C156" s="7"/>
      <c r="D156" s="14">
        <v>39.200000000000003</v>
      </c>
      <c r="E156" s="9"/>
    </row>
    <row r="157" spans="1:5" x14ac:dyDescent="0.3">
      <c r="A157" s="5">
        <v>42109</v>
      </c>
      <c r="B157" s="6" t="s">
        <v>796</v>
      </c>
      <c r="C157" s="7"/>
      <c r="D157" s="14">
        <v>2320</v>
      </c>
      <c r="E157" s="9"/>
    </row>
    <row r="158" spans="1:5" x14ac:dyDescent="0.3">
      <c r="A158" s="5">
        <v>42116</v>
      </c>
      <c r="B158" s="6" t="s">
        <v>790</v>
      </c>
      <c r="C158" s="7"/>
      <c r="D158" s="14">
        <v>13606</v>
      </c>
      <c r="E158" s="9"/>
    </row>
    <row r="159" spans="1:5" x14ac:dyDescent="0.3">
      <c r="A159" s="5">
        <v>42124</v>
      </c>
      <c r="B159" s="6" t="s">
        <v>791</v>
      </c>
      <c r="C159" s="7"/>
      <c r="D159" s="14">
        <v>3919</v>
      </c>
      <c r="E159" s="9"/>
    </row>
    <row r="160" spans="1:5" x14ac:dyDescent="0.3">
      <c r="A160" s="5">
        <v>42128</v>
      </c>
      <c r="B160" s="6" t="s">
        <v>716</v>
      </c>
      <c r="C160" s="7"/>
      <c r="D160" s="14">
        <v>8120</v>
      </c>
      <c r="E160" s="9"/>
    </row>
    <row r="161" spans="1:5" x14ac:dyDescent="0.3">
      <c r="A161" s="5">
        <v>42128</v>
      </c>
      <c r="B161" s="6" t="s">
        <v>792</v>
      </c>
      <c r="C161" s="7"/>
      <c r="D161" s="14">
        <v>2900</v>
      </c>
      <c r="E161" s="9"/>
    </row>
    <row r="162" spans="1:5" x14ac:dyDescent="0.3">
      <c r="A162" s="5">
        <v>42128</v>
      </c>
      <c r="B162" s="6" t="s">
        <v>775</v>
      </c>
      <c r="C162" s="7" t="s">
        <v>46</v>
      </c>
      <c r="D162" s="14">
        <v>232</v>
      </c>
      <c r="E162" s="9"/>
    </row>
    <row r="163" spans="1:5" x14ac:dyDescent="0.3">
      <c r="A163" s="5">
        <v>42128</v>
      </c>
      <c r="B163" s="6" t="s">
        <v>793</v>
      </c>
      <c r="C163" s="7"/>
      <c r="D163" s="14">
        <v>3364</v>
      </c>
      <c r="E163" s="9"/>
    </row>
    <row r="164" spans="1:5" x14ac:dyDescent="0.3">
      <c r="A164" s="5">
        <v>42128</v>
      </c>
      <c r="B164" s="6" t="s">
        <v>775</v>
      </c>
      <c r="C164" s="7" t="s">
        <v>47</v>
      </c>
      <c r="D164" s="14">
        <v>1349</v>
      </c>
      <c r="E164" s="9"/>
    </row>
    <row r="165" spans="1:5" x14ac:dyDescent="0.3">
      <c r="A165" s="5">
        <v>42130</v>
      </c>
      <c r="B165" s="6" t="s">
        <v>799</v>
      </c>
      <c r="C165" s="7"/>
      <c r="D165" s="14">
        <v>220</v>
      </c>
      <c r="E165" s="9"/>
    </row>
    <row r="166" spans="1:5" x14ac:dyDescent="0.3">
      <c r="A166" s="5">
        <v>42130</v>
      </c>
      <c r="B166" s="6" t="s">
        <v>797</v>
      </c>
      <c r="C166" s="7"/>
      <c r="D166" s="14">
        <v>25</v>
      </c>
      <c r="E166" s="9"/>
    </row>
    <row r="167" spans="1:5" x14ac:dyDescent="0.3">
      <c r="A167" s="5">
        <v>42130</v>
      </c>
      <c r="B167" s="6" t="s">
        <v>795</v>
      </c>
      <c r="C167" s="7"/>
      <c r="D167" s="14">
        <v>39.200000000000003</v>
      </c>
      <c r="E167" s="9"/>
    </row>
    <row r="168" spans="1:5" x14ac:dyDescent="0.3">
      <c r="A168" s="5">
        <v>42132</v>
      </c>
      <c r="B168" s="6" t="s">
        <v>775</v>
      </c>
      <c r="C168" s="7" t="s">
        <v>48</v>
      </c>
      <c r="D168" s="14">
        <v>176.99</v>
      </c>
      <c r="E168" s="9"/>
    </row>
    <row r="169" spans="1:5" x14ac:dyDescent="0.3">
      <c r="A169" s="5">
        <v>42136</v>
      </c>
      <c r="B169" s="6" t="s">
        <v>744</v>
      </c>
      <c r="C169" s="7" t="s">
        <v>49</v>
      </c>
      <c r="D169" s="14">
        <v>971.19</v>
      </c>
      <c r="E169" s="9"/>
    </row>
    <row r="170" spans="1:5" x14ac:dyDescent="0.3">
      <c r="A170" s="5">
        <v>42142</v>
      </c>
      <c r="B170" s="6" t="s">
        <v>744</v>
      </c>
      <c r="C170" s="7" t="s">
        <v>49</v>
      </c>
      <c r="D170" s="14">
        <v>720</v>
      </c>
      <c r="E170" s="9"/>
    </row>
    <row r="171" spans="1:5" x14ac:dyDescent="0.3">
      <c r="A171" s="5">
        <v>42146</v>
      </c>
      <c r="B171" s="6" t="s">
        <v>790</v>
      </c>
      <c r="C171" s="7"/>
      <c r="D171" s="14">
        <v>17295</v>
      </c>
      <c r="E171" s="9"/>
    </row>
    <row r="172" spans="1:5" x14ac:dyDescent="0.3">
      <c r="A172" s="5">
        <v>42151</v>
      </c>
      <c r="B172" s="6" t="s">
        <v>796</v>
      </c>
      <c r="C172" s="7"/>
      <c r="D172" s="14">
        <v>4640</v>
      </c>
      <c r="E172" s="9"/>
    </row>
    <row r="173" spans="1:5" x14ac:dyDescent="0.3">
      <c r="A173" s="5">
        <v>42157</v>
      </c>
      <c r="B173" s="6" t="s">
        <v>793</v>
      </c>
      <c r="C173" s="7"/>
      <c r="D173" s="14">
        <v>3364</v>
      </c>
      <c r="E173" s="9"/>
    </row>
    <row r="174" spans="1:5" x14ac:dyDescent="0.3">
      <c r="A174" s="5">
        <v>42157</v>
      </c>
      <c r="B174" s="6" t="s">
        <v>716</v>
      </c>
      <c r="C174" s="7"/>
      <c r="D174" s="14">
        <v>8120</v>
      </c>
      <c r="E174" s="9"/>
    </row>
    <row r="175" spans="1:5" x14ac:dyDescent="0.3">
      <c r="A175" s="5">
        <v>42159</v>
      </c>
      <c r="B175" s="6" t="s">
        <v>799</v>
      </c>
      <c r="C175" s="7"/>
      <c r="D175" s="14">
        <v>220</v>
      </c>
      <c r="E175" s="9"/>
    </row>
    <row r="176" spans="1:5" x14ac:dyDescent="0.3">
      <c r="A176" s="5">
        <v>42159</v>
      </c>
      <c r="B176" s="6" t="s">
        <v>799</v>
      </c>
      <c r="C176" s="7"/>
      <c r="D176" s="14">
        <v>35</v>
      </c>
      <c r="E176" s="9"/>
    </row>
    <row r="177" spans="1:5" x14ac:dyDescent="0.3">
      <c r="A177" s="5">
        <v>42163</v>
      </c>
      <c r="B177" s="6" t="s">
        <v>795</v>
      </c>
      <c r="C177" s="7"/>
      <c r="D177" s="14">
        <v>40.799999999999997</v>
      </c>
      <c r="E177" s="9"/>
    </row>
    <row r="178" spans="1:5" x14ac:dyDescent="0.3">
      <c r="A178" s="5">
        <v>42163</v>
      </c>
      <c r="B178" s="6" t="s">
        <v>792</v>
      </c>
      <c r="C178" s="7"/>
      <c r="D178" s="14">
        <v>2320</v>
      </c>
      <c r="E178" s="9"/>
    </row>
    <row r="179" spans="1:5" x14ac:dyDescent="0.3">
      <c r="A179" s="5">
        <v>42178</v>
      </c>
      <c r="B179" s="6" t="s">
        <v>790</v>
      </c>
      <c r="C179" s="7"/>
      <c r="D179" s="14">
        <v>14489</v>
      </c>
      <c r="E179" s="9"/>
    </row>
    <row r="180" spans="1:5" x14ac:dyDescent="0.3">
      <c r="A180" s="5">
        <v>42184</v>
      </c>
      <c r="B180" s="6" t="s">
        <v>796</v>
      </c>
      <c r="C180" s="7"/>
      <c r="D180" s="14">
        <v>4640</v>
      </c>
      <c r="E180" s="9"/>
    </row>
    <row r="181" spans="1:5" x14ac:dyDescent="0.3">
      <c r="A181" s="5">
        <v>42184</v>
      </c>
      <c r="B181" s="6" t="s">
        <v>791</v>
      </c>
      <c r="C181" s="7"/>
      <c r="D181" s="14">
        <v>4483</v>
      </c>
      <c r="E181" s="9"/>
    </row>
    <row r="182" spans="1:5" x14ac:dyDescent="0.3">
      <c r="A182" s="5">
        <v>42187</v>
      </c>
      <c r="B182" s="6" t="s">
        <v>792</v>
      </c>
      <c r="C182" s="7"/>
      <c r="D182" s="14">
        <v>2900</v>
      </c>
      <c r="E182" s="9"/>
    </row>
    <row r="183" spans="1:5" x14ac:dyDescent="0.3">
      <c r="A183" s="5">
        <v>42187</v>
      </c>
      <c r="B183" s="6" t="s">
        <v>716</v>
      </c>
      <c r="C183" s="7"/>
      <c r="D183" s="14">
        <v>8120</v>
      </c>
      <c r="E183" s="9"/>
    </row>
    <row r="184" spans="1:5" x14ac:dyDescent="0.3">
      <c r="A184" s="5">
        <v>42187</v>
      </c>
      <c r="B184" s="6" t="s">
        <v>793</v>
      </c>
      <c r="C184" s="7"/>
      <c r="D184" s="14">
        <v>3364</v>
      </c>
      <c r="E184" s="9"/>
    </row>
    <row r="185" spans="1:5" x14ac:dyDescent="0.3">
      <c r="A185" s="5">
        <v>42191</v>
      </c>
      <c r="B185" s="6" t="s">
        <v>799</v>
      </c>
      <c r="C185" s="7"/>
      <c r="D185" s="14">
        <v>220</v>
      </c>
      <c r="E185" s="9"/>
    </row>
    <row r="186" spans="1:5" x14ac:dyDescent="0.3">
      <c r="A186" s="5">
        <v>42191</v>
      </c>
      <c r="B186" s="6" t="s">
        <v>799</v>
      </c>
      <c r="C186" s="7"/>
      <c r="D186" s="14">
        <v>20</v>
      </c>
      <c r="E186" s="9"/>
    </row>
    <row r="187" spans="1:5" x14ac:dyDescent="0.3">
      <c r="A187" s="5">
        <v>42191</v>
      </c>
      <c r="B187" s="6" t="s">
        <v>795</v>
      </c>
      <c r="C187" s="7"/>
      <c r="D187" s="14">
        <v>38.4</v>
      </c>
      <c r="E187" s="9"/>
    </row>
    <row r="188" spans="1:5" x14ac:dyDescent="0.3">
      <c r="A188" s="5">
        <v>42195</v>
      </c>
      <c r="B188" s="6" t="s">
        <v>775</v>
      </c>
      <c r="C188" s="7" t="s">
        <v>50</v>
      </c>
      <c r="D188" s="14">
        <v>500</v>
      </c>
      <c r="E188" s="9"/>
    </row>
    <row r="189" spans="1:5" x14ac:dyDescent="0.3">
      <c r="A189" s="5">
        <v>42199</v>
      </c>
      <c r="B189" s="6" t="s">
        <v>775</v>
      </c>
      <c r="C189" s="7" t="s">
        <v>51</v>
      </c>
      <c r="D189" s="14">
        <v>1508</v>
      </c>
      <c r="E189" s="9"/>
    </row>
    <row r="190" spans="1:5" x14ac:dyDescent="0.3">
      <c r="A190" s="5">
        <v>42199</v>
      </c>
      <c r="B190" s="6" t="s">
        <v>775</v>
      </c>
      <c r="C190" s="7" t="s">
        <v>764</v>
      </c>
      <c r="D190" s="14">
        <v>2320.4699999999998</v>
      </c>
      <c r="E190" s="9"/>
    </row>
    <row r="191" spans="1:5" x14ac:dyDescent="0.3">
      <c r="A191" s="5">
        <v>42208</v>
      </c>
      <c r="B191" s="6" t="s">
        <v>790</v>
      </c>
      <c r="C191" s="7"/>
      <c r="D191" s="14">
        <v>13899</v>
      </c>
      <c r="E191" s="9"/>
    </row>
    <row r="192" spans="1:5" x14ac:dyDescent="0.3">
      <c r="A192" s="5">
        <v>42212</v>
      </c>
      <c r="B192" s="6" t="s">
        <v>796</v>
      </c>
      <c r="C192" s="7"/>
      <c r="D192" s="14">
        <v>4640</v>
      </c>
      <c r="E192" s="9"/>
    </row>
    <row r="193" spans="1:5" x14ac:dyDescent="0.3">
      <c r="A193" s="5">
        <v>42216</v>
      </c>
      <c r="B193" s="6" t="s">
        <v>775</v>
      </c>
      <c r="C193" s="7" t="s">
        <v>52</v>
      </c>
      <c r="D193" s="14">
        <v>834</v>
      </c>
      <c r="E193" s="9"/>
    </row>
    <row r="194" spans="1:5" x14ac:dyDescent="0.3">
      <c r="A194" s="5">
        <v>42216</v>
      </c>
      <c r="B194" s="6" t="s">
        <v>775</v>
      </c>
      <c r="C194" s="7" t="s">
        <v>53</v>
      </c>
      <c r="D194" s="14">
        <v>1020</v>
      </c>
      <c r="E194" s="9"/>
    </row>
    <row r="195" spans="1:5" x14ac:dyDescent="0.3">
      <c r="A195" s="5">
        <v>42219</v>
      </c>
      <c r="B195" s="6" t="s">
        <v>716</v>
      </c>
      <c r="C195" s="7"/>
      <c r="D195" s="14">
        <v>8120</v>
      </c>
      <c r="E195" s="9"/>
    </row>
    <row r="196" spans="1:5" x14ac:dyDescent="0.3">
      <c r="A196" s="5">
        <v>42220</v>
      </c>
      <c r="B196" s="6" t="s">
        <v>792</v>
      </c>
      <c r="C196" s="7"/>
      <c r="D196" s="14">
        <v>2320</v>
      </c>
      <c r="E196" s="9"/>
    </row>
    <row r="197" spans="1:5" x14ac:dyDescent="0.3">
      <c r="A197" s="5">
        <v>42220</v>
      </c>
      <c r="B197" s="6" t="s">
        <v>775</v>
      </c>
      <c r="C197" s="7" t="s">
        <v>54</v>
      </c>
      <c r="D197" s="14">
        <v>740</v>
      </c>
      <c r="E197" s="9"/>
    </row>
    <row r="198" spans="1:5" x14ac:dyDescent="0.3">
      <c r="A198" s="5">
        <v>42220</v>
      </c>
      <c r="B198" s="6" t="s">
        <v>793</v>
      </c>
      <c r="C198" s="7"/>
      <c r="D198" s="14">
        <v>3364</v>
      </c>
      <c r="E198" s="9"/>
    </row>
    <row r="199" spans="1:5" x14ac:dyDescent="0.3">
      <c r="A199" s="5">
        <v>42220</v>
      </c>
      <c r="B199" s="6" t="s">
        <v>775</v>
      </c>
      <c r="C199" s="7" t="s">
        <v>55</v>
      </c>
      <c r="D199" s="14">
        <v>8860.7000000000007</v>
      </c>
      <c r="E199" s="9"/>
    </row>
    <row r="200" spans="1:5" x14ac:dyDescent="0.3">
      <c r="A200" s="5">
        <v>42221</v>
      </c>
      <c r="B200" s="6" t="s">
        <v>799</v>
      </c>
      <c r="C200" s="7"/>
      <c r="D200" s="14">
        <v>220</v>
      </c>
      <c r="E200" s="9"/>
    </row>
    <row r="201" spans="1:5" x14ac:dyDescent="0.3">
      <c r="A201" s="5">
        <v>42221</v>
      </c>
      <c r="B201" s="6" t="s">
        <v>797</v>
      </c>
      <c r="C201" s="7"/>
      <c r="D201" s="14">
        <v>45</v>
      </c>
      <c r="E201" s="9"/>
    </row>
    <row r="202" spans="1:5" x14ac:dyDescent="0.3">
      <c r="A202" s="5">
        <v>42221</v>
      </c>
      <c r="B202" s="6" t="s">
        <v>795</v>
      </c>
      <c r="C202" s="7"/>
      <c r="D202" s="14">
        <v>42.4</v>
      </c>
      <c r="E202" s="9"/>
    </row>
    <row r="203" spans="1:5" x14ac:dyDescent="0.3">
      <c r="A203" s="5">
        <v>42223</v>
      </c>
      <c r="B203" s="6" t="s">
        <v>775</v>
      </c>
      <c r="C203" s="7" t="s">
        <v>56</v>
      </c>
      <c r="D203" s="14">
        <v>700</v>
      </c>
      <c r="E203" s="9"/>
    </row>
    <row r="204" spans="1:5" x14ac:dyDescent="0.3">
      <c r="A204" s="5">
        <v>42226</v>
      </c>
      <c r="B204" s="6" t="s">
        <v>778</v>
      </c>
      <c r="C204" s="7" t="s">
        <v>734</v>
      </c>
      <c r="D204" s="14">
        <v>12090</v>
      </c>
      <c r="E204" s="9"/>
    </row>
    <row r="205" spans="1:5" x14ac:dyDescent="0.3">
      <c r="A205" s="5">
        <v>42230</v>
      </c>
      <c r="B205" s="6" t="s">
        <v>796</v>
      </c>
      <c r="C205" s="7" t="s">
        <v>57</v>
      </c>
      <c r="D205" s="14">
        <v>3150</v>
      </c>
      <c r="E205" s="9"/>
    </row>
    <row r="206" spans="1:5" x14ac:dyDescent="0.3">
      <c r="A206" s="5">
        <v>42233</v>
      </c>
      <c r="B206" s="6" t="s">
        <v>792</v>
      </c>
      <c r="C206" s="7" t="s">
        <v>58</v>
      </c>
      <c r="D206" s="14">
        <v>580</v>
      </c>
      <c r="E206" s="9"/>
    </row>
    <row r="207" spans="1:5" x14ac:dyDescent="0.3">
      <c r="A207" s="5">
        <v>42240</v>
      </c>
      <c r="B207" s="6" t="s">
        <v>775</v>
      </c>
      <c r="C207" s="7" t="s">
        <v>52</v>
      </c>
      <c r="D207" s="14">
        <v>645</v>
      </c>
      <c r="E207" s="9"/>
    </row>
    <row r="208" spans="1:5" x14ac:dyDescent="0.3">
      <c r="A208" s="5">
        <v>42241</v>
      </c>
      <c r="B208" s="6" t="s">
        <v>790</v>
      </c>
      <c r="C208" s="7"/>
      <c r="D208" s="14">
        <v>15190</v>
      </c>
      <c r="E208" s="9"/>
    </row>
    <row r="209" spans="1:5" x14ac:dyDescent="0.3">
      <c r="A209" s="5">
        <v>42243</v>
      </c>
      <c r="B209" s="6" t="s">
        <v>796</v>
      </c>
      <c r="C209" s="7" t="s">
        <v>52</v>
      </c>
      <c r="D209" s="14">
        <v>605</v>
      </c>
      <c r="E209" s="9"/>
    </row>
    <row r="210" spans="1:5" x14ac:dyDescent="0.3">
      <c r="A210" s="5">
        <v>42243</v>
      </c>
      <c r="B210" s="6" t="s">
        <v>775</v>
      </c>
      <c r="C210" s="7" t="s">
        <v>59</v>
      </c>
      <c r="D210" s="14">
        <v>2320</v>
      </c>
      <c r="E210" s="9"/>
    </row>
    <row r="211" spans="1:5" x14ac:dyDescent="0.3">
      <c r="A211" s="5">
        <v>42247</v>
      </c>
      <c r="B211" s="6" t="s">
        <v>791</v>
      </c>
      <c r="C211" s="7"/>
      <c r="D211" s="14">
        <v>4782</v>
      </c>
      <c r="E211" s="9"/>
    </row>
    <row r="212" spans="1:5" x14ac:dyDescent="0.3">
      <c r="A212" s="5">
        <v>42248</v>
      </c>
      <c r="B212" s="6" t="s">
        <v>740</v>
      </c>
      <c r="C212" s="7"/>
      <c r="D212" s="14">
        <v>15</v>
      </c>
      <c r="E212" s="9"/>
    </row>
    <row r="213" spans="1:5" x14ac:dyDescent="0.3">
      <c r="A213" s="5">
        <v>42249</v>
      </c>
      <c r="B213" s="6" t="s">
        <v>794</v>
      </c>
      <c r="C213" s="7"/>
      <c r="D213" s="14">
        <v>2.4</v>
      </c>
      <c r="E213" s="9"/>
    </row>
    <row r="214" spans="1:5" x14ac:dyDescent="0.3">
      <c r="A214" s="5">
        <v>42250</v>
      </c>
      <c r="B214" s="6" t="s">
        <v>792</v>
      </c>
      <c r="C214" s="7"/>
      <c r="D214" s="14">
        <v>2320</v>
      </c>
      <c r="E214" s="9"/>
    </row>
    <row r="215" spans="1:5" x14ac:dyDescent="0.3">
      <c r="A215" s="5">
        <v>42250</v>
      </c>
      <c r="B215" s="6" t="s">
        <v>716</v>
      </c>
      <c r="C215" s="7"/>
      <c r="D215" s="14">
        <v>8120</v>
      </c>
      <c r="E215" s="9"/>
    </row>
    <row r="216" spans="1:5" x14ac:dyDescent="0.3">
      <c r="A216" s="5">
        <v>42250</v>
      </c>
      <c r="B216" s="6" t="s">
        <v>777</v>
      </c>
      <c r="C216" s="7" t="s">
        <v>60</v>
      </c>
      <c r="D216" s="14">
        <v>605</v>
      </c>
      <c r="E216" s="9"/>
    </row>
    <row r="217" spans="1:5" x14ac:dyDescent="0.3">
      <c r="A217" s="5">
        <v>42251</v>
      </c>
      <c r="B217" s="6" t="s">
        <v>799</v>
      </c>
      <c r="C217" s="7"/>
      <c r="D217" s="14">
        <v>250</v>
      </c>
      <c r="E217" s="9"/>
    </row>
    <row r="218" spans="1:5" x14ac:dyDescent="0.3">
      <c r="A218" s="5">
        <v>42251</v>
      </c>
      <c r="B218" s="6" t="s">
        <v>797</v>
      </c>
      <c r="C218" s="7"/>
      <c r="D218" s="14">
        <v>55</v>
      </c>
      <c r="E218" s="9"/>
    </row>
    <row r="219" spans="1:5" x14ac:dyDescent="0.3">
      <c r="A219" s="5">
        <v>42251</v>
      </c>
      <c r="B219" s="6" t="s">
        <v>795</v>
      </c>
      <c r="C219" s="7"/>
      <c r="D219" s="14">
        <v>48.8</v>
      </c>
      <c r="E219" s="9"/>
    </row>
    <row r="220" spans="1:5" x14ac:dyDescent="0.3">
      <c r="A220" s="5">
        <v>42254</v>
      </c>
      <c r="B220" s="6" t="s">
        <v>778</v>
      </c>
      <c r="C220" s="7" t="s">
        <v>735</v>
      </c>
      <c r="D220" s="14">
        <v>4030</v>
      </c>
      <c r="E220" s="9"/>
    </row>
    <row r="221" spans="1:5" x14ac:dyDescent="0.3">
      <c r="A221" s="5">
        <v>42255</v>
      </c>
      <c r="B221" s="6" t="s">
        <v>793</v>
      </c>
      <c r="C221" s="7"/>
      <c r="D221" s="14">
        <v>3364</v>
      </c>
      <c r="E221" s="9"/>
    </row>
    <row r="222" spans="1:5" x14ac:dyDescent="0.3">
      <c r="A222" s="5">
        <v>42257</v>
      </c>
      <c r="B222" s="6" t="s">
        <v>777</v>
      </c>
      <c r="C222" s="7" t="s">
        <v>60</v>
      </c>
      <c r="D222" s="14">
        <v>605</v>
      </c>
      <c r="E222" s="9"/>
    </row>
    <row r="223" spans="1:5" x14ac:dyDescent="0.3">
      <c r="A223" s="5">
        <v>42262</v>
      </c>
      <c r="B223" s="6" t="s">
        <v>777</v>
      </c>
      <c r="C223" s="7" t="s">
        <v>60</v>
      </c>
      <c r="D223" s="14">
        <v>3500</v>
      </c>
      <c r="E223" s="9"/>
    </row>
    <row r="224" spans="1:5" x14ac:dyDescent="0.3">
      <c r="A224" s="5">
        <v>42270</v>
      </c>
      <c r="B224" s="6" t="s">
        <v>796</v>
      </c>
      <c r="C224" s="7"/>
      <c r="D224" s="14">
        <v>2320</v>
      </c>
      <c r="E224" s="9"/>
    </row>
    <row r="225" spans="1:5" x14ac:dyDescent="0.3">
      <c r="A225" s="5">
        <v>42270</v>
      </c>
      <c r="B225" s="6" t="s">
        <v>790</v>
      </c>
      <c r="C225" s="7"/>
      <c r="D225" s="14">
        <v>15289</v>
      </c>
      <c r="E225" s="9"/>
    </row>
    <row r="226" spans="1:5" x14ac:dyDescent="0.3">
      <c r="A226" s="5">
        <v>42276</v>
      </c>
      <c r="B226" s="6" t="s">
        <v>775</v>
      </c>
      <c r="C226" s="7" t="s">
        <v>61</v>
      </c>
      <c r="D226" s="14">
        <v>1160</v>
      </c>
      <c r="E226" s="9"/>
    </row>
    <row r="227" spans="1:5" x14ac:dyDescent="0.3">
      <c r="A227" s="5">
        <v>42278</v>
      </c>
      <c r="B227" s="6" t="s">
        <v>740</v>
      </c>
      <c r="C227" s="7"/>
      <c r="D227" s="14">
        <v>15</v>
      </c>
      <c r="E227" s="9"/>
    </row>
    <row r="228" spans="1:5" x14ac:dyDescent="0.3">
      <c r="A228" s="5">
        <v>42278</v>
      </c>
      <c r="B228" s="6" t="s">
        <v>794</v>
      </c>
      <c r="C228" s="7"/>
      <c r="D228" s="14">
        <v>2.4</v>
      </c>
      <c r="E228" s="9"/>
    </row>
    <row r="229" spans="1:5" x14ac:dyDescent="0.3">
      <c r="A229" s="5">
        <v>42278</v>
      </c>
      <c r="B229" s="6" t="s">
        <v>777</v>
      </c>
      <c r="C229" s="7" t="s">
        <v>60</v>
      </c>
      <c r="D229" s="14">
        <v>3500</v>
      </c>
      <c r="E229" s="9"/>
    </row>
    <row r="230" spans="1:5" x14ac:dyDescent="0.3">
      <c r="A230" s="5">
        <v>42278</v>
      </c>
      <c r="B230" s="6" t="s">
        <v>792</v>
      </c>
      <c r="C230" s="7"/>
      <c r="D230" s="14">
        <v>2900</v>
      </c>
      <c r="E230" s="9"/>
    </row>
    <row r="231" spans="1:5" x14ac:dyDescent="0.3">
      <c r="A231" s="5">
        <v>42279</v>
      </c>
      <c r="B231" s="6" t="s">
        <v>778</v>
      </c>
      <c r="C231" s="7" t="s">
        <v>736</v>
      </c>
      <c r="D231" s="14">
        <v>4030</v>
      </c>
      <c r="E231" s="9"/>
    </row>
    <row r="232" spans="1:5" x14ac:dyDescent="0.3">
      <c r="A232" s="5">
        <v>42279</v>
      </c>
      <c r="B232" s="6" t="s">
        <v>793</v>
      </c>
      <c r="C232" s="7"/>
      <c r="D232" s="14">
        <v>3364</v>
      </c>
      <c r="E232" s="9"/>
    </row>
    <row r="233" spans="1:5" x14ac:dyDescent="0.3">
      <c r="A233" s="5">
        <v>42279</v>
      </c>
      <c r="B233" s="6" t="s">
        <v>775</v>
      </c>
      <c r="C233" s="7" t="s">
        <v>62</v>
      </c>
      <c r="D233" s="14">
        <v>800</v>
      </c>
      <c r="E233" s="9"/>
    </row>
    <row r="234" spans="1:5" x14ac:dyDescent="0.3">
      <c r="A234" s="5">
        <v>42283</v>
      </c>
      <c r="B234" s="6" t="s">
        <v>799</v>
      </c>
      <c r="C234" s="7"/>
      <c r="D234" s="14">
        <v>250</v>
      </c>
      <c r="E234" s="9"/>
    </row>
    <row r="235" spans="1:5" x14ac:dyDescent="0.3">
      <c r="A235" s="5">
        <v>42284</v>
      </c>
      <c r="B235" s="6" t="s">
        <v>799</v>
      </c>
      <c r="C235" s="7"/>
      <c r="D235" s="14">
        <v>25</v>
      </c>
      <c r="E235" s="9"/>
    </row>
    <row r="236" spans="1:5" x14ac:dyDescent="0.3">
      <c r="A236" s="5">
        <v>42285</v>
      </c>
      <c r="B236" s="6" t="s">
        <v>795</v>
      </c>
      <c r="C236" s="7"/>
      <c r="D236" s="14">
        <v>44</v>
      </c>
      <c r="E236" s="9"/>
    </row>
    <row r="237" spans="1:5" x14ac:dyDescent="0.3">
      <c r="A237" s="5">
        <v>42290</v>
      </c>
      <c r="B237" s="6" t="s">
        <v>796</v>
      </c>
      <c r="C237" s="7"/>
      <c r="D237" s="14">
        <v>2320</v>
      </c>
      <c r="E237" s="9"/>
    </row>
    <row r="238" spans="1:5" x14ac:dyDescent="0.3">
      <c r="A238" s="5">
        <v>42297</v>
      </c>
      <c r="B238" s="6" t="s">
        <v>716</v>
      </c>
      <c r="C238" s="7"/>
      <c r="D238" s="14">
        <v>8120</v>
      </c>
      <c r="E238" s="9"/>
    </row>
    <row r="239" spans="1:5" x14ac:dyDescent="0.3">
      <c r="A239" s="5">
        <v>42299</v>
      </c>
      <c r="B239" s="6" t="s">
        <v>790</v>
      </c>
      <c r="C239" s="7"/>
      <c r="D239" s="14">
        <v>16493</v>
      </c>
      <c r="E239" s="9"/>
    </row>
    <row r="240" spans="1:5" x14ac:dyDescent="0.3">
      <c r="A240" s="5">
        <v>42306</v>
      </c>
      <c r="B240" s="6" t="s">
        <v>796</v>
      </c>
      <c r="C240" s="7"/>
      <c r="D240" s="14">
        <v>2320</v>
      </c>
      <c r="E240" s="9"/>
    </row>
    <row r="241" spans="1:5" x14ac:dyDescent="0.3">
      <c r="A241" s="5">
        <v>42307</v>
      </c>
      <c r="B241" s="6" t="s">
        <v>791</v>
      </c>
      <c r="C241" s="7"/>
      <c r="D241" s="14">
        <v>4512</v>
      </c>
      <c r="E241" s="9"/>
    </row>
    <row r="242" spans="1:5" x14ac:dyDescent="0.3">
      <c r="A242" s="5">
        <v>42311</v>
      </c>
      <c r="B242" s="6" t="s">
        <v>740</v>
      </c>
      <c r="C242" s="7"/>
      <c r="D242" s="14">
        <v>15</v>
      </c>
      <c r="E242" s="9"/>
    </row>
    <row r="243" spans="1:5" x14ac:dyDescent="0.3">
      <c r="A243" s="5">
        <v>42311</v>
      </c>
      <c r="B243" s="6" t="s">
        <v>794</v>
      </c>
      <c r="C243" s="7"/>
      <c r="D243" s="14">
        <v>2.4</v>
      </c>
      <c r="E243" s="9"/>
    </row>
    <row r="244" spans="1:5" x14ac:dyDescent="0.3">
      <c r="A244" s="5">
        <v>42311</v>
      </c>
      <c r="B244" s="6" t="s">
        <v>777</v>
      </c>
      <c r="C244" s="7" t="s">
        <v>60</v>
      </c>
      <c r="D244" s="14">
        <v>3500</v>
      </c>
      <c r="E244" s="9"/>
    </row>
    <row r="245" spans="1:5" x14ac:dyDescent="0.3">
      <c r="A245" s="5">
        <v>42312</v>
      </c>
      <c r="B245" s="6" t="s">
        <v>792</v>
      </c>
      <c r="C245" s="7"/>
      <c r="D245" s="14">
        <v>2320</v>
      </c>
      <c r="E245" s="9"/>
    </row>
    <row r="246" spans="1:5" x14ac:dyDescent="0.3">
      <c r="A246" s="5">
        <v>42314</v>
      </c>
      <c r="B246" s="6" t="s">
        <v>799</v>
      </c>
      <c r="C246" s="7"/>
      <c r="D246" s="14">
        <v>250</v>
      </c>
      <c r="E246" s="9"/>
    </row>
    <row r="247" spans="1:5" x14ac:dyDescent="0.3">
      <c r="A247" s="5">
        <v>42314</v>
      </c>
      <c r="B247" s="6" t="s">
        <v>799</v>
      </c>
      <c r="C247" s="7"/>
      <c r="D247" s="14">
        <v>30</v>
      </c>
      <c r="E247" s="9"/>
    </row>
    <row r="248" spans="1:5" x14ac:dyDescent="0.3">
      <c r="A248" s="5">
        <v>42314</v>
      </c>
      <c r="B248" s="6" t="s">
        <v>795</v>
      </c>
      <c r="C248" s="7"/>
      <c r="D248" s="14">
        <v>44.8</v>
      </c>
      <c r="E248" s="9"/>
    </row>
    <row r="249" spans="1:5" x14ac:dyDescent="0.3">
      <c r="A249" s="5">
        <v>42317</v>
      </c>
      <c r="B249" s="6" t="s">
        <v>716</v>
      </c>
      <c r="C249" s="7"/>
      <c r="D249" s="14">
        <v>8120</v>
      </c>
      <c r="E249" s="9"/>
    </row>
    <row r="250" spans="1:5" x14ac:dyDescent="0.3">
      <c r="A250" s="5">
        <v>42319</v>
      </c>
      <c r="B250" s="6" t="s">
        <v>793</v>
      </c>
      <c r="C250" s="7"/>
      <c r="D250" s="14">
        <v>3364</v>
      </c>
      <c r="E250" s="9"/>
    </row>
    <row r="251" spans="1:5" x14ac:dyDescent="0.3">
      <c r="A251" s="5">
        <v>42328</v>
      </c>
      <c r="B251" s="6" t="s">
        <v>796</v>
      </c>
      <c r="C251" s="7"/>
      <c r="D251" s="14">
        <v>2320</v>
      </c>
      <c r="E251" s="9"/>
    </row>
    <row r="252" spans="1:5" x14ac:dyDescent="0.3">
      <c r="A252" s="5">
        <v>42331</v>
      </c>
      <c r="B252" s="6" t="s">
        <v>775</v>
      </c>
      <c r="C252" s="7" t="s">
        <v>63</v>
      </c>
      <c r="D252" s="14">
        <v>2900</v>
      </c>
      <c r="E252" s="9"/>
    </row>
    <row r="253" spans="1:5" x14ac:dyDescent="0.3">
      <c r="A253" s="5">
        <v>42332</v>
      </c>
      <c r="B253" s="6" t="s">
        <v>790</v>
      </c>
      <c r="C253" s="7"/>
      <c r="D253" s="14">
        <v>15107</v>
      </c>
      <c r="E253" s="9"/>
    </row>
    <row r="254" spans="1:5" x14ac:dyDescent="0.3">
      <c r="A254" s="5">
        <v>42338</v>
      </c>
      <c r="B254" s="6" t="s">
        <v>716</v>
      </c>
      <c r="C254" s="7"/>
      <c r="D254" s="14">
        <v>8120</v>
      </c>
      <c r="E254" s="9"/>
    </row>
    <row r="255" spans="1:5" x14ac:dyDescent="0.3">
      <c r="A255" s="5">
        <v>42339</v>
      </c>
      <c r="B255" s="6" t="s">
        <v>777</v>
      </c>
      <c r="C255" s="7" t="s">
        <v>60</v>
      </c>
      <c r="D255" s="14">
        <v>3500</v>
      </c>
      <c r="E255" s="9"/>
    </row>
    <row r="256" spans="1:5" x14ac:dyDescent="0.3">
      <c r="A256" s="5">
        <v>42342</v>
      </c>
      <c r="B256" s="6" t="s">
        <v>799</v>
      </c>
      <c r="C256" s="7"/>
      <c r="D256" s="14">
        <v>250</v>
      </c>
      <c r="E256" s="9"/>
    </row>
    <row r="257" spans="1:5" x14ac:dyDescent="0.3">
      <c r="A257" s="5">
        <v>42342</v>
      </c>
      <c r="B257" s="6" t="s">
        <v>799</v>
      </c>
      <c r="C257" s="7"/>
      <c r="D257" s="14">
        <v>30</v>
      </c>
      <c r="E257" s="9"/>
    </row>
    <row r="258" spans="1:5" x14ac:dyDescent="0.3">
      <c r="A258" s="5">
        <v>42342</v>
      </c>
      <c r="B258" s="6" t="s">
        <v>795</v>
      </c>
      <c r="C258" s="7"/>
      <c r="D258" s="14">
        <v>44.8</v>
      </c>
      <c r="E258" s="9"/>
    </row>
    <row r="259" spans="1:5" x14ac:dyDescent="0.3">
      <c r="A259" s="5">
        <v>42342</v>
      </c>
      <c r="B259" s="6" t="s">
        <v>793</v>
      </c>
      <c r="C259" s="7"/>
      <c r="D259" s="14">
        <v>3364</v>
      </c>
      <c r="E259" s="9"/>
    </row>
    <row r="260" spans="1:5" x14ac:dyDescent="0.3">
      <c r="A260" s="5">
        <v>42342</v>
      </c>
      <c r="B260" s="6" t="s">
        <v>792</v>
      </c>
      <c r="C260" s="7"/>
      <c r="D260" s="14">
        <v>2320</v>
      </c>
      <c r="E260" s="9"/>
    </row>
    <row r="261" spans="1:5" x14ac:dyDescent="0.3">
      <c r="A261" s="5">
        <v>42342</v>
      </c>
      <c r="B261" s="6" t="s">
        <v>775</v>
      </c>
      <c r="C261" s="7" t="s">
        <v>64</v>
      </c>
      <c r="D261" s="14">
        <v>2320</v>
      </c>
      <c r="E261" s="9"/>
    </row>
    <row r="262" spans="1:5" x14ac:dyDescent="0.3">
      <c r="A262" s="5">
        <v>42352</v>
      </c>
      <c r="B262" s="6" t="s">
        <v>796</v>
      </c>
      <c r="C262" s="7"/>
      <c r="D262" s="14">
        <v>2320</v>
      </c>
      <c r="E262" s="9"/>
    </row>
    <row r="263" spans="1:5" x14ac:dyDescent="0.3">
      <c r="A263" s="5">
        <v>42361</v>
      </c>
      <c r="B263" s="6" t="s">
        <v>790</v>
      </c>
      <c r="C263" s="7"/>
      <c r="D263" s="14">
        <v>16898</v>
      </c>
      <c r="E263" s="9"/>
    </row>
    <row r="264" spans="1:5" x14ac:dyDescent="0.3">
      <c r="A264" s="5">
        <v>42367</v>
      </c>
      <c r="B264" s="6" t="s">
        <v>716</v>
      </c>
      <c r="C264" s="7"/>
      <c r="D264" s="14">
        <v>8120</v>
      </c>
      <c r="E264" s="9"/>
    </row>
    <row r="265" spans="1:5" x14ac:dyDescent="0.3">
      <c r="A265" s="5">
        <v>42368</v>
      </c>
      <c r="B265" s="6" t="s">
        <v>777</v>
      </c>
      <c r="C265" s="7" t="s">
        <v>60</v>
      </c>
      <c r="D265" s="14">
        <v>6000</v>
      </c>
      <c r="E265" s="9"/>
    </row>
    <row r="266" spans="1:5" x14ac:dyDescent="0.3">
      <c r="A266" s="5">
        <v>42368</v>
      </c>
      <c r="B266" s="6" t="s">
        <v>777</v>
      </c>
      <c r="C266" s="7" t="s">
        <v>60</v>
      </c>
      <c r="D266" s="14">
        <v>6000</v>
      </c>
      <c r="E266" s="9"/>
    </row>
    <row r="267" spans="1:5" x14ac:dyDescent="0.3">
      <c r="A267" s="5">
        <v>42369</v>
      </c>
      <c r="B267" s="6" t="s">
        <v>791</v>
      </c>
      <c r="C267" s="7"/>
      <c r="D267" s="14">
        <v>4664</v>
      </c>
      <c r="E267" s="9"/>
    </row>
    <row r="268" spans="1:5" x14ac:dyDescent="0.3">
      <c r="A268" s="5">
        <v>42373</v>
      </c>
      <c r="B268" s="6" t="s">
        <v>793</v>
      </c>
      <c r="C268" s="7"/>
      <c r="D268" s="14">
        <v>3364</v>
      </c>
      <c r="E268" s="9"/>
    </row>
    <row r="269" spans="1:5" x14ac:dyDescent="0.3">
      <c r="A269" s="5">
        <v>42376</v>
      </c>
      <c r="B269" s="6" t="s">
        <v>799</v>
      </c>
      <c r="C269" s="7"/>
      <c r="D269" s="14">
        <v>250</v>
      </c>
      <c r="E269" s="9"/>
    </row>
    <row r="270" spans="1:5" x14ac:dyDescent="0.3">
      <c r="A270" s="5">
        <v>42376</v>
      </c>
      <c r="B270" s="6" t="s">
        <v>797</v>
      </c>
      <c r="C270" s="7"/>
      <c r="D270" s="14">
        <v>25</v>
      </c>
      <c r="E270" s="9"/>
    </row>
    <row r="271" spans="1:5" x14ac:dyDescent="0.3">
      <c r="A271" s="5">
        <v>42376</v>
      </c>
      <c r="B271" s="6" t="s">
        <v>795</v>
      </c>
      <c r="C271" s="7"/>
      <c r="D271" s="14">
        <v>44</v>
      </c>
      <c r="E271" s="9"/>
    </row>
    <row r="272" spans="1:5" x14ac:dyDescent="0.3">
      <c r="A272" s="5">
        <v>42377</v>
      </c>
      <c r="B272" s="6" t="s">
        <v>792</v>
      </c>
      <c r="C272" s="7"/>
      <c r="D272" s="14">
        <v>2900</v>
      </c>
      <c r="E272" s="9"/>
    </row>
    <row r="273" spans="1:5" x14ac:dyDescent="0.3">
      <c r="A273" s="5">
        <v>42384</v>
      </c>
      <c r="B273" s="6" t="s">
        <v>796</v>
      </c>
      <c r="C273" s="7"/>
      <c r="D273" s="14">
        <v>2320</v>
      </c>
      <c r="E273" s="9"/>
    </row>
    <row r="274" spans="1:5" x14ac:dyDescent="0.3">
      <c r="A274" s="5">
        <v>42391</v>
      </c>
      <c r="B274" s="6" t="s">
        <v>790</v>
      </c>
      <c r="C274" s="7"/>
      <c r="D274" s="14">
        <v>16466</v>
      </c>
      <c r="E274" s="9"/>
    </row>
    <row r="275" spans="1:5" x14ac:dyDescent="0.3">
      <c r="A275" s="5">
        <v>42402</v>
      </c>
      <c r="B275" s="6" t="s">
        <v>716</v>
      </c>
      <c r="C275" s="7"/>
      <c r="D275" s="14">
        <v>8120</v>
      </c>
      <c r="E275" s="9"/>
    </row>
    <row r="276" spans="1:5" x14ac:dyDescent="0.3">
      <c r="A276" s="5">
        <v>42402</v>
      </c>
      <c r="B276" s="6" t="s">
        <v>792</v>
      </c>
      <c r="C276" s="7"/>
      <c r="D276" s="14">
        <v>2320</v>
      </c>
      <c r="E276" s="9"/>
    </row>
    <row r="277" spans="1:5" x14ac:dyDescent="0.3">
      <c r="A277" s="5">
        <v>42404</v>
      </c>
      <c r="B277" s="6" t="s">
        <v>793</v>
      </c>
      <c r="C277" s="7"/>
      <c r="D277" s="14">
        <v>3364</v>
      </c>
      <c r="E277" s="9"/>
    </row>
    <row r="278" spans="1:5" x14ac:dyDescent="0.3">
      <c r="A278" s="5">
        <v>42405</v>
      </c>
      <c r="B278" s="6" t="s">
        <v>799</v>
      </c>
      <c r="C278" s="7"/>
      <c r="D278" s="14">
        <v>250</v>
      </c>
      <c r="E278" s="9"/>
    </row>
    <row r="279" spans="1:5" x14ac:dyDescent="0.3">
      <c r="A279" s="5">
        <v>42405</v>
      </c>
      <c r="B279" s="6" t="s">
        <v>799</v>
      </c>
      <c r="C279" s="7"/>
      <c r="D279" s="14">
        <v>15</v>
      </c>
      <c r="E279" s="9"/>
    </row>
    <row r="280" spans="1:5" x14ac:dyDescent="0.3">
      <c r="A280" s="5">
        <v>42405</v>
      </c>
      <c r="B280" s="6" t="s">
        <v>795</v>
      </c>
      <c r="C280" s="7"/>
      <c r="D280" s="14">
        <v>42.4</v>
      </c>
      <c r="E280" s="9"/>
    </row>
    <row r="281" spans="1:5" x14ac:dyDescent="0.3">
      <c r="A281" s="5">
        <v>42411</v>
      </c>
      <c r="B281" s="6" t="s">
        <v>796</v>
      </c>
      <c r="C281" s="7"/>
      <c r="D281" s="14">
        <v>2320</v>
      </c>
      <c r="E281" s="9"/>
    </row>
    <row r="282" spans="1:5" x14ac:dyDescent="0.3">
      <c r="A282" s="5">
        <v>42422</v>
      </c>
      <c r="B282" s="6" t="s">
        <v>747</v>
      </c>
      <c r="C282" s="7"/>
      <c r="D282" s="14">
        <v>600</v>
      </c>
      <c r="E282" s="9"/>
    </row>
    <row r="283" spans="1:5" x14ac:dyDescent="0.3">
      <c r="A283" s="5">
        <v>42424</v>
      </c>
      <c r="B283" s="6" t="s">
        <v>790</v>
      </c>
      <c r="C283" s="7"/>
      <c r="D283" s="14">
        <v>15290</v>
      </c>
      <c r="E283" s="9"/>
    </row>
    <row r="284" spans="1:5" x14ac:dyDescent="0.3">
      <c r="A284" s="5">
        <v>42431</v>
      </c>
      <c r="B284" s="6" t="s">
        <v>716</v>
      </c>
      <c r="C284" s="7"/>
      <c r="D284" s="14">
        <v>8120</v>
      </c>
      <c r="E284" s="9"/>
    </row>
    <row r="285" spans="1:5" x14ac:dyDescent="0.3">
      <c r="A285" s="5">
        <v>42431</v>
      </c>
      <c r="B285" s="6" t="s">
        <v>792</v>
      </c>
      <c r="C285" s="7"/>
      <c r="D285" s="14">
        <v>2320</v>
      </c>
      <c r="E285" s="9"/>
    </row>
    <row r="286" spans="1:5" x14ac:dyDescent="0.3">
      <c r="A286" s="5">
        <v>42431</v>
      </c>
      <c r="B286" s="6" t="s">
        <v>793</v>
      </c>
      <c r="C286" s="7"/>
      <c r="D286" s="14">
        <v>3364</v>
      </c>
      <c r="E286" s="9"/>
    </row>
    <row r="287" spans="1:5" x14ac:dyDescent="0.3">
      <c r="A287" s="5">
        <v>42432</v>
      </c>
      <c r="B287" s="6" t="s">
        <v>791</v>
      </c>
      <c r="C287" s="7"/>
      <c r="D287" s="14">
        <v>5147</v>
      </c>
      <c r="E287" s="9"/>
    </row>
    <row r="288" spans="1:5" x14ac:dyDescent="0.3">
      <c r="A288" s="5">
        <v>42433</v>
      </c>
      <c r="B288" s="6" t="s">
        <v>799</v>
      </c>
      <c r="C288" s="7"/>
      <c r="D288" s="14">
        <v>250</v>
      </c>
      <c r="E288" s="9"/>
    </row>
    <row r="289" spans="1:5" x14ac:dyDescent="0.3">
      <c r="A289" s="5">
        <v>42433</v>
      </c>
      <c r="B289" s="6" t="s">
        <v>797</v>
      </c>
      <c r="C289" s="7"/>
      <c r="D289" s="14">
        <v>20</v>
      </c>
      <c r="E289" s="9"/>
    </row>
    <row r="290" spans="1:5" x14ac:dyDescent="0.3">
      <c r="A290" s="5">
        <v>42433</v>
      </c>
      <c r="B290" s="6" t="s">
        <v>795</v>
      </c>
      <c r="C290" s="7"/>
      <c r="D290" s="14">
        <v>43.2</v>
      </c>
      <c r="E290" s="9"/>
    </row>
    <row r="291" spans="1:5" x14ac:dyDescent="0.3">
      <c r="A291" s="5">
        <v>42440</v>
      </c>
      <c r="B291" s="6" t="s">
        <v>775</v>
      </c>
      <c r="C291" s="7" t="s">
        <v>65</v>
      </c>
      <c r="D291" s="14">
        <v>2000</v>
      </c>
      <c r="E291" s="9"/>
    </row>
    <row r="292" spans="1:5" x14ac:dyDescent="0.3">
      <c r="A292" s="5">
        <v>42457</v>
      </c>
      <c r="B292" s="6" t="s">
        <v>796</v>
      </c>
      <c r="C292" s="7"/>
      <c r="D292" s="14">
        <v>2320</v>
      </c>
      <c r="E292" s="9"/>
    </row>
    <row r="293" spans="1:5" x14ac:dyDescent="0.3">
      <c r="A293" s="5">
        <v>42457</v>
      </c>
      <c r="B293" s="6" t="s">
        <v>790</v>
      </c>
      <c r="C293" s="7"/>
      <c r="D293" s="14">
        <v>15231</v>
      </c>
      <c r="E293" s="9"/>
    </row>
    <row r="294" spans="1:5" x14ac:dyDescent="0.3">
      <c r="A294" s="5">
        <v>42460</v>
      </c>
      <c r="B294" s="6" t="s">
        <v>792</v>
      </c>
      <c r="C294" s="7"/>
      <c r="D294" s="14">
        <v>2900</v>
      </c>
      <c r="E294" s="9"/>
    </row>
    <row r="295" spans="1:5" x14ac:dyDescent="0.3">
      <c r="A295" s="5">
        <v>42460</v>
      </c>
      <c r="B295" s="6" t="s">
        <v>716</v>
      </c>
      <c r="C295" s="7" t="s">
        <v>718</v>
      </c>
      <c r="D295" s="14">
        <v>8120</v>
      </c>
      <c r="E295" s="9"/>
    </row>
    <row r="296" spans="1:5" x14ac:dyDescent="0.3">
      <c r="A296" s="5">
        <v>42466</v>
      </c>
      <c r="B296" s="6" t="s">
        <v>799</v>
      </c>
      <c r="C296" s="7"/>
      <c r="D296" s="14">
        <v>250</v>
      </c>
      <c r="E296" s="9"/>
    </row>
    <row r="297" spans="1:5" x14ac:dyDescent="0.3">
      <c r="A297" s="5">
        <v>42466</v>
      </c>
      <c r="B297" s="6" t="s">
        <v>797</v>
      </c>
      <c r="C297" s="7"/>
      <c r="D297" s="14">
        <v>35</v>
      </c>
      <c r="E297" s="9"/>
    </row>
    <row r="298" spans="1:5" x14ac:dyDescent="0.3">
      <c r="A298" s="5">
        <v>42466</v>
      </c>
      <c r="B298" s="6" t="s">
        <v>795</v>
      </c>
      <c r="C298" s="7"/>
      <c r="D298" s="14">
        <v>45.6</v>
      </c>
      <c r="E298" s="9"/>
    </row>
    <row r="299" spans="1:5" x14ac:dyDescent="0.3">
      <c r="A299" s="5">
        <v>42467</v>
      </c>
      <c r="B299" s="6" t="s">
        <v>793</v>
      </c>
      <c r="C299" s="7"/>
      <c r="D299" s="14">
        <v>3364</v>
      </c>
      <c r="E299" s="9"/>
    </row>
    <row r="300" spans="1:5" x14ac:dyDescent="0.3">
      <c r="A300" s="5">
        <v>42468</v>
      </c>
      <c r="B300" s="6" t="s">
        <v>748</v>
      </c>
      <c r="C300" s="7"/>
      <c r="D300" s="14">
        <v>6287.2</v>
      </c>
      <c r="E300" s="9"/>
    </row>
    <row r="301" spans="1:5" x14ac:dyDescent="0.3">
      <c r="A301" s="5">
        <v>42482</v>
      </c>
      <c r="B301" s="6" t="s">
        <v>796</v>
      </c>
      <c r="C301" s="7"/>
      <c r="D301" s="14">
        <v>2320</v>
      </c>
      <c r="E301" s="9"/>
    </row>
    <row r="302" spans="1:5" x14ac:dyDescent="0.3">
      <c r="A302" s="5">
        <v>42485</v>
      </c>
      <c r="B302" s="6" t="s">
        <v>790</v>
      </c>
      <c r="C302" s="7"/>
      <c r="D302" s="14">
        <v>15642</v>
      </c>
      <c r="E302" s="9"/>
    </row>
    <row r="303" spans="1:5" x14ac:dyDescent="0.3">
      <c r="A303" s="5">
        <v>42489</v>
      </c>
      <c r="B303" s="6" t="s">
        <v>791</v>
      </c>
      <c r="C303" s="7"/>
      <c r="D303" s="14">
        <v>9065</v>
      </c>
      <c r="E303" s="9"/>
    </row>
    <row r="304" spans="1:5" x14ac:dyDescent="0.3">
      <c r="A304" s="5">
        <v>42492</v>
      </c>
      <c r="B304" s="6" t="s">
        <v>716</v>
      </c>
      <c r="C304" s="7" t="s">
        <v>719</v>
      </c>
      <c r="D304" s="14">
        <v>8120</v>
      </c>
      <c r="E304" s="9"/>
    </row>
    <row r="305" spans="1:5" x14ac:dyDescent="0.3">
      <c r="A305" s="5">
        <v>42492</v>
      </c>
      <c r="B305" s="6" t="s">
        <v>792</v>
      </c>
      <c r="C305" s="7"/>
      <c r="D305" s="14">
        <v>2320</v>
      </c>
      <c r="E305" s="9"/>
    </row>
    <row r="306" spans="1:5" x14ac:dyDescent="0.3">
      <c r="A306" s="5">
        <v>42495</v>
      </c>
      <c r="B306" s="6" t="s">
        <v>799</v>
      </c>
      <c r="C306" s="7"/>
      <c r="D306" s="14">
        <v>250</v>
      </c>
      <c r="E306" s="9"/>
    </row>
    <row r="307" spans="1:5" x14ac:dyDescent="0.3">
      <c r="A307" s="5">
        <v>42495</v>
      </c>
      <c r="B307" s="6" t="s">
        <v>799</v>
      </c>
      <c r="C307" s="7"/>
      <c r="D307" s="14">
        <v>10</v>
      </c>
      <c r="E307" s="9"/>
    </row>
    <row r="308" spans="1:5" x14ac:dyDescent="0.3">
      <c r="A308" s="5">
        <v>42495</v>
      </c>
      <c r="B308" s="6" t="s">
        <v>795</v>
      </c>
      <c r="C308" s="7"/>
      <c r="D308" s="14">
        <v>41.6</v>
      </c>
      <c r="E308" s="9"/>
    </row>
    <row r="309" spans="1:5" x14ac:dyDescent="0.3">
      <c r="A309" s="5">
        <v>42496</v>
      </c>
      <c r="B309" s="6" t="s">
        <v>793</v>
      </c>
      <c r="C309" s="7"/>
      <c r="D309" s="14">
        <v>3364</v>
      </c>
      <c r="E309" s="9"/>
    </row>
    <row r="310" spans="1:5" x14ac:dyDescent="0.3">
      <c r="A310" s="5">
        <v>42496</v>
      </c>
      <c r="B310" s="6" t="s">
        <v>775</v>
      </c>
      <c r="C310" s="7" t="s">
        <v>66</v>
      </c>
      <c r="D310" s="14">
        <v>1200</v>
      </c>
      <c r="E310" s="9"/>
    </row>
    <row r="311" spans="1:5" x14ac:dyDescent="0.3">
      <c r="A311" s="5">
        <v>42506</v>
      </c>
      <c r="B311" s="6" t="s">
        <v>796</v>
      </c>
      <c r="C311" s="7"/>
      <c r="D311" s="14">
        <v>2320</v>
      </c>
      <c r="E311" s="9"/>
    </row>
    <row r="312" spans="1:5" x14ac:dyDescent="0.3">
      <c r="A312" s="5">
        <v>42513</v>
      </c>
      <c r="B312" s="6" t="s">
        <v>716</v>
      </c>
      <c r="C312" s="7" t="s">
        <v>720</v>
      </c>
      <c r="D312" s="14">
        <v>8120</v>
      </c>
      <c r="E312" s="9"/>
    </row>
    <row r="313" spans="1:5" x14ac:dyDescent="0.3">
      <c r="A313" s="5">
        <v>42515</v>
      </c>
      <c r="B313" s="6" t="s">
        <v>790</v>
      </c>
      <c r="C313" s="7"/>
      <c r="D313" s="14">
        <v>15418</v>
      </c>
      <c r="E313" s="9"/>
    </row>
    <row r="314" spans="1:5" x14ac:dyDescent="0.3">
      <c r="A314" s="5">
        <v>42523</v>
      </c>
      <c r="B314" s="6" t="s">
        <v>796</v>
      </c>
      <c r="C314" s="7"/>
      <c r="D314" s="14">
        <v>2800</v>
      </c>
      <c r="E314" s="9"/>
    </row>
    <row r="315" spans="1:5" x14ac:dyDescent="0.3">
      <c r="A315" s="5">
        <v>42524</v>
      </c>
      <c r="B315" s="6" t="s">
        <v>778</v>
      </c>
      <c r="C315" s="7" t="s">
        <v>737</v>
      </c>
      <c r="D315" s="14">
        <v>5000</v>
      </c>
      <c r="E315" s="9"/>
    </row>
    <row r="316" spans="1:5" x14ac:dyDescent="0.3">
      <c r="A316" s="5">
        <v>42527</v>
      </c>
      <c r="B316" s="6" t="s">
        <v>799</v>
      </c>
      <c r="C316" s="7"/>
      <c r="D316" s="14">
        <v>250</v>
      </c>
      <c r="E316" s="9"/>
    </row>
    <row r="317" spans="1:5" x14ac:dyDescent="0.3">
      <c r="A317" s="5">
        <v>42527</v>
      </c>
      <c r="B317" s="6" t="s">
        <v>797</v>
      </c>
      <c r="C317" s="7"/>
      <c r="D317" s="14">
        <v>30</v>
      </c>
      <c r="E317" s="9"/>
    </row>
    <row r="318" spans="1:5" x14ac:dyDescent="0.3">
      <c r="A318" s="5">
        <v>42527</v>
      </c>
      <c r="B318" s="6" t="s">
        <v>795</v>
      </c>
      <c r="C318" s="7"/>
      <c r="D318" s="14">
        <v>44.8</v>
      </c>
      <c r="E318" s="9"/>
    </row>
    <row r="319" spans="1:5" x14ac:dyDescent="0.3">
      <c r="A319" s="5">
        <v>42527</v>
      </c>
      <c r="B319" s="6" t="s">
        <v>793</v>
      </c>
      <c r="C319" s="7"/>
      <c r="D319" s="14">
        <v>3364</v>
      </c>
      <c r="E319" s="9"/>
    </row>
    <row r="320" spans="1:5" x14ac:dyDescent="0.3">
      <c r="A320" s="5">
        <v>42527</v>
      </c>
      <c r="B320" s="6" t="s">
        <v>792</v>
      </c>
      <c r="C320" s="7"/>
      <c r="D320" s="14">
        <v>2320</v>
      </c>
      <c r="E320" s="9"/>
    </row>
    <row r="321" spans="1:5" x14ac:dyDescent="0.3">
      <c r="A321" s="5">
        <v>42537</v>
      </c>
      <c r="B321" s="6" t="s">
        <v>796</v>
      </c>
      <c r="C321" s="7" t="s">
        <v>67</v>
      </c>
      <c r="D321" s="14">
        <v>2800</v>
      </c>
      <c r="E321" s="9"/>
    </row>
    <row r="322" spans="1:5" x14ac:dyDescent="0.3">
      <c r="A322" s="5">
        <v>42545</v>
      </c>
      <c r="B322" s="6" t="s">
        <v>790</v>
      </c>
      <c r="C322" s="7"/>
      <c r="D322" s="14">
        <v>16668</v>
      </c>
      <c r="E322" s="9"/>
    </row>
    <row r="323" spans="1:5" x14ac:dyDescent="0.3">
      <c r="A323" s="5">
        <v>42552</v>
      </c>
      <c r="B323" s="6" t="s">
        <v>740</v>
      </c>
      <c r="C323" s="7"/>
      <c r="D323" s="14">
        <v>15</v>
      </c>
      <c r="E323" s="9"/>
    </row>
    <row r="324" spans="1:5" x14ac:dyDescent="0.3">
      <c r="A324" s="5">
        <v>42552</v>
      </c>
      <c r="B324" s="6" t="s">
        <v>794</v>
      </c>
      <c r="C324" s="7"/>
      <c r="D324" s="14">
        <v>2.4</v>
      </c>
      <c r="E324" s="9"/>
    </row>
    <row r="325" spans="1:5" x14ac:dyDescent="0.3">
      <c r="A325" s="5">
        <v>42552</v>
      </c>
      <c r="B325" s="6" t="s">
        <v>716</v>
      </c>
      <c r="C325" s="7"/>
      <c r="D325" s="14">
        <v>8120</v>
      </c>
      <c r="E325" s="9"/>
    </row>
    <row r="326" spans="1:5" x14ac:dyDescent="0.3">
      <c r="A326" s="5">
        <v>42557</v>
      </c>
      <c r="B326" s="6" t="s">
        <v>799</v>
      </c>
      <c r="C326" s="7"/>
      <c r="D326" s="14">
        <v>250</v>
      </c>
      <c r="E326" s="9"/>
    </row>
    <row r="327" spans="1:5" x14ac:dyDescent="0.3">
      <c r="A327" s="5">
        <v>42557</v>
      </c>
      <c r="B327" s="6" t="s">
        <v>799</v>
      </c>
      <c r="C327" s="7"/>
      <c r="D327" s="14">
        <v>20</v>
      </c>
      <c r="E327" s="9"/>
    </row>
    <row r="328" spans="1:5" x14ac:dyDescent="0.3">
      <c r="A328" s="5">
        <v>42557</v>
      </c>
      <c r="B328" s="6" t="s">
        <v>795</v>
      </c>
      <c r="C328" s="7"/>
      <c r="D328" s="14">
        <v>43.2</v>
      </c>
      <c r="E328" s="9"/>
    </row>
    <row r="329" spans="1:5" x14ac:dyDescent="0.3">
      <c r="A329" s="5">
        <v>42565</v>
      </c>
      <c r="B329" s="6" t="s">
        <v>793</v>
      </c>
      <c r="C329" s="7"/>
      <c r="D329" s="14">
        <v>3364</v>
      </c>
      <c r="E329" s="9"/>
    </row>
    <row r="330" spans="1:5" x14ac:dyDescent="0.3">
      <c r="A330" s="5">
        <v>42566</v>
      </c>
      <c r="B330" s="6" t="s">
        <v>791</v>
      </c>
      <c r="C330" s="7" t="s">
        <v>68</v>
      </c>
      <c r="D330" s="14">
        <v>5603</v>
      </c>
      <c r="E330" s="9"/>
    </row>
    <row r="331" spans="1:5" x14ac:dyDescent="0.3">
      <c r="A331" s="5">
        <v>42570</v>
      </c>
      <c r="B331" s="6" t="s">
        <v>796</v>
      </c>
      <c r="C331" s="7"/>
      <c r="D331" s="14">
        <v>2800</v>
      </c>
      <c r="E331" s="9"/>
    </row>
    <row r="332" spans="1:5" x14ac:dyDescent="0.3">
      <c r="A332" s="5">
        <v>42580</v>
      </c>
      <c r="B332" s="6" t="s">
        <v>792</v>
      </c>
      <c r="C332" s="7"/>
      <c r="D332" s="14">
        <v>2784</v>
      </c>
      <c r="E332" s="9"/>
    </row>
    <row r="333" spans="1:5" x14ac:dyDescent="0.3">
      <c r="A333" s="5">
        <v>42580</v>
      </c>
      <c r="B333" s="6" t="s">
        <v>716</v>
      </c>
      <c r="C333" s="7"/>
      <c r="D333" s="14">
        <v>8120</v>
      </c>
      <c r="E333" s="9"/>
    </row>
    <row r="334" spans="1:5" x14ac:dyDescent="0.3">
      <c r="A334" s="5">
        <v>42586</v>
      </c>
      <c r="B334" s="6" t="s">
        <v>799</v>
      </c>
      <c r="C334" s="7"/>
      <c r="D334" s="14">
        <v>250</v>
      </c>
      <c r="E334" s="9"/>
    </row>
    <row r="335" spans="1:5" x14ac:dyDescent="0.3">
      <c r="A335" s="5">
        <v>42586</v>
      </c>
      <c r="B335" s="6" t="s">
        <v>799</v>
      </c>
      <c r="C335" s="7"/>
      <c r="D335" s="14">
        <v>30</v>
      </c>
      <c r="E335" s="9"/>
    </row>
    <row r="336" spans="1:5" x14ac:dyDescent="0.3">
      <c r="A336" s="5">
        <v>42586</v>
      </c>
      <c r="B336" s="6" t="s">
        <v>795</v>
      </c>
      <c r="C336" s="7"/>
      <c r="D336" s="14">
        <v>44.8</v>
      </c>
      <c r="E336" s="9"/>
    </row>
    <row r="337" spans="1:5" x14ac:dyDescent="0.3">
      <c r="A337" s="5">
        <v>42586</v>
      </c>
      <c r="B337" s="6" t="s">
        <v>796</v>
      </c>
      <c r="C337" s="7"/>
      <c r="D337" s="14">
        <v>2800</v>
      </c>
      <c r="E337" s="9"/>
    </row>
    <row r="338" spans="1:5" x14ac:dyDescent="0.3">
      <c r="A338" s="5">
        <v>42598</v>
      </c>
      <c r="B338" s="6" t="s">
        <v>793</v>
      </c>
      <c r="C338" s="7"/>
      <c r="D338" s="14">
        <v>3364</v>
      </c>
      <c r="E338" s="9"/>
    </row>
    <row r="339" spans="1:5" x14ac:dyDescent="0.3">
      <c r="A339" s="5">
        <v>42607</v>
      </c>
      <c r="B339" s="6" t="s">
        <v>790</v>
      </c>
      <c r="C339" s="7"/>
      <c r="D339" s="14">
        <v>33337</v>
      </c>
      <c r="E339" s="9"/>
    </row>
    <row r="340" spans="1:5" x14ac:dyDescent="0.3">
      <c r="A340" s="5">
        <v>42611</v>
      </c>
      <c r="B340" s="6" t="s">
        <v>796</v>
      </c>
      <c r="C340" s="7"/>
      <c r="D340" s="14">
        <v>2800</v>
      </c>
      <c r="E340" s="9"/>
    </row>
    <row r="341" spans="1:5" x14ac:dyDescent="0.3">
      <c r="A341" s="5">
        <v>42611</v>
      </c>
      <c r="B341" s="6" t="s">
        <v>791</v>
      </c>
      <c r="C341" s="7"/>
      <c r="D341" s="14">
        <v>4503</v>
      </c>
      <c r="E341" s="9"/>
    </row>
    <row r="342" spans="1:5" x14ac:dyDescent="0.3">
      <c r="A342" s="5">
        <v>42615</v>
      </c>
      <c r="B342" s="6" t="s">
        <v>793</v>
      </c>
      <c r="C342" s="7"/>
      <c r="D342" s="14">
        <v>3364</v>
      </c>
      <c r="E342" s="9"/>
    </row>
    <row r="343" spans="1:5" x14ac:dyDescent="0.3">
      <c r="A343" s="5">
        <v>42619</v>
      </c>
      <c r="B343" s="6" t="s">
        <v>799</v>
      </c>
      <c r="C343" s="7"/>
      <c r="D343" s="14">
        <v>250</v>
      </c>
      <c r="E343" s="9"/>
    </row>
    <row r="344" spans="1:5" x14ac:dyDescent="0.3">
      <c r="A344" s="5">
        <v>42619</v>
      </c>
      <c r="B344" s="6" t="s">
        <v>799</v>
      </c>
      <c r="C344" s="7"/>
      <c r="D344" s="14">
        <v>15</v>
      </c>
      <c r="E344" s="9"/>
    </row>
    <row r="345" spans="1:5" x14ac:dyDescent="0.3">
      <c r="A345" s="5">
        <v>42619</v>
      </c>
      <c r="B345" s="6" t="s">
        <v>795</v>
      </c>
      <c r="C345" s="7"/>
      <c r="D345" s="14">
        <v>42.4</v>
      </c>
      <c r="E345" s="9"/>
    </row>
    <row r="346" spans="1:5" x14ac:dyDescent="0.3">
      <c r="A346" s="5">
        <v>42622</v>
      </c>
      <c r="B346" s="6" t="s">
        <v>716</v>
      </c>
      <c r="C346" s="7"/>
      <c r="D346" s="14">
        <v>8120</v>
      </c>
      <c r="E346" s="9"/>
    </row>
    <row r="347" spans="1:5" x14ac:dyDescent="0.3">
      <c r="A347" s="5">
        <v>42622</v>
      </c>
      <c r="B347" s="6" t="s">
        <v>792</v>
      </c>
      <c r="C347" s="7"/>
      <c r="D347" s="14">
        <v>3000</v>
      </c>
      <c r="E347" s="9"/>
    </row>
    <row r="348" spans="1:5" x14ac:dyDescent="0.3">
      <c r="A348" s="5">
        <v>42628</v>
      </c>
      <c r="B348" s="6" t="s">
        <v>792</v>
      </c>
      <c r="C348" s="7" t="s">
        <v>69</v>
      </c>
      <c r="D348" s="14">
        <v>480</v>
      </c>
      <c r="E348" s="9"/>
    </row>
    <row r="349" spans="1:5" x14ac:dyDescent="0.3">
      <c r="A349" s="5">
        <v>42639</v>
      </c>
      <c r="B349" s="6" t="s">
        <v>790</v>
      </c>
      <c r="C349" s="7"/>
      <c r="D349" s="14">
        <v>16133</v>
      </c>
      <c r="E349" s="9"/>
    </row>
    <row r="350" spans="1:5" x14ac:dyDescent="0.3">
      <c r="A350" s="5">
        <v>42646</v>
      </c>
      <c r="B350" s="6" t="s">
        <v>716</v>
      </c>
      <c r="C350" s="7"/>
      <c r="D350" s="14">
        <v>8120</v>
      </c>
      <c r="E350" s="9"/>
    </row>
    <row r="351" spans="1:5" x14ac:dyDescent="0.3">
      <c r="A351" s="5">
        <v>42646</v>
      </c>
      <c r="B351" s="6" t="s">
        <v>796</v>
      </c>
      <c r="C351" s="7"/>
      <c r="D351" s="14">
        <v>2800</v>
      </c>
      <c r="E351" s="9"/>
    </row>
    <row r="352" spans="1:5" x14ac:dyDescent="0.3">
      <c r="A352" s="5">
        <v>42646</v>
      </c>
      <c r="B352" s="6" t="s">
        <v>792</v>
      </c>
      <c r="C352" s="7"/>
      <c r="D352" s="14">
        <v>1392</v>
      </c>
      <c r="E352" s="9"/>
    </row>
    <row r="353" spans="1:5" x14ac:dyDescent="0.3">
      <c r="A353" s="5">
        <v>42649</v>
      </c>
      <c r="B353" s="6" t="s">
        <v>799</v>
      </c>
      <c r="C353" s="7"/>
      <c r="D353" s="14">
        <v>250</v>
      </c>
      <c r="E353" s="9"/>
    </row>
    <row r="354" spans="1:5" x14ac:dyDescent="0.3">
      <c r="A354" s="5">
        <v>42649</v>
      </c>
      <c r="B354" s="6" t="s">
        <v>799</v>
      </c>
      <c r="C354" s="7"/>
      <c r="D354" s="14">
        <v>20</v>
      </c>
      <c r="E354" s="9"/>
    </row>
    <row r="355" spans="1:5" x14ac:dyDescent="0.3">
      <c r="A355" s="5">
        <v>42649</v>
      </c>
      <c r="B355" s="6" t="s">
        <v>795</v>
      </c>
      <c r="C355" s="7"/>
      <c r="D355" s="14">
        <v>43.2</v>
      </c>
      <c r="E355" s="9"/>
    </row>
    <row r="356" spans="1:5" x14ac:dyDescent="0.3">
      <c r="A356" s="5">
        <v>42657</v>
      </c>
      <c r="B356" s="6" t="s">
        <v>792</v>
      </c>
      <c r="C356" s="7"/>
      <c r="D356" s="14">
        <v>2088</v>
      </c>
      <c r="E356" s="9"/>
    </row>
    <row r="357" spans="1:5" x14ac:dyDescent="0.3">
      <c r="A357" s="5">
        <v>42664</v>
      </c>
      <c r="B357" s="6" t="s">
        <v>793</v>
      </c>
      <c r="C357" s="7"/>
      <c r="D357" s="14">
        <v>3364</v>
      </c>
      <c r="E357" s="9"/>
    </row>
    <row r="358" spans="1:5" x14ac:dyDescent="0.3">
      <c r="A358" s="5">
        <v>42668</v>
      </c>
      <c r="B358" s="6" t="s">
        <v>790</v>
      </c>
      <c r="C358" s="7"/>
      <c r="D358" s="14">
        <v>17107</v>
      </c>
      <c r="E358" s="9"/>
    </row>
    <row r="359" spans="1:5" x14ac:dyDescent="0.3">
      <c r="A359" s="5">
        <v>42678</v>
      </c>
      <c r="B359" s="14" t="s">
        <v>792</v>
      </c>
      <c r="C359" s="7"/>
      <c r="D359" s="14">
        <v>696</v>
      </c>
      <c r="E359" s="9"/>
    </row>
    <row r="360" spans="1:5" x14ac:dyDescent="0.3">
      <c r="A360" s="5">
        <v>42678</v>
      </c>
      <c r="B360" s="6" t="s">
        <v>792</v>
      </c>
      <c r="C360" s="7" t="s">
        <v>70</v>
      </c>
      <c r="D360" s="14">
        <v>2088</v>
      </c>
      <c r="E360" s="9"/>
    </row>
    <row r="361" spans="1:5" x14ac:dyDescent="0.3">
      <c r="A361" s="5">
        <v>42681</v>
      </c>
      <c r="B361" s="6" t="s">
        <v>799</v>
      </c>
      <c r="C361" s="7"/>
      <c r="D361" s="14">
        <v>250</v>
      </c>
      <c r="E361" s="9"/>
    </row>
    <row r="362" spans="1:5" x14ac:dyDescent="0.3">
      <c r="A362" s="5">
        <v>42681</v>
      </c>
      <c r="B362" s="6" t="s">
        <v>799</v>
      </c>
      <c r="C362" s="7"/>
      <c r="D362" s="14">
        <v>25</v>
      </c>
      <c r="E362" s="9"/>
    </row>
    <row r="363" spans="1:5" x14ac:dyDescent="0.3">
      <c r="A363" s="5">
        <v>42681</v>
      </c>
      <c r="B363" s="6" t="s">
        <v>795</v>
      </c>
      <c r="C363" s="7"/>
      <c r="D363" s="14">
        <v>44</v>
      </c>
      <c r="E363" s="9"/>
    </row>
    <row r="364" spans="1:5" x14ac:dyDescent="0.3">
      <c r="A364" s="5">
        <v>42685</v>
      </c>
      <c r="B364" s="6" t="s">
        <v>793</v>
      </c>
      <c r="C364" s="7"/>
      <c r="D364" s="14">
        <v>3364</v>
      </c>
      <c r="E364" s="9"/>
    </row>
    <row r="365" spans="1:5" x14ac:dyDescent="0.3">
      <c r="A365" s="5">
        <v>42685</v>
      </c>
      <c r="B365" s="6" t="s">
        <v>775</v>
      </c>
      <c r="C365" s="7" t="s">
        <v>71</v>
      </c>
      <c r="D365" s="14">
        <v>1740</v>
      </c>
      <c r="E365" s="9"/>
    </row>
    <row r="366" spans="1:5" x14ac:dyDescent="0.3">
      <c r="A366" s="5">
        <v>42685</v>
      </c>
      <c r="B366" s="6" t="s">
        <v>793</v>
      </c>
      <c r="C366" s="7" t="s">
        <v>72</v>
      </c>
      <c r="D366" s="14">
        <v>2900</v>
      </c>
      <c r="E366" s="9"/>
    </row>
    <row r="367" spans="1:5" x14ac:dyDescent="0.3">
      <c r="A367" s="5">
        <v>42688</v>
      </c>
      <c r="B367" s="6" t="s">
        <v>716</v>
      </c>
      <c r="C367" s="7"/>
      <c r="D367" s="14">
        <v>8120</v>
      </c>
      <c r="E367" s="9"/>
    </row>
    <row r="368" spans="1:5" x14ac:dyDescent="0.3">
      <c r="A368" s="5">
        <v>42692</v>
      </c>
      <c r="B368" s="6" t="s">
        <v>771</v>
      </c>
      <c r="C368" s="7" t="s">
        <v>73</v>
      </c>
      <c r="D368" s="14">
        <v>5148</v>
      </c>
      <c r="E368" s="9"/>
    </row>
    <row r="369" spans="1:5" x14ac:dyDescent="0.3">
      <c r="A369" s="5">
        <v>42698</v>
      </c>
      <c r="B369" s="6" t="s">
        <v>790</v>
      </c>
      <c r="C369" s="7"/>
      <c r="D369" s="14">
        <v>16765</v>
      </c>
      <c r="E369" s="9"/>
    </row>
    <row r="370" spans="1:5" x14ac:dyDescent="0.3">
      <c r="A370" s="5">
        <v>42699</v>
      </c>
      <c r="B370" s="6" t="s">
        <v>796</v>
      </c>
      <c r="C370" s="7" t="s">
        <v>74</v>
      </c>
      <c r="D370" s="14">
        <v>2800</v>
      </c>
      <c r="E370" s="9"/>
    </row>
    <row r="371" spans="1:5" x14ac:dyDescent="0.3">
      <c r="A371" s="5">
        <v>42705</v>
      </c>
      <c r="B371" s="6" t="s">
        <v>791</v>
      </c>
      <c r="C371" s="7" t="s">
        <v>75</v>
      </c>
      <c r="D371" s="14">
        <v>8555</v>
      </c>
      <c r="E371" s="9"/>
    </row>
    <row r="372" spans="1:5" x14ac:dyDescent="0.3">
      <c r="A372" s="5">
        <v>42710</v>
      </c>
      <c r="B372" s="6" t="s">
        <v>799</v>
      </c>
      <c r="C372" s="7"/>
      <c r="D372" s="14">
        <v>250</v>
      </c>
      <c r="E372" s="9"/>
    </row>
    <row r="373" spans="1:5" x14ac:dyDescent="0.3">
      <c r="A373" s="5">
        <v>42710</v>
      </c>
      <c r="B373" s="6" t="s">
        <v>797</v>
      </c>
      <c r="C373" s="7"/>
      <c r="D373" s="14">
        <v>38</v>
      </c>
      <c r="E373" s="9"/>
    </row>
    <row r="374" spans="1:5" x14ac:dyDescent="0.3">
      <c r="A374" s="5">
        <v>42710</v>
      </c>
      <c r="B374" s="6" t="s">
        <v>795</v>
      </c>
      <c r="C374" s="7"/>
      <c r="D374" s="14">
        <v>46.08</v>
      </c>
      <c r="E374" s="9"/>
    </row>
    <row r="375" spans="1:5" x14ac:dyDescent="0.3">
      <c r="A375" s="5">
        <v>42710</v>
      </c>
      <c r="B375" s="6" t="s">
        <v>793</v>
      </c>
      <c r="C375" s="7"/>
      <c r="D375" s="14">
        <v>3364</v>
      </c>
      <c r="E375" s="9"/>
    </row>
    <row r="376" spans="1:5" x14ac:dyDescent="0.3">
      <c r="A376" s="5">
        <v>42711</v>
      </c>
      <c r="B376" s="6" t="s">
        <v>792</v>
      </c>
      <c r="C376" s="7"/>
      <c r="D376" s="14">
        <v>5800</v>
      </c>
      <c r="E376" s="9"/>
    </row>
    <row r="377" spans="1:5" x14ac:dyDescent="0.3">
      <c r="A377" s="5">
        <v>42711</v>
      </c>
      <c r="B377" s="6" t="s">
        <v>716</v>
      </c>
      <c r="C377" s="7" t="s">
        <v>76</v>
      </c>
      <c r="D377" s="14">
        <v>8120</v>
      </c>
      <c r="E377" s="9"/>
    </row>
    <row r="378" spans="1:5" x14ac:dyDescent="0.3">
      <c r="A378" s="5">
        <v>42726</v>
      </c>
      <c r="B378" s="6" t="s">
        <v>796</v>
      </c>
      <c r="C378" s="7" t="s">
        <v>76</v>
      </c>
      <c r="D378" s="14">
        <v>2800</v>
      </c>
      <c r="E378" s="9"/>
    </row>
    <row r="379" spans="1:5" x14ac:dyDescent="0.3">
      <c r="A379" s="5">
        <v>42730</v>
      </c>
      <c r="B379" s="6" t="s">
        <v>790</v>
      </c>
      <c r="C379" s="7" t="s">
        <v>76</v>
      </c>
      <c r="D379" s="14">
        <v>20528</v>
      </c>
      <c r="E379" s="9"/>
    </row>
    <row r="380" spans="1:5" x14ac:dyDescent="0.3">
      <c r="A380" s="5">
        <v>42734</v>
      </c>
      <c r="B380" s="6" t="s">
        <v>791</v>
      </c>
      <c r="C380" s="7" t="s">
        <v>76</v>
      </c>
      <c r="D380" s="14">
        <v>6120</v>
      </c>
      <c r="E380" s="9"/>
    </row>
    <row r="381" spans="1:5" x14ac:dyDescent="0.3">
      <c r="A381" s="23">
        <v>42740</v>
      </c>
      <c r="B381" s="6" t="s">
        <v>799</v>
      </c>
      <c r="C381" s="7"/>
      <c r="D381" s="14">
        <v>250</v>
      </c>
      <c r="E381" s="9"/>
    </row>
    <row r="382" spans="1:5" x14ac:dyDescent="0.3">
      <c r="A382" s="23">
        <v>42740</v>
      </c>
      <c r="B382" s="6" t="s">
        <v>797</v>
      </c>
      <c r="C382" s="7"/>
      <c r="D382" s="14">
        <v>10</v>
      </c>
      <c r="E382" s="9"/>
    </row>
    <row r="383" spans="1:5" x14ac:dyDescent="0.3">
      <c r="A383" s="23">
        <v>42740</v>
      </c>
      <c r="B383" s="6" t="s">
        <v>795</v>
      </c>
      <c r="C383" s="7"/>
      <c r="D383" s="14">
        <v>41.6</v>
      </c>
      <c r="E383" s="9"/>
    </row>
    <row r="384" spans="1:5" x14ac:dyDescent="0.3">
      <c r="A384" s="23">
        <v>42754</v>
      </c>
      <c r="B384" s="6" t="s">
        <v>793</v>
      </c>
      <c r="C384" s="7" t="s">
        <v>76</v>
      </c>
      <c r="D384" s="14">
        <v>3364</v>
      </c>
      <c r="E384" s="9"/>
    </row>
    <row r="385" spans="1:5" x14ac:dyDescent="0.3">
      <c r="A385" s="23">
        <v>42754</v>
      </c>
      <c r="B385" s="6" t="s">
        <v>792</v>
      </c>
      <c r="C385" s="7" t="s">
        <v>77</v>
      </c>
      <c r="D385" s="14">
        <v>2784</v>
      </c>
      <c r="E385" s="9"/>
    </row>
    <row r="386" spans="1:5" x14ac:dyDescent="0.3">
      <c r="A386" s="23">
        <v>42754</v>
      </c>
      <c r="B386" s="6" t="s">
        <v>716</v>
      </c>
      <c r="C386" s="7" t="s">
        <v>77</v>
      </c>
      <c r="D386" s="14">
        <v>8120</v>
      </c>
      <c r="E386" s="9"/>
    </row>
    <row r="387" spans="1:5" x14ac:dyDescent="0.3">
      <c r="A387" s="5">
        <v>42761</v>
      </c>
      <c r="B387" s="6" t="s">
        <v>790</v>
      </c>
      <c r="C387" s="7" t="s">
        <v>77</v>
      </c>
      <c r="D387" s="14">
        <v>18923</v>
      </c>
      <c r="E387" s="9"/>
    </row>
    <row r="388" spans="1:5" x14ac:dyDescent="0.3">
      <c r="A388" s="5">
        <v>42769</v>
      </c>
      <c r="B388" s="6" t="s">
        <v>792</v>
      </c>
      <c r="C388" s="7" t="s">
        <v>78</v>
      </c>
      <c r="D388" s="14">
        <v>2784</v>
      </c>
      <c r="E388" s="9"/>
    </row>
    <row r="389" spans="1:5" x14ac:dyDescent="0.3">
      <c r="A389" s="5">
        <v>42769</v>
      </c>
      <c r="B389" s="6" t="s">
        <v>793</v>
      </c>
      <c r="C389" s="7" t="s">
        <v>77</v>
      </c>
      <c r="D389" s="14">
        <v>3364</v>
      </c>
      <c r="E389" s="9"/>
    </row>
    <row r="390" spans="1:5" x14ac:dyDescent="0.3">
      <c r="A390" s="5">
        <v>42773</v>
      </c>
      <c r="B390" s="6" t="s">
        <v>799</v>
      </c>
      <c r="C390" s="7"/>
      <c r="D390" s="14">
        <v>15</v>
      </c>
      <c r="E390" s="9"/>
    </row>
    <row r="391" spans="1:5" x14ac:dyDescent="0.3">
      <c r="A391" s="5">
        <v>42773</v>
      </c>
      <c r="B391" s="6" t="s">
        <v>795</v>
      </c>
      <c r="C391" s="7"/>
      <c r="D391" s="14">
        <v>2.4</v>
      </c>
      <c r="E391" s="9"/>
    </row>
    <row r="392" spans="1:5" x14ac:dyDescent="0.3">
      <c r="A392" s="5">
        <v>42776</v>
      </c>
      <c r="B392" s="6" t="s">
        <v>716</v>
      </c>
      <c r="C392" s="7" t="s">
        <v>79</v>
      </c>
      <c r="D392" s="14">
        <v>8120</v>
      </c>
      <c r="E392" s="9"/>
    </row>
    <row r="393" spans="1:5" x14ac:dyDescent="0.3">
      <c r="A393" s="5">
        <v>42780</v>
      </c>
      <c r="B393" s="6" t="s">
        <v>799</v>
      </c>
      <c r="C393" s="7"/>
      <c r="D393" s="14">
        <v>250</v>
      </c>
      <c r="E393" s="9"/>
    </row>
    <row r="394" spans="1:5" x14ac:dyDescent="0.3">
      <c r="A394" s="5">
        <v>42780</v>
      </c>
      <c r="B394" s="6" t="s">
        <v>797</v>
      </c>
      <c r="C394" s="7"/>
      <c r="D394" s="14">
        <v>10</v>
      </c>
      <c r="E394" s="9"/>
    </row>
    <row r="395" spans="1:5" x14ac:dyDescent="0.3">
      <c r="A395" s="5">
        <v>42780</v>
      </c>
      <c r="B395" s="6" t="s">
        <v>795</v>
      </c>
      <c r="C395" s="7"/>
      <c r="D395" s="14">
        <v>41.6</v>
      </c>
      <c r="E395" s="9"/>
    </row>
    <row r="396" spans="1:5" x14ac:dyDescent="0.3">
      <c r="A396" s="5">
        <v>42789</v>
      </c>
      <c r="B396" s="6" t="s">
        <v>797</v>
      </c>
      <c r="C396" s="7"/>
      <c r="D396" s="14">
        <v>5</v>
      </c>
      <c r="E396" s="9"/>
    </row>
    <row r="397" spans="1:5" x14ac:dyDescent="0.3">
      <c r="A397" s="5">
        <v>42789</v>
      </c>
      <c r="B397" s="6" t="s">
        <v>795</v>
      </c>
      <c r="C397" s="7"/>
      <c r="D397" s="14">
        <v>0.8</v>
      </c>
      <c r="E397" s="9"/>
    </row>
    <row r="398" spans="1:5" x14ac:dyDescent="0.3">
      <c r="A398" s="5">
        <v>42797</v>
      </c>
      <c r="B398" s="6" t="s">
        <v>791</v>
      </c>
      <c r="C398" s="7"/>
      <c r="D398" s="14">
        <v>10689</v>
      </c>
      <c r="E398" s="9"/>
    </row>
    <row r="399" spans="1:5" x14ac:dyDescent="0.3">
      <c r="A399" s="5">
        <v>42800</v>
      </c>
      <c r="B399" s="6" t="s">
        <v>799</v>
      </c>
      <c r="C399" s="7"/>
      <c r="D399" s="14">
        <v>250</v>
      </c>
      <c r="E399" s="9"/>
    </row>
    <row r="400" spans="1:5" x14ac:dyDescent="0.3">
      <c r="A400" s="5">
        <v>42800</v>
      </c>
      <c r="B400" s="6" t="s">
        <v>797</v>
      </c>
      <c r="C400" s="7"/>
      <c r="D400" s="14">
        <v>15</v>
      </c>
      <c r="E400" s="9"/>
    </row>
    <row r="401" spans="1:5" x14ac:dyDescent="0.3">
      <c r="A401" s="5">
        <v>42800</v>
      </c>
      <c r="B401" s="6" t="s">
        <v>795</v>
      </c>
      <c r="C401" s="7"/>
      <c r="D401" s="14">
        <v>42.4</v>
      </c>
      <c r="E401" s="9"/>
    </row>
    <row r="402" spans="1:5" x14ac:dyDescent="0.3">
      <c r="A402" s="5">
        <v>42801</v>
      </c>
      <c r="B402" s="6" t="s">
        <v>793</v>
      </c>
      <c r="C402" s="7" t="s">
        <v>79</v>
      </c>
      <c r="D402" s="14">
        <v>3364</v>
      </c>
      <c r="E402" s="9"/>
    </row>
    <row r="403" spans="1:5" x14ac:dyDescent="0.3">
      <c r="A403" s="5">
        <v>42801</v>
      </c>
      <c r="B403" s="6" t="s">
        <v>752</v>
      </c>
      <c r="C403" s="7" t="s">
        <v>80</v>
      </c>
      <c r="D403" s="14">
        <v>3000</v>
      </c>
      <c r="E403" s="9"/>
    </row>
    <row r="404" spans="1:5" x14ac:dyDescent="0.3">
      <c r="A404" s="5">
        <v>42801</v>
      </c>
      <c r="B404" s="6" t="s">
        <v>792</v>
      </c>
      <c r="C404" s="7" t="s">
        <v>81</v>
      </c>
      <c r="D404" s="14">
        <v>2784</v>
      </c>
      <c r="E404" s="9"/>
    </row>
    <row r="405" spans="1:5" x14ac:dyDescent="0.3">
      <c r="A405" s="5">
        <v>42821</v>
      </c>
      <c r="B405" s="6" t="s">
        <v>790</v>
      </c>
      <c r="C405" s="7" t="s">
        <v>82</v>
      </c>
      <c r="D405" s="14">
        <v>20299</v>
      </c>
      <c r="E405" s="9"/>
    </row>
    <row r="406" spans="1:5" x14ac:dyDescent="0.3">
      <c r="A406" s="5">
        <v>42831</v>
      </c>
      <c r="B406" s="6" t="s">
        <v>799</v>
      </c>
      <c r="C406" s="7"/>
      <c r="D406" s="14">
        <v>250</v>
      </c>
      <c r="E406" s="9"/>
    </row>
    <row r="407" spans="1:5" x14ac:dyDescent="0.3">
      <c r="A407" s="5">
        <v>42831</v>
      </c>
      <c r="B407" s="6" t="s">
        <v>799</v>
      </c>
      <c r="C407" s="7"/>
      <c r="D407" s="14">
        <v>15</v>
      </c>
      <c r="E407" s="9"/>
    </row>
    <row r="408" spans="1:5" x14ac:dyDescent="0.3">
      <c r="A408" s="5">
        <v>42831</v>
      </c>
      <c r="B408" s="6" t="s">
        <v>795</v>
      </c>
      <c r="C408" s="7"/>
      <c r="D408" s="14">
        <v>42.4</v>
      </c>
      <c r="E408" s="9"/>
    </row>
    <row r="409" spans="1:5" x14ac:dyDescent="0.3">
      <c r="A409" s="5">
        <v>42832</v>
      </c>
      <c r="B409" s="6" t="s">
        <v>716</v>
      </c>
      <c r="C409" s="7" t="s">
        <v>83</v>
      </c>
      <c r="D409" s="14">
        <v>8120</v>
      </c>
      <c r="E409" s="9"/>
    </row>
    <row r="410" spans="1:5" x14ac:dyDescent="0.3">
      <c r="A410" s="5">
        <v>42832</v>
      </c>
      <c r="B410" s="6" t="s">
        <v>793</v>
      </c>
      <c r="C410" s="7"/>
      <c r="D410" s="14">
        <v>3364</v>
      </c>
      <c r="E410" s="9"/>
    </row>
    <row r="411" spans="1:5" x14ac:dyDescent="0.3">
      <c r="A411" s="5">
        <v>42836</v>
      </c>
      <c r="B411" s="6" t="s">
        <v>792</v>
      </c>
      <c r="C411" s="7"/>
      <c r="D411" s="14">
        <v>4524</v>
      </c>
      <c r="E411" s="9"/>
    </row>
    <row r="412" spans="1:5" x14ac:dyDescent="0.3">
      <c r="A412" s="5">
        <v>42852</v>
      </c>
      <c r="B412" s="6" t="s">
        <v>752</v>
      </c>
      <c r="C412" s="7"/>
      <c r="D412" s="14">
        <v>3000</v>
      </c>
      <c r="E412" s="9"/>
    </row>
    <row r="413" spans="1:5" x14ac:dyDescent="0.3">
      <c r="A413" s="5">
        <v>42853</v>
      </c>
      <c r="B413" s="6" t="s">
        <v>790</v>
      </c>
      <c r="C413" s="7"/>
      <c r="D413" s="14">
        <v>24269</v>
      </c>
      <c r="E413" s="9"/>
    </row>
    <row r="414" spans="1:5" x14ac:dyDescent="0.3">
      <c r="A414" s="5">
        <v>42859</v>
      </c>
      <c r="B414" s="6" t="s">
        <v>792</v>
      </c>
      <c r="C414" s="7"/>
      <c r="D414" s="14">
        <v>2784</v>
      </c>
      <c r="E414" s="9"/>
    </row>
    <row r="415" spans="1:5" x14ac:dyDescent="0.3">
      <c r="A415" s="5">
        <v>42859</v>
      </c>
      <c r="B415" s="6" t="s">
        <v>716</v>
      </c>
      <c r="C415" s="7"/>
      <c r="D415" s="14">
        <v>5000.01</v>
      </c>
      <c r="E415" s="9"/>
    </row>
    <row r="416" spans="1:5" x14ac:dyDescent="0.3">
      <c r="A416" s="5">
        <v>42859</v>
      </c>
      <c r="B416" s="6" t="s">
        <v>791</v>
      </c>
      <c r="C416" s="7"/>
      <c r="D416" s="14">
        <v>10236</v>
      </c>
      <c r="E416" s="9"/>
    </row>
    <row r="417" spans="1:5" x14ac:dyDescent="0.3">
      <c r="A417" s="5">
        <v>42860</v>
      </c>
      <c r="B417" s="6" t="s">
        <v>799</v>
      </c>
      <c r="C417" s="7"/>
      <c r="D417" s="14">
        <v>250</v>
      </c>
      <c r="E417" s="9"/>
    </row>
    <row r="418" spans="1:5" x14ac:dyDescent="0.3">
      <c r="A418" s="5">
        <v>42860</v>
      </c>
      <c r="B418" s="6" t="s">
        <v>799</v>
      </c>
      <c r="C418" s="7"/>
      <c r="D418" s="14">
        <v>20</v>
      </c>
      <c r="E418" s="9"/>
    </row>
    <row r="419" spans="1:5" x14ac:dyDescent="0.3">
      <c r="A419" s="5">
        <v>42860</v>
      </c>
      <c r="B419" s="6" t="s">
        <v>795</v>
      </c>
      <c r="C419" s="7"/>
      <c r="D419" s="14">
        <v>43.2</v>
      </c>
      <c r="E419" s="9"/>
    </row>
    <row r="420" spans="1:5" x14ac:dyDescent="0.3">
      <c r="A420" s="5">
        <v>42880</v>
      </c>
      <c r="B420" s="6" t="s">
        <v>790</v>
      </c>
      <c r="C420" s="7"/>
      <c r="D420" s="14">
        <v>24269</v>
      </c>
      <c r="E420" s="9"/>
    </row>
    <row r="421" spans="1:5" x14ac:dyDescent="0.3">
      <c r="A421" s="5">
        <v>42880</v>
      </c>
      <c r="B421" s="6" t="s">
        <v>793</v>
      </c>
      <c r="C421" s="7"/>
      <c r="D421" s="14">
        <v>3364</v>
      </c>
      <c r="E421" s="9"/>
    </row>
    <row r="422" spans="1:5" x14ac:dyDescent="0.3">
      <c r="A422" s="5">
        <v>42891</v>
      </c>
      <c r="B422" s="6" t="s">
        <v>790</v>
      </c>
      <c r="C422" s="7"/>
      <c r="D422" s="14">
        <v>17930</v>
      </c>
      <c r="E422" s="9"/>
    </row>
    <row r="423" spans="1:5" x14ac:dyDescent="0.3">
      <c r="A423" s="5">
        <v>42892</v>
      </c>
      <c r="B423" s="6" t="s">
        <v>799</v>
      </c>
      <c r="C423" s="7"/>
      <c r="D423" s="14">
        <v>250</v>
      </c>
      <c r="E423" s="9"/>
    </row>
    <row r="424" spans="1:5" x14ac:dyDescent="0.3">
      <c r="A424" s="5">
        <v>42892</v>
      </c>
      <c r="B424" s="6" t="s">
        <v>799</v>
      </c>
      <c r="C424" s="7"/>
      <c r="D424" s="14">
        <v>20</v>
      </c>
      <c r="E424" s="9"/>
    </row>
    <row r="425" spans="1:5" x14ac:dyDescent="0.3">
      <c r="A425" s="5">
        <v>42892</v>
      </c>
      <c r="B425" s="6" t="s">
        <v>795</v>
      </c>
      <c r="C425" s="7"/>
      <c r="D425" s="14">
        <v>43.2</v>
      </c>
      <c r="E425" s="9"/>
    </row>
    <row r="426" spans="1:5" x14ac:dyDescent="0.3">
      <c r="A426" s="5">
        <v>42895</v>
      </c>
      <c r="B426" s="6" t="s">
        <v>792</v>
      </c>
      <c r="C426" s="7"/>
      <c r="D426" s="14">
        <v>1200</v>
      </c>
      <c r="E426" s="9"/>
    </row>
    <row r="427" spans="1:5" x14ac:dyDescent="0.3">
      <c r="A427" s="5">
        <v>42902</v>
      </c>
      <c r="B427" s="6" t="s">
        <v>792</v>
      </c>
      <c r="C427" s="7" t="s">
        <v>84</v>
      </c>
      <c r="D427" s="14">
        <v>2280</v>
      </c>
      <c r="E427" s="9"/>
    </row>
    <row r="428" spans="1:5" x14ac:dyDescent="0.3">
      <c r="A428" s="5">
        <v>42905</v>
      </c>
      <c r="B428" s="6" t="s">
        <v>793</v>
      </c>
      <c r="C428" s="7"/>
      <c r="D428" s="14">
        <v>3364</v>
      </c>
      <c r="E428" s="9"/>
    </row>
    <row r="429" spans="1:5" x14ac:dyDescent="0.3">
      <c r="A429" s="5">
        <v>42919</v>
      </c>
      <c r="B429" s="6" t="s">
        <v>775</v>
      </c>
      <c r="C429" s="7" t="s">
        <v>85</v>
      </c>
      <c r="D429" s="14">
        <v>350</v>
      </c>
      <c r="E429" s="9"/>
    </row>
    <row r="430" spans="1:5" x14ac:dyDescent="0.3">
      <c r="A430" s="5">
        <v>42919</v>
      </c>
      <c r="B430" s="6" t="s">
        <v>775</v>
      </c>
      <c r="C430" s="7" t="s">
        <v>86</v>
      </c>
      <c r="D430" s="14">
        <v>56</v>
      </c>
      <c r="E430" s="9"/>
    </row>
    <row r="431" spans="1:5" x14ac:dyDescent="0.3">
      <c r="A431" s="5">
        <v>42919</v>
      </c>
      <c r="B431" s="6" t="s">
        <v>791</v>
      </c>
      <c r="C431" s="7"/>
      <c r="D431" s="14">
        <v>8955</v>
      </c>
      <c r="E431" s="9"/>
    </row>
    <row r="432" spans="1:5" x14ac:dyDescent="0.3">
      <c r="A432" s="5">
        <v>42920</v>
      </c>
      <c r="B432" s="6" t="s">
        <v>793</v>
      </c>
      <c r="C432" s="7"/>
      <c r="D432" s="14">
        <v>3364</v>
      </c>
      <c r="E432" s="9"/>
    </row>
    <row r="433" spans="1:5" x14ac:dyDescent="0.3">
      <c r="A433" s="5">
        <v>42922</v>
      </c>
      <c r="B433" s="6" t="s">
        <v>799</v>
      </c>
      <c r="C433" s="7"/>
      <c r="D433" s="14">
        <v>250</v>
      </c>
      <c r="E433" s="9"/>
    </row>
    <row r="434" spans="1:5" x14ac:dyDescent="0.3">
      <c r="A434" s="5">
        <v>42922</v>
      </c>
      <c r="B434" s="6" t="s">
        <v>799</v>
      </c>
      <c r="C434" s="7"/>
      <c r="D434" s="14">
        <v>20</v>
      </c>
      <c r="E434" s="9"/>
    </row>
    <row r="435" spans="1:5" x14ac:dyDescent="0.3">
      <c r="A435" s="5">
        <v>42922</v>
      </c>
      <c r="B435" s="6" t="s">
        <v>795</v>
      </c>
      <c r="C435" s="7"/>
      <c r="D435" s="14">
        <v>43.2</v>
      </c>
      <c r="E435" s="9"/>
    </row>
    <row r="436" spans="1:5" x14ac:dyDescent="0.3">
      <c r="A436" s="5">
        <v>42923</v>
      </c>
      <c r="B436" s="6" t="s">
        <v>775</v>
      </c>
      <c r="C436" s="7" t="s">
        <v>87</v>
      </c>
      <c r="D436" s="14">
        <v>1171.8599999999999</v>
      </c>
      <c r="E436" s="9"/>
    </row>
    <row r="437" spans="1:5" x14ac:dyDescent="0.3">
      <c r="A437" s="5">
        <v>42923</v>
      </c>
      <c r="B437" s="6" t="s">
        <v>752</v>
      </c>
      <c r="C437" s="7"/>
      <c r="D437" s="14">
        <v>3000</v>
      </c>
      <c r="E437" s="9"/>
    </row>
    <row r="438" spans="1:5" x14ac:dyDescent="0.3">
      <c r="A438" s="5">
        <v>42923</v>
      </c>
      <c r="B438" s="6" t="s">
        <v>752</v>
      </c>
      <c r="C438" s="7"/>
      <c r="D438" s="14">
        <v>2784</v>
      </c>
      <c r="E438" s="9"/>
    </row>
    <row r="439" spans="1:5" x14ac:dyDescent="0.3">
      <c r="A439" s="5">
        <v>42929</v>
      </c>
      <c r="B439" s="6" t="s">
        <v>716</v>
      </c>
      <c r="C439" s="7"/>
      <c r="D439" s="14">
        <v>5000</v>
      </c>
      <c r="E439" s="9"/>
    </row>
    <row r="440" spans="1:5" x14ac:dyDescent="0.3">
      <c r="A440" s="5">
        <v>42941</v>
      </c>
      <c r="B440" s="6" t="s">
        <v>790</v>
      </c>
      <c r="C440" s="7"/>
      <c r="D440" s="14">
        <v>42856</v>
      </c>
      <c r="E440" s="9"/>
    </row>
    <row r="441" spans="1:5" x14ac:dyDescent="0.3">
      <c r="A441" s="5">
        <v>42949</v>
      </c>
      <c r="B441" s="6" t="s">
        <v>752</v>
      </c>
      <c r="C441" s="7"/>
      <c r="D441" s="14">
        <v>2784</v>
      </c>
      <c r="E441" s="9"/>
    </row>
    <row r="442" spans="1:5" x14ac:dyDescent="0.3">
      <c r="A442" s="5">
        <v>42949</v>
      </c>
      <c r="B442" s="6" t="s">
        <v>793</v>
      </c>
      <c r="C442" s="7"/>
      <c r="D442" s="14">
        <v>3364</v>
      </c>
      <c r="E442" s="9"/>
    </row>
    <row r="443" spans="1:5" x14ac:dyDescent="0.3">
      <c r="A443" s="5">
        <v>42950</v>
      </c>
      <c r="B443" s="6" t="s">
        <v>752</v>
      </c>
      <c r="C443" s="7"/>
      <c r="D443" s="14">
        <v>3000</v>
      </c>
      <c r="E443" s="9"/>
    </row>
    <row r="444" spans="1:5" x14ac:dyDescent="0.3">
      <c r="A444" s="5">
        <v>42951</v>
      </c>
      <c r="B444" s="6" t="s">
        <v>799</v>
      </c>
      <c r="C444" s="7"/>
      <c r="D444" s="14">
        <v>250</v>
      </c>
      <c r="E444" s="9"/>
    </row>
    <row r="445" spans="1:5" x14ac:dyDescent="0.3">
      <c r="A445" s="5">
        <v>42951</v>
      </c>
      <c r="B445" s="6" t="s">
        <v>799</v>
      </c>
      <c r="C445" s="7"/>
      <c r="D445" s="14">
        <v>11</v>
      </c>
      <c r="E445" s="9"/>
    </row>
    <row r="446" spans="1:5" x14ac:dyDescent="0.3">
      <c r="A446" s="5">
        <v>42951</v>
      </c>
      <c r="B446" s="6" t="s">
        <v>795</v>
      </c>
      <c r="C446" s="7"/>
      <c r="D446" s="14">
        <v>41.76</v>
      </c>
      <c r="E446" s="9"/>
    </row>
    <row r="447" spans="1:5" x14ac:dyDescent="0.3">
      <c r="A447" s="5">
        <v>42968</v>
      </c>
      <c r="B447" s="6" t="s">
        <v>752</v>
      </c>
      <c r="C447" s="7"/>
      <c r="D447" s="14">
        <v>3000</v>
      </c>
      <c r="E447" s="9"/>
    </row>
    <row r="448" spans="1:5" x14ac:dyDescent="0.3">
      <c r="A448" s="5">
        <v>42972</v>
      </c>
      <c r="B448" s="6" t="s">
        <v>790</v>
      </c>
      <c r="C448" s="7"/>
      <c r="D448" s="14">
        <v>20391</v>
      </c>
      <c r="E448" s="9"/>
    </row>
    <row r="449" spans="1:5" x14ac:dyDescent="0.3">
      <c r="A449" s="5">
        <v>42982</v>
      </c>
      <c r="B449" s="6" t="s">
        <v>791</v>
      </c>
      <c r="C449" s="7"/>
      <c r="D449" s="14">
        <v>9374</v>
      </c>
      <c r="E449" s="9"/>
    </row>
    <row r="450" spans="1:5" x14ac:dyDescent="0.3">
      <c r="A450" s="5">
        <v>42982</v>
      </c>
      <c r="B450" s="6" t="s">
        <v>793</v>
      </c>
      <c r="C450" s="7"/>
      <c r="D450" s="14">
        <v>3364</v>
      </c>
      <c r="E450" s="9"/>
    </row>
    <row r="451" spans="1:5" x14ac:dyDescent="0.3">
      <c r="A451" s="5">
        <v>42984</v>
      </c>
      <c r="B451" s="6" t="s">
        <v>799</v>
      </c>
      <c r="C451" s="7"/>
      <c r="D451" s="14">
        <v>250</v>
      </c>
      <c r="E451" s="9"/>
    </row>
    <row r="452" spans="1:5" x14ac:dyDescent="0.3">
      <c r="A452" s="5">
        <v>42984</v>
      </c>
      <c r="B452" s="6" t="s">
        <v>797</v>
      </c>
      <c r="C452" s="7"/>
      <c r="D452" s="14">
        <v>5</v>
      </c>
      <c r="E452" s="9"/>
    </row>
    <row r="453" spans="1:5" x14ac:dyDescent="0.3">
      <c r="A453" s="5">
        <v>42984</v>
      </c>
      <c r="B453" s="6" t="s">
        <v>795</v>
      </c>
      <c r="C453" s="7"/>
      <c r="D453" s="14">
        <v>40.799999999999997</v>
      </c>
      <c r="E453" s="9"/>
    </row>
    <row r="454" spans="1:5" x14ac:dyDescent="0.3">
      <c r="A454" s="5">
        <v>42991</v>
      </c>
      <c r="B454" s="6" t="s">
        <v>752</v>
      </c>
      <c r="C454" s="7"/>
      <c r="D454" s="14">
        <v>3700</v>
      </c>
      <c r="E454" s="9"/>
    </row>
    <row r="455" spans="1:5" x14ac:dyDescent="0.3">
      <c r="A455" s="5">
        <v>42991</v>
      </c>
      <c r="B455" s="6" t="s">
        <v>752</v>
      </c>
      <c r="C455" s="7"/>
      <c r="D455" s="14">
        <v>3480</v>
      </c>
      <c r="E455" s="9"/>
    </row>
    <row r="456" spans="1:5" x14ac:dyDescent="0.3">
      <c r="A456" s="5">
        <v>43000</v>
      </c>
      <c r="B456" s="6" t="s">
        <v>752</v>
      </c>
      <c r="C456" s="7"/>
      <c r="D456" s="14">
        <v>6881.84</v>
      </c>
      <c r="E456" s="9"/>
    </row>
    <row r="457" spans="1:5" x14ac:dyDescent="0.3">
      <c r="A457" s="5">
        <v>43003</v>
      </c>
      <c r="B457" s="6" t="s">
        <v>790</v>
      </c>
      <c r="C457" s="7"/>
      <c r="D457" s="14">
        <v>17245</v>
      </c>
      <c r="E457" s="9"/>
    </row>
    <row r="458" spans="1:5" x14ac:dyDescent="0.3">
      <c r="A458" s="5">
        <v>43007</v>
      </c>
      <c r="B458" s="6" t="s">
        <v>752</v>
      </c>
      <c r="C458" s="7"/>
      <c r="D458" s="14">
        <v>3000</v>
      </c>
      <c r="E458" s="9"/>
    </row>
    <row r="459" spans="1:5" x14ac:dyDescent="0.3">
      <c r="A459" s="23">
        <v>43013</v>
      </c>
      <c r="B459" s="14" t="s">
        <v>799</v>
      </c>
      <c r="C459" s="7"/>
      <c r="D459" s="14">
        <v>250</v>
      </c>
      <c r="E459" s="9"/>
    </row>
    <row r="460" spans="1:5" x14ac:dyDescent="0.3">
      <c r="A460" s="23">
        <v>43013</v>
      </c>
      <c r="B460" s="6" t="s">
        <v>795</v>
      </c>
      <c r="C460" s="7"/>
      <c r="D460" s="14">
        <v>40</v>
      </c>
      <c r="E460" s="9"/>
    </row>
    <row r="461" spans="1:5" x14ac:dyDescent="0.3">
      <c r="A461" s="23">
        <v>43014</v>
      </c>
      <c r="B461" s="6" t="s">
        <v>752</v>
      </c>
      <c r="C461" s="7"/>
      <c r="D461" s="14">
        <v>2500</v>
      </c>
      <c r="E461" s="9"/>
    </row>
    <row r="462" spans="1:5" x14ac:dyDescent="0.3">
      <c r="A462" s="5">
        <v>43031</v>
      </c>
      <c r="B462" s="6" t="s">
        <v>793</v>
      </c>
      <c r="C462" s="7"/>
      <c r="D462" s="14">
        <v>3364</v>
      </c>
      <c r="E462" s="9"/>
    </row>
    <row r="463" spans="1:5" x14ac:dyDescent="0.3">
      <c r="A463" s="5">
        <v>43031</v>
      </c>
      <c r="B463" s="6" t="s">
        <v>752</v>
      </c>
      <c r="C463" s="7"/>
      <c r="D463" s="14">
        <v>2784</v>
      </c>
      <c r="E463" s="9"/>
    </row>
    <row r="464" spans="1:5" x14ac:dyDescent="0.3">
      <c r="A464" s="5">
        <v>43031</v>
      </c>
      <c r="B464" s="6" t="s">
        <v>752</v>
      </c>
      <c r="C464" s="7"/>
      <c r="D464" s="14">
        <v>1856</v>
      </c>
      <c r="E464" s="9"/>
    </row>
    <row r="465" spans="1:5" x14ac:dyDescent="0.3">
      <c r="A465" s="5">
        <v>43033</v>
      </c>
      <c r="B465" s="6" t="s">
        <v>790</v>
      </c>
      <c r="C465" s="7"/>
      <c r="D465" s="14">
        <v>20367</v>
      </c>
      <c r="E465" s="9"/>
    </row>
    <row r="466" spans="1:5" x14ac:dyDescent="0.3">
      <c r="A466" s="5">
        <v>43038</v>
      </c>
      <c r="B466" s="6" t="s">
        <v>799</v>
      </c>
      <c r="C466" s="7"/>
      <c r="D466" s="14">
        <v>5</v>
      </c>
      <c r="E466" s="9"/>
    </row>
    <row r="467" spans="1:5" x14ac:dyDescent="0.3">
      <c r="A467" s="5">
        <v>43038</v>
      </c>
      <c r="B467" s="6" t="s">
        <v>795</v>
      </c>
      <c r="C467" s="7"/>
      <c r="D467" s="14">
        <v>0.8</v>
      </c>
      <c r="E467" s="9"/>
    </row>
    <row r="468" spans="1:5" x14ac:dyDescent="0.3">
      <c r="A468" s="5">
        <v>43040</v>
      </c>
      <c r="B468" s="6" t="s">
        <v>791</v>
      </c>
      <c r="C468" s="7"/>
      <c r="D468" s="14">
        <v>6226</v>
      </c>
      <c r="E468" s="9"/>
    </row>
    <row r="469" spans="1:5" x14ac:dyDescent="0.3">
      <c r="A469" s="5">
        <v>43046</v>
      </c>
      <c r="B469" s="6" t="s">
        <v>799</v>
      </c>
      <c r="C469" s="7"/>
      <c r="D469" s="14">
        <v>250</v>
      </c>
      <c r="E469" s="9"/>
    </row>
    <row r="470" spans="1:5" x14ac:dyDescent="0.3">
      <c r="A470" s="5">
        <v>43046</v>
      </c>
      <c r="B470" s="6" t="s">
        <v>799</v>
      </c>
      <c r="C470" s="7"/>
      <c r="D470" s="14">
        <v>5</v>
      </c>
      <c r="E470" s="9"/>
    </row>
    <row r="471" spans="1:5" x14ac:dyDescent="0.3">
      <c r="A471" s="5">
        <v>43046</v>
      </c>
      <c r="B471" s="6" t="s">
        <v>795</v>
      </c>
      <c r="C471" s="7"/>
      <c r="D471" s="14">
        <v>40.799999999999997</v>
      </c>
      <c r="E471" s="9"/>
    </row>
    <row r="472" spans="1:5" x14ac:dyDescent="0.3">
      <c r="A472" s="5">
        <v>43047</v>
      </c>
      <c r="B472" s="6" t="s">
        <v>752</v>
      </c>
      <c r="C472" s="7"/>
      <c r="D472" s="14">
        <v>5500</v>
      </c>
      <c r="E472" s="9"/>
    </row>
    <row r="473" spans="1:5" x14ac:dyDescent="0.3">
      <c r="A473" s="5">
        <v>43047</v>
      </c>
      <c r="B473" s="6" t="s">
        <v>752</v>
      </c>
      <c r="C473" s="7"/>
      <c r="D473" s="14">
        <v>2784</v>
      </c>
      <c r="E473" s="9"/>
    </row>
    <row r="474" spans="1:5" x14ac:dyDescent="0.3">
      <c r="A474" s="5">
        <v>43049</v>
      </c>
      <c r="B474" s="6" t="s">
        <v>793</v>
      </c>
      <c r="C474" s="7"/>
      <c r="D474" s="14">
        <v>3364</v>
      </c>
      <c r="E474" s="9"/>
    </row>
    <row r="475" spans="1:5" x14ac:dyDescent="0.3">
      <c r="A475" s="5">
        <v>43063</v>
      </c>
      <c r="B475" s="6" t="s">
        <v>790</v>
      </c>
      <c r="C475" s="7"/>
      <c r="D475" s="14">
        <v>18476</v>
      </c>
      <c r="E475" s="9"/>
    </row>
    <row r="476" spans="1:5" x14ac:dyDescent="0.3">
      <c r="A476" s="5">
        <v>43068</v>
      </c>
      <c r="B476" s="6" t="s">
        <v>775</v>
      </c>
      <c r="C476" s="24" t="s">
        <v>88</v>
      </c>
      <c r="D476" s="14">
        <v>10203.36</v>
      </c>
      <c r="E476" s="9"/>
    </row>
    <row r="477" spans="1:5" x14ac:dyDescent="0.3">
      <c r="A477" s="5">
        <v>43075</v>
      </c>
      <c r="B477" s="6" t="s">
        <v>799</v>
      </c>
      <c r="C477" s="7"/>
      <c r="D477" s="14">
        <v>250</v>
      </c>
      <c r="E477" s="9"/>
    </row>
    <row r="478" spans="1:5" x14ac:dyDescent="0.3">
      <c r="A478" s="5">
        <v>43075</v>
      </c>
      <c r="B478" s="6" t="s">
        <v>799</v>
      </c>
      <c r="C478" s="7"/>
      <c r="D478" s="14">
        <v>10</v>
      </c>
      <c r="E478" s="9"/>
    </row>
    <row r="479" spans="1:5" x14ac:dyDescent="0.3">
      <c r="A479" s="5">
        <v>43075</v>
      </c>
      <c r="B479" s="6" t="s">
        <v>795</v>
      </c>
      <c r="C479" s="7"/>
      <c r="D479" s="14">
        <v>41.6</v>
      </c>
      <c r="E479" s="9"/>
    </row>
    <row r="480" spans="1:5" x14ac:dyDescent="0.3">
      <c r="A480" s="5">
        <v>43077</v>
      </c>
      <c r="B480" s="6" t="s">
        <v>793</v>
      </c>
      <c r="C480" s="7"/>
      <c r="D480" s="14">
        <v>3364</v>
      </c>
      <c r="E480" s="9"/>
    </row>
    <row r="481" spans="1:5" x14ac:dyDescent="0.3">
      <c r="A481" s="5">
        <v>43077</v>
      </c>
      <c r="B481" s="6" t="s">
        <v>752</v>
      </c>
      <c r="C481" s="7"/>
      <c r="D481" s="14">
        <v>3000</v>
      </c>
      <c r="E481" s="9"/>
    </row>
    <row r="482" spans="1:5" x14ac:dyDescent="0.3">
      <c r="A482" s="5">
        <v>43077</v>
      </c>
      <c r="B482" s="6" t="s">
        <v>752</v>
      </c>
      <c r="C482" s="7"/>
      <c r="D482" s="14">
        <v>4872</v>
      </c>
      <c r="E482" s="9"/>
    </row>
    <row r="483" spans="1:5" x14ac:dyDescent="0.3">
      <c r="A483" s="5">
        <v>43080</v>
      </c>
      <c r="B483" s="6" t="s">
        <v>775</v>
      </c>
      <c r="C483" s="7" t="s">
        <v>89</v>
      </c>
      <c r="D483" s="14">
        <v>9099.0400000000009</v>
      </c>
      <c r="E483" s="9"/>
    </row>
    <row r="484" spans="1:5" x14ac:dyDescent="0.3">
      <c r="A484" s="5">
        <v>43091</v>
      </c>
      <c r="B484" s="6" t="s">
        <v>775</v>
      </c>
      <c r="C484" s="7" t="s">
        <v>90</v>
      </c>
      <c r="D484" s="14">
        <v>3074</v>
      </c>
      <c r="E484" s="9"/>
    </row>
    <row r="485" spans="1:5" x14ac:dyDescent="0.3">
      <c r="A485" s="5">
        <v>43096</v>
      </c>
      <c r="B485" s="6" t="s">
        <v>790</v>
      </c>
      <c r="C485" s="7"/>
      <c r="D485" s="14">
        <v>22816</v>
      </c>
      <c r="E485" s="9"/>
    </row>
    <row r="486" spans="1:5" x14ac:dyDescent="0.3">
      <c r="A486" s="5">
        <v>43098</v>
      </c>
      <c r="B486" s="6" t="s">
        <v>791</v>
      </c>
      <c r="C486" s="7"/>
      <c r="D486" s="14">
        <v>6525</v>
      </c>
      <c r="E486" s="9"/>
    </row>
    <row r="487" spans="1:5" x14ac:dyDescent="0.3">
      <c r="A487" s="5">
        <v>43105</v>
      </c>
      <c r="B487" s="6" t="s">
        <v>799</v>
      </c>
      <c r="C487" s="7"/>
      <c r="D487" s="14">
        <v>250</v>
      </c>
      <c r="E487" s="9"/>
    </row>
    <row r="488" spans="1:5" x14ac:dyDescent="0.3">
      <c r="A488" s="5">
        <v>43105</v>
      </c>
      <c r="B488" s="6" t="s">
        <v>799</v>
      </c>
      <c r="C488" s="7"/>
      <c r="D488" s="14">
        <v>15</v>
      </c>
      <c r="E488" s="9"/>
    </row>
    <row r="489" spans="1:5" x14ac:dyDescent="0.3">
      <c r="A489" s="5">
        <v>43105</v>
      </c>
      <c r="B489" s="6" t="s">
        <v>795</v>
      </c>
      <c r="C489" s="7"/>
      <c r="D489" s="14">
        <v>42.4</v>
      </c>
      <c r="E489" s="9"/>
    </row>
    <row r="490" spans="1:5" x14ac:dyDescent="0.3">
      <c r="A490" s="5">
        <v>43108</v>
      </c>
      <c r="B490" s="6" t="s">
        <v>775</v>
      </c>
      <c r="C490" s="7" t="s">
        <v>91</v>
      </c>
      <c r="D490" s="14">
        <v>2064.8000000000002</v>
      </c>
      <c r="E490" s="9"/>
    </row>
    <row r="491" spans="1:5" x14ac:dyDescent="0.3">
      <c r="A491" s="5">
        <v>43108</v>
      </c>
      <c r="B491" s="6" t="s">
        <v>752</v>
      </c>
      <c r="C491" s="7"/>
      <c r="D491" s="14">
        <v>3000</v>
      </c>
      <c r="E491" s="9"/>
    </row>
    <row r="492" spans="1:5" x14ac:dyDescent="0.3">
      <c r="A492" s="5">
        <v>43108</v>
      </c>
      <c r="B492" s="6" t="s">
        <v>793</v>
      </c>
      <c r="C492" s="7"/>
      <c r="D492" s="14">
        <v>3364</v>
      </c>
      <c r="E492" s="9"/>
    </row>
    <row r="493" spans="1:5" x14ac:dyDescent="0.3">
      <c r="A493" s="5">
        <v>43108</v>
      </c>
      <c r="B493" s="6" t="s">
        <v>752</v>
      </c>
      <c r="C493" s="7"/>
      <c r="D493" s="14">
        <v>4176</v>
      </c>
      <c r="E493" s="9"/>
    </row>
    <row r="494" spans="1:5" x14ac:dyDescent="0.3">
      <c r="A494" s="5">
        <v>43125</v>
      </c>
      <c r="B494" s="6" t="s">
        <v>790</v>
      </c>
      <c r="C494" s="7"/>
      <c r="D494" s="14">
        <v>20206</v>
      </c>
      <c r="E494" s="9"/>
    </row>
    <row r="495" spans="1:5" x14ac:dyDescent="0.3">
      <c r="A495" s="5">
        <v>43137</v>
      </c>
      <c r="B495" s="6" t="s">
        <v>793</v>
      </c>
      <c r="C495" s="7"/>
      <c r="D495" s="14">
        <v>3364</v>
      </c>
      <c r="E495" s="9"/>
    </row>
    <row r="496" spans="1:5" x14ac:dyDescent="0.3">
      <c r="A496" s="5">
        <v>43138</v>
      </c>
      <c r="B496" s="6" t="s">
        <v>752</v>
      </c>
      <c r="C496" s="7"/>
      <c r="D496" s="14">
        <v>3248</v>
      </c>
      <c r="E496" s="9"/>
    </row>
    <row r="497" spans="1:5" x14ac:dyDescent="0.3">
      <c r="A497" s="5">
        <v>43138</v>
      </c>
      <c r="B497" s="6" t="s">
        <v>799</v>
      </c>
      <c r="C497" s="7"/>
      <c r="D497" s="14">
        <v>250</v>
      </c>
      <c r="E497" s="9"/>
    </row>
    <row r="498" spans="1:5" x14ac:dyDescent="0.3">
      <c r="A498" s="5">
        <v>43138</v>
      </c>
      <c r="B498" s="6" t="s">
        <v>799</v>
      </c>
      <c r="C498" s="7"/>
      <c r="D498" s="14">
        <v>10</v>
      </c>
      <c r="E498" s="9"/>
    </row>
    <row r="499" spans="1:5" x14ac:dyDescent="0.3">
      <c r="A499" s="5">
        <v>43138</v>
      </c>
      <c r="B499" s="6" t="s">
        <v>795</v>
      </c>
      <c r="C499" s="7"/>
      <c r="D499" s="14">
        <v>41.6</v>
      </c>
      <c r="E499" s="9"/>
    </row>
    <row r="500" spans="1:5" x14ac:dyDescent="0.3">
      <c r="A500" s="5">
        <v>43139</v>
      </c>
      <c r="B500" s="6" t="s">
        <v>752</v>
      </c>
      <c r="C500" s="7"/>
      <c r="D500" s="14">
        <v>2784</v>
      </c>
      <c r="E500" s="9"/>
    </row>
    <row r="501" spans="1:5" x14ac:dyDescent="0.3">
      <c r="A501" s="5">
        <v>43139</v>
      </c>
      <c r="B501" s="6" t="s">
        <v>775</v>
      </c>
      <c r="C501" s="7" t="s">
        <v>92</v>
      </c>
      <c r="D501" s="14">
        <v>3534</v>
      </c>
      <c r="E501" s="9"/>
    </row>
    <row r="502" spans="1:5" x14ac:dyDescent="0.3">
      <c r="A502" s="5">
        <v>43140</v>
      </c>
      <c r="B502" s="6" t="s">
        <v>752</v>
      </c>
      <c r="C502" s="7"/>
      <c r="D502" s="14">
        <v>3480</v>
      </c>
      <c r="E502" s="9"/>
    </row>
    <row r="503" spans="1:5" x14ac:dyDescent="0.3">
      <c r="A503" s="5">
        <v>43153</v>
      </c>
      <c r="B503" s="6" t="s">
        <v>790</v>
      </c>
      <c r="C503" s="7"/>
      <c r="D503" s="14">
        <v>21461</v>
      </c>
      <c r="E503" s="9"/>
    </row>
    <row r="504" spans="1:5" x14ac:dyDescent="0.3">
      <c r="A504" s="5">
        <v>43161</v>
      </c>
      <c r="B504" s="6" t="s">
        <v>791</v>
      </c>
      <c r="C504" s="7"/>
      <c r="D504" s="14">
        <v>4542</v>
      </c>
      <c r="E504" s="9"/>
    </row>
    <row r="505" spans="1:5" x14ac:dyDescent="0.3">
      <c r="A505" s="5">
        <v>43165</v>
      </c>
      <c r="B505" s="6" t="s">
        <v>799</v>
      </c>
      <c r="C505" s="7"/>
      <c r="D505" s="14">
        <v>250</v>
      </c>
      <c r="E505" s="9"/>
    </row>
    <row r="506" spans="1:5" x14ac:dyDescent="0.3">
      <c r="A506" s="5">
        <v>43165</v>
      </c>
      <c r="B506" s="6" t="s">
        <v>799</v>
      </c>
      <c r="C506" s="7"/>
      <c r="D506" s="14">
        <v>10</v>
      </c>
      <c r="E506" s="9"/>
    </row>
    <row r="507" spans="1:5" x14ac:dyDescent="0.3">
      <c r="A507" s="5">
        <v>43165</v>
      </c>
      <c r="B507" s="6" t="s">
        <v>795</v>
      </c>
      <c r="C507" s="7"/>
      <c r="D507" s="14">
        <v>41.6</v>
      </c>
      <c r="E507" s="9"/>
    </row>
    <row r="508" spans="1:5" x14ac:dyDescent="0.3">
      <c r="A508" s="5">
        <v>43168</v>
      </c>
      <c r="B508" s="6" t="s">
        <v>775</v>
      </c>
      <c r="C508" s="7"/>
      <c r="D508" s="14">
        <v>4330.8</v>
      </c>
      <c r="E508" s="9"/>
    </row>
    <row r="509" spans="1:5" x14ac:dyDescent="0.3">
      <c r="A509" s="5">
        <v>43168</v>
      </c>
      <c r="B509" s="6" t="s">
        <v>752</v>
      </c>
      <c r="C509" s="7"/>
      <c r="D509" s="14">
        <v>2500</v>
      </c>
      <c r="E509" s="9"/>
    </row>
    <row r="510" spans="1:5" x14ac:dyDescent="0.3">
      <c r="A510" s="5">
        <v>43168</v>
      </c>
      <c r="B510" s="6" t="s">
        <v>752</v>
      </c>
      <c r="C510" s="7"/>
      <c r="D510" s="14">
        <v>3480</v>
      </c>
      <c r="E510" s="9"/>
    </row>
    <row r="511" spans="1:5" x14ac:dyDescent="0.3">
      <c r="A511" s="5">
        <v>43181</v>
      </c>
      <c r="B511" s="6" t="s">
        <v>790</v>
      </c>
      <c r="C511" s="7"/>
      <c r="D511" s="14">
        <v>28734</v>
      </c>
      <c r="E511" s="9"/>
    </row>
    <row r="512" spans="1:5" x14ac:dyDescent="0.3">
      <c r="A512" s="5">
        <v>43193</v>
      </c>
      <c r="B512" s="6" t="s">
        <v>775</v>
      </c>
      <c r="C512" s="7"/>
      <c r="D512" s="14">
        <v>3364</v>
      </c>
      <c r="E512" s="9"/>
    </row>
    <row r="513" spans="1:5" x14ac:dyDescent="0.3">
      <c r="A513" s="5">
        <v>43195</v>
      </c>
      <c r="B513" s="6" t="s">
        <v>799</v>
      </c>
      <c r="C513" s="7"/>
      <c r="D513" s="14">
        <v>250</v>
      </c>
      <c r="E513" s="9"/>
    </row>
    <row r="514" spans="1:5" x14ac:dyDescent="0.3">
      <c r="A514" s="5">
        <v>43195</v>
      </c>
      <c r="B514" s="6" t="s">
        <v>799</v>
      </c>
      <c r="C514" s="7"/>
      <c r="D514" s="14">
        <v>5</v>
      </c>
      <c r="E514" s="9"/>
    </row>
    <row r="515" spans="1:5" x14ac:dyDescent="0.3">
      <c r="A515" s="5">
        <v>43195</v>
      </c>
      <c r="B515" s="6" t="s">
        <v>795</v>
      </c>
      <c r="C515" s="7"/>
      <c r="D515" s="14">
        <v>40.799999999999997</v>
      </c>
      <c r="E515" s="9"/>
    </row>
    <row r="516" spans="1:5" x14ac:dyDescent="0.3">
      <c r="A516" s="5">
        <v>43195</v>
      </c>
      <c r="B516" s="6" t="s">
        <v>752</v>
      </c>
      <c r="C516" s="7"/>
      <c r="D516" s="14">
        <v>2784</v>
      </c>
      <c r="E516" s="9"/>
    </row>
    <row r="517" spans="1:5" x14ac:dyDescent="0.3">
      <c r="A517" s="5">
        <v>43196</v>
      </c>
      <c r="B517" s="6" t="s">
        <v>752</v>
      </c>
      <c r="C517" s="7"/>
      <c r="D517" s="14">
        <v>2320</v>
      </c>
      <c r="E517" s="9"/>
    </row>
    <row r="518" spans="1:5" x14ac:dyDescent="0.3">
      <c r="A518" s="5">
        <v>43202</v>
      </c>
      <c r="B518" s="6" t="s">
        <v>752</v>
      </c>
      <c r="C518" s="7"/>
      <c r="D518" s="14">
        <v>3000</v>
      </c>
      <c r="E518" s="9"/>
    </row>
    <row r="519" spans="1:5" x14ac:dyDescent="0.3">
      <c r="A519" s="5">
        <v>43207</v>
      </c>
      <c r="B519" s="6" t="s">
        <v>793</v>
      </c>
      <c r="C519" s="7"/>
      <c r="D519" s="14">
        <v>3364</v>
      </c>
      <c r="E519" s="9"/>
    </row>
    <row r="520" spans="1:5" x14ac:dyDescent="0.3">
      <c r="A520" s="5">
        <v>43224</v>
      </c>
      <c r="B520" s="6" t="s">
        <v>752</v>
      </c>
      <c r="C520" s="7"/>
      <c r="D520" s="14">
        <v>2784</v>
      </c>
      <c r="E520" s="9"/>
    </row>
    <row r="521" spans="1:5" x14ac:dyDescent="0.3">
      <c r="A521" s="5">
        <v>43224</v>
      </c>
      <c r="B521" s="6" t="s">
        <v>752</v>
      </c>
      <c r="C521" s="7"/>
      <c r="D521" s="14">
        <v>2320</v>
      </c>
      <c r="E521" s="9"/>
    </row>
    <row r="522" spans="1:5" x14ac:dyDescent="0.3">
      <c r="A522" s="5">
        <v>43224</v>
      </c>
      <c r="B522" s="6" t="s">
        <v>791</v>
      </c>
      <c r="C522" s="7"/>
      <c r="D522" s="14">
        <v>4232</v>
      </c>
      <c r="E522" s="9"/>
    </row>
    <row r="523" spans="1:5" x14ac:dyDescent="0.3">
      <c r="A523" s="5">
        <v>43227</v>
      </c>
      <c r="B523" s="6" t="s">
        <v>799</v>
      </c>
      <c r="C523" s="7"/>
      <c r="D523" s="14">
        <v>250</v>
      </c>
      <c r="E523" s="9"/>
    </row>
    <row r="524" spans="1:5" x14ac:dyDescent="0.3">
      <c r="A524" s="5">
        <v>43227</v>
      </c>
      <c r="B524" s="6" t="s">
        <v>797</v>
      </c>
      <c r="C524" s="7"/>
      <c r="D524" s="14">
        <v>10</v>
      </c>
      <c r="E524" s="9"/>
    </row>
    <row r="525" spans="1:5" x14ac:dyDescent="0.3">
      <c r="A525" s="5">
        <v>43227</v>
      </c>
      <c r="B525" s="6" t="s">
        <v>795</v>
      </c>
      <c r="C525" s="7"/>
      <c r="D525" s="14">
        <v>41.6</v>
      </c>
      <c r="E525" s="9"/>
    </row>
    <row r="526" spans="1:5" x14ac:dyDescent="0.3">
      <c r="A526" s="5">
        <v>43251</v>
      </c>
      <c r="B526" s="6" t="s">
        <v>793</v>
      </c>
      <c r="C526" s="7"/>
      <c r="D526" s="14">
        <v>2900</v>
      </c>
      <c r="E526" s="9"/>
    </row>
    <row r="527" spans="1:5" x14ac:dyDescent="0.3">
      <c r="A527" s="5">
        <v>43257</v>
      </c>
      <c r="B527" s="6" t="s">
        <v>799</v>
      </c>
      <c r="C527" s="7"/>
      <c r="D527" s="14">
        <v>250</v>
      </c>
      <c r="E527" s="9"/>
    </row>
    <row r="528" spans="1:5" x14ac:dyDescent="0.3">
      <c r="A528" s="5">
        <v>43257</v>
      </c>
      <c r="B528" s="6" t="s">
        <v>797</v>
      </c>
      <c r="C528" s="7"/>
      <c r="D528" s="14">
        <v>5</v>
      </c>
      <c r="E528" s="9"/>
    </row>
    <row r="529" spans="1:5" x14ac:dyDescent="0.3">
      <c r="A529" s="5">
        <v>43257</v>
      </c>
      <c r="B529" s="6" t="s">
        <v>795</v>
      </c>
      <c r="C529" s="7"/>
      <c r="D529" s="14">
        <v>40.799999999999997</v>
      </c>
      <c r="E529" s="9"/>
    </row>
    <row r="530" spans="1:5" x14ac:dyDescent="0.3">
      <c r="A530" s="5">
        <v>43259</v>
      </c>
      <c r="B530" s="6" t="s">
        <v>750</v>
      </c>
      <c r="C530" s="7"/>
      <c r="D530" s="14">
        <v>3000</v>
      </c>
      <c r="E530" s="9"/>
    </row>
    <row r="531" spans="1:5" x14ac:dyDescent="0.3">
      <c r="A531" s="5">
        <v>43259</v>
      </c>
      <c r="B531" s="6" t="s">
        <v>750</v>
      </c>
      <c r="C531" s="7"/>
      <c r="D531" s="14">
        <v>3480</v>
      </c>
      <c r="E531" s="9"/>
    </row>
    <row r="532" spans="1:5" x14ac:dyDescent="0.3">
      <c r="A532" s="5">
        <v>43259</v>
      </c>
      <c r="B532" s="6" t="s">
        <v>793</v>
      </c>
      <c r="C532" s="7" t="s">
        <v>93</v>
      </c>
      <c r="D532" s="14">
        <v>464</v>
      </c>
      <c r="E532" s="9"/>
    </row>
    <row r="533" spans="1:5" x14ac:dyDescent="0.3">
      <c r="A533" s="5">
        <v>43259</v>
      </c>
      <c r="B533" s="6" t="s">
        <v>793</v>
      </c>
      <c r="C533" s="7" t="s">
        <v>94</v>
      </c>
      <c r="D533" s="14">
        <v>3364</v>
      </c>
      <c r="E533" s="9"/>
    </row>
    <row r="534" spans="1:5" x14ac:dyDescent="0.3">
      <c r="A534" s="5">
        <v>43274</v>
      </c>
      <c r="B534" s="6" t="s">
        <v>790</v>
      </c>
      <c r="C534" s="7" t="s">
        <v>95</v>
      </c>
      <c r="D534" s="14">
        <v>8000</v>
      </c>
      <c r="E534" s="9"/>
    </row>
    <row r="535" spans="1:5" x14ac:dyDescent="0.3">
      <c r="A535" s="5">
        <v>43280</v>
      </c>
      <c r="B535" s="6" t="s">
        <v>790</v>
      </c>
      <c r="C535" s="7" t="s">
        <v>35</v>
      </c>
      <c r="D535" s="14">
        <v>48000</v>
      </c>
      <c r="E535" s="9"/>
    </row>
    <row r="536" spans="1:5" x14ac:dyDescent="0.3">
      <c r="A536" s="5">
        <v>43280</v>
      </c>
      <c r="B536" s="6" t="s">
        <v>750</v>
      </c>
      <c r="C536" s="7"/>
      <c r="D536" s="14">
        <v>2000</v>
      </c>
      <c r="E536" s="9"/>
    </row>
    <row r="537" spans="1:5" x14ac:dyDescent="0.3">
      <c r="A537" s="5">
        <v>43283</v>
      </c>
      <c r="B537" s="6" t="s">
        <v>740</v>
      </c>
      <c r="C537" s="7"/>
      <c r="D537" s="14">
        <v>15</v>
      </c>
      <c r="E537" s="9"/>
    </row>
    <row r="538" spans="1:5" x14ac:dyDescent="0.3">
      <c r="A538" s="5">
        <v>43283</v>
      </c>
      <c r="B538" s="6" t="s">
        <v>794</v>
      </c>
      <c r="C538" s="7"/>
      <c r="D538" s="14">
        <v>2.4</v>
      </c>
      <c r="E538" s="9"/>
    </row>
    <row r="539" spans="1:5" x14ac:dyDescent="0.3">
      <c r="A539" s="5">
        <v>43286</v>
      </c>
      <c r="B539" s="6" t="s">
        <v>799</v>
      </c>
      <c r="C539" s="7"/>
      <c r="D539" s="14">
        <v>54</v>
      </c>
      <c r="E539" s="9"/>
    </row>
    <row r="540" spans="1:5" x14ac:dyDescent="0.3">
      <c r="A540" s="5">
        <v>43286</v>
      </c>
      <c r="B540" s="6" t="s">
        <v>795</v>
      </c>
      <c r="C540" s="7"/>
      <c r="D540" s="14">
        <v>8.64</v>
      </c>
      <c r="E540" s="9"/>
    </row>
    <row r="541" spans="1:5" x14ac:dyDescent="0.3">
      <c r="A541" s="5">
        <v>43286</v>
      </c>
      <c r="B541" s="6" t="s">
        <v>791</v>
      </c>
      <c r="C541" s="7"/>
      <c r="D541" s="14">
        <v>4632</v>
      </c>
      <c r="E541" s="9"/>
    </row>
    <row r="542" spans="1:5" x14ac:dyDescent="0.3">
      <c r="A542" s="5">
        <v>43294</v>
      </c>
      <c r="B542" s="6" t="s">
        <v>750</v>
      </c>
      <c r="C542" s="7"/>
      <c r="D542" s="14">
        <v>2784</v>
      </c>
      <c r="E542" s="9"/>
    </row>
    <row r="543" spans="1:5" x14ac:dyDescent="0.3">
      <c r="A543" s="5">
        <v>43294</v>
      </c>
      <c r="B543" s="6" t="s">
        <v>750</v>
      </c>
      <c r="C543" s="7"/>
      <c r="D543" s="14">
        <v>1000</v>
      </c>
      <c r="E543" s="9"/>
    </row>
    <row r="544" spans="1:5" x14ac:dyDescent="0.3">
      <c r="A544" s="5">
        <v>43308</v>
      </c>
      <c r="B544" s="6" t="s">
        <v>750</v>
      </c>
      <c r="C544" s="7"/>
      <c r="D544" s="14">
        <v>3000</v>
      </c>
      <c r="E544" s="9"/>
    </row>
    <row r="545" spans="1:5" x14ac:dyDescent="0.3">
      <c r="A545" s="5">
        <v>43308</v>
      </c>
      <c r="B545" s="6" t="s">
        <v>793</v>
      </c>
      <c r="C545" s="7"/>
      <c r="D545" s="14">
        <v>3364</v>
      </c>
      <c r="E545" s="9"/>
    </row>
    <row r="546" spans="1:5" x14ac:dyDescent="0.3">
      <c r="A546" s="5">
        <v>43308</v>
      </c>
      <c r="B546" s="6" t="s">
        <v>775</v>
      </c>
      <c r="C546" s="7" t="s">
        <v>727</v>
      </c>
      <c r="D546" s="14">
        <v>2610</v>
      </c>
      <c r="E546" s="9"/>
    </row>
    <row r="547" spans="1:5" x14ac:dyDescent="0.3">
      <c r="A547" s="5">
        <v>43318</v>
      </c>
      <c r="B547" s="6" t="s">
        <v>799</v>
      </c>
      <c r="C547" s="7"/>
      <c r="D547" s="14">
        <v>41</v>
      </c>
      <c r="E547" s="9"/>
    </row>
    <row r="548" spans="1:5" x14ac:dyDescent="0.3">
      <c r="A548" s="5">
        <v>43318</v>
      </c>
      <c r="B548" s="6" t="s">
        <v>795</v>
      </c>
      <c r="C548" s="7"/>
      <c r="D548" s="14">
        <v>6.56</v>
      </c>
      <c r="E548" s="9"/>
    </row>
    <row r="549" spans="1:5" x14ac:dyDescent="0.3">
      <c r="A549" s="5">
        <v>43328</v>
      </c>
      <c r="B549" s="6" t="s">
        <v>793</v>
      </c>
      <c r="C549" s="7"/>
      <c r="D549" s="14">
        <v>3364</v>
      </c>
      <c r="E549" s="9"/>
    </row>
    <row r="550" spans="1:5" x14ac:dyDescent="0.3">
      <c r="A550" s="5">
        <v>43328</v>
      </c>
      <c r="B550" s="6" t="s">
        <v>750</v>
      </c>
      <c r="C550" s="7"/>
      <c r="D550" s="14">
        <v>3000</v>
      </c>
      <c r="E550" s="9"/>
    </row>
    <row r="551" spans="1:5" x14ac:dyDescent="0.3">
      <c r="A551" s="5">
        <v>43328</v>
      </c>
      <c r="B551" s="6" t="s">
        <v>750</v>
      </c>
      <c r="C551" s="7"/>
      <c r="D551" s="14">
        <v>3480</v>
      </c>
      <c r="E551" s="9"/>
    </row>
    <row r="552" spans="1:5" x14ac:dyDescent="0.3">
      <c r="A552" s="5">
        <v>43337</v>
      </c>
      <c r="B552" s="6" t="s">
        <v>750</v>
      </c>
      <c r="C552" s="7"/>
      <c r="D552" s="14">
        <v>1000</v>
      </c>
      <c r="E552" s="9"/>
    </row>
    <row r="553" spans="1:5" x14ac:dyDescent="0.3">
      <c r="A553" s="5">
        <v>43339</v>
      </c>
      <c r="B553" s="6" t="s">
        <v>790</v>
      </c>
      <c r="C553" s="7"/>
      <c r="D553" s="14">
        <v>64300.6</v>
      </c>
      <c r="E553" s="9"/>
    </row>
    <row r="554" spans="1:5" x14ac:dyDescent="0.3">
      <c r="A554" s="5">
        <v>43343</v>
      </c>
      <c r="B554" s="6" t="s">
        <v>791</v>
      </c>
      <c r="C554" s="7"/>
      <c r="D554" s="14">
        <v>5499</v>
      </c>
      <c r="E554" s="9"/>
    </row>
    <row r="555" spans="1:5" x14ac:dyDescent="0.3">
      <c r="A555" s="5">
        <v>43349</v>
      </c>
      <c r="B555" s="6" t="s">
        <v>799</v>
      </c>
      <c r="C555" s="7"/>
      <c r="D555" s="14">
        <v>87</v>
      </c>
      <c r="E555" s="9"/>
    </row>
    <row r="556" spans="1:5" x14ac:dyDescent="0.3">
      <c r="A556" s="5">
        <v>43349</v>
      </c>
      <c r="B556" s="6" t="s">
        <v>795</v>
      </c>
      <c r="C556" s="7"/>
      <c r="D556" s="14">
        <v>13.92</v>
      </c>
      <c r="E556" s="9"/>
    </row>
    <row r="557" spans="1:5" x14ac:dyDescent="0.3">
      <c r="A557" s="5">
        <v>43349</v>
      </c>
      <c r="B557" s="6" t="s">
        <v>750</v>
      </c>
      <c r="C557" s="7"/>
      <c r="D557" s="14">
        <v>2320</v>
      </c>
      <c r="E557" s="9"/>
    </row>
    <row r="558" spans="1:5" x14ac:dyDescent="0.3">
      <c r="A558" s="5">
        <v>43349</v>
      </c>
      <c r="B558" s="6" t="s">
        <v>793</v>
      </c>
      <c r="C558" s="7"/>
      <c r="D558" s="14">
        <v>3364</v>
      </c>
      <c r="E558" s="9"/>
    </row>
    <row r="559" spans="1:5" x14ac:dyDescent="0.3">
      <c r="A559" s="5">
        <v>43357</v>
      </c>
      <c r="B559" s="6" t="s">
        <v>750</v>
      </c>
      <c r="C559" s="7"/>
      <c r="D559" s="14">
        <v>3000</v>
      </c>
      <c r="E559" s="9"/>
    </row>
    <row r="560" spans="1:5" x14ac:dyDescent="0.3">
      <c r="A560" s="5">
        <v>43362</v>
      </c>
      <c r="B560" s="6" t="s">
        <v>750</v>
      </c>
      <c r="C560" s="7"/>
      <c r="D560" s="14">
        <v>1392</v>
      </c>
      <c r="E560" s="9"/>
    </row>
    <row r="561" spans="1:5" x14ac:dyDescent="0.3">
      <c r="A561" s="5">
        <v>43367</v>
      </c>
      <c r="B561" s="6" t="s">
        <v>790</v>
      </c>
      <c r="C561" s="7"/>
      <c r="D561" s="14">
        <v>21581</v>
      </c>
      <c r="E561" s="9"/>
    </row>
    <row r="562" spans="1:5" x14ac:dyDescent="0.3">
      <c r="A562" s="5">
        <v>43371</v>
      </c>
      <c r="B562" s="6" t="s">
        <v>750</v>
      </c>
      <c r="C562" s="7"/>
      <c r="D562" s="14">
        <v>3000</v>
      </c>
      <c r="E562" s="9"/>
    </row>
    <row r="563" spans="1:5" x14ac:dyDescent="0.3">
      <c r="A563" s="5">
        <v>43371</v>
      </c>
      <c r="B563" s="6" t="s">
        <v>775</v>
      </c>
      <c r="C563" s="7" t="s">
        <v>96</v>
      </c>
      <c r="D563" s="14">
        <v>1740</v>
      </c>
      <c r="E563" s="9"/>
    </row>
    <row r="564" spans="1:5" x14ac:dyDescent="0.3">
      <c r="A564" s="5">
        <v>43377</v>
      </c>
      <c r="B564" s="6" t="s">
        <v>799</v>
      </c>
      <c r="C564" s="7"/>
      <c r="D564" s="8">
        <v>80</v>
      </c>
      <c r="E564" s="9"/>
    </row>
    <row r="565" spans="1:5" x14ac:dyDescent="0.3">
      <c r="A565" s="5">
        <v>43377</v>
      </c>
      <c r="B565" s="6" t="s">
        <v>795</v>
      </c>
      <c r="C565" s="7"/>
      <c r="D565" s="8">
        <v>12.8</v>
      </c>
      <c r="E565" s="9"/>
    </row>
    <row r="566" spans="1:5" x14ac:dyDescent="0.3">
      <c r="A566" s="5">
        <v>43378</v>
      </c>
      <c r="B566" s="6" t="s">
        <v>750</v>
      </c>
      <c r="C566" s="7" t="s">
        <v>776</v>
      </c>
      <c r="D566" s="8">
        <v>2784</v>
      </c>
      <c r="E566" s="9"/>
    </row>
    <row r="567" spans="1:5" x14ac:dyDescent="0.3">
      <c r="A567" s="5">
        <v>43378</v>
      </c>
      <c r="B567" s="6" t="s">
        <v>741</v>
      </c>
      <c r="C567" s="7" t="s">
        <v>97</v>
      </c>
      <c r="D567" s="8">
        <v>1508</v>
      </c>
      <c r="E567" s="9"/>
    </row>
    <row r="568" spans="1:5" x14ac:dyDescent="0.3">
      <c r="A568" s="5">
        <v>43378</v>
      </c>
      <c r="B568" s="6" t="s">
        <v>800</v>
      </c>
      <c r="C568" s="7" t="s">
        <v>98</v>
      </c>
      <c r="D568" s="8">
        <v>2838.04</v>
      </c>
      <c r="E568" s="9"/>
    </row>
    <row r="569" spans="1:5" x14ac:dyDescent="0.3">
      <c r="A569" s="5">
        <v>43385</v>
      </c>
      <c r="B569" s="6" t="s">
        <v>800</v>
      </c>
      <c r="C569" s="7" t="s">
        <v>99</v>
      </c>
      <c r="D569" s="8">
        <v>5069.8</v>
      </c>
      <c r="E569" s="9"/>
    </row>
    <row r="570" spans="1:5" x14ac:dyDescent="0.3">
      <c r="A570" s="5">
        <v>43385</v>
      </c>
      <c r="B570" s="6" t="s">
        <v>769</v>
      </c>
      <c r="C570" s="7" t="s">
        <v>100</v>
      </c>
      <c r="D570" s="8">
        <v>8130</v>
      </c>
      <c r="E570" s="9"/>
    </row>
    <row r="571" spans="1:5" x14ac:dyDescent="0.3">
      <c r="A571" s="5">
        <v>43392</v>
      </c>
      <c r="B571" s="6" t="s">
        <v>750</v>
      </c>
      <c r="C571" s="7" t="s">
        <v>776</v>
      </c>
      <c r="D571" s="8">
        <v>3000</v>
      </c>
      <c r="E571" s="9"/>
    </row>
    <row r="572" spans="1:5" x14ac:dyDescent="0.3">
      <c r="A572" s="5">
        <v>43397</v>
      </c>
      <c r="B572" s="6" t="s">
        <v>800</v>
      </c>
      <c r="C572" s="7" t="s">
        <v>101</v>
      </c>
      <c r="D572" s="8">
        <v>6249.79</v>
      </c>
      <c r="E572" s="9"/>
    </row>
    <row r="573" spans="1:5" x14ac:dyDescent="0.3">
      <c r="A573" s="5">
        <v>43398</v>
      </c>
      <c r="B573" s="6" t="s">
        <v>790</v>
      </c>
      <c r="C573" s="7" t="s">
        <v>102</v>
      </c>
      <c r="D573" s="8">
        <v>22005</v>
      </c>
      <c r="E573" s="9"/>
    </row>
    <row r="574" spans="1:5" x14ac:dyDescent="0.3">
      <c r="A574" s="5">
        <v>43405</v>
      </c>
      <c r="B574" s="6" t="s">
        <v>750</v>
      </c>
      <c r="C574" s="7"/>
      <c r="D574" s="14">
        <v>3480</v>
      </c>
      <c r="E574" s="9"/>
    </row>
    <row r="575" spans="1:5" x14ac:dyDescent="0.3">
      <c r="A575" s="5">
        <v>43405</v>
      </c>
      <c r="B575" s="6" t="s">
        <v>791</v>
      </c>
      <c r="C575" s="7"/>
      <c r="D575" s="14">
        <v>5005</v>
      </c>
      <c r="E575" s="9"/>
    </row>
    <row r="576" spans="1:5" x14ac:dyDescent="0.3">
      <c r="A576" s="5">
        <v>43411</v>
      </c>
      <c r="B576" s="6" t="s">
        <v>799</v>
      </c>
      <c r="C576" s="7"/>
      <c r="D576" s="14">
        <v>102</v>
      </c>
      <c r="E576" s="9"/>
    </row>
    <row r="577" spans="1:5" x14ac:dyDescent="0.3">
      <c r="A577" s="5">
        <v>43411</v>
      </c>
      <c r="B577" s="6" t="s">
        <v>795</v>
      </c>
      <c r="C577" s="7"/>
      <c r="D577" s="14">
        <v>16.32</v>
      </c>
      <c r="E577" s="9"/>
    </row>
    <row r="578" spans="1:5" x14ac:dyDescent="0.3">
      <c r="A578" s="5">
        <v>43411</v>
      </c>
      <c r="B578" s="6" t="s">
        <v>750</v>
      </c>
      <c r="C578" s="7"/>
      <c r="D578" s="14">
        <v>3000</v>
      </c>
      <c r="E578" s="9"/>
    </row>
    <row r="579" spans="1:5" x14ac:dyDescent="0.3">
      <c r="A579" s="5">
        <v>43411</v>
      </c>
      <c r="B579" s="6" t="s">
        <v>793</v>
      </c>
      <c r="C579" s="7"/>
      <c r="D579" s="14">
        <v>6728</v>
      </c>
      <c r="E579" s="9"/>
    </row>
    <row r="580" spans="1:5" x14ac:dyDescent="0.3">
      <c r="A580" s="5">
        <v>43430</v>
      </c>
      <c r="B580" s="6" t="s">
        <v>790</v>
      </c>
      <c r="C580" s="7"/>
      <c r="D580" s="14">
        <v>19445</v>
      </c>
      <c r="E580" s="9"/>
    </row>
    <row r="581" spans="1:5" x14ac:dyDescent="0.3">
      <c r="A581" s="5">
        <v>43431</v>
      </c>
      <c r="B581" s="6" t="s">
        <v>750</v>
      </c>
      <c r="C581" s="7"/>
      <c r="D581" s="14">
        <v>3480</v>
      </c>
      <c r="E581" s="9"/>
    </row>
    <row r="582" spans="1:5" x14ac:dyDescent="0.3">
      <c r="A582" s="5">
        <v>43431</v>
      </c>
      <c r="B582" s="6" t="s">
        <v>800</v>
      </c>
      <c r="C582" s="7" t="s">
        <v>103</v>
      </c>
      <c r="D582" s="14">
        <v>10198.15</v>
      </c>
      <c r="E582" s="9"/>
    </row>
    <row r="583" spans="1:5" x14ac:dyDescent="0.3">
      <c r="A583" s="5">
        <v>43438</v>
      </c>
      <c r="B583" s="6" t="s">
        <v>775</v>
      </c>
      <c r="C583" s="7" t="s">
        <v>103</v>
      </c>
      <c r="D583" s="14">
        <v>2033.65</v>
      </c>
      <c r="E583" s="9"/>
    </row>
    <row r="584" spans="1:5" x14ac:dyDescent="0.3">
      <c r="A584" s="5">
        <v>43439</v>
      </c>
      <c r="B584" s="6" t="s">
        <v>775</v>
      </c>
      <c r="C584" s="7" t="s">
        <v>763</v>
      </c>
      <c r="D584" s="14">
        <v>10062.58</v>
      </c>
      <c r="E584" s="9"/>
    </row>
    <row r="585" spans="1:5" x14ac:dyDescent="0.3">
      <c r="A585" s="5">
        <v>43440</v>
      </c>
      <c r="B585" s="6" t="s">
        <v>799</v>
      </c>
      <c r="C585" s="7"/>
      <c r="D585" s="14">
        <v>82</v>
      </c>
      <c r="E585" s="9">
        <v>43467</v>
      </c>
    </row>
    <row r="586" spans="1:5" x14ac:dyDescent="0.3">
      <c r="A586" s="5">
        <v>43440</v>
      </c>
      <c r="B586" s="6" t="s">
        <v>795</v>
      </c>
      <c r="C586" s="7"/>
      <c r="D586" s="14">
        <v>13.12</v>
      </c>
      <c r="E586" s="9">
        <v>43467</v>
      </c>
    </row>
    <row r="587" spans="1:5" x14ac:dyDescent="0.3">
      <c r="A587" s="5">
        <v>43440</v>
      </c>
      <c r="B587" s="6" t="s">
        <v>800</v>
      </c>
      <c r="C587" s="7" t="s">
        <v>104</v>
      </c>
      <c r="D587" s="14">
        <v>5324.4</v>
      </c>
      <c r="E587" s="9"/>
    </row>
    <row r="588" spans="1:5" x14ac:dyDescent="0.3">
      <c r="A588" s="5">
        <v>43440</v>
      </c>
      <c r="B588" s="6" t="s">
        <v>750</v>
      </c>
      <c r="C588" s="7"/>
      <c r="D588" s="14">
        <v>2784</v>
      </c>
      <c r="E588" s="9"/>
    </row>
    <row r="589" spans="1:5" x14ac:dyDescent="0.3">
      <c r="A589" s="5">
        <v>43460</v>
      </c>
      <c r="B589" s="6" t="s">
        <v>790</v>
      </c>
      <c r="C589" s="7"/>
      <c r="D589" s="14">
        <v>25602</v>
      </c>
      <c r="E589" s="9"/>
    </row>
    <row r="590" spans="1:5" x14ac:dyDescent="0.3">
      <c r="A590" s="5">
        <v>43465</v>
      </c>
      <c r="B590" s="6" t="s">
        <v>793</v>
      </c>
      <c r="C590" s="7"/>
      <c r="D590" s="14">
        <v>3364</v>
      </c>
      <c r="E590" s="9"/>
    </row>
    <row r="591" spans="1:5" x14ac:dyDescent="0.3">
      <c r="A591" s="5">
        <v>43465</v>
      </c>
      <c r="B591" s="6" t="s">
        <v>800</v>
      </c>
      <c r="C591" s="7" t="s">
        <v>104</v>
      </c>
      <c r="D591" s="14">
        <v>1801</v>
      </c>
      <c r="E591" s="9"/>
    </row>
    <row r="592" spans="1:5" x14ac:dyDescent="0.3">
      <c r="A592" s="5">
        <v>43468</v>
      </c>
      <c r="B592" s="6" t="s">
        <v>791</v>
      </c>
      <c r="C592" s="7"/>
      <c r="D592" s="14">
        <v>7330</v>
      </c>
      <c r="E592" s="9">
        <v>43480</v>
      </c>
    </row>
    <row r="593" spans="1:5" x14ac:dyDescent="0.3">
      <c r="A593" s="5">
        <v>43472</v>
      </c>
      <c r="B593" s="6" t="s">
        <v>799</v>
      </c>
      <c r="C593" s="7" t="s">
        <v>105</v>
      </c>
      <c r="D593" s="14">
        <v>83</v>
      </c>
      <c r="E593" s="9">
        <v>43497</v>
      </c>
    </row>
    <row r="594" spans="1:5" x14ac:dyDescent="0.3">
      <c r="A594" s="5">
        <v>43472</v>
      </c>
      <c r="B594" s="6" t="s">
        <v>795</v>
      </c>
      <c r="C594" s="7" t="s">
        <v>105</v>
      </c>
      <c r="D594" s="14">
        <v>13.28</v>
      </c>
      <c r="E594" s="9">
        <v>43497</v>
      </c>
    </row>
    <row r="595" spans="1:5" x14ac:dyDescent="0.3">
      <c r="A595" s="5">
        <v>43475</v>
      </c>
      <c r="B595" s="6" t="s">
        <v>750</v>
      </c>
      <c r="C595" s="7" t="s">
        <v>106</v>
      </c>
      <c r="D595" s="14">
        <v>2784</v>
      </c>
      <c r="E595" s="25">
        <v>43598</v>
      </c>
    </row>
    <row r="596" spans="1:5" x14ac:dyDescent="0.3">
      <c r="A596" s="5">
        <v>43475</v>
      </c>
      <c r="B596" s="6" t="s">
        <v>793</v>
      </c>
      <c r="C596" s="7" t="s">
        <v>107</v>
      </c>
      <c r="D596" s="14">
        <v>3364</v>
      </c>
      <c r="E596" s="9">
        <v>43468</v>
      </c>
    </row>
    <row r="597" spans="1:5" x14ac:dyDescent="0.3">
      <c r="A597" s="5">
        <v>43482</v>
      </c>
      <c r="B597" s="6" t="s">
        <v>750</v>
      </c>
      <c r="C597" s="7" t="s">
        <v>796</v>
      </c>
      <c r="D597" s="14">
        <v>3480</v>
      </c>
      <c r="E597" s="9">
        <v>43482</v>
      </c>
    </row>
    <row r="598" spans="1:5" x14ac:dyDescent="0.3">
      <c r="A598" s="5">
        <v>43490</v>
      </c>
      <c r="B598" s="6" t="s">
        <v>790</v>
      </c>
      <c r="C598" s="7" t="s">
        <v>108</v>
      </c>
      <c r="D598" s="14">
        <v>20343</v>
      </c>
      <c r="E598" s="26"/>
    </row>
    <row r="599" spans="1:5" x14ac:dyDescent="0.3">
      <c r="A599" s="5">
        <v>43501</v>
      </c>
      <c r="B599" s="6" t="s">
        <v>775</v>
      </c>
      <c r="C599" s="7" t="s">
        <v>109</v>
      </c>
      <c r="D599" s="14">
        <v>1740</v>
      </c>
      <c r="E599" s="9">
        <v>43495</v>
      </c>
    </row>
    <row r="600" spans="1:5" x14ac:dyDescent="0.3">
      <c r="A600" s="5">
        <v>43501</v>
      </c>
      <c r="B600" s="6" t="s">
        <v>775</v>
      </c>
      <c r="C600" s="7" t="s">
        <v>110</v>
      </c>
      <c r="D600" s="14">
        <v>1338.02</v>
      </c>
      <c r="E600" s="9">
        <v>43500</v>
      </c>
    </row>
    <row r="601" spans="1:5" x14ac:dyDescent="0.3">
      <c r="A601" s="5">
        <v>43501</v>
      </c>
      <c r="B601" s="6" t="s">
        <v>775</v>
      </c>
      <c r="C601" s="7" t="s">
        <v>111</v>
      </c>
      <c r="D601" s="14">
        <v>4408</v>
      </c>
      <c r="E601" s="9">
        <v>43505</v>
      </c>
    </row>
    <row r="602" spans="1:5" x14ac:dyDescent="0.3">
      <c r="A602" s="5">
        <v>43503</v>
      </c>
      <c r="B602" s="6" t="s">
        <v>715</v>
      </c>
      <c r="C602" s="7" t="s">
        <v>112</v>
      </c>
      <c r="D602" s="14">
        <v>4742</v>
      </c>
      <c r="E602" s="9">
        <v>43501</v>
      </c>
    </row>
    <row r="603" spans="1:5" x14ac:dyDescent="0.3">
      <c r="A603" s="5">
        <v>43507</v>
      </c>
      <c r="B603" s="6" t="s">
        <v>793</v>
      </c>
      <c r="C603" s="7" t="s">
        <v>113</v>
      </c>
      <c r="D603" s="14">
        <v>3364</v>
      </c>
      <c r="E603" s="9">
        <v>43504</v>
      </c>
    </row>
    <row r="604" spans="1:5" x14ac:dyDescent="0.3">
      <c r="A604" s="5">
        <v>43508</v>
      </c>
      <c r="B604" s="6" t="s">
        <v>782</v>
      </c>
      <c r="C604" s="7" t="s">
        <v>114</v>
      </c>
      <c r="D604" s="14">
        <v>5080</v>
      </c>
      <c r="E604" s="9">
        <v>43522</v>
      </c>
    </row>
    <row r="605" spans="1:5" x14ac:dyDescent="0.3">
      <c r="A605" s="5">
        <v>43508</v>
      </c>
      <c r="B605" s="6" t="s">
        <v>775</v>
      </c>
      <c r="C605" s="7" t="s">
        <v>727</v>
      </c>
      <c r="D605" s="14">
        <v>760</v>
      </c>
      <c r="E605" s="25">
        <v>43507</v>
      </c>
    </row>
    <row r="606" spans="1:5" x14ac:dyDescent="0.3">
      <c r="A606" s="5">
        <v>43518</v>
      </c>
      <c r="B606" s="6" t="s">
        <v>790</v>
      </c>
      <c r="C606" s="7" t="s">
        <v>115</v>
      </c>
      <c r="D606" s="14">
        <v>24071</v>
      </c>
      <c r="E606" s="26"/>
    </row>
    <row r="607" spans="1:5" x14ac:dyDescent="0.3">
      <c r="A607" s="5">
        <v>43522</v>
      </c>
      <c r="B607" s="6" t="s">
        <v>782</v>
      </c>
      <c r="C607" s="7" t="s">
        <v>116</v>
      </c>
      <c r="D607" s="14">
        <v>3388</v>
      </c>
      <c r="E607" s="9">
        <v>43522</v>
      </c>
    </row>
    <row r="608" spans="1:5" x14ac:dyDescent="0.3">
      <c r="A608" s="5">
        <v>43522</v>
      </c>
      <c r="B608" s="6" t="s">
        <v>776</v>
      </c>
      <c r="C608" s="7" t="s">
        <v>776</v>
      </c>
      <c r="D608" s="14">
        <v>9048</v>
      </c>
      <c r="E608" s="9">
        <v>43522</v>
      </c>
    </row>
    <row r="609" spans="1:5" x14ac:dyDescent="0.3">
      <c r="A609" s="5">
        <v>43524</v>
      </c>
      <c r="B609" s="6" t="s">
        <v>750</v>
      </c>
      <c r="C609" s="7" t="s">
        <v>796</v>
      </c>
      <c r="D609" s="14">
        <v>3480</v>
      </c>
      <c r="E609" s="9">
        <v>43523</v>
      </c>
    </row>
    <row r="610" spans="1:5" x14ac:dyDescent="0.3">
      <c r="A610" s="5">
        <v>43529</v>
      </c>
      <c r="B610" s="6" t="s">
        <v>715</v>
      </c>
      <c r="C610" s="7" t="s">
        <v>112</v>
      </c>
      <c r="D610" s="14">
        <v>4060</v>
      </c>
      <c r="E610" s="9">
        <v>43530</v>
      </c>
    </row>
    <row r="611" spans="1:5" x14ac:dyDescent="0.3">
      <c r="A611" s="5">
        <v>43530</v>
      </c>
      <c r="B611" s="6" t="s">
        <v>799</v>
      </c>
      <c r="C611" s="7" t="s">
        <v>105</v>
      </c>
      <c r="D611" s="14">
        <v>92</v>
      </c>
      <c r="E611" s="9">
        <v>43554</v>
      </c>
    </row>
    <row r="612" spans="1:5" x14ac:dyDescent="0.3">
      <c r="A612" s="5">
        <v>43530</v>
      </c>
      <c r="B612" s="6" t="s">
        <v>795</v>
      </c>
      <c r="C612" s="7" t="s">
        <v>105</v>
      </c>
      <c r="D612" s="14">
        <v>14.72</v>
      </c>
      <c r="E612" s="9">
        <v>43554</v>
      </c>
    </row>
    <row r="613" spans="1:5" x14ac:dyDescent="0.3">
      <c r="A613" s="5">
        <v>43530</v>
      </c>
      <c r="B613" s="6" t="s">
        <v>792</v>
      </c>
      <c r="C613" s="7" t="s">
        <v>117</v>
      </c>
      <c r="D613" s="14">
        <v>3248</v>
      </c>
      <c r="E613" s="9">
        <v>43530</v>
      </c>
    </row>
    <row r="614" spans="1:5" x14ac:dyDescent="0.3">
      <c r="A614" s="5">
        <v>43531</v>
      </c>
      <c r="B614" s="6" t="s">
        <v>775</v>
      </c>
      <c r="C614" s="7" t="s">
        <v>738</v>
      </c>
      <c r="D614" s="14">
        <v>3480</v>
      </c>
      <c r="E614" s="9">
        <v>43545</v>
      </c>
    </row>
    <row r="615" spans="1:5" x14ac:dyDescent="0.3">
      <c r="A615" s="5">
        <v>43531</v>
      </c>
      <c r="B615" s="6" t="s">
        <v>791</v>
      </c>
      <c r="C615" s="7" t="s">
        <v>118</v>
      </c>
      <c r="D615" s="14">
        <v>10568</v>
      </c>
      <c r="E615" s="9">
        <v>43516</v>
      </c>
    </row>
    <row r="616" spans="1:5" x14ac:dyDescent="0.3">
      <c r="A616" s="5">
        <v>43536</v>
      </c>
      <c r="B616" s="6" t="s">
        <v>793</v>
      </c>
      <c r="C616" s="7" t="s">
        <v>119</v>
      </c>
      <c r="D616" s="14">
        <v>3364</v>
      </c>
      <c r="E616" s="9">
        <v>43532</v>
      </c>
    </row>
    <row r="617" spans="1:5" x14ac:dyDescent="0.3">
      <c r="A617" s="5">
        <v>43543</v>
      </c>
      <c r="B617" s="6" t="s">
        <v>776</v>
      </c>
      <c r="C617" s="7" t="s">
        <v>120</v>
      </c>
      <c r="D617" s="14">
        <v>4640</v>
      </c>
      <c r="E617" s="9">
        <v>43543</v>
      </c>
    </row>
    <row r="618" spans="1:5" x14ac:dyDescent="0.3">
      <c r="A618" s="5">
        <v>43546</v>
      </c>
      <c r="B618" s="6" t="s">
        <v>750</v>
      </c>
      <c r="C618" s="7" t="s">
        <v>121</v>
      </c>
      <c r="D618" s="14">
        <v>3480</v>
      </c>
      <c r="E618" s="9">
        <v>43530</v>
      </c>
    </row>
    <row r="619" spans="1:5" x14ac:dyDescent="0.3">
      <c r="A619" s="5">
        <v>43546</v>
      </c>
      <c r="B619" s="6" t="s">
        <v>776</v>
      </c>
      <c r="C619" s="7" t="s">
        <v>122</v>
      </c>
      <c r="D619" s="14">
        <v>812</v>
      </c>
      <c r="E619" s="9">
        <v>43546</v>
      </c>
    </row>
    <row r="620" spans="1:5" x14ac:dyDescent="0.3">
      <c r="A620" s="5">
        <v>43547</v>
      </c>
      <c r="B620" s="6" t="s">
        <v>782</v>
      </c>
      <c r="C620" s="7" t="s">
        <v>769</v>
      </c>
      <c r="D620" s="14">
        <v>2890</v>
      </c>
      <c r="E620" s="9">
        <v>43550</v>
      </c>
    </row>
    <row r="621" spans="1:5" x14ac:dyDescent="0.3">
      <c r="A621" s="5">
        <v>43549</v>
      </c>
      <c r="B621" s="6" t="s">
        <v>790</v>
      </c>
      <c r="C621" s="7" t="s">
        <v>123</v>
      </c>
      <c r="D621" s="14">
        <v>22249</v>
      </c>
      <c r="E621" s="27"/>
    </row>
    <row r="622" spans="1:5" x14ac:dyDescent="0.3">
      <c r="A622" s="5">
        <v>43551</v>
      </c>
      <c r="B622" s="6" t="s">
        <v>779</v>
      </c>
      <c r="C622" s="7" t="s">
        <v>124</v>
      </c>
      <c r="D622" s="14">
        <v>603.5</v>
      </c>
      <c r="E622" s="9">
        <v>43550</v>
      </c>
    </row>
    <row r="623" spans="1:5" x14ac:dyDescent="0.3">
      <c r="A623" s="5">
        <v>43551</v>
      </c>
      <c r="B623" s="6" t="s">
        <v>775</v>
      </c>
      <c r="C623" s="7" t="s">
        <v>125</v>
      </c>
      <c r="D623" s="14">
        <v>1935.6</v>
      </c>
      <c r="E623" s="9">
        <v>43550</v>
      </c>
    </row>
    <row r="624" spans="1:5" x14ac:dyDescent="0.3">
      <c r="A624" s="5">
        <v>43556</v>
      </c>
      <c r="B624" s="16" t="s">
        <v>740</v>
      </c>
      <c r="C624" s="7" t="s">
        <v>105</v>
      </c>
      <c r="D624" s="14">
        <v>15</v>
      </c>
      <c r="E624" s="27"/>
    </row>
    <row r="625" spans="1:5" x14ac:dyDescent="0.3">
      <c r="A625" s="5">
        <v>43556</v>
      </c>
      <c r="B625" s="16" t="s">
        <v>794</v>
      </c>
      <c r="C625" s="18" t="s">
        <v>105</v>
      </c>
      <c r="D625" s="14">
        <v>2.4</v>
      </c>
      <c r="E625" s="27"/>
    </row>
    <row r="626" spans="1:5" x14ac:dyDescent="0.3">
      <c r="A626" s="28">
        <v>43556</v>
      </c>
      <c r="B626" s="29" t="s">
        <v>762</v>
      </c>
      <c r="C626" s="30" t="s">
        <v>770</v>
      </c>
      <c r="D626" s="31">
        <v>2256.5700000000002</v>
      </c>
      <c r="E626" s="9">
        <v>43554</v>
      </c>
    </row>
    <row r="627" spans="1:5" x14ac:dyDescent="0.3">
      <c r="A627" s="5">
        <v>43556</v>
      </c>
      <c r="B627" s="16" t="s">
        <v>800</v>
      </c>
      <c r="C627" s="18" t="s">
        <v>126</v>
      </c>
      <c r="D627" s="14">
        <v>1459.1</v>
      </c>
      <c r="E627" s="9">
        <v>43550</v>
      </c>
    </row>
    <row r="628" spans="1:5" x14ac:dyDescent="0.3">
      <c r="A628" s="5">
        <v>43557</v>
      </c>
      <c r="B628" s="16" t="s">
        <v>715</v>
      </c>
      <c r="C628" s="18" t="s">
        <v>127</v>
      </c>
      <c r="D628" s="14">
        <v>4060</v>
      </c>
      <c r="E628" s="9">
        <v>43557</v>
      </c>
    </row>
    <row r="629" spans="1:5" x14ac:dyDescent="0.3">
      <c r="A629" s="5">
        <v>43559</v>
      </c>
      <c r="B629" s="16" t="s">
        <v>797</v>
      </c>
      <c r="C629" s="18" t="s">
        <v>105</v>
      </c>
      <c r="D629" s="14">
        <v>78</v>
      </c>
      <c r="E629" s="27"/>
    </row>
    <row r="630" spans="1:5" x14ac:dyDescent="0.3">
      <c r="A630" s="5">
        <v>43559</v>
      </c>
      <c r="B630" s="6" t="s">
        <v>795</v>
      </c>
      <c r="C630" s="7" t="s">
        <v>105</v>
      </c>
      <c r="D630" s="14">
        <v>12.48</v>
      </c>
      <c r="E630" s="27"/>
    </row>
    <row r="631" spans="1:5" x14ac:dyDescent="0.3">
      <c r="A631" s="5">
        <v>43559</v>
      </c>
      <c r="B631" s="6" t="s">
        <v>729</v>
      </c>
      <c r="C631" s="7" t="s">
        <v>128</v>
      </c>
      <c r="D631" s="14">
        <v>4524</v>
      </c>
      <c r="E631" s="9">
        <v>43560</v>
      </c>
    </row>
    <row r="632" spans="1:5" x14ac:dyDescent="0.3">
      <c r="A632" s="5">
        <v>43561</v>
      </c>
      <c r="B632" s="6" t="s">
        <v>762</v>
      </c>
      <c r="C632" s="7" t="s">
        <v>129</v>
      </c>
      <c r="D632" s="14">
        <v>2256.4299999999998</v>
      </c>
      <c r="E632" s="9">
        <v>43554</v>
      </c>
    </row>
    <row r="633" spans="1:5" x14ac:dyDescent="0.3">
      <c r="A633" s="5">
        <v>43561</v>
      </c>
      <c r="B633" s="6" t="s">
        <v>793</v>
      </c>
      <c r="C633" s="7" t="s">
        <v>130</v>
      </c>
      <c r="D633" s="14">
        <v>3364</v>
      </c>
      <c r="E633" s="9">
        <v>43559</v>
      </c>
    </row>
    <row r="634" spans="1:5" x14ac:dyDescent="0.3">
      <c r="A634" s="5">
        <v>43563</v>
      </c>
      <c r="B634" s="6" t="s">
        <v>792</v>
      </c>
      <c r="C634" s="7" t="s">
        <v>131</v>
      </c>
      <c r="D634" s="14">
        <v>3016</v>
      </c>
      <c r="E634" s="9">
        <v>43564</v>
      </c>
    </row>
    <row r="635" spans="1:5" x14ac:dyDescent="0.3">
      <c r="A635" s="5">
        <v>43563</v>
      </c>
      <c r="B635" s="6" t="s">
        <v>762</v>
      </c>
      <c r="C635" s="7" t="s">
        <v>132</v>
      </c>
      <c r="D635" s="14">
        <v>1892.88</v>
      </c>
      <c r="E635" s="9">
        <v>43563</v>
      </c>
    </row>
    <row r="636" spans="1:5" x14ac:dyDescent="0.3">
      <c r="A636" s="5">
        <v>43570</v>
      </c>
      <c r="B636" s="6" t="s">
        <v>742</v>
      </c>
      <c r="C636" s="7" t="s">
        <v>133</v>
      </c>
      <c r="D636" s="14">
        <v>39</v>
      </c>
      <c r="E636" s="9">
        <v>43586</v>
      </c>
    </row>
    <row r="637" spans="1:5" x14ac:dyDescent="0.3">
      <c r="A637" s="5">
        <v>43570</v>
      </c>
      <c r="B637" s="6" t="s">
        <v>742</v>
      </c>
      <c r="C637" s="7" t="s">
        <v>134</v>
      </c>
      <c r="D637" s="14">
        <v>6.24</v>
      </c>
      <c r="E637" s="9">
        <v>43586</v>
      </c>
    </row>
    <row r="638" spans="1:5" x14ac:dyDescent="0.3">
      <c r="A638" s="5">
        <v>43570</v>
      </c>
      <c r="B638" s="6" t="s">
        <v>742</v>
      </c>
      <c r="C638" s="7" t="s">
        <v>133</v>
      </c>
      <c r="D638" s="14">
        <v>39</v>
      </c>
      <c r="E638" s="9">
        <v>43586</v>
      </c>
    </row>
    <row r="639" spans="1:5" x14ac:dyDescent="0.3">
      <c r="A639" s="5">
        <v>43570</v>
      </c>
      <c r="B639" s="6" t="s">
        <v>742</v>
      </c>
      <c r="C639" s="7" t="s">
        <v>134</v>
      </c>
      <c r="D639" s="14">
        <v>6.24</v>
      </c>
      <c r="E639" s="9">
        <v>43586</v>
      </c>
    </row>
    <row r="640" spans="1:5" x14ac:dyDescent="0.3">
      <c r="A640" s="5">
        <v>43570</v>
      </c>
      <c r="B640" s="6" t="s">
        <v>742</v>
      </c>
      <c r="C640" s="7" t="s">
        <v>133</v>
      </c>
      <c r="D640" s="14">
        <v>39</v>
      </c>
      <c r="E640" s="9">
        <v>43586</v>
      </c>
    </row>
    <row r="641" spans="1:5" x14ac:dyDescent="0.3">
      <c r="A641" s="5">
        <v>43570</v>
      </c>
      <c r="B641" s="6" t="s">
        <v>742</v>
      </c>
      <c r="C641" s="7" t="s">
        <v>134</v>
      </c>
      <c r="D641" s="14">
        <v>6.24</v>
      </c>
      <c r="E641" s="9">
        <v>43586</v>
      </c>
    </row>
    <row r="642" spans="1:5" x14ac:dyDescent="0.3">
      <c r="A642" s="5">
        <v>43570</v>
      </c>
      <c r="B642" s="6" t="s">
        <v>742</v>
      </c>
      <c r="C642" s="7" t="s">
        <v>133</v>
      </c>
      <c r="D642" s="14">
        <v>39</v>
      </c>
      <c r="E642" s="9">
        <v>43586</v>
      </c>
    </row>
    <row r="643" spans="1:5" x14ac:dyDescent="0.3">
      <c r="A643" s="5">
        <v>43570</v>
      </c>
      <c r="B643" s="6" t="s">
        <v>742</v>
      </c>
      <c r="C643" s="7" t="s">
        <v>134</v>
      </c>
      <c r="D643" s="14">
        <v>6.24</v>
      </c>
      <c r="E643" s="9">
        <v>43586</v>
      </c>
    </row>
    <row r="644" spans="1:5" x14ac:dyDescent="0.3">
      <c r="A644" s="5">
        <v>43570</v>
      </c>
      <c r="B644" s="6" t="s">
        <v>742</v>
      </c>
      <c r="C644" s="7" t="s">
        <v>133</v>
      </c>
      <c r="D644" s="14">
        <v>39</v>
      </c>
      <c r="E644" s="9">
        <v>43586</v>
      </c>
    </row>
    <row r="645" spans="1:5" x14ac:dyDescent="0.3">
      <c r="A645" s="5">
        <v>43570</v>
      </c>
      <c r="B645" s="6" t="s">
        <v>742</v>
      </c>
      <c r="C645" s="7" t="s">
        <v>134</v>
      </c>
      <c r="D645" s="14">
        <v>6.24</v>
      </c>
      <c r="E645" s="9">
        <v>43586</v>
      </c>
    </row>
    <row r="646" spans="1:5" x14ac:dyDescent="0.3">
      <c r="A646" s="5">
        <v>43570</v>
      </c>
      <c r="B646" s="6" t="s">
        <v>742</v>
      </c>
      <c r="C646" s="7" t="s">
        <v>133</v>
      </c>
      <c r="D646" s="14">
        <v>39</v>
      </c>
      <c r="E646" s="9">
        <v>43586</v>
      </c>
    </row>
    <row r="647" spans="1:5" x14ac:dyDescent="0.3">
      <c r="A647" s="5">
        <v>43570</v>
      </c>
      <c r="B647" s="6" t="s">
        <v>742</v>
      </c>
      <c r="C647" s="7" t="s">
        <v>134</v>
      </c>
      <c r="D647" s="14">
        <v>6.24</v>
      </c>
      <c r="E647" s="9">
        <v>43586</v>
      </c>
    </row>
    <row r="648" spans="1:5" x14ac:dyDescent="0.3">
      <c r="A648" s="5">
        <v>43570</v>
      </c>
      <c r="B648" s="6" t="s">
        <v>742</v>
      </c>
      <c r="C648" s="7" t="s">
        <v>133</v>
      </c>
      <c r="D648" s="14">
        <v>39</v>
      </c>
      <c r="E648" s="9">
        <v>43586</v>
      </c>
    </row>
    <row r="649" spans="1:5" x14ac:dyDescent="0.3">
      <c r="A649" s="5">
        <v>43570</v>
      </c>
      <c r="B649" s="6" t="s">
        <v>742</v>
      </c>
      <c r="C649" s="7" t="s">
        <v>134</v>
      </c>
      <c r="D649" s="14">
        <v>6.24</v>
      </c>
      <c r="E649" s="9">
        <v>43586</v>
      </c>
    </row>
    <row r="650" spans="1:5" x14ac:dyDescent="0.3">
      <c r="A650" s="5">
        <v>43570</v>
      </c>
      <c r="B650" s="6" t="s">
        <v>742</v>
      </c>
      <c r="C650" s="7" t="s">
        <v>133</v>
      </c>
      <c r="D650" s="14">
        <v>39</v>
      </c>
      <c r="E650" s="9">
        <v>43586</v>
      </c>
    </row>
    <row r="651" spans="1:5" x14ac:dyDescent="0.3">
      <c r="A651" s="5">
        <v>43570</v>
      </c>
      <c r="B651" s="6" t="s">
        <v>742</v>
      </c>
      <c r="C651" s="7" t="s">
        <v>134</v>
      </c>
      <c r="D651" s="14">
        <v>6.24</v>
      </c>
      <c r="E651" s="9">
        <v>43586</v>
      </c>
    </row>
    <row r="652" spans="1:5" x14ac:dyDescent="0.3">
      <c r="A652" s="5">
        <v>43570</v>
      </c>
      <c r="B652" s="6" t="s">
        <v>742</v>
      </c>
      <c r="C652" s="7" t="s">
        <v>133</v>
      </c>
      <c r="D652" s="14">
        <v>39</v>
      </c>
      <c r="E652" s="9">
        <v>43586</v>
      </c>
    </row>
    <row r="653" spans="1:5" x14ac:dyDescent="0.3">
      <c r="A653" s="5">
        <v>43570</v>
      </c>
      <c r="B653" s="6" t="s">
        <v>742</v>
      </c>
      <c r="C653" s="7" t="s">
        <v>134</v>
      </c>
      <c r="D653" s="14">
        <v>6.24</v>
      </c>
      <c r="E653" s="9">
        <v>43586</v>
      </c>
    </row>
    <row r="654" spans="1:5" x14ac:dyDescent="0.3">
      <c r="A654" s="5">
        <v>43570</v>
      </c>
      <c r="B654" s="6" t="s">
        <v>742</v>
      </c>
      <c r="C654" s="7" t="s">
        <v>133</v>
      </c>
      <c r="D654" s="14">
        <v>39</v>
      </c>
      <c r="E654" s="9">
        <v>43586</v>
      </c>
    </row>
    <row r="655" spans="1:5" x14ac:dyDescent="0.3">
      <c r="A655" s="5">
        <v>43570</v>
      </c>
      <c r="B655" s="6" t="s">
        <v>742</v>
      </c>
      <c r="C655" s="7" t="s">
        <v>134</v>
      </c>
      <c r="D655" s="14">
        <v>6.24</v>
      </c>
      <c r="E655" s="9">
        <v>43586</v>
      </c>
    </row>
    <row r="656" spans="1:5" x14ac:dyDescent="0.3">
      <c r="A656" s="5">
        <v>43570</v>
      </c>
      <c r="B656" s="6" t="s">
        <v>742</v>
      </c>
      <c r="C656" s="7" t="s">
        <v>133</v>
      </c>
      <c r="D656" s="14">
        <v>39</v>
      </c>
      <c r="E656" s="9">
        <v>43586</v>
      </c>
    </row>
    <row r="657" spans="1:6" x14ac:dyDescent="0.3">
      <c r="A657" s="5">
        <v>43570</v>
      </c>
      <c r="B657" s="6" t="s">
        <v>742</v>
      </c>
      <c r="C657" s="7" t="s">
        <v>134</v>
      </c>
      <c r="D657" s="14">
        <v>6.24</v>
      </c>
      <c r="E657" s="9">
        <v>43586</v>
      </c>
    </row>
    <row r="658" spans="1:6" x14ac:dyDescent="0.3">
      <c r="A658" s="5">
        <v>43570</v>
      </c>
      <c r="B658" s="6" t="s">
        <v>742</v>
      </c>
      <c r="C658" s="7" t="s">
        <v>133</v>
      </c>
      <c r="D658" s="14">
        <v>39</v>
      </c>
      <c r="E658" s="9">
        <v>43586</v>
      </c>
    </row>
    <row r="659" spans="1:6" x14ac:dyDescent="0.3">
      <c r="A659" s="5">
        <v>43570</v>
      </c>
      <c r="B659" s="6" t="s">
        <v>742</v>
      </c>
      <c r="C659" s="7" t="s">
        <v>134</v>
      </c>
      <c r="D659" s="14">
        <v>6.24</v>
      </c>
      <c r="E659" s="9">
        <v>43586</v>
      </c>
    </row>
    <row r="660" spans="1:6" x14ac:dyDescent="0.3">
      <c r="A660" s="5">
        <v>43570</v>
      </c>
      <c r="B660" s="6" t="s">
        <v>742</v>
      </c>
      <c r="C660" s="7" t="s">
        <v>133</v>
      </c>
      <c r="D660" s="14">
        <v>39</v>
      </c>
      <c r="E660" s="9">
        <v>43586</v>
      </c>
    </row>
    <row r="661" spans="1:6" x14ac:dyDescent="0.3">
      <c r="A661" s="5">
        <v>43570</v>
      </c>
      <c r="B661" s="6" t="s">
        <v>742</v>
      </c>
      <c r="C661" s="7" t="s">
        <v>134</v>
      </c>
      <c r="D661" s="14">
        <v>6.24</v>
      </c>
      <c r="E661" s="9">
        <v>43586</v>
      </c>
    </row>
    <row r="662" spans="1:6" x14ac:dyDescent="0.3">
      <c r="A662" s="5">
        <v>43570</v>
      </c>
      <c r="B662" s="6" t="s">
        <v>742</v>
      </c>
      <c r="C662" s="7" t="s">
        <v>133</v>
      </c>
      <c r="D662" s="14">
        <v>39</v>
      </c>
      <c r="E662" s="9">
        <v>43586</v>
      </c>
    </row>
    <row r="663" spans="1:6" x14ac:dyDescent="0.3">
      <c r="A663" s="5">
        <v>43570</v>
      </c>
      <c r="B663" s="6" t="s">
        <v>742</v>
      </c>
      <c r="C663" s="7" t="s">
        <v>134</v>
      </c>
      <c r="D663" s="14">
        <v>6.24</v>
      </c>
      <c r="E663" s="9">
        <v>43586</v>
      </c>
    </row>
    <row r="664" spans="1:6" x14ac:dyDescent="0.3">
      <c r="A664" s="5">
        <v>43570</v>
      </c>
      <c r="B664" s="6" t="s">
        <v>742</v>
      </c>
      <c r="C664" s="7" t="s">
        <v>133</v>
      </c>
      <c r="D664" s="14">
        <v>39</v>
      </c>
      <c r="E664" s="9">
        <v>43586</v>
      </c>
    </row>
    <row r="665" spans="1:6" x14ac:dyDescent="0.3">
      <c r="A665" s="5">
        <v>43570</v>
      </c>
      <c r="B665" s="6" t="s">
        <v>742</v>
      </c>
      <c r="C665" s="7" t="s">
        <v>134</v>
      </c>
      <c r="D665" s="14">
        <v>6.24</v>
      </c>
      <c r="E665" s="9">
        <v>43586</v>
      </c>
    </row>
    <row r="666" spans="1:6" x14ac:dyDescent="0.3">
      <c r="A666" s="5">
        <v>43570</v>
      </c>
      <c r="B666" s="6" t="s">
        <v>762</v>
      </c>
      <c r="C666" s="7" t="s">
        <v>135</v>
      </c>
      <c r="D666" s="14">
        <v>1566</v>
      </c>
      <c r="E666" s="9">
        <v>43567</v>
      </c>
    </row>
    <row r="667" spans="1:6" x14ac:dyDescent="0.3">
      <c r="A667" s="5">
        <v>43571</v>
      </c>
      <c r="B667" s="6" t="s">
        <v>762</v>
      </c>
      <c r="C667" s="7" t="s">
        <v>46</v>
      </c>
      <c r="D667" s="14">
        <v>1499.98</v>
      </c>
      <c r="E667" s="9">
        <v>43570</v>
      </c>
    </row>
    <row r="668" spans="1:6" x14ac:dyDescent="0.3">
      <c r="A668" s="5">
        <v>43578</v>
      </c>
      <c r="B668" s="6" t="s">
        <v>750</v>
      </c>
      <c r="C668" s="7" t="s">
        <v>776</v>
      </c>
      <c r="D668" s="14">
        <v>3480</v>
      </c>
      <c r="E668" s="9">
        <v>43579</v>
      </c>
    </row>
    <row r="669" spans="1:6" x14ac:dyDescent="0.3">
      <c r="A669" s="5">
        <v>43579</v>
      </c>
      <c r="B669" s="6" t="s">
        <v>790</v>
      </c>
      <c r="C669" s="7" t="s">
        <v>136</v>
      </c>
      <c r="D669" s="14">
        <v>20246</v>
      </c>
      <c r="E669" s="27"/>
    </row>
    <row r="670" spans="1:6" x14ac:dyDescent="0.3">
      <c r="A670" s="5">
        <v>43587</v>
      </c>
      <c r="B670" s="6" t="s">
        <v>730</v>
      </c>
      <c r="C670" s="7" t="s">
        <v>739</v>
      </c>
      <c r="D670" s="14">
        <v>7225</v>
      </c>
      <c r="E670" s="9" t="s">
        <v>137</v>
      </c>
    </row>
    <row r="671" spans="1:6" x14ac:dyDescent="0.3">
      <c r="A671" s="5">
        <v>43591</v>
      </c>
      <c r="B671" s="6" t="s">
        <v>715</v>
      </c>
      <c r="C671" s="18" t="s">
        <v>127</v>
      </c>
      <c r="D671" s="14">
        <v>4060</v>
      </c>
      <c r="E671" s="9">
        <v>43588</v>
      </c>
      <c r="F671" s="32"/>
    </row>
    <row r="672" spans="1:6" x14ac:dyDescent="0.3">
      <c r="A672" s="5">
        <v>43591</v>
      </c>
      <c r="B672" s="6" t="s">
        <v>792</v>
      </c>
      <c r="C672" s="7" t="s">
        <v>138</v>
      </c>
      <c r="D672" s="14">
        <v>3248</v>
      </c>
      <c r="E672" s="9">
        <v>43592</v>
      </c>
    </row>
    <row r="673" spans="1:5" x14ac:dyDescent="0.3">
      <c r="A673" s="5">
        <v>43591</v>
      </c>
      <c r="B673" s="6" t="s">
        <v>791</v>
      </c>
      <c r="C673" s="7" t="s">
        <v>139</v>
      </c>
      <c r="D673" s="14">
        <v>7191</v>
      </c>
      <c r="E673" s="9">
        <v>43593</v>
      </c>
    </row>
    <row r="674" spans="1:5" x14ac:dyDescent="0.3">
      <c r="A674" s="5">
        <v>43592</v>
      </c>
      <c r="B674" s="6" t="s">
        <v>797</v>
      </c>
      <c r="C674" s="7" t="s">
        <v>105</v>
      </c>
      <c r="D674" s="14">
        <v>98</v>
      </c>
      <c r="E674" s="9">
        <v>43499</v>
      </c>
    </row>
    <row r="675" spans="1:5" x14ac:dyDescent="0.3">
      <c r="A675" s="5">
        <v>43592</v>
      </c>
      <c r="B675" s="6" t="s">
        <v>795</v>
      </c>
      <c r="C675" s="7" t="s">
        <v>105</v>
      </c>
      <c r="D675" s="14">
        <v>15.68</v>
      </c>
      <c r="E675" s="9">
        <v>43499</v>
      </c>
    </row>
    <row r="676" spans="1:5" x14ac:dyDescent="0.3">
      <c r="A676" s="5">
        <v>43600</v>
      </c>
      <c r="B676" s="6" t="s">
        <v>793</v>
      </c>
      <c r="C676" s="7" t="s">
        <v>140</v>
      </c>
      <c r="D676" s="14">
        <v>3364</v>
      </c>
      <c r="E676" s="9">
        <v>43592</v>
      </c>
    </row>
    <row r="677" spans="1:5" x14ac:dyDescent="0.3">
      <c r="A677" s="5">
        <v>43605</v>
      </c>
      <c r="B677" s="6" t="s">
        <v>729</v>
      </c>
      <c r="C677" s="7" t="s">
        <v>141</v>
      </c>
      <c r="D677" s="14">
        <v>10556</v>
      </c>
      <c r="E677" s="9">
        <v>43602</v>
      </c>
    </row>
    <row r="678" spans="1:5" x14ac:dyDescent="0.3">
      <c r="A678" s="5">
        <v>43608</v>
      </c>
      <c r="B678" s="6" t="s">
        <v>750</v>
      </c>
      <c r="C678" s="7" t="s">
        <v>142</v>
      </c>
      <c r="D678" s="14">
        <v>3480</v>
      </c>
      <c r="E678" s="9">
        <v>43601</v>
      </c>
    </row>
    <row r="679" spans="1:5" x14ac:dyDescent="0.3">
      <c r="A679" s="5">
        <v>43608</v>
      </c>
      <c r="B679" s="6" t="s">
        <v>771</v>
      </c>
      <c r="C679" s="7" t="s">
        <v>772</v>
      </c>
      <c r="D679" s="14">
        <v>6960</v>
      </c>
      <c r="E679" s="9">
        <v>43614</v>
      </c>
    </row>
    <row r="680" spans="1:5" x14ac:dyDescent="0.3">
      <c r="A680" s="5">
        <v>43609</v>
      </c>
      <c r="B680" s="6" t="s">
        <v>750</v>
      </c>
      <c r="C680" s="7" t="s">
        <v>143</v>
      </c>
      <c r="D680" s="14">
        <v>3561.2</v>
      </c>
      <c r="E680" s="9">
        <v>43608</v>
      </c>
    </row>
    <row r="681" spans="1:5" x14ac:dyDescent="0.3">
      <c r="A681" s="33">
        <v>43609</v>
      </c>
      <c r="B681" s="34" t="s">
        <v>754</v>
      </c>
      <c r="C681" s="35" t="s">
        <v>144</v>
      </c>
      <c r="D681" s="36">
        <v>144</v>
      </c>
      <c r="E681" s="37"/>
    </row>
    <row r="682" spans="1:5" x14ac:dyDescent="0.3">
      <c r="A682" s="5">
        <v>43612</v>
      </c>
      <c r="B682" s="6" t="s">
        <v>775</v>
      </c>
      <c r="C682" s="7" t="s">
        <v>145</v>
      </c>
      <c r="D682" s="14">
        <v>2262</v>
      </c>
      <c r="E682" s="9">
        <v>43612</v>
      </c>
    </row>
    <row r="683" spans="1:5" x14ac:dyDescent="0.3">
      <c r="A683" s="5">
        <v>43612</v>
      </c>
      <c r="B683" s="6" t="s">
        <v>790</v>
      </c>
      <c r="C683" s="7" t="s">
        <v>146</v>
      </c>
      <c r="D683" s="14">
        <v>21639</v>
      </c>
      <c r="E683" s="27"/>
    </row>
    <row r="684" spans="1:5" x14ac:dyDescent="0.3">
      <c r="A684" s="5">
        <v>43614</v>
      </c>
      <c r="B684" s="6" t="s">
        <v>782</v>
      </c>
      <c r="C684" s="7" t="s">
        <v>114</v>
      </c>
      <c r="D684" s="14">
        <v>1740</v>
      </c>
      <c r="E684" s="9">
        <v>43613</v>
      </c>
    </row>
    <row r="685" spans="1:5" x14ac:dyDescent="0.3">
      <c r="A685" s="5">
        <v>43614</v>
      </c>
      <c r="B685" s="6" t="s">
        <v>775</v>
      </c>
      <c r="C685" s="7" t="s">
        <v>728</v>
      </c>
      <c r="D685" s="14">
        <v>155.44</v>
      </c>
      <c r="E685" s="38" t="s">
        <v>147</v>
      </c>
    </row>
    <row r="686" spans="1:5" x14ac:dyDescent="0.3">
      <c r="A686" s="5">
        <v>43619</v>
      </c>
      <c r="B686" s="6" t="s">
        <v>740</v>
      </c>
      <c r="C686" s="7" t="s">
        <v>105</v>
      </c>
      <c r="D686" s="14">
        <v>16</v>
      </c>
      <c r="E686" s="9">
        <v>43645</v>
      </c>
    </row>
    <row r="687" spans="1:5" x14ac:dyDescent="0.3">
      <c r="A687" s="5">
        <v>43619</v>
      </c>
      <c r="B687" s="6" t="s">
        <v>794</v>
      </c>
      <c r="C687" s="7" t="s">
        <v>105</v>
      </c>
      <c r="D687" s="14">
        <v>2.56</v>
      </c>
      <c r="E687" s="9">
        <v>43645</v>
      </c>
    </row>
    <row r="688" spans="1:5" x14ac:dyDescent="0.3">
      <c r="A688" s="5">
        <v>43622</v>
      </c>
      <c r="B688" s="6" t="s">
        <v>797</v>
      </c>
      <c r="C688" s="7" t="s">
        <v>105</v>
      </c>
      <c r="D688" s="14">
        <v>85</v>
      </c>
      <c r="E688" s="9">
        <v>43645</v>
      </c>
    </row>
    <row r="689" spans="1:5" x14ac:dyDescent="0.3">
      <c r="A689" s="5">
        <v>43622</v>
      </c>
      <c r="B689" s="6" t="s">
        <v>795</v>
      </c>
      <c r="C689" s="7" t="s">
        <v>105</v>
      </c>
      <c r="D689" s="14">
        <v>13.6</v>
      </c>
      <c r="E689" s="9">
        <v>43645</v>
      </c>
    </row>
    <row r="690" spans="1:5" x14ac:dyDescent="0.3">
      <c r="A690" s="5">
        <v>43623</v>
      </c>
      <c r="B690" s="6" t="s">
        <v>793</v>
      </c>
      <c r="C690" s="7" t="s">
        <v>148</v>
      </c>
      <c r="D690" s="14">
        <v>3364</v>
      </c>
      <c r="E690" s="9">
        <v>43592</v>
      </c>
    </row>
    <row r="691" spans="1:5" x14ac:dyDescent="0.3">
      <c r="A691" s="5">
        <v>43623</v>
      </c>
      <c r="B691" s="6" t="s">
        <v>792</v>
      </c>
      <c r="C691" s="7" t="s">
        <v>149</v>
      </c>
      <c r="D691" s="14">
        <v>2784</v>
      </c>
      <c r="E691" s="9">
        <v>43630</v>
      </c>
    </row>
    <row r="692" spans="1:5" x14ac:dyDescent="0.3">
      <c r="A692" s="5">
        <v>43639</v>
      </c>
      <c r="B692" s="6" t="s">
        <v>780</v>
      </c>
      <c r="C692" s="7" t="s">
        <v>150</v>
      </c>
      <c r="D692" s="14">
        <v>2803.3</v>
      </c>
      <c r="E692" s="9"/>
    </row>
    <row r="693" spans="1:5" x14ac:dyDescent="0.3">
      <c r="A693" s="5">
        <v>43640</v>
      </c>
      <c r="B693" s="6" t="s">
        <v>789</v>
      </c>
      <c r="C693" s="7" t="s">
        <v>151</v>
      </c>
      <c r="D693" s="14">
        <v>819</v>
      </c>
      <c r="E693" s="9"/>
    </row>
    <row r="694" spans="1:5" x14ac:dyDescent="0.3">
      <c r="A694" s="5">
        <v>43640</v>
      </c>
      <c r="B694" s="6" t="s">
        <v>789</v>
      </c>
      <c r="C694" s="7" t="s">
        <v>151</v>
      </c>
      <c r="D694" s="14">
        <v>1641</v>
      </c>
      <c r="E694" s="9"/>
    </row>
    <row r="695" spans="1:5" x14ac:dyDescent="0.3">
      <c r="A695" s="5">
        <v>43640</v>
      </c>
      <c r="B695" s="6" t="s">
        <v>789</v>
      </c>
      <c r="C695" s="7" t="s">
        <v>151</v>
      </c>
      <c r="D695" s="14">
        <v>1028</v>
      </c>
      <c r="E695" s="9"/>
    </row>
    <row r="696" spans="1:5" x14ac:dyDescent="0.3">
      <c r="A696" s="5">
        <v>43640</v>
      </c>
      <c r="B696" s="6" t="s">
        <v>789</v>
      </c>
      <c r="C696" s="7" t="s">
        <v>151</v>
      </c>
      <c r="D696" s="14">
        <v>851</v>
      </c>
      <c r="E696" s="9"/>
    </row>
    <row r="697" spans="1:5" x14ac:dyDescent="0.3">
      <c r="A697" s="5">
        <v>43640</v>
      </c>
      <c r="B697" s="6" t="s">
        <v>790</v>
      </c>
      <c r="C697" s="7" t="s">
        <v>152</v>
      </c>
      <c r="D697" s="14">
        <v>25569</v>
      </c>
      <c r="E697" s="27"/>
    </row>
    <row r="698" spans="1:5" x14ac:dyDescent="0.3">
      <c r="A698" s="5">
        <v>43647</v>
      </c>
      <c r="B698" s="6" t="s">
        <v>791</v>
      </c>
      <c r="C698" s="7"/>
      <c r="D698" s="14">
        <v>3480</v>
      </c>
      <c r="E698" s="27"/>
    </row>
    <row r="699" spans="1:5" x14ac:dyDescent="0.3">
      <c r="A699" s="5">
        <v>43649</v>
      </c>
      <c r="B699" s="6" t="s">
        <v>792</v>
      </c>
      <c r="C699" s="7" t="s">
        <v>153</v>
      </c>
      <c r="D699" s="14">
        <v>3248</v>
      </c>
      <c r="E699" s="9"/>
    </row>
    <row r="700" spans="1:5" x14ac:dyDescent="0.3">
      <c r="A700" s="5">
        <v>43650</v>
      </c>
      <c r="B700" s="16" t="s">
        <v>797</v>
      </c>
      <c r="C700" s="7" t="s">
        <v>105</v>
      </c>
      <c r="D700" s="14">
        <v>51</v>
      </c>
      <c r="E700" s="9">
        <v>43678</v>
      </c>
    </row>
    <row r="701" spans="1:5" x14ac:dyDescent="0.3">
      <c r="A701" s="5">
        <v>43650</v>
      </c>
      <c r="B701" s="6" t="s">
        <v>795</v>
      </c>
      <c r="C701" s="24" t="s">
        <v>105</v>
      </c>
      <c r="D701" s="14">
        <v>8.16</v>
      </c>
      <c r="E701" s="9">
        <v>43678</v>
      </c>
    </row>
    <row r="702" spans="1:5" x14ac:dyDescent="0.3">
      <c r="A702" s="5">
        <v>43650</v>
      </c>
      <c r="B702" s="6" t="s">
        <v>791</v>
      </c>
      <c r="C702" s="7"/>
      <c r="D702" s="14">
        <v>8719</v>
      </c>
      <c r="E702" s="9">
        <v>43636</v>
      </c>
    </row>
    <row r="703" spans="1:5" x14ac:dyDescent="0.3">
      <c r="A703" s="5">
        <v>43664</v>
      </c>
      <c r="B703" s="6" t="s">
        <v>801</v>
      </c>
      <c r="C703" s="7" t="s">
        <v>8</v>
      </c>
      <c r="D703" s="14">
        <v>798</v>
      </c>
      <c r="E703" s="9">
        <v>43664</v>
      </c>
    </row>
    <row r="704" spans="1:5" x14ac:dyDescent="0.3">
      <c r="A704" s="5">
        <v>43669</v>
      </c>
      <c r="B704" s="6" t="s">
        <v>715</v>
      </c>
      <c r="C704" s="7" t="s">
        <v>154</v>
      </c>
      <c r="D704" s="14">
        <v>322</v>
      </c>
      <c r="E704" s="39">
        <v>43619</v>
      </c>
    </row>
    <row r="705" spans="1:5" x14ac:dyDescent="0.3">
      <c r="A705" s="5">
        <v>43669</v>
      </c>
      <c r="B705" s="6" t="s">
        <v>793</v>
      </c>
      <c r="C705" s="7" t="s">
        <v>155</v>
      </c>
      <c r="D705" s="14">
        <v>3364</v>
      </c>
      <c r="E705" s="9">
        <v>43648</v>
      </c>
    </row>
    <row r="706" spans="1:5" x14ac:dyDescent="0.3">
      <c r="A706" s="5">
        <v>43669</v>
      </c>
      <c r="B706" s="6" t="s">
        <v>750</v>
      </c>
      <c r="C706" s="7" t="s">
        <v>156</v>
      </c>
      <c r="D706" s="14">
        <v>3480</v>
      </c>
      <c r="E706" s="9">
        <v>43670</v>
      </c>
    </row>
    <row r="707" spans="1:5" x14ac:dyDescent="0.3">
      <c r="A707" s="5">
        <v>43669</v>
      </c>
      <c r="B707" s="6" t="s">
        <v>715</v>
      </c>
      <c r="C707" s="7" t="s">
        <v>157</v>
      </c>
      <c r="D707" s="14">
        <v>3336.67</v>
      </c>
      <c r="E707" s="9">
        <v>43657</v>
      </c>
    </row>
    <row r="708" spans="1:5" x14ac:dyDescent="0.3">
      <c r="A708" s="5">
        <v>43670</v>
      </c>
      <c r="B708" s="6" t="s">
        <v>771</v>
      </c>
      <c r="C708" s="7" t="s">
        <v>158</v>
      </c>
      <c r="D708" s="14">
        <v>10000</v>
      </c>
      <c r="E708" s="9">
        <v>43644</v>
      </c>
    </row>
    <row r="709" spans="1:5" x14ac:dyDescent="0.3">
      <c r="A709" s="5">
        <v>43671</v>
      </c>
      <c r="B709" s="6" t="s">
        <v>790</v>
      </c>
      <c r="C709" s="7"/>
      <c r="D709" s="14">
        <v>24427</v>
      </c>
      <c r="E709" s="27"/>
    </row>
    <row r="710" spans="1:5" x14ac:dyDescent="0.3">
      <c r="A710" s="5">
        <v>43676</v>
      </c>
      <c r="B710" s="6" t="s">
        <v>750</v>
      </c>
      <c r="C710" s="7" t="s">
        <v>159</v>
      </c>
      <c r="D710" s="14">
        <v>3480</v>
      </c>
      <c r="E710" s="9">
        <v>43670</v>
      </c>
    </row>
    <row r="711" spans="1:5" x14ac:dyDescent="0.3">
      <c r="A711" s="5">
        <v>43683</v>
      </c>
      <c r="B711" s="6" t="s">
        <v>799</v>
      </c>
      <c r="C711" s="7" t="s">
        <v>105</v>
      </c>
      <c r="D711" s="14">
        <v>250</v>
      </c>
      <c r="E711" s="9">
        <v>43708</v>
      </c>
    </row>
    <row r="712" spans="1:5" x14ac:dyDescent="0.3">
      <c r="A712" s="5">
        <v>43683</v>
      </c>
      <c r="B712" s="6" t="s">
        <v>797</v>
      </c>
      <c r="C712" s="7" t="s">
        <v>105</v>
      </c>
      <c r="D712" s="14">
        <v>76</v>
      </c>
      <c r="E712" s="9">
        <v>43708</v>
      </c>
    </row>
    <row r="713" spans="1:5" x14ac:dyDescent="0.3">
      <c r="A713" s="5">
        <v>43683</v>
      </c>
      <c r="B713" s="6" t="s">
        <v>795</v>
      </c>
      <c r="C713" s="7" t="s">
        <v>105</v>
      </c>
      <c r="D713" s="14">
        <v>52.16</v>
      </c>
      <c r="E713" s="9">
        <v>43708</v>
      </c>
    </row>
    <row r="714" spans="1:5" x14ac:dyDescent="0.3">
      <c r="A714" s="5">
        <v>43685</v>
      </c>
      <c r="B714" s="6" t="s">
        <v>793</v>
      </c>
      <c r="C714" s="7" t="s">
        <v>160</v>
      </c>
      <c r="D714" s="14">
        <v>3364</v>
      </c>
      <c r="E714" s="9">
        <v>43679</v>
      </c>
    </row>
    <row r="715" spans="1:5" x14ac:dyDescent="0.3">
      <c r="A715" s="5">
        <v>43685</v>
      </c>
      <c r="B715" s="6" t="s">
        <v>715</v>
      </c>
      <c r="C715" s="7" t="s">
        <v>161</v>
      </c>
      <c r="D715" s="14">
        <v>3336.66</v>
      </c>
      <c r="E715" s="9">
        <v>43682</v>
      </c>
    </row>
    <row r="716" spans="1:5" x14ac:dyDescent="0.3">
      <c r="A716" s="40">
        <v>43685</v>
      </c>
      <c r="B716" s="41" t="s">
        <v>793</v>
      </c>
      <c r="C716" s="42" t="s">
        <v>162</v>
      </c>
      <c r="D716" s="43">
        <v>3364</v>
      </c>
      <c r="E716" s="9">
        <v>43679</v>
      </c>
    </row>
    <row r="717" spans="1:5" x14ac:dyDescent="0.3">
      <c r="A717" s="5">
        <v>43689</v>
      </c>
      <c r="B717" s="6" t="s">
        <v>750</v>
      </c>
      <c r="C717" s="7" t="s">
        <v>163</v>
      </c>
      <c r="D717" s="14">
        <v>3016</v>
      </c>
      <c r="E717" s="9">
        <v>43691</v>
      </c>
    </row>
    <row r="718" spans="1:5" x14ac:dyDescent="0.3">
      <c r="A718" s="5">
        <v>43703</v>
      </c>
      <c r="B718" s="6" t="s">
        <v>790</v>
      </c>
      <c r="C718" s="7" t="s">
        <v>164</v>
      </c>
      <c r="D718" s="14">
        <v>19103</v>
      </c>
      <c r="E718" s="27"/>
    </row>
    <row r="719" spans="1:5" x14ac:dyDescent="0.3">
      <c r="A719" s="5">
        <v>43705</v>
      </c>
      <c r="B719" s="6" t="s">
        <v>750</v>
      </c>
      <c r="C719" s="7" t="s">
        <v>142</v>
      </c>
      <c r="D719" s="14">
        <v>3480</v>
      </c>
      <c r="E719" s="9">
        <v>43698</v>
      </c>
    </row>
    <row r="720" spans="1:5" x14ac:dyDescent="0.3">
      <c r="A720" s="5">
        <v>43707</v>
      </c>
      <c r="B720" s="6" t="s">
        <v>791</v>
      </c>
      <c r="C720" s="7" t="s">
        <v>165</v>
      </c>
      <c r="D720" s="14">
        <v>3827</v>
      </c>
      <c r="E720" s="9">
        <v>43706</v>
      </c>
    </row>
    <row r="721" spans="1:5" x14ac:dyDescent="0.3">
      <c r="A721" s="5">
        <v>43709</v>
      </c>
      <c r="B721" s="6" t="s">
        <v>776</v>
      </c>
      <c r="C721" s="7" t="s">
        <v>166</v>
      </c>
      <c r="D721" s="14">
        <v>2700</v>
      </c>
      <c r="E721" s="9"/>
    </row>
    <row r="722" spans="1:5" x14ac:dyDescent="0.3">
      <c r="A722" s="5">
        <v>43713</v>
      </c>
      <c r="B722" s="6" t="s">
        <v>799</v>
      </c>
      <c r="C722" s="7" t="s">
        <v>105</v>
      </c>
      <c r="D722" s="14">
        <v>250</v>
      </c>
      <c r="E722" s="9">
        <v>43739</v>
      </c>
    </row>
    <row r="723" spans="1:5" x14ac:dyDescent="0.3">
      <c r="A723" s="5">
        <v>43713</v>
      </c>
      <c r="B723" s="6" t="s">
        <v>797</v>
      </c>
      <c r="C723" s="7" t="s">
        <v>105</v>
      </c>
      <c r="D723" s="14">
        <v>57</v>
      </c>
      <c r="E723" s="9">
        <v>43739</v>
      </c>
    </row>
    <row r="724" spans="1:5" x14ac:dyDescent="0.3">
      <c r="A724" s="5">
        <v>43713</v>
      </c>
      <c r="B724" s="6" t="s">
        <v>795</v>
      </c>
      <c r="C724" s="7" t="s">
        <v>105</v>
      </c>
      <c r="D724" s="14">
        <v>49.12</v>
      </c>
      <c r="E724" s="9">
        <v>43739</v>
      </c>
    </row>
    <row r="725" spans="1:5" x14ac:dyDescent="0.3">
      <c r="A725" s="5">
        <v>43718</v>
      </c>
      <c r="B725" s="6" t="s">
        <v>715</v>
      </c>
      <c r="C725" s="7" t="s">
        <v>167</v>
      </c>
      <c r="D725" s="14">
        <v>3336.66</v>
      </c>
      <c r="E725" s="9">
        <v>43717</v>
      </c>
    </row>
    <row r="726" spans="1:5" x14ac:dyDescent="0.3">
      <c r="A726" s="5">
        <v>43718</v>
      </c>
      <c r="B726" s="6" t="s">
        <v>771</v>
      </c>
      <c r="C726" s="7" t="s">
        <v>168</v>
      </c>
      <c r="D726" s="14">
        <v>4000</v>
      </c>
      <c r="E726" s="9">
        <v>43718</v>
      </c>
    </row>
    <row r="727" spans="1:5" x14ac:dyDescent="0.3">
      <c r="A727" s="5">
        <v>43719</v>
      </c>
      <c r="B727" s="6" t="s">
        <v>788</v>
      </c>
      <c r="C727" s="7" t="s">
        <v>788</v>
      </c>
      <c r="D727" s="14">
        <v>1000</v>
      </c>
      <c r="E727" s="38" t="s">
        <v>147</v>
      </c>
    </row>
    <row r="728" spans="1:5" x14ac:dyDescent="0.3">
      <c r="A728" s="5">
        <v>43720</v>
      </c>
      <c r="B728" s="6" t="s">
        <v>801</v>
      </c>
      <c r="C728" s="7" t="s">
        <v>8</v>
      </c>
      <c r="D728" s="14">
        <v>399</v>
      </c>
      <c r="E728" s="9">
        <v>43782</v>
      </c>
    </row>
    <row r="729" spans="1:5" x14ac:dyDescent="0.3">
      <c r="A729" s="5">
        <v>43721</v>
      </c>
      <c r="B729" s="6" t="s">
        <v>793</v>
      </c>
      <c r="C729" s="44" t="s">
        <v>169</v>
      </c>
      <c r="D729" s="14">
        <v>3364</v>
      </c>
      <c r="E729" s="9">
        <v>43679</v>
      </c>
    </row>
    <row r="730" spans="1:5" x14ac:dyDescent="0.3">
      <c r="A730" s="5">
        <v>43732</v>
      </c>
      <c r="B730" s="6" t="s">
        <v>790</v>
      </c>
      <c r="C730" s="7" t="s">
        <v>170</v>
      </c>
      <c r="D730" s="14">
        <v>20654</v>
      </c>
      <c r="E730" s="27"/>
    </row>
    <row r="731" spans="1:5" x14ac:dyDescent="0.3">
      <c r="A731" s="5">
        <v>43742</v>
      </c>
      <c r="B731" s="6" t="s">
        <v>799</v>
      </c>
      <c r="C731" s="7" t="s">
        <v>105</v>
      </c>
      <c r="D731" s="14">
        <v>250</v>
      </c>
      <c r="E731" s="9">
        <v>43770</v>
      </c>
    </row>
    <row r="732" spans="1:5" x14ac:dyDescent="0.3">
      <c r="A732" s="5">
        <v>43742</v>
      </c>
      <c r="B732" s="6" t="s">
        <v>797</v>
      </c>
      <c r="C732" s="7" t="s">
        <v>105</v>
      </c>
      <c r="D732" s="14">
        <v>53</v>
      </c>
      <c r="E732" s="9">
        <v>43770</v>
      </c>
    </row>
    <row r="733" spans="1:5" x14ac:dyDescent="0.3">
      <c r="A733" s="5">
        <v>43742</v>
      </c>
      <c r="B733" s="6" t="s">
        <v>795</v>
      </c>
      <c r="C733" s="7" t="s">
        <v>105</v>
      </c>
      <c r="D733" s="14">
        <v>48.48</v>
      </c>
      <c r="E733" s="9">
        <v>43770</v>
      </c>
    </row>
    <row r="734" spans="1:5" x14ac:dyDescent="0.3">
      <c r="A734" s="5">
        <v>43743</v>
      </c>
      <c r="B734" s="6" t="s">
        <v>793</v>
      </c>
      <c r="C734" s="7" t="s">
        <v>171</v>
      </c>
      <c r="D734" s="14">
        <v>3364</v>
      </c>
      <c r="E734" s="9"/>
    </row>
    <row r="735" spans="1:5" x14ac:dyDescent="0.3">
      <c r="A735" s="5">
        <v>43743</v>
      </c>
      <c r="B735" s="6" t="s">
        <v>715</v>
      </c>
      <c r="C735" s="7" t="s">
        <v>172</v>
      </c>
      <c r="D735" s="14">
        <v>3336.67</v>
      </c>
      <c r="E735" s="9">
        <v>43740</v>
      </c>
    </row>
    <row r="736" spans="1:5" x14ac:dyDescent="0.3">
      <c r="A736" s="5">
        <v>43747</v>
      </c>
      <c r="B736" s="6" t="s">
        <v>801</v>
      </c>
      <c r="C736" s="7" t="s">
        <v>8</v>
      </c>
      <c r="D736" s="14">
        <v>399</v>
      </c>
      <c r="E736" s="27"/>
    </row>
    <row r="737" spans="1:6" x14ac:dyDescent="0.3">
      <c r="A737" s="5">
        <v>43762</v>
      </c>
      <c r="B737" s="6" t="s">
        <v>790</v>
      </c>
      <c r="C737" s="7" t="s">
        <v>173</v>
      </c>
      <c r="D737" s="14">
        <v>23826</v>
      </c>
      <c r="E737" s="27"/>
    </row>
    <row r="738" spans="1:6" x14ac:dyDescent="0.3">
      <c r="A738" s="5">
        <v>43767</v>
      </c>
      <c r="B738" s="6" t="s">
        <v>796</v>
      </c>
      <c r="C738" s="7" t="s">
        <v>174</v>
      </c>
      <c r="D738" s="14">
        <v>3500</v>
      </c>
      <c r="E738" s="9">
        <v>43763</v>
      </c>
    </row>
    <row r="739" spans="1:6" x14ac:dyDescent="0.3">
      <c r="A739" s="5">
        <v>43770</v>
      </c>
      <c r="B739" s="6" t="s">
        <v>791</v>
      </c>
      <c r="C739" s="7"/>
      <c r="D739" s="14">
        <v>4033</v>
      </c>
      <c r="E739" s="27"/>
    </row>
    <row r="740" spans="1:6" x14ac:dyDescent="0.3">
      <c r="A740" s="5">
        <v>43775</v>
      </c>
      <c r="B740" s="6" t="s">
        <v>799</v>
      </c>
      <c r="C740" s="7" t="s">
        <v>105</v>
      </c>
      <c r="D740" s="8">
        <v>250</v>
      </c>
      <c r="E740" s="45">
        <v>43799</v>
      </c>
    </row>
    <row r="741" spans="1:6" x14ac:dyDescent="0.3">
      <c r="A741" s="5">
        <v>43775</v>
      </c>
      <c r="B741" s="6" t="s">
        <v>797</v>
      </c>
      <c r="C741" s="7" t="s">
        <v>105</v>
      </c>
      <c r="D741" s="8">
        <v>52</v>
      </c>
      <c r="E741" s="45">
        <v>43799</v>
      </c>
    </row>
    <row r="742" spans="1:6" x14ac:dyDescent="0.3">
      <c r="A742" s="5">
        <v>43775</v>
      </c>
      <c r="B742" s="6" t="s">
        <v>795</v>
      </c>
      <c r="C742" s="7" t="s">
        <v>105</v>
      </c>
      <c r="D742" s="8">
        <v>48.32</v>
      </c>
      <c r="E742" s="45">
        <v>43799</v>
      </c>
    </row>
    <row r="743" spans="1:6" x14ac:dyDescent="0.3">
      <c r="A743" s="5">
        <v>43777</v>
      </c>
      <c r="B743" s="6" t="s">
        <v>801</v>
      </c>
      <c r="C743" s="7" t="s">
        <v>8</v>
      </c>
      <c r="D743" s="8">
        <v>398</v>
      </c>
      <c r="E743" s="9">
        <v>43777</v>
      </c>
    </row>
    <row r="744" spans="1:6" x14ac:dyDescent="0.3">
      <c r="A744" s="5">
        <v>43800</v>
      </c>
      <c r="B744" s="17" t="s">
        <v>745</v>
      </c>
      <c r="C744" s="7" t="s">
        <v>773</v>
      </c>
      <c r="D744" s="8">
        <v>6000</v>
      </c>
      <c r="E744" s="9">
        <v>43780</v>
      </c>
    </row>
    <row r="745" spans="1:6" x14ac:dyDescent="0.3">
      <c r="A745" s="5">
        <v>43804</v>
      </c>
      <c r="B745" s="6" t="s">
        <v>799</v>
      </c>
      <c r="C745" s="7" t="s">
        <v>105</v>
      </c>
      <c r="D745" s="8">
        <v>250</v>
      </c>
      <c r="E745" s="9">
        <v>43831</v>
      </c>
    </row>
    <row r="746" spans="1:6" x14ac:dyDescent="0.3">
      <c r="A746" s="5">
        <v>43804</v>
      </c>
      <c r="B746" s="6" t="s">
        <v>797</v>
      </c>
      <c r="C746" s="7" t="s">
        <v>105</v>
      </c>
      <c r="D746" s="8">
        <v>51</v>
      </c>
      <c r="E746" s="9">
        <v>43831</v>
      </c>
    </row>
    <row r="747" spans="1:6" x14ac:dyDescent="0.3">
      <c r="A747" s="5">
        <v>43804</v>
      </c>
      <c r="B747" s="6" t="s">
        <v>795</v>
      </c>
      <c r="C747" s="7" t="s">
        <v>105</v>
      </c>
      <c r="D747" s="8">
        <v>48.16</v>
      </c>
      <c r="E747" s="9">
        <v>43831</v>
      </c>
    </row>
    <row r="748" spans="1:6" x14ac:dyDescent="0.3">
      <c r="A748" s="5">
        <v>43825</v>
      </c>
      <c r="B748" s="6" t="s">
        <v>790</v>
      </c>
      <c r="C748" s="7" t="s">
        <v>76</v>
      </c>
      <c r="D748" s="8">
        <v>19768</v>
      </c>
      <c r="E748" s="27"/>
    </row>
    <row r="749" spans="1:6" x14ac:dyDescent="0.3">
      <c r="A749" s="5">
        <v>43833</v>
      </c>
      <c r="B749" s="6" t="s">
        <v>791</v>
      </c>
      <c r="C749" s="7" t="s">
        <v>175</v>
      </c>
      <c r="D749" s="8">
        <v>4403</v>
      </c>
      <c r="E749" s="45">
        <v>43819</v>
      </c>
      <c r="F749" s="10" t="s">
        <v>176</v>
      </c>
    </row>
    <row r="750" spans="1:6" x14ac:dyDescent="0.3">
      <c r="A750" s="5">
        <v>43837</v>
      </c>
      <c r="B750" s="6" t="s">
        <v>799</v>
      </c>
      <c r="C750" s="7" t="s">
        <v>177</v>
      </c>
      <c r="D750" s="8">
        <v>250</v>
      </c>
      <c r="E750" s="9">
        <v>43862</v>
      </c>
    </row>
    <row r="751" spans="1:6" x14ac:dyDescent="0.3">
      <c r="A751" s="5">
        <v>43838</v>
      </c>
      <c r="B751" s="6" t="s">
        <v>797</v>
      </c>
      <c r="C751" s="7" t="s">
        <v>178</v>
      </c>
      <c r="D751" s="8">
        <v>51</v>
      </c>
      <c r="E751" s="9">
        <v>43862</v>
      </c>
    </row>
    <row r="752" spans="1:6" x14ac:dyDescent="0.3">
      <c r="A752" s="5">
        <v>43839</v>
      </c>
      <c r="B752" s="6" t="s">
        <v>795</v>
      </c>
      <c r="C752" s="7" t="s">
        <v>179</v>
      </c>
      <c r="D752" s="8">
        <v>48.16</v>
      </c>
      <c r="E752" s="9">
        <v>43862</v>
      </c>
    </row>
    <row r="753" spans="1:5" x14ac:dyDescent="0.3">
      <c r="A753" s="5">
        <v>43853</v>
      </c>
      <c r="B753" s="6" t="s">
        <v>793</v>
      </c>
      <c r="C753" s="7" t="s">
        <v>180</v>
      </c>
      <c r="D753" s="8">
        <v>3364</v>
      </c>
      <c r="E753" s="9">
        <v>43808</v>
      </c>
    </row>
    <row r="754" spans="1:5" x14ac:dyDescent="0.3">
      <c r="A754" s="5">
        <v>43853</v>
      </c>
      <c r="B754" s="6" t="s">
        <v>793</v>
      </c>
      <c r="C754" s="7" t="s">
        <v>181</v>
      </c>
      <c r="D754" s="8">
        <v>3364</v>
      </c>
      <c r="E754" s="9">
        <v>43840</v>
      </c>
    </row>
    <row r="755" spans="1:5" x14ac:dyDescent="0.3">
      <c r="A755" s="5">
        <v>43854</v>
      </c>
      <c r="B755" s="6" t="s">
        <v>790</v>
      </c>
      <c r="C755" s="7" t="s">
        <v>182</v>
      </c>
      <c r="D755" s="8">
        <v>45329</v>
      </c>
      <c r="E755" s="27"/>
    </row>
    <row r="756" spans="1:5" x14ac:dyDescent="0.3">
      <c r="A756" s="5">
        <v>43857</v>
      </c>
      <c r="B756" s="6" t="s">
        <v>801</v>
      </c>
      <c r="C756" s="7" t="s">
        <v>183</v>
      </c>
      <c r="D756" s="8">
        <v>1197</v>
      </c>
      <c r="E756" s="9">
        <v>43861</v>
      </c>
    </row>
    <row r="757" spans="1:5" x14ac:dyDescent="0.3">
      <c r="A757" s="5">
        <v>43862</v>
      </c>
      <c r="B757" s="6" t="s">
        <v>796</v>
      </c>
      <c r="C757" s="7" t="s">
        <v>184</v>
      </c>
      <c r="D757" s="8">
        <v>4988</v>
      </c>
      <c r="E757" s="9">
        <v>43861</v>
      </c>
    </row>
    <row r="758" spans="1:5" x14ac:dyDescent="0.3">
      <c r="A758" s="5">
        <v>43862</v>
      </c>
      <c r="B758" s="6" t="s">
        <v>796</v>
      </c>
      <c r="C758" s="7" t="s">
        <v>185</v>
      </c>
      <c r="D758" s="8">
        <v>3480</v>
      </c>
      <c r="E758" s="9">
        <v>43861</v>
      </c>
    </row>
    <row r="759" spans="1:5" x14ac:dyDescent="0.3">
      <c r="A759" s="5">
        <v>43868</v>
      </c>
      <c r="B759" s="6" t="s">
        <v>799</v>
      </c>
      <c r="C759" s="7" t="s">
        <v>177</v>
      </c>
      <c r="D759" s="8">
        <v>250</v>
      </c>
      <c r="E759" s="9">
        <v>43890</v>
      </c>
    </row>
    <row r="760" spans="1:5" x14ac:dyDescent="0.3">
      <c r="A760" s="5">
        <v>43868</v>
      </c>
      <c r="B760" s="6" t="s">
        <v>797</v>
      </c>
      <c r="C760" s="7" t="s">
        <v>178</v>
      </c>
      <c r="D760" s="8">
        <v>61</v>
      </c>
      <c r="E760" s="9">
        <v>43890</v>
      </c>
    </row>
    <row r="761" spans="1:5" x14ac:dyDescent="0.3">
      <c r="A761" s="5">
        <v>43868</v>
      </c>
      <c r="B761" s="6" t="s">
        <v>795</v>
      </c>
      <c r="C761" s="7" t="s">
        <v>179</v>
      </c>
      <c r="D761" s="8">
        <v>49.76</v>
      </c>
      <c r="E761" s="9">
        <v>43890</v>
      </c>
    </row>
    <row r="762" spans="1:5" x14ac:dyDescent="0.3">
      <c r="A762" s="5">
        <v>43868</v>
      </c>
      <c r="B762" s="6" t="s">
        <v>784</v>
      </c>
      <c r="C762" s="7" t="s">
        <v>186</v>
      </c>
      <c r="D762" s="8">
        <v>507.5</v>
      </c>
      <c r="E762" s="9">
        <v>43868</v>
      </c>
    </row>
    <row r="763" spans="1:5" x14ac:dyDescent="0.3">
      <c r="A763" s="5">
        <v>43868</v>
      </c>
      <c r="B763" s="6" t="s">
        <v>741</v>
      </c>
      <c r="C763" s="7" t="s">
        <v>187</v>
      </c>
      <c r="D763" s="8">
        <v>406</v>
      </c>
      <c r="E763" s="9">
        <v>43878</v>
      </c>
    </row>
    <row r="764" spans="1:5" x14ac:dyDescent="0.3">
      <c r="A764" s="5">
        <v>43871</v>
      </c>
      <c r="B764" s="6" t="s">
        <v>779</v>
      </c>
      <c r="C764" s="7" t="s">
        <v>188</v>
      </c>
      <c r="D764" s="8">
        <v>813.4</v>
      </c>
      <c r="E764" s="9">
        <v>43871</v>
      </c>
    </row>
    <row r="765" spans="1:5" x14ac:dyDescent="0.3">
      <c r="A765" s="5">
        <v>43871</v>
      </c>
      <c r="B765" s="6" t="s">
        <v>784</v>
      </c>
      <c r="C765" s="7" t="s">
        <v>189</v>
      </c>
      <c r="D765" s="8">
        <v>507.5</v>
      </c>
      <c r="E765" s="9">
        <v>43868</v>
      </c>
    </row>
    <row r="766" spans="1:5" x14ac:dyDescent="0.3">
      <c r="A766" s="5">
        <v>43871</v>
      </c>
      <c r="B766" s="6" t="s">
        <v>771</v>
      </c>
      <c r="C766" s="7" t="s">
        <v>190</v>
      </c>
      <c r="D766" s="8">
        <v>240</v>
      </c>
      <c r="E766" s="9">
        <v>43886</v>
      </c>
    </row>
    <row r="767" spans="1:5" x14ac:dyDescent="0.3">
      <c r="A767" s="5">
        <v>43871</v>
      </c>
      <c r="B767" s="6" t="s">
        <v>771</v>
      </c>
      <c r="C767" s="7" t="s">
        <v>191</v>
      </c>
      <c r="D767" s="8">
        <v>38.4</v>
      </c>
      <c r="E767" s="9">
        <v>43886</v>
      </c>
    </row>
    <row r="768" spans="1:5" x14ac:dyDescent="0.3">
      <c r="A768" s="5">
        <v>43885</v>
      </c>
      <c r="B768" s="6" t="s">
        <v>801</v>
      </c>
      <c r="C768" s="7" t="s">
        <v>192</v>
      </c>
      <c r="D768" s="8">
        <v>399</v>
      </c>
      <c r="E768" s="9"/>
    </row>
    <row r="769" spans="1:5" x14ac:dyDescent="0.3">
      <c r="A769" s="5">
        <v>43885</v>
      </c>
      <c r="B769" s="6" t="s">
        <v>790</v>
      </c>
      <c r="C769" s="7" t="s">
        <v>193</v>
      </c>
      <c r="D769" s="8">
        <v>20728</v>
      </c>
      <c r="E769" s="27"/>
    </row>
    <row r="770" spans="1:5" x14ac:dyDescent="0.3">
      <c r="A770" s="46">
        <v>43887</v>
      </c>
      <c r="B770" s="47" t="s">
        <v>793</v>
      </c>
      <c r="C770" s="48" t="s">
        <v>194</v>
      </c>
      <c r="D770" s="49">
        <v>3190</v>
      </c>
      <c r="E770" s="9"/>
    </row>
    <row r="771" spans="1:5" ht="24" x14ac:dyDescent="0.3">
      <c r="A771" s="46">
        <v>43893</v>
      </c>
      <c r="B771" s="47" t="s">
        <v>792</v>
      </c>
      <c r="C771" s="50" t="s">
        <v>195</v>
      </c>
      <c r="D771" s="49">
        <v>4200</v>
      </c>
      <c r="E771" s="9"/>
    </row>
    <row r="772" spans="1:5" x14ac:dyDescent="0.3">
      <c r="A772" s="5">
        <v>43895</v>
      </c>
      <c r="B772" s="6" t="s">
        <v>799</v>
      </c>
      <c r="C772" s="7" t="s">
        <v>177</v>
      </c>
      <c r="D772" s="8">
        <v>250</v>
      </c>
      <c r="E772" s="9">
        <v>43922</v>
      </c>
    </row>
    <row r="773" spans="1:5" x14ac:dyDescent="0.3">
      <c r="A773" s="5">
        <v>43895</v>
      </c>
      <c r="B773" s="6" t="s">
        <v>797</v>
      </c>
      <c r="C773" s="7" t="s">
        <v>178</v>
      </c>
      <c r="D773" s="8">
        <v>91</v>
      </c>
      <c r="E773" s="9">
        <v>43922</v>
      </c>
    </row>
    <row r="774" spans="1:5" x14ac:dyDescent="0.3">
      <c r="A774" s="5">
        <v>43895</v>
      </c>
      <c r="B774" s="6" t="s">
        <v>795</v>
      </c>
      <c r="C774" s="7" t="s">
        <v>179</v>
      </c>
      <c r="D774" s="8">
        <v>54.56</v>
      </c>
      <c r="E774" s="9">
        <v>43922</v>
      </c>
    </row>
    <row r="775" spans="1:5" x14ac:dyDescent="0.3">
      <c r="A775" s="5">
        <v>43895</v>
      </c>
      <c r="B775" s="6" t="s">
        <v>791</v>
      </c>
      <c r="C775" s="7" t="s">
        <v>196</v>
      </c>
      <c r="D775" s="8">
        <v>4654</v>
      </c>
      <c r="E775" s="9">
        <v>43901</v>
      </c>
    </row>
    <row r="776" spans="1:5" x14ac:dyDescent="0.3">
      <c r="A776" s="5">
        <v>43900</v>
      </c>
      <c r="B776" s="6" t="s">
        <v>796</v>
      </c>
      <c r="C776" s="7" t="s">
        <v>197</v>
      </c>
      <c r="D776" s="8">
        <v>4988</v>
      </c>
      <c r="E776" s="9">
        <v>43898</v>
      </c>
    </row>
    <row r="777" spans="1:5" x14ac:dyDescent="0.3">
      <c r="A777" s="5">
        <v>43900</v>
      </c>
      <c r="B777" s="6" t="s">
        <v>792</v>
      </c>
      <c r="C777" s="7" t="s">
        <v>198</v>
      </c>
      <c r="D777" s="8">
        <v>1000</v>
      </c>
      <c r="E777" s="51"/>
    </row>
    <row r="778" spans="1:5" x14ac:dyDescent="0.3">
      <c r="A778" s="5">
        <v>43910</v>
      </c>
      <c r="B778" s="6" t="s">
        <v>792</v>
      </c>
      <c r="C778" s="7" t="s">
        <v>199</v>
      </c>
      <c r="D778" s="8">
        <v>1600</v>
      </c>
      <c r="E778" s="51"/>
    </row>
    <row r="779" spans="1:5" x14ac:dyDescent="0.3">
      <c r="A779" s="5">
        <v>43915</v>
      </c>
      <c r="B779" s="6" t="s">
        <v>779</v>
      </c>
      <c r="C779" s="7" t="s">
        <v>188</v>
      </c>
      <c r="D779" s="8">
        <v>912.47</v>
      </c>
      <c r="E779" s="25">
        <v>912.7</v>
      </c>
    </row>
    <row r="780" spans="1:5" x14ac:dyDescent="0.3">
      <c r="A780" s="5">
        <v>43915</v>
      </c>
      <c r="B780" s="6" t="s">
        <v>790</v>
      </c>
      <c r="C780" s="7" t="s">
        <v>200</v>
      </c>
      <c r="D780" s="8">
        <v>23940</v>
      </c>
      <c r="E780" s="27"/>
    </row>
    <row r="781" spans="1:5" x14ac:dyDescent="0.3">
      <c r="A781" s="5">
        <v>43917</v>
      </c>
      <c r="B781" s="6" t="s">
        <v>792</v>
      </c>
      <c r="C781" s="7" t="s">
        <v>201</v>
      </c>
      <c r="D781" s="8">
        <v>800</v>
      </c>
      <c r="E781" s="51"/>
    </row>
    <row r="782" spans="1:5" x14ac:dyDescent="0.3">
      <c r="A782" s="5">
        <v>43917</v>
      </c>
      <c r="B782" s="6" t="s">
        <v>793</v>
      </c>
      <c r="C782" s="7" t="s">
        <v>202</v>
      </c>
      <c r="D782" s="8">
        <v>3190</v>
      </c>
      <c r="E782" s="9">
        <v>43902</v>
      </c>
    </row>
    <row r="783" spans="1:5" x14ac:dyDescent="0.3">
      <c r="A783" s="5">
        <v>43918</v>
      </c>
      <c r="B783" s="6" t="s">
        <v>796</v>
      </c>
      <c r="C783" s="7" t="s">
        <v>203</v>
      </c>
      <c r="D783" s="8">
        <v>4988</v>
      </c>
      <c r="E783" s="9">
        <v>43917</v>
      </c>
    </row>
    <row r="784" spans="1:5" x14ac:dyDescent="0.3">
      <c r="A784" s="5">
        <v>43921</v>
      </c>
      <c r="B784" s="6" t="s">
        <v>771</v>
      </c>
      <c r="C784" s="7" t="s">
        <v>204</v>
      </c>
      <c r="D784" s="8">
        <v>6500</v>
      </c>
      <c r="E784" s="9"/>
    </row>
    <row r="785" spans="1:5" x14ac:dyDescent="0.3">
      <c r="A785" s="5">
        <v>43921</v>
      </c>
      <c r="B785" s="17" t="s">
        <v>745</v>
      </c>
      <c r="C785" s="7" t="s">
        <v>205</v>
      </c>
      <c r="D785" s="8">
        <v>638</v>
      </c>
      <c r="E785" s="9">
        <v>43865</v>
      </c>
    </row>
    <row r="786" spans="1:5" x14ac:dyDescent="0.3">
      <c r="A786" s="5">
        <v>43921</v>
      </c>
      <c r="B786" s="17" t="s">
        <v>745</v>
      </c>
      <c r="C786" s="7" t="s">
        <v>206</v>
      </c>
      <c r="D786" s="8">
        <v>1303</v>
      </c>
      <c r="E786" s="9">
        <v>43872</v>
      </c>
    </row>
    <row r="787" spans="1:5" x14ac:dyDescent="0.3">
      <c r="A787" s="5">
        <v>43921</v>
      </c>
      <c r="B787" s="17" t="s">
        <v>745</v>
      </c>
      <c r="C787" s="7" t="s">
        <v>206</v>
      </c>
      <c r="D787" s="8">
        <v>1303</v>
      </c>
      <c r="E787" s="9">
        <v>43872</v>
      </c>
    </row>
    <row r="788" spans="1:5" x14ac:dyDescent="0.3">
      <c r="A788" s="5">
        <v>43921</v>
      </c>
      <c r="B788" s="17" t="s">
        <v>745</v>
      </c>
      <c r="C788" s="7" t="s">
        <v>207</v>
      </c>
      <c r="D788" s="8">
        <v>710</v>
      </c>
      <c r="E788" s="9">
        <v>43913</v>
      </c>
    </row>
    <row r="789" spans="1:5" x14ac:dyDescent="0.3">
      <c r="A789" s="5">
        <v>43923</v>
      </c>
      <c r="B789" s="6" t="s">
        <v>771</v>
      </c>
      <c r="C789" s="7" t="s">
        <v>774</v>
      </c>
      <c r="D789" s="8">
        <v>3698.28</v>
      </c>
      <c r="E789" s="9">
        <v>43924</v>
      </c>
    </row>
    <row r="790" spans="1:5" x14ac:dyDescent="0.3">
      <c r="A790" s="5">
        <v>43923</v>
      </c>
      <c r="B790" s="6" t="s">
        <v>801</v>
      </c>
      <c r="C790" s="7" t="s">
        <v>208</v>
      </c>
      <c r="D790" s="8">
        <v>399</v>
      </c>
      <c r="E790" s="9"/>
    </row>
    <row r="791" spans="1:5" x14ac:dyDescent="0.3">
      <c r="A791" s="5">
        <v>43924</v>
      </c>
      <c r="B791" s="6" t="s">
        <v>801</v>
      </c>
      <c r="C791" s="7" t="s">
        <v>209</v>
      </c>
      <c r="D791" s="8">
        <v>399</v>
      </c>
      <c r="E791" s="9"/>
    </row>
    <row r="792" spans="1:5" x14ac:dyDescent="0.3">
      <c r="A792" s="5">
        <v>43924</v>
      </c>
      <c r="B792" s="6" t="s">
        <v>792</v>
      </c>
      <c r="C792" s="7" t="s">
        <v>210</v>
      </c>
      <c r="D792" s="8">
        <v>1000</v>
      </c>
      <c r="E792" s="51"/>
    </row>
    <row r="793" spans="1:5" x14ac:dyDescent="0.3">
      <c r="A793" s="5">
        <v>43927</v>
      </c>
      <c r="B793" s="6" t="s">
        <v>799</v>
      </c>
      <c r="C793" s="7" t="s">
        <v>177</v>
      </c>
      <c r="D793" s="8">
        <v>250</v>
      </c>
      <c r="E793" s="9">
        <v>43952</v>
      </c>
    </row>
    <row r="794" spans="1:5" x14ac:dyDescent="0.3">
      <c r="A794" s="5">
        <v>43927</v>
      </c>
      <c r="B794" s="6" t="s">
        <v>797</v>
      </c>
      <c r="C794" s="7" t="s">
        <v>178</v>
      </c>
      <c r="D794" s="8">
        <v>130</v>
      </c>
      <c r="E794" s="9">
        <v>43952</v>
      </c>
    </row>
    <row r="795" spans="1:5" x14ac:dyDescent="0.3">
      <c r="A795" s="5">
        <v>43927</v>
      </c>
      <c r="B795" s="6" t="s">
        <v>795</v>
      </c>
      <c r="C795" s="7" t="s">
        <v>179</v>
      </c>
      <c r="D795" s="8">
        <v>60.8</v>
      </c>
      <c r="E795" s="9">
        <v>43952</v>
      </c>
    </row>
    <row r="796" spans="1:5" x14ac:dyDescent="0.3">
      <c r="A796" s="5">
        <v>43935</v>
      </c>
      <c r="B796" s="6" t="s">
        <v>792</v>
      </c>
      <c r="C796" s="7" t="s">
        <v>211</v>
      </c>
      <c r="D796" s="8">
        <v>800</v>
      </c>
      <c r="E796" s="51"/>
    </row>
    <row r="797" spans="1:5" x14ac:dyDescent="0.3">
      <c r="A797" s="5">
        <v>43937</v>
      </c>
      <c r="B797" s="6" t="s">
        <v>796</v>
      </c>
      <c r="C797" s="7" t="s">
        <v>212</v>
      </c>
      <c r="D797" s="8">
        <v>4988</v>
      </c>
      <c r="E797" s="9">
        <v>43937</v>
      </c>
    </row>
    <row r="798" spans="1:5" x14ac:dyDescent="0.3">
      <c r="A798" s="5">
        <v>43937</v>
      </c>
      <c r="B798" s="6" t="s">
        <v>793</v>
      </c>
      <c r="C798" s="7" t="s">
        <v>213</v>
      </c>
      <c r="D798" s="8">
        <v>4400</v>
      </c>
      <c r="E798" s="9">
        <v>43936</v>
      </c>
    </row>
    <row r="799" spans="1:5" x14ac:dyDescent="0.3">
      <c r="A799" s="5">
        <v>43942</v>
      </c>
      <c r="B799" s="6" t="s">
        <v>792</v>
      </c>
      <c r="C799" s="7" t="s">
        <v>214</v>
      </c>
      <c r="D799" s="8">
        <v>1000</v>
      </c>
      <c r="E799" s="51"/>
    </row>
    <row r="800" spans="1:5" x14ac:dyDescent="0.3">
      <c r="A800" s="5">
        <v>43942</v>
      </c>
      <c r="B800" s="6" t="s">
        <v>782</v>
      </c>
      <c r="C800" s="7" t="s">
        <v>215</v>
      </c>
      <c r="D800" s="8">
        <v>16585.099999999999</v>
      </c>
      <c r="E800" s="9">
        <v>43963</v>
      </c>
    </row>
    <row r="801" spans="1:5" x14ac:dyDescent="0.3">
      <c r="A801" s="5">
        <v>43945</v>
      </c>
      <c r="B801" s="6" t="s">
        <v>790</v>
      </c>
      <c r="C801" s="7" t="s">
        <v>216</v>
      </c>
      <c r="D801" s="8">
        <v>21000</v>
      </c>
      <c r="E801" s="9">
        <v>43948</v>
      </c>
    </row>
    <row r="802" spans="1:5" x14ac:dyDescent="0.3">
      <c r="A802" s="5">
        <v>43946</v>
      </c>
      <c r="B802" s="6" t="s">
        <v>792</v>
      </c>
      <c r="C802" s="7" t="s">
        <v>217</v>
      </c>
      <c r="D802" s="8">
        <v>800</v>
      </c>
      <c r="E802" s="51"/>
    </row>
    <row r="803" spans="1:5" x14ac:dyDescent="0.3">
      <c r="A803" s="5">
        <v>43953</v>
      </c>
      <c r="B803" s="6" t="s">
        <v>792</v>
      </c>
      <c r="C803" s="7" t="s">
        <v>218</v>
      </c>
      <c r="D803" s="8">
        <v>1000</v>
      </c>
      <c r="E803" s="51"/>
    </row>
    <row r="804" spans="1:5" x14ac:dyDescent="0.3">
      <c r="A804" s="5">
        <v>43953</v>
      </c>
      <c r="B804" s="6" t="s">
        <v>793</v>
      </c>
      <c r="C804" s="7" t="s">
        <v>219</v>
      </c>
      <c r="D804" s="8">
        <v>4400</v>
      </c>
      <c r="E804" s="9">
        <v>43952</v>
      </c>
    </row>
    <row r="805" spans="1:5" x14ac:dyDescent="0.3">
      <c r="A805" s="5">
        <v>43955</v>
      </c>
      <c r="B805" s="6" t="s">
        <v>791</v>
      </c>
      <c r="C805" s="7" t="s">
        <v>220</v>
      </c>
      <c r="D805" s="8">
        <v>3530</v>
      </c>
      <c r="E805" s="9">
        <v>43943</v>
      </c>
    </row>
    <row r="806" spans="1:5" x14ac:dyDescent="0.3">
      <c r="A806" s="5">
        <v>43958</v>
      </c>
      <c r="B806" s="6" t="s">
        <v>799</v>
      </c>
      <c r="C806" s="7" t="s">
        <v>177</v>
      </c>
      <c r="D806" s="8">
        <v>250</v>
      </c>
      <c r="E806" s="9">
        <v>43981</v>
      </c>
    </row>
    <row r="807" spans="1:5" x14ac:dyDescent="0.3">
      <c r="A807" s="5">
        <v>43958</v>
      </c>
      <c r="B807" s="6" t="s">
        <v>797</v>
      </c>
      <c r="C807" s="7" t="s">
        <v>178</v>
      </c>
      <c r="D807" s="8">
        <v>101</v>
      </c>
      <c r="E807" s="9">
        <v>43981</v>
      </c>
    </row>
    <row r="808" spans="1:5" x14ac:dyDescent="0.3">
      <c r="A808" s="5">
        <v>43958</v>
      </c>
      <c r="B808" s="6" t="s">
        <v>795</v>
      </c>
      <c r="C808" s="7" t="s">
        <v>179</v>
      </c>
      <c r="D808" s="8">
        <v>56.16</v>
      </c>
      <c r="E808" s="9">
        <v>43981</v>
      </c>
    </row>
    <row r="809" spans="1:5" x14ac:dyDescent="0.3">
      <c r="A809" s="5">
        <v>43958</v>
      </c>
      <c r="B809" s="6" t="s">
        <v>782</v>
      </c>
      <c r="C809" s="7" t="s">
        <v>221</v>
      </c>
      <c r="D809" s="8">
        <v>7107.9</v>
      </c>
      <c r="E809" s="9">
        <v>43963</v>
      </c>
    </row>
    <row r="810" spans="1:5" x14ac:dyDescent="0.3">
      <c r="A810" s="5">
        <v>43959</v>
      </c>
      <c r="B810" s="6" t="s">
        <v>796</v>
      </c>
      <c r="C810" s="7" t="s">
        <v>222</v>
      </c>
      <c r="D810" s="8">
        <v>4988</v>
      </c>
      <c r="E810" s="9">
        <v>43956</v>
      </c>
    </row>
    <row r="811" spans="1:5" x14ac:dyDescent="0.3">
      <c r="A811" s="5">
        <v>43966</v>
      </c>
      <c r="B811" s="6" t="s">
        <v>792</v>
      </c>
      <c r="C811" s="7" t="s">
        <v>223</v>
      </c>
      <c r="D811" s="8">
        <v>1800</v>
      </c>
      <c r="E811" s="51"/>
    </row>
    <row r="812" spans="1:5" x14ac:dyDescent="0.3">
      <c r="A812" s="5">
        <v>43974</v>
      </c>
      <c r="B812" s="6" t="s">
        <v>792</v>
      </c>
      <c r="C812" s="7" t="s">
        <v>224</v>
      </c>
      <c r="D812" s="8">
        <v>1000</v>
      </c>
      <c r="E812" s="51"/>
    </row>
    <row r="813" spans="1:5" x14ac:dyDescent="0.3">
      <c r="A813" s="5">
        <v>43977</v>
      </c>
      <c r="B813" s="6" t="s">
        <v>790</v>
      </c>
      <c r="C813" s="7" t="s">
        <v>225</v>
      </c>
      <c r="D813" s="8">
        <v>15469</v>
      </c>
      <c r="E813" s="9">
        <v>43958</v>
      </c>
    </row>
    <row r="814" spans="1:5" x14ac:dyDescent="0.3">
      <c r="A814" s="5">
        <v>43980</v>
      </c>
      <c r="B814" s="6" t="s">
        <v>796</v>
      </c>
      <c r="C814" s="7" t="s">
        <v>226</v>
      </c>
      <c r="D814" s="8">
        <v>4988</v>
      </c>
      <c r="E814" s="9">
        <v>43979</v>
      </c>
    </row>
    <row r="815" spans="1:5" x14ac:dyDescent="0.3">
      <c r="A815" s="5">
        <v>43980</v>
      </c>
      <c r="B815" s="6" t="s">
        <v>792</v>
      </c>
      <c r="C815" s="7" t="s">
        <v>227</v>
      </c>
      <c r="D815" s="8">
        <v>800</v>
      </c>
      <c r="E815" s="51"/>
    </row>
    <row r="816" spans="1:5" x14ac:dyDescent="0.3">
      <c r="A816" s="5">
        <v>43986</v>
      </c>
      <c r="B816" s="6" t="s">
        <v>799</v>
      </c>
      <c r="C816" s="7" t="s">
        <v>177</v>
      </c>
      <c r="D816" s="8">
        <v>250</v>
      </c>
      <c r="E816" s="9"/>
    </row>
    <row r="817" spans="1:5" x14ac:dyDescent="0.3">
      <c r="A817" s="5">
        <v>43986</v>
      </c>
      <c r="B817" s="6" t="s">
        <v>797</v>
      </c>
      <c r="C817" s="7" t="s">
        <v>178</v>
      </c>
      <c r="D817" s="8">
        <v>92</v>
      </c>
      <c r="E817" s="9"/>
    </row>
    <row r="818" spans="1:5" x14ac:dyDescent="0.3">
      <c r="A818" s="5">
        <v>43986</v>
      </c>
      <c r="B818" s="6" t="s">
        <v>795</v>
      </c>
      <c r="C818" s="7" t="s">
        <v>179</v>
      </c>
      <c r="D818" s="8">
        <v>54.72</v>
      </c>
      <c r="E818" s="9"/>
    </row>
    <row r="819" spans="1:5" x14ac:dyDescent="0.3">
      <c r="A819" s="5">
        <v>43986</v>
      </c>
      <c r="B819" s="6" t="s">
        <v>793</v>
      </c>
      <c r="C819" s="7" t="s">
        <v>228</v>
      </c>
      <c r="D819" s="8">
        <v>4400</v>
      </c>
      <c r="E819" s="9"/>
    </row>
    <row r="820" spans="1:5" x14ac:dyDescent="0.3">
      <c r="A820" s="5">
        <v>43995</v>
      </c>
      <c r="B820" s="6" t="s">
        <v>796</v>
      </c>
      <c r="C820" s="7" t="s">
        <v>229</v>
      </c>
      <c r="D820" s="8">
        <v>4988</v>
      </c>
      <c r="E820" s="9"/>
    </row>
    <row r="821" spans="1:5" x14ac:dyDescent="0.3">
      <c r="A821" s="5">
        <v>43995</v>
      </c>
      <c r="B821" s="6" t="s">
        <v>792</v>
      </c>
      <c r="C821" s="7" t="s">
        <v>230</v>
      </c>
      <c r="D821" s="8">
        <v>1600</v>
      </c>
      <c r="E821" s="51"/>
    </row>
    <row r="822" spans="1:5" x14ac:dyDescent="0.3">
      <c r="A822" s="5">
        <v>44001</v>
      </c>
      <c r="B822" s="6" t="s">
        <v>771</v>
      </c>
      <c r="C822" s="7" t="s">
        <v>231</v>
      </c>
      <c r="D822" s="8">
        <v>5560</v>
      </c>
      <c r="E822" s="9"/>
    </row>
    <row r="823" spans="1:5" x14ac:dyDescent="0.3">
      <c r="A823" s="5">
        <v>44002</v>
      </c>
      <c r="B823" s="6" t="s">
        <v>792</v>
      </c>
      <c r="C823" s="7" t="s">
        <v>232</v>
      </c>
      <c r="D823" s="8">
        <v>1000</v>
      </c>
      <c r="E823" s="51"/>
    </row>
    <row r="824" spans="1:5" x14ac:dyDescent="0.3">
      <c r="A824" s="5">
        <v>44006</v>
      </c>
      <c r="B824" s="6" t="s">
        <v>790</v>
      </c>
      <c r="C824" s="7" t="s">
        <v>233</v>
      </c>
      <c r="D824" s="8">
        <v>13750</v>
      </c>
      <c r="E824" s="9"/>
    </row>
    <row r="825" spans="1:5" x14ac:dyDescent="0.3">
      <c r="A825" s="5">
        <v>44007</v>
      </c>
      <c r="B825" s="6" t="s">
        <v>796</v>
      </c>
      <c r="C825" s="7" t="s">
        <v>234</v>
      </c>
      <c r="D825" s="8">
        <v>4988</v>
      </c>
      <c r="E825" s="9"/>
    </row>
    <row r="826" spans="1:5" x14ac:dyDescent="0.3">
      <c r="A826" s="5">
        <v>44015</v>
      </c>
      <c r="B826" s="6" t="s">
        <v>791</v>
      </c>
      <c r="C826" s="7" t="s">
        <v>235</v>
      </c>
      <c r="D826" s="8">
        <v>2808</v>
      </c>
      <c r="E826" s="9"/>
    </row>
    <row r="827" spans="1:5" x14ac:dyDescent="0.3">
      <c r="A827" s="5">
        <v>44016</v>
      </c>
      <c r="B827" s="6" t="s">
        <v>792</v>
      </c>
      <c r="C827" s="7" t="s">
        <v>236</v>
      </c>
      <c r="D827" s="8">
        <v>1800</v>
      </c>
      <c r="E827" s="9"/>
    </row>
    <row r="828" spans="1:5" x14ac:dyDescent="0.3">
      <c r="A828" s="5">
        <v>44016</v>
      </c>
      <c r="B828" s="6" t="s">
        <v>727</v>
      </c>
      <c r="C828" s="7" t="s">
        <v>237</v>
      </c>
      <c r="D828" s="8">
        <v>580</v>
      </c>
      <c r="E828" s="51"/>
    </row>
    <row r="829" spans="1:5" x14ac:dyDescent="0.3">
      <c r="A829" s="5">
        <v>44018</v>
      </c>
      <c r="B829" s="6" t="s">
        <v>799</v>
      </c>
      <c r="C829" s="7" t="s">
        <v>177</v>
      </c>
      <c r="D829" s="8">
        <v>250</v>
      </c>
      <c r="E829" s="9"/>
    </row>
    <row r="830" spans="1:5" x14ac:dyDescent="0.3">
      <c r="A830" s="5">
        <v>44018</v>
      </c>
      <c r="B830" s="6" t="s">
        <v>797</v>
      </c>
      <c r="C830" s="7" t="s">
        <v>178</v>
      </c>
      <c r="D830" s="8">
        <v>81</v>
      </c>
      <c r="E830" s="9"/>
    </row>
    <row r="831" spans="1:5" x14ac:dyDescent="0.3">
      <c r="A831" s="5">
        <v>44018</v>
      </c>
      <c r="B831" s="6" t="s">
        <v>795</v>
      </c>
      <c r="C831" s="7" t="s">
        <v>179</v>
      </c>
      <c r="D831" s="8">
        <v>52.96</v>
      </c>
      <c r="E831" s="9"/>
    </row>
    <row r="832" spans="1:5" x14ac:dyDescent="0.3">
      <c r="A832" s="5">
        <v>44018</v>
      </c>
      <c r="B832" s="6" t="s">
        <v>763</v>
      </c>
      <c r="C832" s="7" t="s">
        <v>765</v>
      </c>
      <c r="D832" s="8">
        <v>4628.3999999999996</v>
      </c>
      <c r="E832" s="9"/>
    </row>
    <row r="833" spans="1:5" x14ac:dyDescent="0.3">
      <c r="A833" s="5">
        <v>44019</v>
      </c>
      <c r="B833" s="6" t="s">
        <v>793</v>
      </c>
      <c r="C833" s="7" t="s">
        <v>238</v>
      </c>
      <c r="D833" s="8">
        <v>4400</v>
      </c>
      <c r="E833" s="9"/>
    </row>
    <row r="834" spans="1:5" x14ac:dyDescent="0.3">
      <c r="A834" s="5">
        <v>44023</v>
      </c>
      <c r="B834" s="6" t="s">
        <v>792</v>
      </c>
      <c r="C834" s="7" t="s">
        <v>239</v>
      </c>
      <c r="D834" s="8">
        <v>1000</v>
      </c>
      <c r="E834" s="9"/>
    </row>
    <row r="835" spans="1:5" x14ac:dyDescent="0.3">
      <c r="A835" s="5">
        <v>44027</v>
      </c>
      <c r="B835" s="6" t="s">
        <v>801</v>
      </c>
      <c r="C835" s="7" t="s">
        <v>240</v>
      </c>
      <c r="D835" s="8">
        <v>798</v>
      </c>
      <c r="E835" s="9"/>
    </row>
    <row r="836" spans="1:5" x14ac:dyDescent="0.3">
      <c r="A836" s="5">
        <v>44028</v>
      </c>
      <c r="B836" s="6" t="s">
        <v>763</v>
      </c>
      <c r="C836" s="7" t="s">
        <v>766</v>
      </c>
      <c r="D836" s="8">
        <v>1983.6</v>
      </c>
      <c r="E836" s="9"/>
    </row>
    <row r="837" spans="1:5" x14ac:dyDescent="0.3">
      <c r="A837" s="5">
        <v>44030</v>
      </c>
      <c r="B837" s="6" t="s">
        <v>796</v>
      </c>
      <c r="C837" s="7" t="s">
        <v>241</v>
      </c>
      <c r="D837" s="8">
        <v>6728</v>
      </c>
      <c r="E837" s="9"/>
    </row>
    <row r="838" spans="1:5" x14ac:dyDescent="0.3">
      <c r="A838" s="5">
        <v>44030</v>
      </c>
      <c r="B838" s="6" t="s">
        <v>796</v>
      </c>
      <c r="C838" s="7" t="s">
        <v>242</v>
      </c>
      <c r="D838" s="8">
        <v>3480</v>
      </c>
      <c r="E838" s="9"/>
    </row>
    <row r="839" spans="1:5" x14ac:dyDescent="0.3">
      <c r="A839" s="5">
        <v>44030</v>
      </c>
      <c r="B839" s="6" t="s">
        <v>792</v>
      </c>
      <c r="C839" s="7" t="s">
        <v>243</v>
      </c>
      <c r="D839" s="8">
        <v>1000</v>
      </c>
      <c r="E839" s="9"/>
    </row>
    <row r="840" spans="1:5" x14ac:dyDescent="0.3">
      <c r="A840" s="5">
        <v>44035</v>
      </c>
      <c r="B840" s="6" t="s">
        <v>757</v>
      </c>
      <c r="C840" s="7" t="s">
        <v>244</v>
      </c>
      <c r="D840" s="8">
        <v>6530.66</v>
      </c>
      <c r="E840" s="9"/>
    </row>
    <row r="841" spans="1:5" x14ac:dyDescent="0.3">
      <c r="A841" s="5">
        <v>44037</v>
      </c>
      <c r="B841" s="6" t="s">
        <v>792</v>
      </c>
      <c r="C841" s="7" t="s">
        <v>245</v>
      </c>
      <c r="D841" s="8">
        <v>1000</v>
      </c>
      <c r="E841" s="9"/>
    </row>
    <row r="842" spans="1:5" x14ac:dyDescent="0.3">
      <c r="A842" s="5">
        <v>44039</v>
      </c>
      <c r="B842" s="6" t="s">
        <v>790</v>
      </c>
      <c r="C842" s="7" t="s">
        <v>246</v>
      </c>
      <c r="D842" s="8">
        <v>24689</v>
      </c>
      <c r="E842" s="9"/>
    </row>
    <row r="843" spans="1:5" x14ac:dyDescent="0.3">
      <c r="A843" s="5">
        <v>44046</v>
      </c>
      <c r="B843" s="6" t="s">
        <v>796</v>
      </c>
      <c r="C843" s="7" t="s">
        <v>247</v>
      </c>
      <c r="D843" s="8">
        <v>4988</v>
      </c>
      <c r="E843" s="9"/>
    </row>
    <row r="844" spans="1:5" x14ac:dyDescent="0.3">
      <c r="A844" s="5">
        <v>44046</v>
      </c>
      <c r="B844" s="6" t="s">
        <v>792</v>
      </c>
      <c r="C844" s="7" t="s">
        <v>248</v>
      </c>
      <c r="D844" s="8">
        <v>1000</v>
      </c>
      <c r="E844" s="9"/>
    </row>
    <row r="845" spans="1:5" x14ac:dyDescent="0.3">
      <c r="A845" s="5">
        <v>44046</v>
      </c>
      <c r="B845" s="6" t="s">
        <v>789</v>
      </c>
      <c r="C845" s="7" t="s">
        <v>249</v>
      </c>
      <c r="D845" s="8">
        <v>2928</v>
      </c>
      <c r="E845" s="9"/>
    </row>
    <row r="846" spans="1:5" x14ac:dyDescent="0.3">
      <c r="A846" s="5">
        <v>44046</v>
      </c>
      <c r="B846" s="6" t="s">
        <v>789</v>
      </c>
      <c r="C846" s="7" t="s">
        <v>250</v>
      </c>
      <c r="D846" s="8">
        <v>2964</v>
      </c>
      <c r="E846" s="9"/>
    </row>
    <row r="847" spans="1:5" x14ac:dyDescent="0.3">
      <c r="A847" s="5">
        <v>44046</v>
      </c>
      <c r="B847" s="6" t="s">
        <v>789</v>
      </c>
      <c r="C847" s="7" t="s">
        <v>251</v>
      </c>
      <c r="D847" s="8">
        <v>876</v>
      </c>
      <c r="E847" s="9"/>
    </row>
    <row r="848" spans="1:5" x14ac:dyDescent="0.3">
      <c r="A848" s="5">
        <v>44046</v>
      </c>
      <c r="B848" s="6" t="s">
        <v>789</v>
      </c>
      <c r="C848" s="7" t="s">
        <v>252</v>
      </c>
      <c r="D848" s="8">
        <v>864</v>
      </c>
      <c r="E848" s="9"/>
    </row>
    <row r="849" spans="1:5" x14ac:dyDescent="0.3">
      <c r="A849" s="5">
        <v>44046</v>
      </c>
      <c r="B849" s="6" t="s">
        <v>789</v>
      </c>
      <c r="C849" s="7" t="s">
        <v>253</v>
      </c>
      <c r="D849" s="8">
        <v>1874</v>
      </c>
      <c r="E849" s="9"/>
    </row>
    <row r="850" spans="1:5" x14ac:dyDescent="0.3">
      <c r="A850" s="5">
        <v>44046</v>
      </c>
      <c r="B850" s="6" t="s">
        <v>789</v>
      </c>
      <c r="C850" s="7" t="s">
        <v>254</v>
      </c>
      <c r="D850" s="8">
        <v>835</v>
      </c>
      <c r="E850" s="9"/>
    </row>
    <row r="851" spans="1:5" x14ac:dyDescent="0.3">
      <c r="A851" s="5">
        <v>44046</v>
      </c>
      <c r="B851" s="6" t="s">
        <v>789</v>
      </c>
      <c r="C851" s="7" t="s">
        <v>255</v>
      </c>
      <c r="D851" s="8">
        <v>1161</v>
      </c>
      <c r="E851" s="9"/>
    </row>
    <row r="852" spans="1:5" x14ac:dyDescent="0.3">
      <c r="A852" s="5">
        <v>44046</v>
      </c>
      <c r="B852" s="6" t="s">
        <v>789</v>
      </c>
      <c r="C852" s="7" t="s">
        <v>256</v>
      </c>
      <c r="D852" s="8">
        <v>187</v>
      </c>
      <c r="E852" s="9"/>
    </row>
    <row r="853" spans="1:5" x14ac:dyDescent="0.3">
      <c r="A853" s="5">
        <v>44046</v>
      </c>
      <c r="B853" s="6" t="s">
        <v>789</v>
      </c>
      <c r="C853" s="7" t="s">
        <v>257</v>
      </c>
      <c r="D853" s="8">
        <v>1376</v>
      </c>
      <c r="E853" s="9"/>
    </row>
    <row r="854" spans="1:5" x14ac:dyDescent="0.3">
      <c r="A854" s="5">
        <v>44046</v>
      </c>
      <c r="B854" s="6" t="s">
        <v>789</v>
      </c>
      <c r="C854" s="7" t="s">
        <v>258</v>
      </c>
      <c r="D854" s="8">
        <v>1098</v>
      </c>
      <c r="E854" s="9"/>
    </row>
    <row r="855" spans="1:5" x14ac:dyDescent="0.3">
      <c r="A855" s="5">
        <v>44046</v>
      </c>
      <c r="B855" s="6" t="s">
        <v>789</v>
      </c>
      <c r="C855" s="7" t="s">
        <v>259</v>
      </c>
      <c r="D855" s="8">
        <v>248</v>
      </c>
      <c r="E855" s="9"/>
    </row>
    <row r="856" spans="1:5" x14ac:dyDescent="0.3">
      <c r="A856" s="5">
        <v>44046</v>
      </c>
      <c r="B856" s="6" t="s">
        <v>789</v>
      </c>
      <c r="C856" s="7" t="s">
        <v>260</v>
      </c>
      <c r="D856" s="8">
        <v>244</v>
      </c>
      <c r="E856" s="9"/>
    </row>
    <row r="857" spans="1:5" x14ac:dyDescent="0.3">
      <c r="A857" s="5">
        <v>44050</v>
      </c>
      <c r="B857" s="6" t="s">
        <v>793</v>
      </c>
      <c r="C857" s="7" t="s">
        <v>261</v>
      </c>
      <c r="D857" s="8">
        <v>4400</v>
      </c>
      <c r="E857" s="9"/>
    </row>
    <row r="858" spans="1:5" x14ac:dyDescent="0.3">
      <c r="A858" s="5">
        <v>44050</v>
      </c>
      <c r="B858" s="6" t="s">
        <v>792</v>
      </c>
      <c r="C858" s="7" t="s">
        <v>262</v>
      </c>
      <c r="D858" s="8">
        <v>1000</v>
      </c>
      <c r="E858" s="9"/>
    </row>
    <row r="859" spans="1:5" x14ac:dyDescent="0.3">
      <c r="A859" s="5">
        <v>44050</v>
      </c>
      <c r="B859" s="6" t="s">
        <v>755</v>
      </c>
      <c r="C859" s="7" t="s">
        <v>263</v>
      </c>
      <c r="D859" s="8">
        <v>12000</v>
      </c>
      <c r="E859" s="9"/>
    </row>
    <row r="860" spans="1:5" x14ac:dyDescent="0.3">
      <c r="A860" s="5">
        <v>44054</v>
      </c>
      <c r="B860" s="6" t="s">
        <v>799</v>
      </c>
      <c r="C860" s="7" t="s">
        <v>177</v>
      </c>
      <c r="D860" s="8">
        <v>250</v>
      </c>
      <c r="E860" s="9"/>
    </row>
    <row r="861" spans="1:5" x14ac:dyDescent="0.3">
      <c r="A861" s="5">
        <v>44054</v>
      </c>
      <c r="B861" s="6" t="s">
        <v>797</v>
      </c>
      <c r="C861" s="7" t="s">
        <v>178</v>
      </c>
      <c r="D861" s="8">
        <v>94</v>
      </c>
      <c r="E861" s="9"/>
    </row>
    <row r="862" spans="1:5" x14ac:dyDescent="0.3">
      <c r="A862" s="5">
        <v>44054</v>
      </c>
      <c r="B862" s="6" t="s">
        <v>795</v>
      </c>
      <c r="C862" s="7" t="s">
        <v>179</v>
      </c>
      <c r="D862" s="8">
        <v>55.04</v>
      </c>
      <c r="E862" s="9"/>
    </row>
    <row r="863" spans="1:5" x14ac:dyDescent="0.3">
      <c r="A863" s="5">
        <v>44057</v>
      </c>
      <c r="B863" s="6" t="s">
        <v>763</v>
      </c>
      <c r="C863" s="7" t="s">
        <v>264</v>
      </c>
      <c r="D863" s="8">
        <v>1160</v>
      </c>
      <c r="E863" s="9"/>
    </row>
    <row r="864" spans="1:5" x14ac:dyDescent="0.3">
      <c r="A864" s="5">
        <v>44065</v>
      </c>
      <c r="B864" s="6" t="s">
        <v>792</v>
      </c>
      <c r="C864" s="7" t="s">
        <v>265</v>
      </c>
      <c r="D864" s="8">
        <v>1000</v>
      </c>
      <c r="E864" s="9"/>
    </row>
    <row r="865" spans="1:5" x14ac:dyDescent="0.3">
      <c r="A865" s="5">
        <v>44067</v>
      </c>
      <c r="B865" s="6" t="s">
        <v>796</v>
      </c>
      <c r="C865" s="7" t="s">
        <v>266</v>
      </c>
      <c r="D865" s="8">
        <v>4988</v>
      </c>
      <c r="E865" s="9"/>
    </row>
    <row r="866" spans="1:5" x14ac:dyDescent="0.3">
      <c r="A866" s="5">
        <v>44068</v>
      </c>
      <c r="B866" s="6" t="s">
        <v>790</v>
      </c>
      <c r="C866" s="7" t="s">
        <v>267</v>
      </c>
      <c r="D866" s="8">
        <v>28147</v>
      </c>
      <c r="E866" s="9"/>
    </row>
    <row r="867" spans="1:5" x14ac:dyDescent="0.3">
      <c r="A867" s="5">
        <v>44076</v>
      </c>
      <c r="B867" s="6" t="s">
        <v>792</v>
      </c>
      <c r="C867" s="7" t="s">
        <v>268</v>
      </c>
      <c r="D867" s="8">
        <v>600</v>
      </c>
      <c r="E867" s="9"/>
    </row>
    <row r="868" spans="1:5" x14ac:dyDescent="0.3">
      <c r="A868" s="5">
        <v>44077</v>
      </c>
      <c r="B868" s="6" t="s">
        <v>791</v>
      </c>
      <c r="C868" s="7" t="s">
        <v>269</v>
      </c>
      <c r="D868" s="8">
        <v>7632</v>
      </c>
      <c r="E868" s="9"/>
    </row>
    <row r="869" spans="1:5" x14ac:dyDescent="0.3">
      <c r="A869" s="5">
        <v>44078</v>
      </c>
      <c r="B869" s="6" t="s">
        <v>799</v>
      </c>
      <c r="C869" s="7" t="s">
        <v>177</v>
      </c>
      <c r="D869" s="8">
        <v>250</v>
      </c>
      <c r="E869" s="9"/>
    </row>
    <row r="870" spans="1:5" x14ac:dyDescent="0.3">
      <c r="A870" s="5">
        <v>44078</v>
      </c>
      <c r="B870" s="6" t="s">
        <v>797</v>
      </c>
      <c r="C870" s="7" t="s">
        <v>178</v>
      </c>
      <c r="D870" s="8">
        <v>85</v>
      </c>
      <c r="E870" s="9"/>
    </row>
    <row r="871" spans="1:5" x14ac:dyDescent="0.3">
      <c r="A871" s="5">
        <v>44078</v>
      </c>
      <c r="B871" s="6" t="s">
        <v>795</v>
      </c>
      <c r="C871" s="7" t="s">
        <v>179</v>
      </c>
      <c r="D871" s="8">
        <v>53.6</v>
      </c>
      <c r="E871" s="9"/>
    </row>
    <row r="872" spans="1:5" x14ac:dyDescent="0.3">
      <c r="A872" s="5">
        <v>44084</v>
      </c>
      <c r="B872" s="6" t="s">
        <v>792</v>
      </c>
      <c r="C872" s="7" t="s">
        <v>270</v>
      </c>
      <c r="D872" s="8">
        <v>600</v>
      </c>
      <c r="E872" s="9"/>
    </row>
    <row r="873" spans="1:5" x14ac:dyDescent="0.3">
      <c r="A873" s="5">
        <v>44085</v>
      </c>
      <c r="B873" s="6" t="s">
        <v>792</v>
      </c>
      <c r="C873" s="7" t="s">
        <v>271</v>
      </c>
      <c r="D873" s="8">
        <v>600</v>
      </c>
      <c r="E873" s="9"/>
    </row>
    <row r="874" spans="1:5" x14ac:dyDescent="0.3">
      <c r="A874" s="5">
        <v>44089</v>
      </c>
      <c r="B874" s="6" t="s">
        <v>796</v>
      </c>
      <c r="C874" s="7" t="s">
        <v>272</v>
      </c>
      <c r="D874" s="8">
        <v>4988</v>
      </c>
      <c r="E874" s="9"/>
    </row>
    <row r="875" spans="1:5" x14ac:dyDescent="0.3">
      <c r="A875" s="5">
        <v>44093</v>
      </c>
      <c r="B875" s="6" t="s">
        <v>792</v>
      </c>
      <c r="C875" s="7" t="s">
        <v>273</v>
      </c>
      <c r="D875" s="8">
        <v>400</v>
      </c>
      <c r="E875" s="9"/>
    </row>
    <row r="876" spans="1:5" x14ac:dyDescent="0.3">
      <c r="A876" s="5">
        <v>44098</v>
      </c>
      <c r="B876" s="6" t="s">
        <v>790</v>
      </c>
      <c r="C876" s="7" t="s">
        <v>274</v>
      </c>
      <c r="D876" s="8">
        <v>26398</v>
      </c>
      <c r="E876" s="9"/>
    </row>
    <row r="877" spans="1:5" x14ac:dyDescent="0.3">
      <c r="A877" s="5">
        <v>44099</v>
      </c>
      <c r="B877" s="6" t="s">
        <v>792</v>
      </c>
      <c r="C877" s="7" t="s">
        <v>275</v>
      </c>
      <c r="D877" s="8">
        <v>600</v>
      </c>
      <c r="E877" s="9"/>
    </row>
    <row r="878" spans="1:5" x14ac:dyDescent="0.3">
      <c r="A878" s="5">
        <v>44099</v>
      </c>
      <c r="B878" s="6" t="s">
        <v>793</v>
      </c>
      <c r="C878" s="7" t="s">
        <v>276</v>
      </c>
      <c r="D878" s="8">
        <v>4400</v>
      </c>
      <c r="E878" s="9"/>
    </row>
    <row r="879" spans="1:5" x14ac:dyDescent="0.3">
      <c r="A879" s="5">
        <v>44110</v>
      </c>
      <c r="B879" s="6" t="s">
        <v>799</v>
      </c>
      <c r="C879" s="7" t="s">
        <v>177</v>
      </c>
      <c r="D879" s="8">
        <v>250</v>
      </c>
      <c r="E879" s="9"/>
    </row>
    <row r="880" spans="1:5" x14ac:dyDescent="0.3">
      <c r="A880" s="5">
        <v>44110</v>
      </c>
      <c r="B880" s="6" t="s">
        <v>797</v>
      </c>
      <c r="C880" s="7" t="s">
        <v>178</v>
      </c>
      <c r="D880" s="8">
        <v>83</v>
      </c>
      <c r="E880" s="9"/>
    </row>
    <row r="881" spans="1:5" x14ac:dyDescent="0.3">
      <c r="A881" s="5">
        <v>44110</v>
      </c>
      <c r="B881" s="6" t="s">
        <v>795</v>
      </c>
      <c r="C881" s="7" t="s">
        <v>179</v>
      </c>
      <c r="D881" s="8">
        <v>53.28</v>
      </c>
      <c r="E881" s="9"/>
    </row>
    <row r="882" spans="1:5" x14ac:dyDescent="0.3">
      <c r="A882" s="5">
        <v>44111</v>
      </c>
      <c r="B882" s="6" t="s">
        <v>792</v>
      </c>
      <c r="C882" s="7" t="s">
        <v>277</v>
      </c>
      <c r="D882" s="8">
        <v>400</v>
      </c>
      <c r="E882" s="9"/>
    </row>
    <row r="883" spans="1:5" x14ac:dyDescent="0.3">
      <c r="A883" s="5">
        <v>44118</v>
      </c>
      <c r="B883" s="6" t="s">
        <v>742</v>
      </c>
      <c r="C883" s="7" t="s">
        <v>278</v>
      </c>
      <c r="D883" s="8">
        <v>39</v>
      </c>
      <c r="E883" s="9"/>
    </row>
    <row r="884" spans="1:5" x14ac:dyDescent="0.3">
      <c r="A884" s="5">
        <v>44118</v>
      </c>
      <c r="B884" s="6" t="s">
        <v>742</v>
      </c>
      <c r="C884" s="7" t="s">
        <v>279</v>
      </c>
      <c r="D884" s="8">
        <v>6.24</v>
      </c>
      <c r="E884" s="9"/>
    </row>
    <row r="885" spans="1:5" x14ac:dyDescent="0.3">
      <c r="A885" s="5">
        <v>44118</v>
      </c>
      <c r="B885" s="6" t="s">
        <v>793</v>
      </c>
      <c r="C885" s="7" t="s">
        <v>280</v>
      </c>
      <c r="D885" s="8">
        <v>4400</v>
      </c>
      <c r="E885" s="9"/>
    </row>
    <row r="886" spans="1:5" x14ac:dyDescent="0.3">
      <c r="A886" s="5">
        <v>44121</v>
      </c>
      <c r="B886" s="6" t="s">
        <v>796</v>
      </c>
      <c r="C886" s="7" t="s">
        <v>281</v>
      </c>
      <c r="D886" s="8">
        <v>9164</v>
      </c>
      <c r="E886" s="9"/>
    </row>
    <row r="887" spans="1:5" x14ac:dyDescent="0.3">
      <c r="A887" s="5">
        <v>44121</v>
      </c>
      <c r="B887" s="6" t="s">
        <v>792</v>
      </c>
      <c r="C887" s="7" t="s">
        <v>282</v>
      </c>
      <c r="D887" s="8">
        <v>1000</v>
      </c>
      <c r="E887" s="9"/>
    </row>
    <row r="888" spans="1:5" x14ac:dyDescent="0.3">
      <c r="A888" s="5">
        <v>44130</v>
      </c>
      <c r="B888" s="6" t="s">
        <v>790</v>
      </c>
      <c r="C888" s="7" t="s">
        <v>283</v>
      </c>
      <c r="D888" s="8">
        <v>24757</v>
      </c>
      <c r="E888" s="9"/>
    </row>
    <row r="889" spans="1:5" x14ac:dyDescent="0.3">
      <c r="A889" s="5">
        <v>44134</v>
      </c>
      <c r="B889" s="6" t="s">
        <v>791</v>
      </c>
      <c r="C889" s="7" t="s">
        <v>284</v>
      </c>
      <c r="D889" s="8">
        <v>8640</v>
      </c>
      <c r="E889" s="9"/>
    </row>
    <row r="890" spans="1:5" x14ac:dyDescent="0.3">
      <c r="A890" s="5">
        <v>44136</v>
      </c>
      <c r="B890" s="6" t="s">
        <v>792</v>
      </c>
      <c r="C890" s="7" t="s">
        <v>285</v>
      </c>
      <c r="D890" s="8">
        <v>1200</v>
      </c>
      <c r="E890" s="9"/>
    </row>
    <row r="891" spans="1:5" x14ac:dyDescent="0.3">
      <c r="A891" s="5">
        <v>44141</v>
      </c>
      <c r="B891" s="6" t="s">
        <v>799</v>
      </c>
      <c r="C891" s="7" t="s">
        <v>177</v>
      </c>
      <c r="D891" s="8">
        <v>250</v>
      </c>
      <c r="E891" s="9"/>
    </row>
    <row r="892" spans="1:5" x14ac:dyDescent="0.3">
      <c r="A892" s="5">
        <v>44141</v>
      </c>
      <c r="B892" s="6" t="s">
        <v>797</v>
      </c>
      <c r="C892" s="7" t="s">
        <v>178</v>
      </c>
      <c r="D892" s="8">
        <v>64</v>
      </c>
      <c r="E892" s="9"/>
    </row>
    <row r="893" spans="1:5" x14ac:dyDescent="0.3">
      <c r="A893" s="5">
        <v>44141</v>
      </c>
      <c r="B893" s="6" t="s">
        <v>795</v>
      </c>
      <c r="C893" s="7" t="s">
        <v>179</v>
      </c>
      <c r="D893" s="8">
        <v>50.24</v>
      </c>
      <c r="E893" s="9"/>
    </row>
    <row r="894" spans="1:5" x14ac:dyDescent="0.3">
      <c r="A894" s="5">
        <v>44152</v>
      </c>
      <c r="B894" s="6" t="s">
        <v>793</v>
      </c>
      <c r="C894" s="7" t="s">
        <v>286</v>
      </c>
      <c r="D894" s="8">
        <v>4400</v>
      </c>
      <c r="E894" s="9"/>
    </row>
    <row r="895" spans="1:5" x14ac:dyDescent="0.3">
      <c r="A895" s="5">
        <v>44152</v>
      </c>
      <c r="B895" s="6" t="s">
        <v>792</v>
      </c>
      <c r="C895" s="7" t="s">
        <v>287</v>
      </c>
      <c r="D895" s="8">
        <v>1200</v>
      </c>
      <c r="E895" s="9"/>
    </row>
    <row r="896" spans="1:5" x14ac:dyDescent="0.3">
      <c r="A896" s="5">
        <v>44159</v>
      </c>
      <c r="B896" s="6" t="s">
        <v>796</v>
      </c>
      <c r="C896" s="7" t="s">
        <v>288</v>
      </c>
      <c r="D896" s="8">
        <v>4988</v>
      </c>
      <c r="E896" s="9"/>
    </row>
    <row r="897" spans="1:5" x14ac:dyDescent="0.3">
      <c r="A897" s="5">
        <v>44159</v>
      </c>
      <c r="B897" s="6" t="s">
        <v>790</v>
      </c>
      <c r="C897" s="7" t="s">
        <v>289</v>
      </c>
      <c r="D897" s="8">
        <v>26469</v>
      </c>
      <c r="E897" s="9"/>
    </row>
    <row r="898" spans="1:5" x14ac:dyDescent="0.3">
      <c r="A898" s="5">
        <v>44169</v>
      </c>
      <c r="B898" s="6" t="s">
        <v>799</v>
      </c>
      <c r="C898" s="7" t="s">
        <v>177</v>
      </c>
      <c r="D898" s="8">
        <v>250</v>
      </c>
      <c r="E898" s="9"/>
    </row>
    <row r="899" spans="1:5" x14ac:dyDescent="0.3">
      <c r="A899" s="5">
        <v>44169</v>
      </c>
      <c r="B899" s="6" t="s">
        <v>797</v>
      </c>
      <c r="C899" s="7" t="s">
        <v>178</v>
      </c>
      <c r="D899" s="8">
        <v>10</v>
      </c>
      <c r="E899" s="9"/>
    </row>
    <row r="900" spans="1:5" x14ac:dyDescent="0.3">
      <c r="A900" s="5">
        <v>44169</v>
      </c>
      <c r="B900" s="6" t="s">
        <v>795</v>
      </c>
      <c r="C900" s="7" t="s">
        <v>179</v>
      </c>
      <c r="D900" s="8">
        <v>41.6</v>
      </c>
      <c r="E900" s="9"/>
    </row>
    <row r="901" spans="1:5" x14ac:dyDescent="0.3">
      <c r="A901" s="5">
        <v>44169</v>
      </c>
      <c r="B901" s="6" t="s">
        <v>792</v>
      </c>
      <c r="C901" s="7" t="s">
        <v>290</v>
      </c>
      <c r="D901" s="8">
        <v>1800</v>
      </c>
      <c r="E901" s="9"/>
    </row>
    <row r="902" spans="1:5" x14ac:dyDescent="0.3">
      <c r="A902" s="5">
        <v>44181</v>
      </c>
      <c r="B902" s="6" t="s">
        <v>793</v>
      </c>
      <c r="C902" s="7" t="s">
        <v>291</v>
      </c>
      <c r="D902" s="8">
        <v>4400</v>
      </c>
      <c r="E902" s="9"/>
    </row>
    <row r="903" spans="1:5" x14ac:dyDescent="0.3">
      <c r="A903" s="5">
        <v>44181</v>
      </c>
      <c r="B903" s="6" t="s">
        <v>801</v>
      </c>
      <c r="C903" s="7" t="s">
        <v>292</v>
      </c>
      <c r="D903" s="8">
        <v>1596</v>
      </c>
      <c r="E903" s="9"/>
    </row>
    <row r="904" spans="1:5" x14ac:dyDescent="0.3">
      <c r="A904" s="5">
        <v>44193</v>
      </c>
      <c r="B904" s="6" t="s">
        <v>796</v>
      </c>
      <c r="C904" s="7" t="s">
        <v>293</v>
      </c>
      <c r="D904" s="8">
        <v>4800</v>
      </c>
      <c r="E904" s="9"/>
    </row>
    <row r="905" spans="1:5" x14ac:dyDescent="0.3">
      <c r="A905" s="5">
        <v>44193</v>
      </c>
      <c r="B905" s="6" t="s">
        <v>790</v>
      </c>
      <c r="C905" s="7" t="s">
        <v>294</v>
      </c>
      <c r="D905" s="8">
        <v>28225</v>
      </c>
      <c r="E905" s="9"/>
    </row>
    <row r="906" spans="1:5" x14ac:dyDescent="0.3">
      <c r="A906" s="5">
        <v>44196</v>
      </c>
      <c r="B906" s="6" t="s">
        <v>791</v>
      </c>
      <c r="C906" s="7" t="s">
        <v>295</v>
      </c>
      <c r="D906" s="8">
        <v>8756</v>
      </c>
      <c r="E906" s="9"/>
    </row>
    <row r="907" spans="1:5" x14ac:dyDescent="0.3">
      <c r="A907" s="5">
        <v>44202</v>
      </c>
      <c r="B907" s="6" t="s">
        <v>792</v>
      </c>
      <c r="C907" s="7" t="s">
        <v>296</v>
      </c>
      <c r="D907" s="8">
        <v>2200</v>
      </c>
      <c r="E907" s="9"/>
    </row>
    <row r="908" spans="1:5" x14ac:dyDescent="0.3">
      <c r="A908" s="5">
        <v>44202</v>
      </c>
      <c r="B908" s="6" t="s">
        <v>792</v>
      </c>
      <c r="C908" s="7" t="s">
        <v>297</v>
      </c>
      <c r="D908" s="8">
        <v>200</v>
      </c>
      <c r="E908" s="9"/>
    </row>
    <row r="909" spans="1:5" x14ac:dyDescent="0.3">
      <c r="A909" s="5">
        <v>44203</v>
      </c>
      <c r="B909" s="6" t="s">
        <v>799</v>
      </c>
      <c r="C909" s="7" t="s">
        <v>177</v>
      </c>
      <c r="D909" s="8">
        <v>250</v>
      </c>
      <c r="E909" s="9"/>
    </row>
    <row r="910" spans="1:5" x14ac:dyDescent="0.3">
      <c r="A910" s="5">
        <v>44203</v>
      </c>
      <c r="B910" s="6" t="s">
        <v>797</v>
      </c>
      <c r="C910" s="7" t="s">
        <v>178</v>
      </c>
      <c r="D910" s="8">
        <v>10</v>
      </c>
      <c r="E910" s="9"/>
    </row>
    <row r="911" spans="1:5" x14ac:dyDescent="0.3">
      <c r="A911" s="5">
        <v>44203</v>
      </c>
      <c r="B911" s="6" t="s">
        <v>795</v>
      </c>
      <c r="C911" s="7" t="s">
        <v>179</v>
      </c>
      <c r="D911" s="8">
        <v>41.6</v>
      </c>
      <c r="E911" s="9"/>
    </row>
    <row r="912" spans="1:5" x14ac:dyDescent="0.3">
      <c r="A912" s="5">
        <v>44212</v>
      </c>
      <c r="B912" s="6" t="s">
        <v>792</v>
      </c>
      <c r="C912" s="7" t="s">
        <v>298</v>
      </c>
      <c r="D912" s="8">
        <v>1200</v>
      </c>
      <c r="E912" s="9"/>
    </row>
    <row r="913" spans="1:5" x14ac:dyDescent="0.3">
      <c r="A913" s="5">
        <v>44216</v>
      </c>
      <c r="B913" s="6" t="s">
        <v>793</v>
      </c>
      <c r="C913" s="7" t="s">
        <v>299</v>
      </c>
      <c r="D913" s="8">
        <v>4400</v>
      </c>
      <c r="E913" s="9"/>
    </row>
    <row r="914" spans="1:5" x14ac:dyDescent="0.3">
      <c r="A914" s="5">
        <v>44216</v>
      </c>
      <c r="B914" s="6" t="s">
        <v>789</v>
      </c>
      <c r="C914" s="7" t="s">
        <v>300</v>
      </c>
      <c r="D914" s="8">
        <v>266</v>
      </c>
      <c r="E914" s="9"/>
    </row>
    <row r="915" spans="1:5" x14ac:dyDescent="0.3">
      <c r="A915" s="5">
        <v>44216</v>
      </c>
      <c r="B915" s="6" t="s">
        <v>789</v>
      </c>
      <c r="C915" s="7" t="s">
        <v>301</v>
      </c>
      <c r="D915" s="8">
        <v>3091</v>
      </c>
      <c r="E915" s="9"/>
    </row>
    <row r="916" spans="1:5" x14ac:dyDescent="0.3">
      <c r="A916" s="5">
        <v>44216</v>
      </c>
      <c r="B916" s="6" t="s">
        <v>789</v>
      </c>
      <c r="C916" s="7" t="s">
        <v>302</v>
      </c>
      <c r="D916" s="8">
        <v>257</v>
      </c>
      <c r="E916" s="9"/>
    </row>
    <row r="917" spans="1:5" x14ac:dyDescent="0.3">
      <c r="A917" s="5">
        <v>44216</v>
      </c>
      <c r="B917" s="6" t="s">
        <v>789</v>
      </c>
      <c r="C917" s="7" t="s">
        <v>303</v>
      </c>
      <c r="D917" s="8">
        <v>252</v>
      </c>
      <c r="E917" s="9"/>
    </row>
    <row r="918" spans="1:5" x14ac:dyDescent="0.3">
      <c r="A918" s="5">
        <v>44216</v>
      </c>
      <c r="B918" s="6" t="s">
        <v>789</v>
      </c>
      <c r="C918" s="7" t="s">
        <v>304</v>
      </c>
      <c r="D918" s="8">
        <v>248</v>
      </c>
      <c r="E918" s="9"/>
    </row>
    <row r="919" spans="1:5" x14ac:dyDescent="0.3">
      <c r="A919" s="5">
        <v>44216</v>
      </c>
      <c r="B919" s="6" t="s">
        <v>789</v>
      </c>
      <c r="C919" s="7" t="s">
        <v>305</v>
      </c>
      <c r="D919" s="8">
        <v>240</v>
      </c>
      <c r="E919" s="9"/>
    </row>
    <row r="920" spans="1:5" x14ac:dyDescent="0.3">
      <c r="A920" s="5">
        <v>44221</v>
      </c>
      <c r="B920" s="6" t="s">
        <v>790</v>
      </c>
      <c r="C920" s="7" t="s">
        <v>306</v>
      </c>
      <c r="D920" s="8">
        <v>21551</v>
      </c>
      <c r="E920" s="9"/>
    </row>
    <row r="921" spans="1:5" x14ac:dyDescent="0.3">
      <c r="A921" s="5">
        <v>44225</v>
      </c>
      <c r="B921" s="6" t="s">
        <v>755</v>
      </c>
      <c r="C921" s="7" t="s">
        <v>307</v>
      </c>
      <c r="D921" s="8">
        <v>4799.99</v>
      </c>
      <c r="E921" s="9"/>
    </row>
    <row r="922" spans="1:5" x14ac:dyDescent="0.3">
      <c r="A922" s="5">
        <v>44225</v>
      </c>
      <c r="B922" s="6" t="s">
        <v>796</v>
      </c>
      <c r="C922" s="7" t="s">
        <v>308</v>
      </c>
      <c r="D922" s="8">
        <v>4800</v>
      </c>
      <c r="E922" s="9"/>
    </row>
    <row r="923" spans="1:5" x14ac:dyDescent="0.3">
      <c r="A923" s="5">
        <v>44225</v>
      </c>
      <c r="B923" s="6" t="s">
        <v>792</v>
      </c>
      <c r="C923" s="7" t="s">
        <v>309</v>
      </c>
      <c r="D923" s="8">
        <v>600</v>
      </c>
      <c r="E923" s="9"/>
    </row>
    <row r="924" spans="1:5" x14ac:dyDescent="0.3">
      <c r="A924" s="5">
        <v>44232</v>
      </c>
      <c r="B924" s="6" t="s">
        <v>799</v>
      </c>
      <c r="C924" s="7" t="s">
        <v>177</v>
      </c>
      <c r="D924" s="8">
        <v>250</v>
      </c>
      <c r="E924" s="9"/>
    </row>
    <row r="925" spans="1:5" x14ac:dyDescent="0.3">
      <c r="A925" s="5">
        <v>44232</v>
      </c>
      <c r="B925" s="6" t="s">
        <v>797</v>
      </c>
      <c r="C925" s="7" t="s">
        <v>178</v>
      </c>
      <c r="D925" s="8">
        <v>30</v>
      </c>
      <c r="E925" s="9"/>
    </row>
    <row r="926" spans="1:5" x14ac:dyDescent="0.3">
      <c r="A926" s="5">
        <v>44232</v>
      </c>
      <c r="B926" s="6" t="s">
        <v>795</v>
      </c>
      <c r="C926" s="7" t="s">
        <v>179</v>
      </c>
      <c r="D926" s="8">
        <v>44.8</v>
      </c>
      <c r="E926" s="9"/>
    </row>
    <row r="927" spans="1:5" x14ac:dyDescent="0.3">
      <c r="A927" s="5">
        <v>44233</v>
      </c>
      <c r="B927" s="6" t="s">
        <v>796</v>
      </c>
      <c r="C927" s="7" t="s">
        <v>310</v>
      </c>
      <c r="D927" s="8">
        <v>2030</v>
      </c>
      <c r="E927" s="9"/>
    </row>
    <row r="928" spans="1:5" x14ac:dyDescent="0.3">
      <c r="A928" s="5">
        <v>44235</v>
      </c>
      <c r="B928" s="6" t="s">
        <v>792</v>
      </c>
      <c r="C928" s="7" t="s">
        <v>311</v>
      </c>
      <c r="D928" s="8">
        <v>600</v>
      </c>
    </row>
    <row r="929" spans="1:4" x14ac:dyDescent="0.3">
      <c r="A929" s="5">
        <v>44238</v>
      </c>
      <c r="B929" s="6" t="s">
        <v>793</v>
      </c>
      <c r="C929" s="7" t="s">
        <v>312</v>
      </c>
      <c r="D929" s="8">
        <v>4400</v>
      </c>
    </row>
    <row r="930" spans="1:4" x14ac:dyDescent="0.3">
      <c r="A930" s="5">
        <v>44245</v>
      </c>
      <c r="B930" s="6" t="s">
        <v>763</v>
      </c>
      <c r="C930" s="7" t="s">
        <v>313</v>
      </c>
      <c r="D930" s="8">
        <v>1856</v>
      </c>
    </row>
    <row r="931" spans="1:4" x14ac:dyDescent="0.3">
      <c r="A931" s="5">
        <v>44247</v>
      </c>
      <c r="B931" s="6" t="s">
        <v>792</v>
      </c>
      <c r="C931" s="7" t="s">
        <v>314</v>
      </c>
      <c r="D931" s="8">
        <v>1200</v>
      </c>
    </row>
    <row r="932" spans="1:4" x14ac:dyDescent="0.3">
      <c r="A932" s="5">
        <v>44249</v>
      </c>
      <c r="B932" s="6" t="s">
        <v>790</v>
      </c>
      <c r="C932" s="7" t="s">
        <v>315</v>
      </c>
      <c r="D932" s="8">
        <v>28377</v>
      </c>
    </row>
    <row r="933" spans="1:4" x14ac:dyDescent="0.3">
      <c r="A933" s="5">
        <v>44252</v>
      </c>
      <c r="B933" s="6" t="s">
        <v>796</v>
      </c>
      <c r="C933" s="7" t="s">
        <v>316</v>
      </c>
      <c r="D933" s="8">
        <v>4800</v>
      </c>
    </row>
    <row r="934" spans="1:4" x14ac:dyDescent="0.3">
      <c r="A934" s="5">
        <v>44252</v>
      </c>
      <c r="B934" s="6" t="s">
        <v>796</v>
      </c>
      <c r="C934" s="7" t="s">
        <v>317</v>
      </c>
      <c r="D934" s="8">
        <v>1972</v>
      </c>
    </row>
    <row r="935" spans="1:4" x14ac:dyDescent="0.3">
      <c r="A935" s="5">
        <v>44258</v>
      </c>
      <c r="B935" s="6" t="s">
        <v>792</v>
      </c>
      <c r="C935" s="7" t="s">
        <v>318</v>
      </c>
      <c r="D935" s="8">
        <v>600</v>
      </c>
    </row>
    <row r="936" spans="1:4" x14ac:dyDescent="0.3">
      <c r="A936" s="5">
        <v>44259</v>
      </c>
      <c r="B936" s="6" t="s">
        <v>799</v>
      </c>
      <c r="C936" s="7" t="s">
        <v>177</v>
      </c>
      <c r="D936" s="8">
        <v>250</v>
      </c>
    </row>
    <row r="937" spans="1:4" x14ac:dyDescent="0.3">
      <c r="A937" s="5">
        <v>44259</v>
      </c>
      <c r="B937" s="6" t="s">
        <v>797</v>
      </c>
      <c r="C937" s="7" t="s">
        <v>178</v>
      </c>
      <c r="D937" s="8">
        <v>20</v>
      </c>
    </row>
    <row r="938" spans="1:4" x14ac:dyDescent="0.3">
      <c r="A938" s="5">
        <v>44259</v>
      </c>
      <c r="B938" s="6" t="s">
        <v>795</v>
      </c>
      <c r="C938" s="7" t="s">
        <v>179</v>
      </c>
      <c r="D938" s="8">
        <v>43.2</v>
      </c>
    </row>
    <row r="939" spans="1:4" x14ac:dyDescent="0.3">
      <c r="A939" s="5">
        <v>44260</v>
      </c>
      <c r="B939" s="6" t="s">
        <v>791</v>
      </c>
      <c r="C939" s="7" t="s">
        <v>319</v>
      </c>
      <c r="D939" s="8">
        <v>8272</v>
      </c>
    </row>
    <row r="940" spans="1:4" x14ac:dyDescent="0.3">
      <c r="A940" s="5">
        <v>44261</v>
      </c>
      <c r="B940" s="6" t="s">
        <v>792</v>
      </c>
      <c r="C940" s="7" t="s">
        <v>320</v>
      </c>
      <c r="D940" s="8">
        <v>600</v>
      </c>
    </row>
    <row r="941" spans="1:4" x14ac:dyDescent="0.3">
      <c r="A941" s="5">
        <v>44261</v>
      </c>
      <c r="B941" s="6" t="s">
        <v>793</v>
      </c>
      <c r="C941" s="7" t="s">
        <v>321</v>
      </c>
      <c r="D941" s="8">
        <v>4400</v>
      </c>
    </row>
    <row r="942" spans="1:4" x14ac:dyDescent="0.3">
      <c r="A942" s="5">
        <v>44261</v>
      </c>
      <c r="B942" s="6" t="s">
        <v>789</v>
      </c>
      <c r="C942" s="7" t="s">
        <v>322</v>
      </c>
      <c r="D942" s="8">
        <v>240</v>
      </c>
    </row>
    <row r="943" spans="1:4" x14ac:dyDescent="0.3">
      <c r="A943" s="5">
        <v>44264</v>
      </c>
      <c r="B943" s="6" t="s">
        <v>789</v>
      </c>
      <c r="C943" s="7" t="s">
        <v>323</v>
      </c>
      <c r="D943" s="8">
        <v>1319</v>
      </c>
    </row>
    <row r="944" spans="1:4" x14ac:dyDescent="0.3">
      <c r="A944" s="5">
        <v>44264</v>
      </c>
      <c r="B944" s="6" t="s">
        <v>755</v>
      </c>
      <c r="C944" s="7" t="s">
        <v>324</v>
      </c>
      <c r="D944" s="8">
        <v>1800.01</v>
      </c>
    </row>
    <row r="945" spans="1:4" x14ac:dyDescent="0.3">
      <c r="A945" s="5">
        <v>44265</v>
      </c>
      <c r="B945" s="6" t="s">
        <v>779</v>
      </c>
      <c r="C945" s="7" t="s">
        <v>325</v>
      </c>
      <c r="D945" s="8">
        <v>116.24</v>
      </c>
    </row>
    <row r="946" spans="1:4" x14ac:dyDescent="0.3">
      <c r="A946" s="5">
        <v>44274</v>
      </c>
      <c r="B946" s="6" t="s">
        <v>775</v>
      </c>
      <c r="C946" s="7" t="s">
        <v>326</v>
      </c>
      <c r="D946" s="8">
        <v>432</v>
      </c>
    </row>
    <row r="947" spans="1:4" x14ac:dyDescent="0.3">
      <c r="A947" s="5">
        <v>44275</v>
      </c>
      <c r="B947" s="6" t="s">
        <v>775</v>
      </c>
      <c r="C947" s="7" t="s">
        <v>327</v>
      </c>
      <c r="D947" s="8">
        <v>91.64</v>
      </c>
    </row>
    <row r="948" spans="1:4" x14ac:dyDescent="0.3">
      <c r="A948" s="5">
        <v>44277</v>
      </c>
      <c r="B948" s="6" t="s">
        <v>792</v>
      </c>
      <c r="C948" s="7" t="s">
        <v>328</v>
      </c>
      <c r="D948" s="8">
        <v>1200</v>
      </c>
    </row>
    <row r="949" spans="1:4" x14ac:dyDescent="0.3">
      <c r="A949" s="5">
        <v>44279</v>
      </c>
      <c r="B949" s="6" t="s">
        <v>790</v>
      </c>
      <c r="C949" s="7" t="s">
        <v>329</v>
      </c>
      <c r="D949" s="8">
        <v>24890</v>
      </c>
    </row>
    <row r="950" spans="1:4" x14ac:dyDescent="0.3">
      <c r="A950" s="5">
        <v>44280</v>
      </c>
      <c r="B950" s="6" t="s">
        <v>721</v>
      </c>
      <c r="C950" s="7" t="s">
        <v>330</v>
      </c>
      <c r="D950" s="8">
        <v>63.8</v>
      </c>
    </row>
    <row r="951" spans="1:4" x14ac:dyDescent="0.3">
      <c r="A951" s="5">
        <v>44285</v>
      </c>
      <c r="B951" s="6" t="s">
        <v>792</v>
      </c>
      <c r="C951" s="7" t="s">
        <v>331</v>
      </c>
      <c r="D951" s="8">
        <v>600</v>
      </c>
    </row>
    <row r="952" spans="1:4" x14ac:dyDescent="0.3">
      <c r="A952" s="5">
        <v>44286</v>
      </c>
      <c r="B952" s="6" t="s">
        <v>796</v>
      </c>
      <c r="C952" s="7" t="s">
        <v>332</v>
      </c>
      <c r="D952" s="8">
        <v>4800</v>
      </c>
    </row>
    <row r="953" spans="1:4" x14ac:dyDescent="0.3">
      <c r="A953" s="5">
        <v>44294</v>
      </c>
      <c r="B953" s="6" t="s">
        <v>799</v>
      </c>
      <c r="C953" s="7" t="s">
        <v>177</v>
      </c>
      <c r="D953" s="8">
        <v>250</v>
      </c>
    </row>
    <row r="954" spans="1:4" x14ac:dyDescent="0.3">
      <c r="A954" s="5">
        <v>44294</v>
      </c>
      <c r="B954" s="6" t="s">
        <v>797</v>
      </c>
      <c r="C954" s="7" t="s">
        <v>178</v>
      </c>
      <c r="D954" s="8">
        <v>50</v>
      </c>
    </row>
    <row r="955" spans="1:4" x14ac:dyDescent="0.3">
      <c r="A955" s="5">
        <v>44294</v>
      </c>
      <c r="B955" s="6" t="s">
        <v>795</v>
      </c>
      <c r="C955" s="7" t="s">
        <v>179</v>
      </c>
      <c r="D955" s="8">
        <v>48</v>
      </c>
    </row>
    <row r="956" spans="1:4" x14ac:dyDescent="0.3">
      <c r="A956" s="5">
        <v>44298</v>
      </c>
      <c r="B956" s="6" t="s">
        <v>792</v>
      </c>
      <c r="C956" s="7" t="s">
        <v>333</v>
      </c>
      <c r="D956" s="8">
        <v>1000</v>
      </c>
    </row>
    <row r="957" spans="1:4" x14ac:dyDescent="0.3">
      <c r="A957" s="5">
        <v>44298</v>
      </c>
      <c r="B957" s="6" t="s">
        <v>793</v>
      </c>
      <c r="C957" s="7" t="s">
        <v>334</v>
      </c>
      <c r="D957" s="8">
        <v>4400</v>
      </c>
    </row>
    <row r="958" spans="1:4" x14ac:dyDescent="0.3">
      <c r="A958" s="5">
        <v>44301</v>
      </c>
      <c r="B958" s="6" t="s">
        <v>755</v>
      </c>
      <c r="C958" s="7" t="s">
        <v>335</v>
      </c>
      <c r="D958" s="8">
        <v>4303.6899999999996</v>
      </c>
    </row>
    <row r="959" spans="1:4" x14ac:dyDescent="0.3">
      <c r="A959" s="5">
        <v>44301</v>
      </c>
      <c r="B959" s="6" t="s">
        <v>789</v>
      </c>
      <c r="C959" s="7" t="s">
        <v>336</v>
      </c>
      <c r="D959" s="8">
        <v>630</v>
      </c>
    </row>
    <row r="960" spans="1:4" x14ac:dyDescent="0.3">
      <c r="A960" s="5">
        <v>44301</v>
      </c>
      <c r="B960" s="6" t="s">
        <v>755</v>
      </c>
      <c r="C960" s="7" t="s">
        <v>337</v>
      </c>
      <c r="D960" s="8">
        <v>900</v>
      </c>
    </row>
    <row r="961" spans="1:4" x14ac:dyDescent="0.3">
      <c r="A961" s="5">
        <v>44306</v>
      </c>
      <c r="B961" s="6" t="s">
        <v>782</v>
      </c>
      <c r="C961" s="97" t="s">
        <v>945</v>
      </c>
      <c r="D961" s="8">
        <v>2950</v>
      </c>
    </row>
    <row r="962" spans="1:4" x14ac:dyDescent="0.3">
      <c r="A962" s="5">
        <v>44306</v>
      </c>
      <c r="B962" s="6" t="s">
        <v>792</v>
      </c>
      <c r="C962" s="7" t="s">
        <v>338</v>
      </c>
      <c r="D962" s="8">
        <v>600</v>
      </c>
    </row>
    <row r="963" spans="1:4" x14ac:dyDescent="0.3">
      <c r="A963" s="5">
        <v>44310</v>
      </c>
      <c r="B963" s="6" t="s">
        <v>792</v>
      </c>
      <c r="C963" s="7" t="s">
        <v>339</v>
      </c>
      <c r="D963" s="8">
        <v>600</v>
      </c>
    </row>
    <row r="964" spans="1:4" x14ac:dyDescent="0.3">
      <c r="A964" s="5">
        <v>44312</v>
      </c>
      <c r="B964" s="6" t="s">
        <v>755</v>
      </c>
      <c r="C964" s="7" t="s">
        <v>340</v>
      </c>
      <c r="D964" s="8">
        <v>6446.57</v>
      </c>
    </row>
    <row r="965" spans="1:4" x14ac:dyDescent="0.3">
      <c r="A965" s="5">
        <v>44312</v>
      </c>
      <c r="B965" s="6" t="s">
        <v>755</v>
      </c>
      <c r="C965" s="7" t="s">
        <v>341</v>
      </c>
      <c r="D965" s="8">
        <v>999.99</v>
      </c>
    </row>
    <row r="966" spans="1:4" x14ac:dyDescent="0.3">
      <c r="A966" s="5">
        <v>44312</v>
      </c>
      <c r="B966" s="6" t="s">
        <v>790</v>
      </c>
      <c r="C966" s="7" t="s">
        <v>342</v>
      </c>
      <c r="D966" s="8">
        <v>21706</v>
      </c>
    </row>
    <row r="967" spans="1:4" x14ac:dyDescent="0.3">
      <c r="A967" s="5">
        <v>44315</v>
      </c>
      <c r="B967" s="6" t="s">
        <v>796</v>
      </c>
      <c r="C967" s="7" t="s">
        <v>343</v>
      </c>
      <c r="D967" s="8">
        <v>4800</v>
      </c>
    </row>
    <row r="968" spans="1:4" x14ac:dyDescent="0.3">
      <c r="A968" s="5">
        <v>44315</v>
      </c>
      <c r="B968" s="6" t="s">
        <v>792</v>
      </c>
      <c r="C968" s="7" t="s">
        <v>344</v>
      </c>
      <c r="D968" s="8">
        <v>600</v>
      </c>
    </row>
    <row r="969" spans="1:4" x14ac:dyDescent="0.3">
      <c r="A969" s="5">
        <v>44316</v>
      </c>
      <c r="B969" s="6" t="s">
        <v>801</v>
      </c>
      <c r="C969" s="7" t="s">
        <v>345</v>
      </c>
      <c r="D969" s="8">
        <v>1429</v>
      </c>
    </row>
    <row r="970" spans="1:4" x14ac:dyDescent="0.3">
      <c r="A970" s="5">
        <v>44322</v>
      </c>
      <c r="B970" s="6" t="s">
        <v>799</v>
      </c>
      <c r="C970" s="7" t="s">
        <v>177</v>
      </c>
      <c r="D970" s="8">
        <v>250</v>
      </c>
    </row>
    <row r="971" spans="1:4" x14ac:dyDescent="0.3">
      <c r="A971" s="5">
        <v>44322</v>
      </c>
      <c r="B971" s="6" t="s">
        <v>797</v>
      </c>
      <c r="C971" s="7" t="s">
        <v>178</v>
      </c>
      <c r="D971" s="8">
        <v>50</v>
      </c>
    </row>
    <row r="972" spans="1:4" x14ac:dyDescent="0.3">
      <c r="A972" s="5">
        <v>44322</v>
      </c>
      <c r="B972" s="6" t="s">
        <v>795</v>
      </c>
      <c r="C972" s="7" t="s">
        <v>179</v>
      </c>
      <c r="D972" s="8">
        <v>48</v>
      </c>
    </row>
    <row r="973" spans="1:4" x14ac:dyDescent="0.3">
      <c r="A973" s="5">
        <v>44323</v>
      </c>
      <c r="B973" s="6" t="s">
        <v>791</v>
      </c>
      <c r="C973" s="7" t="s">
        <v>346</v>
      </c>
      <c r="D973" s="8">
        <v>8286</v>
      </c>
    </row>
    <row r="974" spans="1:4" x14ac:dyDescent="0.3">
      <c r="A974" s="5">
        <v>44335</v>
      </c>
      <c r="B974" s="6" t="s">
        <v>792</v>
      </c>
      <c r="C974" s="7" t="s">
        <v>347</v>
      </c>
      <c r="D974" s="8">
        <v>1200</v>
      </c>
    </row>
    <row r="975" spans="1:4" x14ac:dyDescent="0.3">
      <c r="A975" s="5">
        <v>44335</v>
      </c>
      <c r="B975" s="6" t="s">
        <v>793</v>
      </c>
      <c r="C975" s="7" t="s">
        <v>348</v>
      </c>
      <c r="D975" s="8">
        <v>4400</v>
      </c>
    </row>
    <row r="976" spans="1:4" x14ac:dyDescent="0.3">
      <c r="A976" s="5">
        <v>44335</v>
      </c>
      <c r="B976" s="6" t="s">
        <v>789</v>
      </c>
      <c r="C976" s="7" t="s">
        <v>349</v>
      </c>
      <c r="D976" s="8">
        <v>2982</v>
      </c>
    </row>
    <row r="977" spans="1:4" x14ac:dyDescent="0.3">
      <c r="A977" s="5">
        <v>44335</v>
      </c>
      <c r="B977" s="6" t="s">
        <v>755</v>
      </c>
      <c r="C977" s="7" t="s">
        <v>350</v>
      </c>
      <c r="D977" s="8">
        <v>900</v>
      </c>
    </row>
    <row r="978" spans="1:4" x14ac:dyDescent="0.3">
      <c r="A978" s="5">
        <v>44341</v>
      </c>
      <c r="B978" s="6" t="s">
        <v>790</v>
      </c>
      <c r="C978" s="7" t="s">
        <v>351</v>
      </c>
      <c r="D978" s="8">
        <v>34142</v>
      </c>
    </row>
    <row r="979" spans="1:4" x14ac:dyDescent="0.3">
      <c r="A979" s="5">
        <v>44349</v>
      </c>
      <c r="B979" s="6" t="s">
        <v>796</v>
      </c>
      <c r="C979" s="7" t="s">
        <v>352</v>
      </c>
      <c r="D979" s="8">
        <v>4800</v>
      </c>
    </row>
    <row r="980" spans="1:4" x14ac:dyDescent="0.3">
      <c r="A980" s="5">
        <v>44349</v>
      </c>
      <c r="B980" s="6" t="s">
        <v>792</v>
      </c>
      <c r="C980" s="7" t="s">
        <v>353</v>
      </c>
      <c r="D980" s="8">
        <v>1200</v>
      </c>
    </row>
    <row r="981" spans="1:4" x14ac:dyDescent="0.3">
      <c r="A981" s="5">
        <v>44351</v>
      </c>
      <c r="B981" s="6" t="s">
        <v>799</v>
      </c>
      <c r="C981" s="7" t="s">
        <v>177</v>
      </c>
      <c r="D981" s="8">
        <v>250</v>
      </c>
    </row>
    <row r="982" spans="1:4" x14ac:dyDescent="0.3">
      <c r="A982" s="5">
        <v>44351</v>
      </c>
      <c r="B982" s="6" t="s">
        <v>797</v>
      </c>
      <c r="C982" s="7" t="s">
        <v>178</v>
      </c>
      <c r="D982" s="8">
        <v>15</v>
      </c>
    </row>
    <row r="983" spans="1:4" x14ac:dyDescent="0.3">
      <c r="A983" s="5">
        <v>44351</v>
      </c>
      <c r="B983" s="6" t="s">
        <v>795</v>
      </c>
      <c r="C983" s="7" t="s">
        <v>179</v>
      </c>
      <c r="D983" s="8">
        <v>42.4</v>
      </c>
    </row>
    <row r="984" spans="1:4" x14ac:dyDescent="0.3">
      <c r="A984" s="5">
        <v>44351</v>
      </c>
      <c r="B984" s="6" t="s">
        <v>779</v>
      </c>
      <c r="C984" s="7" t="s">
        <v>354</v>
      </c>
      <c r="D984" s="8">
        <v>544</v>
      </c>
    </row>
    <row r="985" spans="1:4" x14ac:dyDescent="0.3">
      <c r="A985" s="5">
        <v>44363</v>
      </c>
      <c r="B985" s="6" t="s">
        <v>792</v>
      </c>
      <c r="C985" s="7" t="s">
        <v>355</v>
      </c>
      <c r="D985" s="8">
        <v>1200</v>
      </c>
    </row>
    <row r="986" spans="1:4" x14ac:dyDescent="0.3">
      <c r="A986" s="5">
        <v>44368</v>
      </c>
      <c r="B986" s="6" t="s">
        <v>789</v>
      </c>
      <c r="C986" s="7" t="s">
        <v>356</v>
      </c>
      <c r="D986" s="8">
        <v>435</v>
      </c>
    </row>
    <row r="987" spans="1:4" x14ac:dyDescent="0.3">
      <c r="A987" s="5">
        <v>44368</v>
      </c>
      <c r="B987" s="6" t="s">
        <v>755</v>
      </c>
      <c r="C987" s="7" t="s">
        <v>357</v>
      </c>
      <c r="D987" s="8">
        <v>900</v>
      </c>
    </row>
    <row r="988" spans="1:4" x14ac:dyDescent="0.3">
      <c r="A988" s="5">
        <v>44368</v>
      </c>
      <c r="B988" s="6" t="s">
        <v>792</v>
      </c>
      <c r="C988" s="7" t="s">
        <v>358</v>
      </c>
      <c r="D988" s="8">
        <v>600</v>
      </c>
    </row>
    <row r="989" spans="1:4" x14ac:dyDescent="0.3">
      <c r="A989" s="5">
        <v>44371</v>
      </c>
      <c r="B989" s="6" t="s">
        <v>790</v>
      </c>
      <c r="C989" s="7" t="s">
        <v>359</v>
      </c>
      <c r="D989" s="8">
        <v>26804</v>
      </c>
    </row>
    <row r="990" spans="1:4" x14ac:dyDescent="0.3">
      <c r="A990" s="5">
        <v>44371</v>
      </c>
      <c r="B990" s="6" t="s">
        <v>796</v>
      </c>
      <c r="C990" s="7" t="s">
        <v>360</v>
      </c>
      <c r="D990" s="8">
        <v>4800</v>
      </c>
    </row>
    <row r="991" spans="1:4" x14ac:dyDescent="0.3">
      <c r="A991" s="5">
        <v>44373</v>
      </c>
      <c r="B991" s="6" t="s">
        <v>792</v>
      </c>
      <c r="C991" s="7" t="s">
        <v>361</v>
      </c>
      <c r="D991" s="8">
        <v>600</v>
      </c>
    </row>
    <row r="992" spans="1:4" x14ac:dyDescent="0.3">
      <c r="A992" s="5">
        <v>44379</v>
      </c>
      <c r="B992" s="6" t="s">
        <v>775</v>
      </c>
      <c r="C992" s="7" t="s">
        <v>362</v>
      </c>
      <c r="D992" s="8">
        <v>218</v>
      </c>
    </row>
    <row r="993" spans="1:4" x14ac:dyDescent="0.3">
      <c r="A993" s="5">
        <v>44379</v>
      </c>
      <c r="B993" s="6" t="s">
        <v>775</v>
      </c>
      <c r="C993" s="7" t="s">
        <v>363</v>
      </c>
      <c r="D993" s="8">
        <v>280</v>
      </c>
    </row>
    <row r="994" spans="1:4" x14ac:dyDescent="0.3">
      <c r="A994" s="5">
        <v>44379</v>
      </c>
      <c r="B994" s="6" t="s">
        <v>791</v>
      </c>
      <c r="C994" s="7" t="s">
        <v>364</v>
      </c>
      <c r="D994" s="8">
        <v>8872</v>
      </c>
    </row>
    <row r="995" spans="1:4" x14ac:dyDescent="0.3">
      <c r="A995" s="5">
        <v>44380</v>
      </c>
      <c r="B995" s="6" t="s">
        <v>792</v>
      </c>
      <c r="C995" s="7" t="s">
        <v>365</v>
      </c>
      <c r="D995" s="8">
        <v>600</v>
      </c>
    </row>
    <row r="996" spans="1:4" x14ac:dyDescent="0.3">
      <c r="A996" s="5">
        <v>44382</v>
      </c>
      <c r="B996" s="6" t="s">
        <v>793</v>
      </c>
      <c r="C996" s="7" t="s">
        <v>366</v>
      </c>
      <c r="D996" s="8">
        <v>4400</v>
      </c>
    </row>
    <row r="997" spans="1:4" x14ac:dyDescent="0.3">
      <c r="A997" s="5">
        <v>44382</v>
      </c>
      <c r="B997" s="6" t="s">
        <v>793</v>
      </c>
      <c r="C997" s="7" t="s">
        <v>367</v>
      </c>
      <c r="D997" s="8">
        <v>4400</v>
      </c>
    </row>
    <row r="998" spans="1:4" x14ac:dyDescent="0.3">
      <c r="A998" s="5">
        <v>44383</v>
      </c>
      <c r="B998" s="6" t="s">
        <v>799</v>
      </c>
      <c r="C998" s="7" t="s">
        <v>177</v>
      </c>
      <c r="D998" s="8">
        <v>250</v>
      </c>
    </row>
    <row r="999" spans="1:4" x14ac:dyDescent="0.3">
      <c r="A999" s="5">
        <v>44383</v>
      </c>
      <c r="B999" s="6" t="s">
        <v>797</v>
      </c>
      <c r="C999" s="7" t="s">
        <v>178</v>
      </c>
      <c r="D999" s="8">
        <v>30</v>
      </c>
    </row>
    <row r="1000" spans="1:4" x14ac:dyDescent="0.3">
      <c r="A1000" s="5">
        <v>44383</v>
      </c>
      <c r="B1000" s="6" t="s">
        <v>795</v>
      </c>
      <c r="C1000" s="7" t="s">
        <v>179</v>
      </c>
      <c r="D1000" s="8">
        <v>44.8</v>
      </c>
    </row>
    <row r="1001" spans="1:4" x14ac:dyDescent="0.3">
      <c r="A1001" s="5">
        <v>44387</v>
      </c>
      <c r="B1001" s="6" t="s">
        <v>755</v>
      </c>
      <c r="C1001" s="7" t="s">
        <v>368</v>
      </c>
      <c r="D1001" s="8">
        <v>1239.33</v>
      </c>
    </row>
    <row r="1002" spans="1:4" x14ac:dyDescent="0.3">
      <c r="A1002" s="5">
        <v>44390</v>
      </c>
      <c r="B1002" s="6" t="s">
        <v>779</v>
      </c>
      <c r="C1002" s="7" t="s">
        <v>369</v>
      </c>
      <c r="D1002" s="8">
        <v>670</v>
      </c>
    </row>
    <row r="1003" spans="1:4" x14ac:dyDescent="0.3">
      <c r="A1003" s="5">
        <v>44390</v>
      </c>
      <c r="B1003" s="6" t="s">
        <v>792</v>
      </c>
      <c r="C1003" s="7" t="s">
        <v>370</v>
      </c>
      <c r="D1003" s="8">
        <v>600</v>
      </c>
    </row>
    <row r="1004" spans="1:4" x14ac:dyDescent="0.3">
      <c r="A1004" s="5">
        <v>44392</v>
      </c>
      <c r="B1004" s="6" t="s">
        <v>789</v>
      </c>
      <c r="C1004" s="7" t="s">
        <v>371</v>
      </c>
      <c r="D1004" s="8">
        <v>195</v>
      </c>
    </row>
    <row r="1005" spans="1:4" x14ac:dyDescent="0.3">
      <c r="A1005" s="5">
        <v>44392</v>
      </c>
      <c r="B1005" s="6" t="s">
        <v>755</v>
      </c>
      <c r="C1005" s="7" t="s">
        <v>372</v>
      </c>
      <c r="D1005" s="8">
        <v>900</v>
      </c>
    </row>
    <row r="1006" spans="1:4" x14ac:dyDescent="0.3">
      <c r="A1006" s="5">
        <v>44394</v>
      </c>
      <c r="B1006" s="6" t="s">
        <v>796</v>
      </c>
      <c r="C1006" s="7" t="s">
        <v>373</v>
      </c>
      <c r="D1006" s="8">
        <v>2088</v>
      </c>
    </row>
    <row r="1007" spans="1:4" x14ac:dyDescent="0.3">
      <c r="A1007" s="5">
        <v>44394</v>
      </c>
      <c r="B1007" s="6" t="s">
        <v>792</v>
      </c>
      <c r="C1007" s="7" t="s">
        <v>374</v>
      </c>
      <c r="D1007" s="8">
        <v>400</v>
      </c>
    </row>
    <row r="1008" spans="1:4" x14ac:dyDescent="0.3">
      <c r="A1008" s="5">
        <v>44400</v>
      </c>
      <c r="B1008" s="6" t="s">
        <v>796</v>
      </c>
      <c r="C1008" s="7" t="s">
        <v>375</v>
      </c>
      <c r="D1008" s="8">
        <v>4800</v>
      </c>
    </row>
    <row r="1009" spans="1:4" x14ac:dyDescent="0.3">
      <c r="A1009" s="5">
        <v>44400</v>
      </c>
      <c r="B1009" s="6" t="s">
        <v>792</v>
      </c>
      <c r="C1009" s="7" t="s">
        <v>376</v>
      </c>
      <c r="D1009" s="8">
        <v>600</v>
      </c>
    </row>
    <row r="1010" spans="1:4" x14ac:dyDescent="0.3">
      <c r="A1010" s="5">
        <v>44403</v>
      </c>
      <c r="B1010" s="6" t="s">
        <v>790</v>
      </c>
      <c r="C1010" s="7" t="s">
        <v>377</v>
      </c>
      <c r="D1010" s="8">
        <v>25368</v>
      </c>
    </row>
    <row r="1011" spans="1:4" x14ac:dyDescent="0.3">
      <c r="A1011" s="5">
        <v>44405</v>
      </c>
      <c r="B1011" s="6" t="s">
        <v>801</v>
      </c>
      <c r="C1011" s="7" t="s">
        <v>378</v>
      </c>
      <c r="D1011" s="8">
        <v>1828</v>
      </c>
    </row>
    <row r="1012" spans="1:4" x14ac:dyDescent="0.3">
      <c r="A1012" s="5">
        <v>44409</v>
      </c>
      <c r="B1012" s="6" t="s">
        <v>763</v>
      </c>
      <c r="C1012" s="7" t="s">
        <v>379</v>
      </c>
      <c r="D1012" s="8">
        <v>1009.2</v>
      </c>
    </row>
    <row r="1013" spans="1:4" x14ac:dyDescent="0.3">
      <c r="A1013" s="5">
        <v>44409</v>
      </c>
      <c r="B1013" s="6" t="s">
        <v>792</v>
      </c>
      <c r="C1013" s="7" t="s">
        <v>380</v>
      </c>
      <c r="D1013" s="8">
        <v>600</v>
      </c>
    </row>
    <row r="1014" spans="1:4" x14ac:dyDescent="0.3">
      <c r="A1014" s="5">
        <v>44412</v>
      </c>
      <c r="B1014" s="6" t="s">
        <v>793</v>
      </c>
      <c r="C1014" s="7" t="s">
        <v>381</v>
      </c>
      <c r="D1014" s="8">
        <v>4400</v>
      </c>
    </row>
    <row r="1015" spans="1:4" x14ac:dyDescent="0.3">
      <c r="A1015" s="5">
        <v>44412</v>
      </c>
      <c r="B1015" s="6" t="s">
        <v>726</v>
      </c>
      <c r="C1015" s="7" t="s">
        <v>382</v>
      </c>
      <c r="D1015" s="8">
        <v>499.99</v>
      </c>
    </row>
    <row r="1016" spans="1:4" x14ac:dyDescent="0.3">
      <c r="A1016" s="5">
        <v>44413</v>
      </c>
      <c r="B1016" s="6" t="s">
        <v>799</v>
      </c>
      <c r="C1016" s="7" t="s">
        <v>177</v>
      </c>
      <c r="D1016" s="8">
        <v>250</v>
      </c>
    </row>
    <row r="1017" spans="1:4" x14ac:dyDescent="0.3">
      <c r="A1017" s="5">
        <v>44413</v>
      </c>
      <c r="B1017" s="6" t="s">
        <v>797</v>
      </c>
      <c r="C1017" s="7" t="s">
        <v>178</v>
      </c>
      <c r="D1017" s="8">
        <v>60</v>
      </c>
    </row>
    <row r="1018" spans="1:4" x14ac:dyDescent="0.3">
      <c r="A1018" s="5">
        <v>44413</v>
      </c>
      <c r="B1018" s="6" t="s">
        <v>795</v>
      </c>
      <c r="C1018" s="7" t="s">
        <v>179</v>
      </c>
      <c r="D1018" s="8">
        <v>49.6</v>
      </c>
    </row>
    <row r="1019" spans="1:4" x14ac:dyDescent="0.3">
      <c r="A1019" s="5">
        <v>44414</v>
      </c>
      <c r="B1019" s="6" t="s">
        <v>792</v>
      </c>
      <c r="C1019" s="7" t="s">
        <v>383</v>
      </c>
      <c r="D1019" s="8">
        <v>600</v>
      </c>
    </row>
    <row r="1020" spans="1:4" x14ac:dyDescent="0.3">
      <c r="A1020" s="5">
        <v>44421</v>
      </c>
      <c r="B1020" s="6" t="s">
        <v>796</v>
      </c>
      <c r="C1020" s="7" t="s">
        <v>384</v>
      </c>
      <c r="D1020" s="8">
        <v>4800</v>
      </c>
    </row>
    <row r="1021" spans="1:4" x14ac:dyDescent="0.3">
      <c r="A1021" s="5">
        <v>44427</v>
      </c>
      <c r="B1021" s="6" t="s">
        <v>792</v>
      </c>
      <c r="C1021" s="7" t="s">
        <v>385</v>
      </c>
      <c r="D1021" s="8">
        <v>600</v>
      </c>
    </row>
    <row r="1022" spans="1:4" x14ac:dyDescent="0.3">
      <c r="A1022" s="5">
        <v>44430</v>
      </c>
      <c r="B1022" s="6" t="s">
        <v>792</v>
      </c>
      <c r="C1022" s="7" t="s">
        <v>386</v>
      </c>
      <c r="D1022" s="8">
        <v>600</v>
      </c>
    </row>
    <row r="1023" spans="1:4" x14ac:dyDescent="0.3">
      <c r="A1023" s="5">
        <v>44432</v>
      </c>
      <c r="B1023" s="6" t="s">
        <v>789</v>
      </c>
      <c r="C1023" s="7" t="s">
        <v>387</v>
      </c>
      <c r="D1023" s="8">
        <v>943</v>
      </c>
    </row>
    <row r="1024" spans="1:4" x14ac:dyDescent="0.3">
      <c r="A1024" s="5">
        <v>44432</v>
      </c>
      <c r="B1024" s="6" t="s">
        <v>796</v>
      </c>
      <c r="C1024" s="7" t="s">
        <v>388</v>
      </c>
      <c r="D1024" s="8">
        <v>4800</v>
      </c>
    </row>
    <row r="1025" spans="1:4" x14ac:dyDescent="0.3">
      <c r="A1025" s="5">
        <v>44433</v>
      </c>
      <c r="B1025" s="6" t="s">
        <v>790</v>
      </c>
      <c r="C1025" s="7" t="s">
        <v>389</v>
      </c>
      <c r="D1025" s="8">
        <v>23648</v>
      </c>
    </row>
    <row r="1026" spans="1:4" x14ac:dyDescent="0.3">
      <c r="A1026" s="5">
        <v>44435</v>
      </c>
      <c r="B1026" s="6" t="s">
        <v>755</v>
      </c>
      <c r="C1026" s="7" t="s">
        <v>390</v>
      </c>
      <c r="D1026" s="8">
        <v>900</v>
      </c>
    </row>
    <row r="1027" spans="1:4" x14ac:dyDescent="0.3">
      <c r="A1027" s="5">
        <v>44435</v>
      </c>
      <c r="B1027" s="6" t="s">
        <v>792</v>
      </c>
      <c r="C1027" s="7" t="s">
        <v>391</v>
      </c>
      <c r="D1027" s="8">
        <v>600</v>
      </c>
    </row>
    <row r="1028" spans="1:4" x14ac:dyDescent="0.3">
      <c r="A1028" s="5">
        <v>44435</v>
      </c>
      <c r="B1028" s="6" t="s">
        <v>791</v>
      </c>
      <c r="C1028" s="7" t="s">
        <v>392</v>
      </c>
      <c r="D1028" s="8">
        <v>10127</v>
      </c>
    </row>
    <row r="1029" spans="1:4" x14ac:dyDescent="0.3">
      <c r="A1029" s="5">
        <v>44441</v>
      </c>
      <c r="B1029" s="6" t="s">
        <v>758</v>
      </c>
      <c r="C1029" s="7" t="s">
        <v>393</v>
      </c>
      <c r="D1029" s="8">
        <v>464</v>
      </c>
    </row>
    <row r="1030" spans="1:4" x14ac:dyDescent="0.3">
      <c r="A1030" s="5">
        <v>44442</v>
      </c>
      <c r="B1030" s="6" t="s">
        <v>801</v>
      </c>
      <c r="C1030" s="7" t="s">
        <v>394</v>
      </c>
      <c r="D1030" s="8">
        <v>399</v>
      </c>
    </row>
    <row r="1031" spans="1:4" x14ac:dyDescent="0.3">
      <c r="A1031" s="5">
        <v>44443</v>
      </c>
      <c r="B1031" s="6" t="s">
        <v>792</v>
      </c>
      <c r="C1031" s="7" t="s">
        <v>395</v>
      </c>
      <c r="D1031" s="8">
        <v>600</v>
      </c>
    </row>
    <row r="1032" spans="1:4" x14ac:dyDescent="0.3">
      <c r="A1032" s="5">
        <v>44445</v>
      </c>
      <c r="B1032" s="6" t="s">
        <v>799</v>
      </c>
      <c r="C1032" s="7" t="s">
        <v>177</v>
      </c>
      <c r="D1032" s="8">
        <v>250</v>
      </c>
    </row>
    <row r="1033" spans="1:4" x14ac:dyDescent="0.3">
      <c r="A1033" s="5">
        <v>44445</v>
      </c>
      <c r="B1033" s="6" t="s">
        <v>797</v>
      </c>
      <c r="C1033" s="7" t="s">
        <v>178</v>
      </c>
      <c r="D1033" s="8">
        <v>35</v>
      </c>
    </row>
    <row r="1034" spans="1:4" x14ac:dyDescent="0.3">
      <c r="A1034" s="5">
        <v>44445</v>
      </c>
      <c r="B1034" s="6" t="s">
        <v>795</v>
      </c>
      <c r="C1034" s="7" t="s">
        <v>179</v>
      </c>
      <c r="D1034" s="8">
        <v>45.6</v>
      </c>
    </row>
    <row r="1035" spans="1:4" x14ac:dyDescent="0.3">
      <c r="A1035" s="5">
        <v>44447</v>
      </c>
      <c r="B1035" s="6" t="s">
        <v>787</v>
      </c>
      <c r="C1035" s="7" t="s">
        <v>396</v>
      </c>
      <c r="D1035" s="8">
        <v>10416.43</v>
      </c>
    </row>
    <row r="1036" spans="1:4" x14ac:dyDescent="0.3">
      <c r="A1036" s="5">
        <v>44447</v>
      </c>
      <c r="B1036" s="6" t="s">
        <v>793</v>
      </c>
      <c r="C1036" s="7" t="s">
        <v>397</v>
      </c>
      <c r="D1036" s="8">
        <v>4640</v>
      </c>
    </row>
    <row r="1037" spans="1:4" x14ac:dyDescent="0.3">
      <c r="A1037" s="5">
        <v>44448</v>
      </c>
      <c r="B1037" s="6" t="s">
        <v>789</v>
      </c>
      <c r="C1037" s="7" t="s">
        <v>398</v>
      </c>
      <c r="D1037" s="8">
        <v>435</v>
      </c>
    </row>
    <row r="1038" spans="1:4" x14ac:dyDescent="0.3">
      <c r="A1038" s="5">
        <v>44448</v>
      </c>
      <c r="B1038" s="6" t="s">
        <v>755</v>
      </c>
      <c r="C1038" s="7" t="s">
        <v>399</v>
      </c>
      <c r="D1038" s="8">
        <v>900</v>
      </c>
    </row>
    <row r="1039" spans="1:4" x14ac:dyDescent="0.3">
      <c r="A1039" s="5">
        <v>44453</v>
      </c>
      <c r="B1039" s="6" t="s">
        <v>792</v>
      </c>
      <c r="C1039" s="7" t="s">
        <v>400</v>
      </c>
      <c r="D1039" s="8">
        <v>600</v>
      </c>
    </row>
    <row r="1040" spans="1:4" x14ac:dyDescent="0.3">
      <c r="A1040" s="5">
        <v>44457</v>
      </c>
      <c r="B1040" s="6" t="s">
        <v>787</v>
      </c>
      <c r="C1040" s="7" t="s">
        <v>401</v>
      </c>
      <c r="D1040" s="8">
        <v>10416.43</v>
      </c>
    </row>
    <row r="1041" spans="1:4" x14ac:dyDescent="0.3">
      <c r="A1041" s="5">
        <v>44457</v>
      </c>
      <c r="B1041" s="6" t="s">
        <v>796</v>
      </c>
      <c r="C1041" s="7" t="s">
        <v>402</v>
      </c>
      <c r="D1041" s="8">
        <v>4524</v>
      </c>
    </row>
    <row r="1042" spans="1:4" x14ac:dyDescent="0.3">
      <c r="A1042" s="5">
        <v>44457</v>
      </c>
      <c r="B1042" s="6" t="s">
        <v>792</v>
      </c>
      <c r="C1042" s="7" t="s">
        <v>403</v>
      </c>
      <c r="D1042" s="8">
        <v>400</v>
      </c>
    </row>
    <row r="1043" spans="1:4" x14ac:dyDescent="0.3">
      <c r="A1043" s="5">
        <v>44462</v>
      </c>
      <c r="B1043" s="6" t="s">
        <v>790</v>
      </c>
      <c r="C1043" s="7" t="s">
        <v>404</v>
      </c>
      <c r="D1043" s="8">
        <v>27125</v>
      </c>
    </row>
    <row r="1044" spans="1:4" x14ac:dyDescent="0.3">
      <c r="A1044" s="5">
        <v>44467</v>
      </c>
      <c r="B1044" s="6" t="s">
        <v>796</v>
      </c>
      <c r="C1044" s="7" t="s">
        <v>405</v>
      </c>
      <c r="D1044" s="8">
        <v>4800</v>
      </c>
    </row>
    <row r="1045" spans="1:4" x14ac:dyDescent="0.3">
      <c r="A1045" s="5">
        <v>44467</v>
      </c>
      <c r="B1045" s="6" t="s">
        <v>792</v>
      </c>
      <c r="C1045" s="7" t="s">
        <v>406</v>
      </c>
      <c r="D1045" s="8">
        <v>600</v>
      </c>
    </row>
    <row r="1046" spans="1:4" x14ac:dyDescent="0.3">
      <c r="A1046" s="5">
        <v>44467</v>
      </c>
      <c r="B1046" s="6" t="s">
        <v>787</v>
      </c>
      <c r="C1046" s="7" t="s">
        <v>407</v>
      </c>
      <c r="D1046" s="8">
        <v>4698</v>
      </c>
    </row>
    <row r="1047" spans="1:4" x14ac:dyDescent="0.3">
      <c r="A1047" s="5">
        <v>44470</v>
      </c>
      <c r="B1047" s="6" t="s">
        <v>792</v>
      </c>
      <c r="C1047" s="7" t="s">
        <v>408</v>
      </c>
      <c r="D1047" s="8">
        <v>600</v>
      </c>
    </row>
    <row r="1048" spans="1:4" x14ac:dyDescent="0.3">
      <c r="A1048" s="5">
        <v>44473</v>
      </c>
      <c r="B1048" s="6" t="s">
        <v>801</v>
      </c>
      <c r="C1048" s="7" t="s">
        <v>409</v>
      </c>
      <c r="D1048" s="8">
        <v>399</v>
      </c>
    </row>
    <row r="1049" spans="1:4" x14ac:dyDescent="0.3">
      <c r="A1049" s="5">
        <v>44480</v>
      </c>
      <c r="B1049" s="6" t="s">
        <v>799</v>
      </c>
      <c r="C1049" s="7" t="s">
        <v>177</v>
      </c>
      <c r="D1049" s="8">
        <v>250</v>
      </c>
    </row>
    <row r="1050" spans="1:4" x14ac:dyDescent="0.3">
      <c r="A1050" s="5">
        <v>44480</v>
      </c>
      <c r="B1050" s="6" t="s">
        <v>797</v>
      </c>
      <c r="C1050" s="7" t="s">
        <v>178</v>
      </c>
      <c r="D1050" s="8">
        <v>45</v>
      </c>
    </row>
    <row r="1051" spans="1:4" x14ac:dyDescent="0.3">
      <c r="A1051" s="5">
        <v>44480</v>
      </c>
      <c r="B1051" s="6" t="s">
        <v>795</v>
      </c>
      <c r="C1051" s="7" t="s">
        <v>179</v>
      </c>
      <c r="D1051" s="8">
        <v>47.2</v>
      </c>
    </row>
    <row r="1052" spans="1:4" x14ac:dyDescent="0.3">
      <c r="A1052" s="5">
        <v>44481</v>
      </c>
      <c r="B1052" s="6" t="s">
        <v>726</v>
      </c>
      <c r="C1052" s="7" t="s">
        <v>410</v>
      </c>
      <c r="D1052" s="8">
        <v>500.01</v>
      </c>
    </row>
    <row r="1053" spans="1:4" x14ac:dyDescent="0.3">
      <c r="A1053" s="5">
        <v>44481</v>
      </c>
      <c r="B1053" s="6" t="s">
        <v>793</v>
      </c>
      <c r="C1053" s="7" t="s">
        <v>411</v>
      </c>
      <c r="D1053" s="8">
        <v>4640</v>
      </c>
    </row>
    <row r="1054" spans="1:4" x14ac:dyDescent="0.3">
      <c r="A1054" s="5">
        <v>44481</v>
      </c>
      <c r="B1054" s="6" t="s">
        <v>792</v>
      </c>
      <c r="C1054" s="7" t="s">
        <v>412</v>
      </c>
      <c r="D1054" s="8">
        <v>600</v>
      </c>
    </row>
    <row r="1055" spans="1:4" x14ac:dyDescent="0.3">
      <c r="A1055" s="5">
        <v>44482</v>
      </c>
      <c r="B1055" s="6" t="s">
        <v>792</v>
      </c>
      <c r="C1055" s="7" t="s">
        <v>413</v>
      </c>
      <c r="D1055" s="8">
        <v>200</v>
      </c>
    </row>
    <row r="1056" spans="1:4" x14ac:dyDescent="0.3">
      <c r="A1056" s="5">
        <v>44487</v>
      </c>
      <c r="B1056" s="6" t="s">
        <v>792</v>
      </c>
      <c r="C1056" s="7" t="s">
        <v>414</v>
      </c>
      <c r="D1056" s="8">
        <v>600</v>
      </c>
    </row>
    <row r="1057" spans="1:4" x14ac:dyDescent="0.3">
      <c r="A1057" s="5">
        <v>44491</v>
      </c>
      <c r="B1057" s="6" t="s">
        <v>790</v>
      </c>
      <c r="C1057" s="7" t="s">
        <v>415</v>
      </c>
      <c r="D1057" s="8">
        <v>29075</v>
      </c>
    </row>
    <row r="1058" spans="1:4" x14ac:dyDescent="0.3">
      <c r="A1058" s="5">
        <v>44496</v>
      </c>
      <c r="B1058" s="6" t="s">
        <v>796</v>
      </c>
      <c r="C1058" s="7" t="s">
        <v>416</v>
      </c>
      <c r="D1058" s="8">
        <v>4800</v>
      </c>
    </row>
    <row r="1059" spans="1:4" x14ac:dyDescent="0.3">
      <c r="A1059" s="5">
        <v>44498</v>
      </c>
      <c r="B1059" s="6" t="s">
        <v>789</v>
      </c>
      <c r="C1059" s="7" t="s">
        <v>417</v>
      </c>
      <c r="D1059" s="8">
        <v>197</v>
      </c>
    </row>
    <row r="1060" spans="1:4" x14ac:dyDescent="0.3">
      <c r="A1060" s="5">
        <v>44498</v>
      </c>
      <c r="B1060" s="6" t="s">
        <v>792</v>
      </c>
      <c r="C1060" s="7" t="s">
        <v>418</v>
      </c>
      <c r="D1060" s="8">
        <v>1200</v>
      </c>
    </row>
    <row r="1061" spans="1:4" x14ac:dyDescent="0.3">
      <c r="A1061" s="5">
        <v>44498</v>
      </c>
      <c r="B1061" s="6" t="s">
        <v>791</v>
      </c>
      <c r="C1061" s="7" t="s">
        <v>419</v>
      </c>
      <c r="D1061" s="8">
        <v>11793</v>
      </c>
    </row>
    <row r="1062" spans="1:4" x14ac:dyDescent="0.3">
      <c r="A1062" s="5">
        <v>44505</v>
      </c>
      <c r="B1062" s="6" t="s">
        <v>799</v>
      </c>
      <c r="C1062" s="7" t="s">
        <v>177</v>
      </c>
      <c r="D1062" s="8">
        <v>250</v>
      </c>
    </row>
    <row r="1063" spans="1:4" x14ac:dyDescent="0.3">
      <c r="A1063" s="5">
        <v>44505</v>
      </c>
      <c r="B1063" s="6" t="s">
        <v>797</v>
      </c>
      <c r="C1063" s="7" t="s">
        <v>178</v>
      </c>
      <c r="D1063" s="8">
        <v>35</v>
      </c>
    </row>
    <row r="1064" spans="1:4" x14ac:dyDescent="0.3">
      <c r="A1064" s="5">
        <v>44505</v>
      </c>
      <c r="B1064" s="6" t="s">
        <v>795</v>
      </c>
      <c r="C1064" s="7" t="s">
        <v>179</v>
      </c>
      <c r="D1064" s="8">
        <v>45.6</v>
      </c>
    </row>
    <row r="1065" spans="1:4" x14ac:dyDescent="0.3">
      <c r="A1065" s="5">
        <v>44506</v>
      </c>
      <c r="B1065" s="6" t="s">
        <v>792</v>
      </c>
      <c r="C1065" s="7" t="s">
        <v>420</v>
      </c>
      <c r="D1065" s="8">
        <v>600</v>
      </c>
    </row>
    <row r="1066" spans="1:4" x14ac:dyDescent="0.3">
      <c r="A1066" s="5">
        <v>44506</v>
      </c>
      <c r="B1066" s="6" t="s">
        <v>793</v>
      </c>
      <c r="C1066" s="7" t="s">
        <v>421</v>
      </c>
      <c r="D1066" s="8">
        <v>4640</v>
      </c>
    </row>
    <row r="1067" spans="1:4" x14ac:dyDescent="0.3">
      <c r="A1067" s="5">
        <v>44506</v>
      </c>
      <c r="B1067" s="6" t="s">
        <v>801</v>
      </c>
      <c r="C1067" s="7" t="s">
        <v>422</v>
      </c>
      <c r="D1067" s="8">
        <v>399</v>
      </c>
    </row>
    <row r="1068" spans="1:4" x14ac:dyDescent="0.3">
      <c r="A1068" s="5">
        <v>44512</v>
      </c>
      <c r="B1068" s="6" t="s">
        <v>779</v>
      </c>
      <c r="C1068" s="7" t="s">
        <v>354</v>
      </c>
      <c r="D1068" s="8">
        <v>1012.97</v>
      </c>
    </row>
    <row r="1069" spans="1:4" x14ac:dyDescent="0.3">
      <c r="A1069" s="5">
        <v>44517</v>
      </c>
      <c r="B1069" s="6" t="s">
        <v>792</v>
      </c>
      <c r="C1069" s="7" t="s">
        <v>423</v>
      </c>
      <c r="D1069" s="8">
        <v>600</v>
      </c>
    </row>
    <row r="1070" spans="1:4" x14ac:dyDescent="0.3">
      <c r="A1070" s="5">
        <v>44524</v>
      </c>
      <c r="B1070" s="6" t="s">
        <v>790</v>
      </c>
      <c r="C1070" s="7" t="s">
        <v>424</v>
      </c>
      <c r="D1070" s="8">
        <v>25503</v>
      </c>
    </row>
    <row r="1071" spans="1:4" x14ac:dyDescent="0.3">
      <c r="A1071" s="5">
        <v>44526</v>
      </c>
      <c r="B1071" s="6" t="s">
        <v>796</v>
      </c>
      <c r="C1071" s="7" t="s">
        <v>425</v>
      </c>
      <c r="D1071" s="8">
        <v>4800</v>
      </c>
    </row>
    <row r="1072" spans="1:4" x14ac:dyDescent="0.3">
      <c r="A1072" s="5">
        <v>44526</v>
      </c>
      <c r="B1072" s="6" t="s">
        <v>792</v>
      </c>
      <c r="C1072" s="7" t="s">
        <v>426</v>
      </c>
      <c r="D1072" s="8">
        <v>1200</v>
      </c>
    </row>
    <row r="1073" spans="1:4" x14ac:dyDescent="0.3">
      <c r="A1073" s="5">
        <v>44534</v>
      </c>
      <c r="B1073" s="6" t="s">
        <v>792</v>
      </c>
      <c r="C1073" s="7" t="s">
        <v>427</v>
      </c>
      <c r="D1073" s="8">
        <v>600</v>
      </c>
    </row>
    <row r="1074" spans="1:4" x14ac:dyDescent="0.3">
      <c r="A1074" s="5">
        <v>44534</v>
      </c>
      <c r="B1074" s="6" t="s">
        <v>801</v>
      </c>
      <c r="C1074" s="7" t="s">
        <v>428</v>
      </c>
      <c r="D1074" s="8">
        <v>399</v>
      </c>
    </row>
    <row r="1075" spans="1:4" x14ac:dyDescent="0.3">
      <c r="A1075" s="5">
        <v>44536</v>
      </c>
      <c r="B1075" s="6" t="s">
        <v>799</v>
      </c>
      <c r="C1075" s="7" t="s">
        <v>177</v>
      </c>
      <c r="D1075" s="8">
        <v>250</v>
      </c>
    </row>
    <row r="1076" spans="1:4" x14ac:dyDescent="0.3">
      <c r="A1076" s="5">
        <v>44536</v>
      </c>
      <c r="B1076" s="6" t="s">
        <v>797</v>
      </c>
      <c r="C1076" s="7" t="s">
        <v>178</v>
      </c>
      <c r="D1076" s="8">
        <v>25</v>
      </c>
    </row>
    <row r="1077" spans="1:4" x14ac:dyDescent="0.3">
      <c r="A1077" s="5">
        <v>44536</v>
      </c>
      <c r="B1077" s="6" t="s">
        <v>795</v>
      </c>
      <c r="C1077" s="7" t="s">
        <v>179</v>
      </c>
      <c r="D1077" s="8">
        <v>44</v>
      </c>
    </row>
    <row r="1078" spans="1:4" x14ac:dyDescent="0.3">
      <c r="A1078" s="5">
        <v>44540</v>
      </c>
      <c r="B1078" s="6" t="s">
        <v>792</v>
      </c>
      <c r="C1078" s="7" t="s">
        <v>429</v>
      </c>
      <c r="D1078" s="8">
        <v>600</v>
      </c>
    </row>
    <row r="1079" spans="1:4" x14ac:dyDescent="0.3">
      <c r="A1079" s="5">
        <v>44540</v>
      </c>
      <c r="B1079" s="6" t="s">
        <v>793</v>
      </c>
      <c r="C1079" s="7" t="s">
        <v>430</v>
      </c>
      <c r="D1079" s="8">
        <v>4640</v>
      </c>
    </row>
    <row r="1080" spans="1:4" x14ac:dyDescent="0.3">
      <c r="A1080" s="5">
        <v>44543</v>
      </c>
      <c r="B1080" s="6" t="s">
        <v>755</v>
      </c>
      <c r="C1080" s="7" t="s">
        <v>431</v>
      </c>
      <c r="D1080" s="8">
        <v>6315.54</v>
      </c>
    </row>
    <row r="1081" spans="1:4" x14ac:dyDescent="0.3">
      <c r="A1081" s="5">
        <v>44544</v>
      </c>
      <c r="B1081" s="6" t="s">
        <v>755</v>
      </c>
      <c r="C1081" s="7" t="s">
        <v>432</v>
      </c>
      <c r="D1081" s="8">
        <v>1277.47</v>
      </c>
    </row>
    <row r="1082" spans="1:4" x14ac:dyDescent="0.3">
      <c r="A1082" s="5">
        <v>44552</v>
      </c>
      <c r="B1082" s="6" t="s">
        <v>790</v>
      </c>
      <c r="C1082" s="7" t="s">
        <v>435</v>
      </c>
      <c r="D1082" s="8">
        <v>29075</v>
      </c>
    </row>
    <row r="1083" spans="1:4" x14ac:dyDescent="0.3">
      <c r="A1083" s="5">
        <v>44567</v>
      </c>
      <c r="B1083" s="6" t="s">
        <v>796</v>
      </c>
      <c r="C1083" s="7" t="s">
        <v>433</v>
      </c>
      <c r="D1083" s="8">
        <v>2296.8000000000002</v>
      </c>
    </row>
    <row r="1084" spans="1:4" x14ac:dyDescent="0.3">
      <c r="A1084" s="5">
        <v>44567</v>
      </c>
      <c r="B1084" s="6" t="s">
        <v>799</v>
      </c>
      <c r="C1084" s="7" t="s">
        <v>177</v>
      </c>
      <c r="D1084" s="8">
        <v>250</v>
      </c>
    </row>
    <row r="1085" spans="1:4" x14ac:dyDescent="0.3">
      <c r="A1085" s="5">
        <v>44567</v>
      </c>
      <c r="B1085" s="6" t="s">
        <v>797</v>
      </c>
      <c r="C1085" s="7" t="s">
        <v>178</v>
      </c>
      <c r="D1085" s="8">
        <v>35</v>
      </c>
    </row>
    <row r="1086" spans="1:4" x14ac:dyDescent="0.3">
      <c r="A1086" s="5">
        <v>44567</v>
      </c>
      <c r="B1086" s="6" t="s">
        <v>795</v>
      </c>
      <c r="C1086" s="7" t="s">
        <v>179</v>
      </c>
      <c r="D1086" s="8">
        <v>45.6</v>
      </c>
    </row>
    <row r="1087" spans="1:4" x14ac:dyDescent="0.3">
      <c r="A1087" s="5">
        <v>44567</v>
      </c>
      <c r="B1087" s="6" t="s">
        <v>792</v>
      </c>
      <c r="C1087" s="7" t="s">
        <v>439</v>
      </c>
      <c r="D1087" s="8">
        <v>600</v>
      </c>
    </row>
    <row r="1088" spans="1:4" x14ac:dyDescent="0.3">
      <c r="A1088" s="5">
        <v>44567</v>
      </c>
      <c r="B1088" s="6" t="s">
        <v>793</v>
      </c>
      <c r="C1088" s="7" t="s">
        <v>299</v>
      </c>
      <c r="D1088" s="8">
        <v>4640</v>
      </c>
    </row>
    <row r="1089" spans="1:4" x14ac:dyDescent="0.3">
      <c r="A1089" s="5">
        <v>44567</v>
      </c>
      <c r="B1089" s="6" t="s">
        <v>801</v>
      </c>
      <c r="C1089" s="7" t="s">
        <v>440</v>
      </c>
      <c r="D1089" s="8">
        <v>399</v>
      </c>
    </row>
    <row r="1090" spans="1:4" x14ac:dyDescent="0.3">
      <c r="A1090" s="5">
        <v>44575</v>
      </c>
      <c r="B1090" s="6" t="s">
        <v>792</v>
      </c>
      <c r="C1090" s="7" t="s">
        <v>441</v>
      </c>
      <c r="D1090" s="8">
        <v>400</v>
      </c>
    </row>
    <row r="1091" spans="1:4" x14ac:dyDescent="0.3">
      <c r="A1091" s="5">
        <v>44579</v>
      </c>
      <c r="B1091" s="6" t="s">
        <v>792</v>
      </c>
      <c r="C1091" s="7" t="s">
        <v>442</v>
      </c>
      <c r="D1091" s="8">
        <v>600</v>
      </c>
    </row>
    <row r="1092" spans="1:4" x14ac:dyDescent="0.3">
      <c r="A1092" s="5">
        <v>44579</v>
      </c>
      <c r="B1092" s="6" t="s">
        <v>798</v>
      </c>
      <c r="C1092" s="44" t="s">
        <v>443</v>
      </c>
      <c r="D1092" s="8">
        <v>1113.5999999999999</v>
      </c>
    </row>
    <row r="1093" spans="1:4" x14ac:dyDescent="0.3">
      <c r="A1093" s="5">
        <v>44585</v>
      </c>
      <c r="B1093" s="6" t="s">
        <v>792</v>
      </c>
      <c r="C1093" s="7" t="s">
        <v>444</v>
      </c>
      <c r="D1093" s="8">
        <v>600</v>
      </c>
    </row>
    <row r="1094" spans="1:4" x14ac:dyDescent="0.3">
      <c r="A1094" s="5">
        <v>44585</v>
      </c>
      <c r="B1094" s="6" t="s">
        <v>790</v>
      </c>
      <c r="C1094" s="7" t="s">
        <v>445</v>
      </c>
      <c r="D1094" s="8">
        <v>31027</v>
      </c>
    </row>
    <row r="1095" spans="1:4" x14ac:dyDescent="0.3">
      <c r="A1095" s="5">
        <v>44588</v>
      </c>
      <c r="B1095" s="6" t="s">
        <v>796</v>
      </c>
      <c r="C1095" s="7" t="s">
        <v>446</v>
      </c>
      <c r="D1095" s="8">
        <v>4800</v>
      </c>
    </row>
    <row r="1096" spans="1:4" x14ac:dyDescent="0.3">
      <c r="A1096" s="5">
        <v>44589</v>
      </c>
      <c r="B1096" s="6" t="s">
        <v>792</v>
      </c>
      <c r="C1096" s="7" t="s">
        <v>447</v>
      </c>
      <c r="D1096" s="8">
        <v>600</v>
      </c>
    </row>
    <row r="1097" spans="1:4" x14ac:dyDescent="0.3">
      <c r="A1097" s="5">
        <v>44589</v>
      </c>
      <c r="B1097" s="6" t="s">
        <v>721</v>
      </c>
      <c r="C1097" s="7" t="s">
        <v>448</v>
      </c>
      <c r="D1097" s="8">
        <v>573.75</v>
      </c>
    </row>
    <row r="1098" spans="1:4" x14ac:dyDescent="0.3">
      <c r="A1098" s="5">
        <v>44594</v>
      </c>
      <c r="B1098" s="6" t="s">
        <v>783</v>
      </c>
      <c r="C1098" s="44" t="s">
        <v>449</v>
      </c>
      <c r="D1098" s="8">
        <v>396</v>
      </c>
    </row>
    <row r="1099" spans="1:4" x14ac:dyDescent="0.3">
      <c r="A1099" s="5">
        <v>44594</v>
      </c>
      <c r="B1099" s="6" t="s">
        <v>796</v>
      </c>
      <c r="C1099" s="44" t="s">
        <v>450</v>
      </c>
      <c r="D1099" s="8">
        <v>1972</v>
      </c>
    </row>
    <row r="1100" spans="1:4" x14ac:dyDescent="0.3">
      <c r="A1100" s="5">
        <v>44596</v>
      </c>
      <c r="B1100" s="6" t="s">
        <v>799</v>
      </c>
      <c r="C1100" s="7" t="s">
        <v>177</v>
      </c>
      <c r="D1100" s="8">
        <v>250</v>
      </c>
    </row>
    <row r="1101" spans="1:4" x14ac:dyDescent="0.3">
      <c r="A1101" s="5">
        <v>44596</v>
      </c>
      <c r="B1101" s="6" t="s">
        <v>797</v>
      </c>
      <c r="C1101" s="7" t="s">
        <v>178</v>
      </c>
      <c r="D1101" s="8">
        <v>40</v>
      </c>
    </row>
    <row r="1102" spans="1:4" x14ac:dyDescent="0.3">
      <c r="A1102" s="5">
        <v>44596</v>
      </c>
      <c r="B1102" s="6" t="s">
        <v>795</v>
      </c>
      <c r="C1102" s="7" t="s">
        <v>179</v>
      </c>
      <c r="D1102" s="8">
        <v>46.4</v>
      </c>
    </row>
    <row r="1103" spans="1:4" x14ac:dyDescent="0.3">
      <c r="A1103" s="5">
        <v>44600</v>
      </c>
      <c r="B1103" s="6" t="s">
        <v>801</v>
      </c>
      <c r="C1103" s="44" t="s">
        <v>451</v>
      </c>
      <c r="D1103" s="8">
        <v>399</v>
      </c>
    </row>
    <row r="1104" spans="1:4" x14ac:dyDescent="0.3">
      <c r="A1104" s="5">
        <v>44603</v>
      </c>
      <c r="B1104" s="6" t="s">
        <v>792</v>
      </c>
      <c r="C1104" s="7" t="s">
        <v>452</v>
      </c>
      <c r="D1104" s="8">
        <v>600</v>
      </c>
    </row>
    <row r="1105" spans="1:4" x14ac:dyDescent="0.3">
      <c r="A1105" s="5">
        <v>44612</v>
      </c>
      <c r="B1105" s="6" t="s">
        <v>792</v>
      </c>
      <c r="C1105" s="7" t="s">
        <v>453</v>
      </c>
      <c r="D1105" s="8">
        <v>1200</v>
      </c>
    </row>
    <row r="1106" spans="1:4" x14ac:dyDescent="0.3">
      <c r="A1106" s="5">
        <v>44613</v>
      </c>
      <c r="B1106" s="6" t="s">
        <v>792</v>
      </c>
      <c r="C1106" s="7" t="s">
        <v>454</v>
      </c>
      <c r="D1106" s="8">
        <v>1200</v>
      </c>
    </row>
    <row r="1107" spans="1:4" x14ac:dyDescent="0.3">
      <c r="A1107" s="5">
        <v>44614</v>
      </c>
      <c r="B1107" s="6" t="s">
        <v>793</v>
      </c>
      <c r="C1107" s="7" t="s">
        <v>455</v>
      </c>
      <c r="D1107" s="8">
        <v>3926.12</v>
      </c>
    </row>
    <row r="1108" spans="1:4" x14ac:dyDescent="0.3">
      <c r="A1108" s="5">
        <v>44615</v>
      </c>
      <c r="B1108" s="6" t="s">
        <v>790</v>
      </c>
      <c r="C1108" s="53" t="s">
        <v>456</v>
      </c>
      <c r="D1108" s="8">
        <v>25592</v>
      </c>
    </row>
    <row r="1109" spans="1:4" x14ac:dyDescent="0.3">
      <c r="A1109" s="5">
        <v>44617</v>
      </c>
      <c r="B1109" s="6" t="s">
        <v>792</v>
      </c>
      <c r="C1109" s="7" t="s">
        <v>457</v>
      </c>
      <c r="D1109" s="8">
        <v>1000</v>
      </c>
    </row>
    <row r="1110" spans="1:4" x14ac:dyDescent="0.3">
      <c r="A1110" s="5">
        <v>44623</v>
      </c>
      <c r="B1110" s="6" t="s">
        <v>791</v>
      </c>
      <c r="C1110" s="7" t="s">
        <v>458</v>
      </c>
      <c r="D1110" s="8">
        <v>7479</v>
      </c>
    </row>
    <row r="1111" spans="1:4" x14ac:dyDescent="0.3">
      <c r="A1111" s="5">
        <v>44624</v>
      </c>
      <c r="B1111" s="6" t="s">
        <v>799</v>
      </c>
      <c r="C1111" s="7" t="s">
        <v>177</v>
      </c>
      <c r="D1111" s="8">
        <v>250</v>
      </c>
    </row>
    <row r="1112" spans="1:4" x14ac:dyDescent="0.3">
      <c r="A1112" s="5">
        <v>44624</v>
      </c>
      <c r="B1112" s="6" t="s">
        <v>797</v>
      </c>
      <c r="C1112" s="7" t="s">
        <v>178</v>
      </c>
      <c r="D1112" s="8">
        <v>30</v>
      </c>
    </row>
    <row r="1113" spans="1:4" x14ac:dyDescent="0.3">
      <c r="A1113" s="5">
        <v>44624</v>
      </c>
      <c r="B1113" s="6" t="s">
        <v>795</v>
      </c>
      <c r="C1113" s="7" t="s">
        <v>179</v>
      </c>
      <c r="D1113" s="8">
        <v>44.8</v>
      </c>
    </row>
    <row r="1114" spans="1:4" x14ac:dyDescent="0.3">
      <c r="A1114" s="5">
        <v>44625</v>
      </c>
      <c r="B1114" s="6" t="s">
        <v>796</v>
      </c>
      <c r="C1114" s="7" t="s">
        <v>459</v>
      </c>
      <c r="D1114" s="8">
        <v>4800</v>
      </c>
    </row>
    <row r="1115" spans="1:4" x14ac:dyDescent="0.3">
      <c r="A1115" s="5">
        <v>44626</v>
      </c>
      <c r="B1115" s="6" t="s">
        <v>801</v>
      </c>
      <c r="C1115" s="7" t="s">
        <v>460</v>
      </c>
      <c r="D1115" s="8">
        <v>399</v>
      </c>
    </row>
    <row r="1116" spans="1:4" x14ac:dyDescent="0.3">
      <c r="A1116" s="5">
        <v>44626</v>
      </c>
      <c r="B1116" s="6" t="s">
        <v>792</v>
      </c>
      <c r="C1116" s="7" t="s">
        <v>461</v>
      </c>
      <c r="D1116" s="8">
        <v>1200</v>
      </c>
    </row>
    <row r="1117" spans="1:4" x14ac:dyDescent="0.3">
      <c r="A1117" s="5">
        <v>44626</v>
      </c>
      <c r="B1117" s="6" t="s">
        <v>793</v>
      </c>
      <c r="C1117" s="7" t="s">
        <v>462</v>
      </c>
      <c r="D1117" s="8">
        <v>4640</v>
      </c>
    </row>
    <row r="1118" spans="1:4" x14ac:dyDescent="0.3">
      <c r="A1118" s="5">
        <v>44631</v>
      </c>
      <c r="B1118" s="6" t="s">
        <v>721</v>
      </c>
      <c r="C1118" s="7" t="s">
        <v>463</v>
      </c>
      <c r="D1118" s="8">
        <v>26912.99</v>
      </c>
    </row>
    <row r="1119" spans="1:4" x14ac:dyDescent="0.3">
      <c r="A1119" s="5">
        <v>44636</v>
      </c>
      <c r="B1119" s="6" t="s">
        <v>792</v>
      </c>
      <c r="C1119" s="7" t="s">
        <v>464</v>
      </c>
      <c r="D1119" s="8">
        <v>1200</v>
      </c>
    </row>
    <row r="1120" spans="1:4" x14ac:dyDescent="0.3">
      <c r="A1120" s="5">
        <v>44637</v>
      </c>
      <c r="B1120" s="6" t="s">
        <v>789</v>
      </c>
      <c r="C1120" s="7" t="s">
        <v>465</v>
      </c>
      <c r="D1120" s="8">
        <v>1729</v>
      </c>
    </row>
    <row r="1121" spans="1:4" x14ac:dyDescent="0.3">
      <c r="A1121" s="5">
        <v>44637</v>
      </c>
      <c r="B1121" s="6" t="s">
        <v>789</v>
      </c>
      <c r="C1121" s="44" t="s">
        <v>466</v>
      </c>
      <c r="D1121" s="8">
        <v>6</v>
      </c>
    </row>
    <row r="1122" spans="1:4" x14ac:dyDescent="0.3">
      <c r="A1122" s="5">
        <v>44639</v>
      </c>
      <c r="B1122" s="6" t="s">
        <v>792</v>
      </c>
      <c r="C1122" s="7" t="s">
        <v>467</v>
      </c>
      <c r="D1122" s="8">
        <v>1200</v>
      </c>
    </row>
    <row r="1123" spans="1:4" x14ac:dyDescent="0.3">
      <c r="A1123" s="5">
        <v>44639</v>
      </c>
      <c r="B1123" s="6" t="s">
        <v>24</v>
      </c>
      <c r="C1123" s="44" t="s">
        <v>468</v>
      </c>
      <c r="D1123" s="8">
        <v>2994.97</v>
      </c>
    </row>
    <row r="1124" spans="1:4" x14ac:dyDescent="0.3">
      <c r="A1124" s="5">
        <v>44640</v>
      </c>
      <c r="B1124" s="6" t="s">
        <v>721</v>
      </c>
      <c r="C1124" s="44" t="s">
        <v>469</v>
      </c>
      <c r="D1124" s="8">
        <v>26912.99</v>
      </c>
    </row>
    <row r="1125" spans="1:4" x14ac:dyDescent="0.3">
      <c r="A1125" s="5">
        <v>44640</v>
      </c>
      <c r="B1125" s="6" t="s">
        <v>721</v>
      </c>
      <c r="C1125" s="44" t="s">
        <v>470</v>
      </c>
      <c r="D1125" s="8">
        <v>5495.05</v>
      </c>
    </row>
    <row r="1126" spans="1:4" x14ac:dyDescent="0.3">
      <c r="A1126" s="5">
        <v>44643</v>
      </c>
      <c r="B1126" s="6" t="s">
        <v>790</v>
      </c>
      <c r="C1126" s="44" t="s">
        <v>471</v>
      </c>
      <c r="D1126" s="8">
        <v>29177</v>
      </c>
    </row>
    <row r="1127" spans="1:4" x14ac:dyDescent="0.3">
      <c r="A1127" s="5">
        <v>44650</v>
      </c>
      <c r="B1127" s="6" t="s">
        <v>783</v>
      </c>
      <c r="C1127" s="44" t="s">
        <v>472</v>
      </c>
      <c r="D1127" s="8">
        <v>208.8</v>
      </c>
    </row>
    <row r="1128" spans="1:4" x14ac:dyDescent="0.3">
      <c r="A1128" s="5">
        <v>44650</v>
      </c>
      <c r="B1128" s="6" t="s">
        <v>783</v>
      </c>
      <c r="C1128" s="44" t="s">
        <v>473</v>
      </c>
      <c r="D1128" s="8">
        <v>44.82</v>
      </c>
    </row>
    <row r="1129" spans="1:4" x14ac:dyDescent="0.3">
      <c r="A1129" s="5">
        <v>44653</v>
      </c>
      <c r="B1129" s="6" t="s">
        <v>796</v>
      </c>
      <c r="C1129" s="44" t="s">
        <v>474</v>
      </c>
      <c r="D1129" s="8">
        <v>4800</v>
      </c>
    </row>
    <row r="1130" spans="1:4" x14ac:dyDescent="0.3">
      <c r="A1130" s="5">
        <v>44653</v>
      </c>
      <c r="B1130" s="6" t="s">
        <v>792</v>
      </c>
      <c r="C1130" s="44" t="s">
        <v>475</v>
      </c>
      <c r="D1130" s="8">
        <v>2400</v>
      </c>
    </row>
    <row r="1131" spans="1:4" x14ac:dyDescent="0.3">
      <c r="A1131" s="5">
        <v>44653</v>
      </c>
      <c r="B1131" s="6" t="s">
        <v>801</v>
      </c>
      <c r="C1131" s="44" t="s">
        <v>476</v>
      </c>
      <c r="D1131" s="8">
        <v>399</v>
      </c>
    </row>
    <row r="1132" spans="1:4" x14ac:dyDescent="0.3">
      <c r="A1132" s="5">
        <v>44655</v>
      </c>
      <c r="B1132" s="6" t="s">
        <v>783</v>
      </c>
      <c r="C1132" s="44" t="s">
        <v>477</v>
      </c>
      <c r="D1132" s="8">
        <v>287.68</v>
      </c>
    </row>
    <row r="1133" spans="1:4" x14ac:dyDescent="0.3">
      <c r="A1133" s="5">
        <v>44655</v>
      </c>
      <c r="B1133" s="6" t="s">
        <v>783</v>
      </c>
      <c r="C1133" s="44" t="s">
        <v>477</v>
      </c>
      <c r="D1133" s="8">
        <v>118.32</v>
      </c>
    </row>
    <row r="1134" spans="1:4" x14ac:dyDescent="0.3">
      <c r="A1134" s="5">
        <v>44657</v>
      </c>
      <c r="B1134" s="6" t="s">
        <v>799</v>
      </c>
      <c r="C1134" s="44" t="s">
        <v>177</v>
      </c>
      <c r="D1134" s="8">
        <v>250</v>
      </c>
    </row>
    <row r="1135" spans="1:4" x14ac:dyDescent="0.3">
      <c r="A1135" s="5">
        <v>44657</v>
      </c>
      <c r="B1135" s="6" t="s">
        <v>797</v>
      </c>
      <c r="C1135" s="44" t="s">
        <v>178</v>
      </c>
      <c r="D1135" s="8">
        <v>45</v>
      </c>
    </row>
    <row r="1136" spans="1:4" x14ac:dyDescent="0.3">
      <c r="A1136" s="5">
        <v>44657</v>
      </c>
      <c r="B1136" s="6" t="s">
        <v>795</v>
      </c>
      <c r="C1136" s="7" t="s">
        <v>179</v>
      </c>
      <c r="D1136" s="8">
        <v>47.2</v>
      </c>
    </row>
    <row r="1137" spans="1:4" x14ac:dyDescent="0.3">
      <c r="A1137" s="5">
        <v>44659</v>
      </c>
      <c r="B1137" s="6" t="s">
        <v>792</v>
      </c>
      <c r="C1137" s="7" t="s">
        <v>478</v>
      </c>
      <c r="D1137" s="8">
        <v>1200</v>
      </c>
    </row>
    <row r="1138" spans="1:4" x14ac:dyDescent="0.3">
      <c r="A1138" s="5">
        <v>44659</v>
      </c>
      <c r="B1138" s="6" t="s">
        <v>793</v>
      </c>
      <c r="C1138" s="7" t="s">
        <v>479</v>
      </c>
      <c r="D1138" s="8">
        <v>4640</v>
      </c>
    </row>
    <row r="1139" spans="1:4" x14ac:dyDescent="0.3">
      <c r="A1139" s="5">
        <v>44671</v>
      </c>
      <c r="B1139" s="6" t="s">
        <v>792</v>
      </c>
      <c r="C1139" s="44" t="s">
        <v>480</v>
      </c>
      <c r="D1139" s="8">
        <v>1000</v>
      </c>
    </row>
    <row r="1140" spans="1:4" x14ac:dyDescent="0.3">
      <c r="A1140" s="5">
        <v>44673</v>
      </c>
      <c r="B1140" s="6" t="s">
        <v>792</v>
      </c>
      <c r="C1140" s="44" t="s">
        <v>481</v>
      </c>
      <c r="D1140" s="8">
        <v>1200</v>
      </c>
    </row>
    <row r="1141" spans="1:4" x14ac:dyDescent="0.3">
      <c r="A1141" s="5">
        <v>44673</v>
      </c>
      <c r="B1141" s="6" t="s">
        <v>790</v>
      </c>
      <c r="C1141" s="44" t="s">
        <v>482</v>
      </c>
      <c r="D1141" s="8">
        <v>27961</v>
      </c>
    </row>
    <row r="1142" spans="1:4" x14ac:dyDescent="0.3">
      <c r="A1142" s="5">
        <v>44683</v>
      </c>
      <c r="B1142" s="6" t="s">
        <v>783</v>
      </c>
      <c r="C1142" s="53" t="s">
        <v>473</v>
      </c>
      <c r="D1142" s="8">
        <v>22.41</v>
      </c>
    </row>
    <row r="1143" spans="1:4" x14ac:dyDescent="0.3">
      <c r="A1143" s="5">
        <v>44685</v>
      </c>
      <c r="B1143" s="6" t="s">
        <v>792</v>
      </c>
      <c r="C1143" s="44" t="s">
        <v>483</v>
      </c>
      <c r="D1143" s="8">
        <v>1200</v>
      </c>
    </row>
    <row r="1144" spans="1:4" x14ac:dyDescent="0.3">
      <c r="A1144" s="5">
        <v>44685</v>
      </c>
      <c r="B1144" s="6" t="s">
        <v>791</v>
      </c>
      <c r="C1144" s="7" t="s">
        <v>484</v>
      </c>
      <c r="D1144" s="8">
        <v>4263</v>
      </c>
    </row>
    <row r="1145" spans="1:4" x14ac:dyDescent="0.3">
      <c r="A1145" s="5">
        <v>44686</v>
      </c>
      <c r="B1145" s="6" t="s">
        <v>799</v>
      </c>
      <c r="C1145" s="7" t="s">
        <v>177</v>
      </c>
      <c r="D1145" s="8">
        <v>250</v>
      </c>
    </row>
    <row r="1146" spans="1:4" x14ac:dyDescent="0.3">
      <c r="A1146" s="5">
        <v>44686</v>
      </c>
      <c r="B1146" s="6" t="s">
        <v>797</v>
      </c>
      <c r="C1146" s="7" t="s">
        <v>178</v>
      </c>
      <c r="D1146" s="8">
        <v>35</v>
      </c>
    </row>
    <row r="1147" spans="1:4" x14ac:dyDescent="0.3">
      <c r="A1147" s="5">
        <v>44686</v>
      </c>
      <c r="B1147" s="6" t="s">
        <v>795</v>
      </c>
      <c r="C1147" s="7" t="s">
        <v>179</v>
      </c>
      <c r="D1147" s="8">
        <v>45.6</v>
      </c>
    </row>
    <row r="1148" spans="1:4" x14ac:dyDescent="0.3">
      <c r="A1148" s="5">
        <v>44687</v>
      </c>
      <c r="B1148" s="6" t="s">
        <v>792</v>
      </c>
      <c r="C1148" s="7" t="s">
        <v>485</v>
      </c>
      <c r="D1148" s="8">
        <v>1000</v>
      </c>
    </row>
    <row r="1149" spans="1:4" x14ac:dyDescent="0.3">
      <c r="A1149" s="5">
        <v>44687</v>
      </c>
      <c r="B1149" s="6" t="s">
        <v>796</v>
      </c>
      <c r="C1149" s="7" t="s">
        <v>486</v>
      </c>
      <c r="D1149" s="8">
        <v>4800</v>
      </c>
    </row>
    <row r="1150" spans="1:4" x14ac:dyDescent="0.3">
      <c r="A1150" s="5">
        <v>44687</v>
      </c>
      <c r="B1150" s="6" t="s">
        <v>801</v>
      </c>
      <c r="C1150" s="44" t="s">
        <v>487</v>
      </c>
      <c r="D1150" s="8">
        <v>399</v>
      </c>
    </row>
    <row r="1151" spans="1:4" x14ac:dyDescent="0.3">
      <c r="A1151" s="5">
        <v>44693</v>
      </c>
      <c r="B1151" s="6" t="s">
        <v>783</v>
      </c>
      <c r="C1151" s="7" t="s">
        <v>473</v>
      </c>
      <c r="D1151" s="8">
        <v>22.41</v>
      </c>
    </row>
    <row r="1152" spans="1:4" x14ac:dyDescent="0.3">
      <c r="A1152" s="5">
        <v>44694</v>
      </c>
      <c r="B1152" s="6" t="s">
        <v>792</v>
      </c>
      <c r="C1152" s="44" t="s">
        <v>488</v>
      </c>
      <c r="D1152" s="8">
        <v>1200</v>
      </c>
    </row>
    <row r="1153" spans="1:4" x14ac:dyDescent="0.3">
      <c r="A1153" s="5">
        <v>44694</v>
      </c>
      <c r="B1153" s="6" t="s">
        <v>793</v>
      </c>
      <c r="C1153" s="44" t="s">
        <v>489</v>
      </c>
      <c r="D1153" s="8">
        <v>4640</v>
      </c>
    </row>
    <row r="1154" spans="1:4" x14ac:dyDescent="0.3">
      <c r="A1154" s="5">
        <v>44701</v>
      </c>
      <c r="B1154" s="6" t="s">
        <v>792</v>
      </c>
      <c r="C1154" s="44" t="s">
        <v>490</v>
      </c>
      <c r="D1154" s="8">
        <v>1200</v>
      </c>
    </row>
    <row r="1155" spans="1:4" x14ac:dyDescent="0.3">
      <c r="A1155" s="5">
        <v>44708</v>
      </c>
      <c r="B1155" s="6" t="s">
        <v>792</v>
      </c>
      <c r="C1155" s="7" t="s">
        <v>491</v>
      </c>
      <c r="D1155" s="8">
        <v>1200</v>
      </c>
    </row>
    <row r="1156" spans="1:4" x14ac:dyDescent="0.3">
      <c r="A1156" s="5">
        <v>44712</v>
      </c>
      <c r="B1156" s="6" t="s">
        <v>783</v>
      </c>
      <c r="C1156" s="7" t="s">
        <v>473</v>
      </c>
      <c r="D1156" s="8">
        <v>67.23</v>
      </c>
    </row>
    <row r="1157" spans="1:4" x14ac:dyDescent="0.3">
      <c r="A1157" s="5">
        <v>44712</v>
      </c>
      <c r="B1157" s="6" t="s">
        <v>796</v>
      </c>
      <c r="C1157" s="7" t="s">
        <v>492</v>
      </c>
      <c r="D1157" s="8">
        <v>4800</v>
      </c>
    </row>
    <row r="1158" spans="1:4" x14ac:dyDescent="0.3">
      <c r="A1158" s="5">
        <v>44715</v>
      </c>
      <c r="B1158" s="6" t="s">
        <v>792</v>
      </c>
      <c r="C1158" s="7" t="s">
        <v>493</v>
      </c>
      <c r="D1158" s="8">
        <v>1200</v>
      </c>
    </row>
    <row r="1159" spans="1:4" x14ac:dyDescent="0.3">
      <c r="A1159" s="5">
        <v>44718</v>
      </c>
      <c r="B1159" s="6" t="s">
        <v>799</v>
      </c>
      <c r="C1159" s="7" t="s">
        <v>177</v>
      </c>
      <c r="D1159" s="8">
        <v>250</v>
      </c>
    </row>
    <row r="1160" spans="1:4" x14ac:dyDescent="0.3">
      <c r="A1160" s="5">
        <v>44718</v>
      </c>
      <c r="B1160" s="6" t="s">
        <v>797</v>
      </c>
      <c r="C1160" s="7" t="s">
        <v>178</v>
      </c>
      <c r="D1160" s="8">
        <v>30</v>
      </c>
    </row>
    <row r="1161" spans="1:4" x14ac:dyDescent="0.3">
      <c r="A1161" s="5">
        <v>44718</v>
      </c>
      <c r="B1161" s="6" t="s">
        <v>795</v>
      </c>
      <c r="C1161" s="7" t="s">
        <v>179</v>
      </c>
      <c r="D1161" s="8">
        <v>44.8</v>
      </c>
    </row>
    <row r="1162" spans="1:4" x14ac:dyDescent="0.3">
      <c r="A1162" s="5">
        <v>44720</v>
      </c>
      <c r="B1162" s="6" t="s">
        <v>801</v>
      </c>
      <c r="C1162" s="7" t="s">
        <v>494</v>
      </c>
      <c r="D1162" s="8">
        <v>399</v>
      </c>
    </row>
    <row r="1163" spans="1:4" x14ac:dyDescent="0.3">
      <c r="A1163" s="5">
        <v>44722</v>
      </c>
      <c r="B1163" s="6" t="s">
        <v>792</v>
      </c>
      <c r="C1163" s="7" t="s">
        <v>495</v>
      </c>
      <c r="D1163" s="8">
        <v>900</v>
      </c>
    </row>
    <row r="1164" spans="1:4" x14ac:dyDescent="0.3">
      <c r="A1164" s="5">
        <v>44734</v>
      </c>
      <c r="B1164" s="6" t="s">
        <v>783</v>
      </c>
      <c r="C1164" s="7" t="s">
        <v>473</v>
      </c>
      <c r="D1164" s="8">
        <v>67.23</v>
      </c>
    </row>
    <row r="1165" spans="1:4" x14ac:dyDescent="0.3">
      <c r="A1165" s="5">
        <v>44734</v>
      </c>
      <c r="B1165" s="6" t="s">
        <v>790</v>
      </c>
      <c r="C1165" s="7" t="s">
        <v>496</v>
      </c>
      <c r="D1165" s="8">
        <v>60000</v>
      </c>
    </row>
    <row r="1166" spans="1:4" x14ac:dyDescent="0.3">
      <c r="A1166" s="5">
        <v>44737</v>
      </c>
      <c r="B1166" s="6" t="s">
        <v>792</v>
      </c>
      <c r="C1166" s="7" t="s">
        <v>497</v>
      </c>
      <c r="D1166" s="8">
        <v>1200</v>
      </c>
    </row>
    <row r="1167" spans="1:4" x14ac:dyDescent="0.3">
      <c r="A1167" s="5">
        <v>44737</v>
      </c>
      <c r="B1167" s="6" t="s">
        <v>792</v>
      </c>
      <c r="C1167" s="7" t="s">
        <v>498</v>
      </c>
      <c r="D1167" s="8">
        <v>1200</v>
      </c>
    </row>
    <row r="1168" spans="1:4" x14ac:dyDescent="0.3">
      <c r="A1168" s="5">
        <v>44741</v>
      </c>
      <c r="B1168" s="6" t="s">
        <v>790</v>
      </c>
      <c r="C1168" s="7" t="s">
        <v>499</v>
      </c>
      <c r="D1168" s="8">
        <v>6973</v>
      </c>
    </row>
    <row r="1169" spans="1:4" x14ac:dyDescent="0.3">
      <c r="A1169" s="5">
        <v>44743</v>
      </c>
      <c r="B1169" s="6" t="s">
        <v>792</v>
      </c>
      <c r="C1169" s="7" t="s">
        <v>500</v>
      </c>
      <c r="D1169" s="8">
        <v>1200</v>
      </c>
    </row>
    <row r="1170" spans="1:4" x14ac:dyDescent="0.3">
      <c r="A1170" s="5">
        <v>44743</v>
      </c>
      <c r="B1170" s="6" t="s">
        <v>793</v>
      </c>
      <c r="C1170" s="7" t="s">
        <v>501</v>
      </c>
      <c r="D1170" s="8">
        <v>4640</v>
      </c>
    </row>
    <row r="1171" spans="1:4" x14ac:dyDescent="0.3">
      <c r="A1171" s="5">
        <v>44743</v>
      </c>
      <c r="B1171" s="6" t="s">
        <v>791</v>
      </c>
      <c r="C1171" s="7" t="s">
        <v>502</v>
      </c>
      <c r="D1171" s="8">
        <v>8606</v>
      </c>
    </row>
    <row r="1172" spans="1:4" x14ac:dyDescent="0.3">
      <c r="A1172" s="5">
        <v>44750</v>
      </c>
      <c r="B1172" s="6" t="s">
        <v>792</v>
      </c>
      <c r="C1172" s="7" t="s">
        <v>503</v>
      </c>
      <c r="D1172" s="8">
        <v>1200</v>
      </c>
    </row>
    <row r="1173" spans="1:4" x14ac:dyDescent="0.3">
      <c r="A1173" s="5">
        <v>44755</v>
      </c>
      <c r="B1173" s="6" t="s">
        <v>799</v>
      </c>
      <c r="C1173" s="7" t="s">
        <v>177</v>
      </c>
      <c r="D1173" s="8">
        <v>250</v>
      </c>
    </row>
    <row r="1174" spans="1:4" x14ac:dyDescent="0.3">
      <c r="A1174" s="5">
        <v>44755</v>
      </c>
      <c r="B1174" s="6" t="s">
        <v>797</v>
      </c>
      <c r="C1174" s="7" t="s">
        <v>178</v>
      </c>
      <c r="D1174" s="8">
        <v>30</v>
      </c>
    </row>
    <row r="1175" spans="1:4" x14ac:dyDescent="0.3">
      <c r="A1175" s="5">
        <v>44755</v>
      </c>
      <c r="B1175" s="6" t="s">
        <v>795</v>
      </c>
      <c r="C1175" s="7" t="s">
        <v>179</v>
      </c>
      <c r="D1175" s="8">
        <v>44.8</v>
      </c>
    </row>
    <row r="1176" spans="1:4" x14ac:dyDescent="0.3">
      <c r="A1176" s="5">
        <v>44757</v>
      </c>
      <c r="B1176" s="6" t="s">
        <v>782</v>
      </c>
      <c r="C1176" s="7" t="s">
        <v>504</v>
      </c>
      <c r="D1176" s="8">
        <v>2552</v>
      </c>
    </row>
    <row r="1177" spans="1:4" x14ac:dyDescent="0.3">
      <c r="A1177" s="5">
        <v>44757</v>
      </c>
      <c r="B1177" s="6" t="s">
        <v>792</v>
      </c>
      <c r="C1177" s="7" t="s">
        <v>505</v>
      </c>
      <c r="D1177" s="8">
        <v>1200</v>
      </c>
    </row>
    <row r="1178" spans="1:4" x14ac:dyDescent="0.3">
      <c r="A1178" s="5">
        <v>44757</v>
      </c>
      <c r="B1178" s="6" t="s">
        <v>796</v>
      </c>
      <c r="C1178" s="7" t="s">
        <v>506</v>
      </c>
      <c r="D1178" s="8">
        <v>4800</v>
      </c>
    </row>
    <row r="1179" spans="1:4" x14ac:dyDescent="0.3">
      <c r="A1179" s="5">
        <v>44764</v>
      </c>
      <c r="B1179" s="6" t="s">
        <v>792</v>
      </c>
      <c r="C1179" s="7" t="s">
        <v>507</v>
      </c>
      <c r="D1179" s="8">
        <v>1200</v>
      </c>
    </row>
    <row r="1180" spans="1:4" x14ac:dyDescent="0.3">
      <c r="A1180" s="5">
        <v>44771</v>
      </c>
      <c r="B1180" s="6" t="s">
        <v>792</v>
      </c>
      <c r="C1180" s="7" t="s">
        <v>508</v>
      </c>
      <c r="D1180" s="8">
        <v>900</v>
      </c>
    </row>
    <row r="1181" spans="1:4" x14ac:dyDescent="0.3">
      <c r="A1181" s="5">
        <v>44774</v>
      </c>
      <c r="B1181" s="6" t="s">
        <v>756</v>
      </c>
      <c r="C1181" s="44" t="s">
        <v>509</v>
      </c>
      <c r="D1181" s="8">
        <v>31915</v>
      </c>
    </row>
    <row r="1182" spans="1:4" x14ac:dyDescent="0.3">
      <c r="A1182" s="5">
        <v>44777</v>
      </c>
      <c r="B1182" s="6" t="s">
        <v>799</v>
      </c>
      <c r="C1182" s="44" t="s">
        <v>177</v>
      </c>
      <c r="D1182" s="8">
        <v>250</v>
      </c>
    </row>
    <row r="1183" spans="1:4" x14ac:dyDescent="0.3">
      <c r="A1183" s="5">
        <v>44777</v>
      </c>
      <c r="B1183" s="6" t="s">
        <v>797</v>
      </c>
      <c r="C1183" s="44" t="s">
        <v>178</v>
      </c>
      <c r="D1183" s="8">
        <v>35</v>
      </c>
    </row>
    <row r="1184" spans="1:4" x14ac:dyDescent="0.3">
      <c r="A1184" s="5">
        <v>44777</v>
      </c>
      <c r="B1184" s="6" t="s">
        <v>795</v>
      </c>
      <c r="C1184" s="44" t="s">
        <v>179</v>
      </c>
      <c r="D1184" s="8">
        <v>45.6</v>
      </c>
    </row>
    <row r="1185" spans="1:4" x14ac:dyDescent="0.3">
      <c r="A1185" s="5">
        <v>44784</v>
      </c>
      <c r="B1185" s="6" t="s">
        <v>793</v>
      </c>
      <c r="C1185" s="44" t="s">
        <v>510</v>
      </c>
      <c r="D1185" s="8">
        <v>4640</v>
      </c>
    </row>
    <row r="1186" spans="1:4" x14ac:dyDescent="0.3">
      <c r="A1186" s="5">
        <v>44784</v>
      </c>
      <c r="B1186" s="6" t="s">
        <v>801</v>
      </c>
      <c r="C1186" s="44" t="s">
        <v>511</v>
      </c>
      <c r="D1186" s="8">
        <v>798</v>
      </c>
    </row>
    <row r="1187" spans="1:4" x14ac:dyDescent="0.3">
      <c r="A1187" s="5">
        <v>44784</v>
      </c>
      <c r="B1187" s="6" t="s">
        <v>792</v>
      </c>
      <c r="C1187" s="44" t="s">
        <v>512</v>
      </c>
      <c r="D1187" s="8">
        <v>1200</v>
      </c>
    </row>
    <row r="1188" spans="1:4" x14ac:dyDescent="0.3">
      <c r="A1188" s="5">
        <v>44785</v>
      </c>
      <c r="B1188" s="6" t="s">
        <v>792</v>
      </c>
      <c r="C1188" s="44" t="s">
        <v>513</v>
      </c>
      <c r="D1188" s="8">
        <v>1000</v>
      </c>
    </row>
    <row r="1189" spans="1:4" x14ac:dyDescent="0.3">
      <c r="A1189" s="5">
        <v>44788</v>
      </c>
      <c r="B1189" s="6" t="s">
        <v>790</v>
      </c>
      <c r="C1189" s="44" t="s">
        <v>514</v>
      </c>
      <c r="D1189" s="8">
        <v>31915</v>
      </c>
    </row>
    <row r="1190" spans="1:4" x14ac:dyDescent="0.3">
      <c r="A1190" s="5">
        <v>44791</v>
      </c>
      <c r="B1190" s="6" t="s">
        <v>783</v>
      </c>
      <c r="C1190" s="44" t="s">
        <v>473</v>
      </c>
      <c r="D1190" s="8">
        <v>44.82</v>
      </c>
    </row>
    <row r="1191" spans="1:4" x14ac:dyDescent="0.3">
      <c r="A1191" s="5">
        <v>44791</v>
      </c>
      <c r="B1191" s="6" t="s">
        <v>796</v>
      </c>
      <c r="C1191" s="44" t="s">
        <v>515</v>
      </c>
      <c r="D1191" s="8">
        <v>4800</v>
      </c>
    </row>
    <row r="1192" spans="1:4" x14ac:dyDescent="0.3">
      <c r="A1192" s="5">
        <v>44791</v>
      </c>
      <c r="B1192" s="6" t="s">
        <v>779</v>
      </c>
      <c r="C1192" s="44" t="s">
        <v>516</v>
      </c>
      <c r="D1192" s="8">
        <v>567.70000000000005</v>
      </c>
    </row>
    <row r="1193" spans="1:4" x14ac:dyDescent="0.3">
      <c r="A1193" s="5">
        <v>44791</v>
      </c>
      <c r="B1193" s="6" t="s">
        <v>779</v>
      </c>
      <c r="C1193" s="44" t="s">
        <v>517</v>
      </c>
      <c r="D1193" s="8">
        <v>850</v>
      </c>
    </row>
    <row r="1194" spans="1:4" x14ac:dyDescent="0.3">
      <c r="A1194" s="5">
        <v>44792</v>
      </c>
      <c r="B1194" s="6" t="s">
        <v>792</v>
      </c>
      <c r="C1194" s="44" t="s">
        <v>518</v>
      </c>
      <c r="D1194" s="8">
        <v>1200</v>
      </c>
    </row>
    <row r="1195" spans="1:4" x14ac:dyDescent="0.3">
      <c r="A1195" s="5">
        <v>44792</v>
      </c>
      <c r="B1195" s="6" t="s">
        <v>779</v>
      </c>
      <c r="C1195" s="44" t="s">
        <v>519</v>
      </c>
      <c r="D1195" s="8">
        <v>499.17</v>
      </c>
    </row>
    <row r="1196" spans="1:4" x14ac:dyDescent="0.3">
      <c r="A1196" s="5">
        <v>44799</v>
      </c>
      <c r="B1196" s="6" t="s">
        <v>783</v>
      </c>
      <c r="C1196" s="44" t="s">
        <v>473</v>
      </c>
      <c r="D1196" s="8">
        <v>67.23</v>
      </c>
    </row>
    <row r="1197" spans="1:4" x14ac:dyDescent="0.3">
      <c r="A1197" s="5">
        <v>44804</v>
      </c>
      <c r="B1197" s="6" t="s">
        <v>783</v>
      </c>
      <c r="C1197" s="44" t="s">
        <v>473</v>
      </c>
      <c r="D1197" s="8">
        <v>22.41</v>
      </c>
    </row>
    <row r="1198" spans="1:4" x14ac:dyDescent="0.3">
      <c r="A1198" s="5">
        <v>44804</v>
      </c>
      <c r="B1198" s="6" t="s">
        <v>790</v>
      </c>
      <c r="C1198" s="44" t="s">
        <v>520</v>
      </c>
      <c r="D1198" s="8">
        <v>26945</v>
      </c>
    </row>
    <row r="1199" spans="1:4" x14ac:dyDescent="0.3">
      <c r="A1199" s="5">
        <v>44806</v>
      </c>
      <c r="B1199" s="6" t="s">
        <v>792</v>
      </c>
      <c r="C1199" s="7" t="s">
        <v>521</v>
      </c>
      <c r="D1199" s="8">
        <v>2400</v>
      </c>
    </row>
    <row r="1200" spans="1:4" x14ac:dyDescent="0.3">
      <c r="A1200" s="5">
        <v>44806</v>
      </c>
      <c r="B1200" s="6" t="s">
        <v>791</v>
      </c>
      <c r="C1200" s="7" t="s">
        <v>522</v>
      </c>
      <c r="D1200" s="8">
        <v>5154</v>
      </c>
    </row>
    <row r="1201" spans="1:4" x14ac:dyDescent="0.3">
      <c r="A1201" s="5">
        <v>44809</v>
      </c>
      <c r="B1201" s="6" t="s">
        <v>783</v>
      </c>
      <c r="C1201" s="7" t="s">
        <v>473</v>
      </c>
      <c r="D1201" s="8">
        <v>67.23</v>
      </c>
    </row>
    <row r="1202" spans="1:4" x14ac:dyDescent="0.3">
      <c r="A1202" s="5">
        <v>44810</v>
      </c>
      <c r="B1202" s="6" t="s">
        <v>799</v>
      </c>
      <c r="C1202" s="7" t="s">
        <v>177</v>
      </c>
      <c r="D1202" s="8">
        <v>250</v>
      </c>
    </row>
    <row r="1203" spans="1:4" x14ac:dyDescent="0.3">
      <c r="A1203" s="5">
        <v>44810</v>
      </c>
      <c r="B1203" s="6" t="s">
        <v>797</v>
      </c>
      <c r="C1203" s="53" t="s">
        <v>178</v>
      </c>
      <c r="D1203" s="8">
        <v>45</v>
      </c>
    </row>
    <row r="1204" spans="1:4" x14ac:dyDescent="0.3">
      <c r="A1204" s="5">
        <v>44810</v>
      </c>
      <c r="B1204" s="6" t="s">
        <v>795</v>
      </c>
      <c r="C1204" s="7" t="s">
        <v>179</v>
      </c>
      <c r="D1204" s="8">
        <v>47.2</v>
      </c>
    </row>
    <row r="1205" spans="1:4" x14ac:dyDescent="0.3">
      <c r="A1205" s="5">
        <v>44812</v>
      </c>
      <c r="B1205" s="6" t="s">
        <v>783</v>
      </c>
      <c r="C1205" s="7" t="s">
        <v>473</v>
      </c>
      <c r="D1205" s="8">
        <v>67.23</v>
      </c>
    </row>
    <row r="1206" spans="1:4" x14ac:dyDescent="0.3">
      <c r="A1206" s="5">
        <v>44814</v>
      </c>
      <c r="B1206" s="6" t="s">
        <v>793</v>
      </c>
      <c r="C1206" s="7" t="s">
        <v>523</v>
      </c>
      <c r="D1206" s="8">
        <v>4640</v>
      </c>
    </row>
    <row r="1207" spans="1:4" x14ac:dyDescent="0.3">
      <c r="A1207" s="5">
        <v>44814</v>
      </c>
      <c r="B1207" s="6" t="s">
        <v>763</v>
      </c>
      <c r="C1207" s="7" t="s">
        <v>524</v>
      </c>
      <c r="D1207" s="8">
        <v>1032.75</v>
      </c>
    </row>
    <row r="1208" spans="1:4" x14ac:dyDescent="0.3">
      <c r="A1208" s="5">
        <v>44814</v>
      </c>
      <c r="B1208" s="6" t="s">
        <v>801</v>
      </c>
      <c r="C1208" s="7" t="s">
        <v>525</v>
      </c>
      <c r="D1208" s="8">
        <v>399</v>
      </c>
    </row>
    <row r="1209" spans="1:4" x14ac:dyDescent="0.3">
      <c r="A1209" s="5">
        <v>44814</v>
      </c>
      <c r="B1209" s="6" t="s">
        <v>792</v>
      </c>
      <c r="C1209" s="7" t="s">
        <v>526</v>
      </c>
      <c r="D1209" s="8">
        <v>1200</v>
      </c>
    </row>
    <row r="1210" spans="1:4" x14ac:dyDescent="0.3">
      <c r="A1210" s="5">
        <v>44820</v>
      </c>
      <c r="B1210" s="6" t="s">
        <v>796</v>
      </c>
      <c r="C1210" s="7" t="s">
        <v>527</v>
      </c>
      <c r="D1210" s="8">
        <v>4988</v>
      </c>
    </row>
    <row r="1211" spans="1:4" x14ac:dyDescent="0.3">
      <c r="A1211" s="5">
        <v>44820</v>
      </c>
      <c r="B1211" s="6" t="s">
        <v>792</v>
      </c>
      <c r="C1211" s="7" t="s">
        <v>528</v>
      </c>
      <c r="D1211" s="8">
        <v>1000</v>
      </c>
    </row>
    <row r="1212" spans="1:4" x14ac:dyDescent="0.3">
      <c r="A1212" s="5">
        <v>44832</v>
      </c>
      <c r="B1212" s="6" t="s">
        <v>792</v>
      </c>
      <c r="C1212" s="7" t="s">
        <v>529</v>
      </c>
      <c r="D1212" s="8">
        <v>1200</v>
      </c>
    </row>
    <row r="1213" spans="1:4" x14ac:dyDescent="0.3">
      <c r="A1213" s="5">
        <v>44833</v>
      </c>
      <c r="B1213" s="6" t="s">
        <v>783</v>
      </c>
      <c r="C1213" s="7" t="s">
        <v>473</v>
      </c>
      <c r="D1213" s="8">
        <v>67.23</v>
      </c>
    </row>
    <row r="1214" spans="1:4" x14ac:dyDescent="0.3">
      <c r="A1214" s="5">
        <v>44837</v>
      </c>
      <c r="B1214" s="6" t="s">
        <v>792</v>
      </c>
      <c r="C1214" s="7" t="s">
        <v>530</v>
      </c>
      <c r="D1214" s="8">
        <v>1200</v>
      </c>
    </row>
    <row r="1215" spans="1:4" x14ac:dyDescent="0.3">
      <c r="A1215" s="5">
        <v>44839</v>
      </c>
      <c r="B1215" s="6" t="s">
        <v>790</v>
      </c>
      <c r="C1215" s="7" t="s">
        <v>531</v>
      </c>
      <c r="D1215" s="8">
        <v>22697</v>
      </c>
    </row>
    <row r="1216" spans="1:4" x14ac:dyDescent="0.3">
      <c r="A1216" s="5">
        <v>44840</v>
      </c>
      <c r="B1216" s="6" t="s">
        <v>799</v>
      </c>
      <c r="C1216" s="7" t="s">
        <v>177</v>
      </c>
      <c r="D1216" s="8">
        <v>250</v>
      </c>
    </row>
    <row r="1217" spans="1:4" x14ac:dyDescent="0.3">
      <c r="A1217" s="5">
        <v>44840</v>
      </c>
      <c r="B1217" s="6" t="s">
        <v>797</v>
      </c>
      <c r="C1217" s="7" t="s">
        <v>178</v>
      </c>
      <c r="D1217" s="8">
        <v>35</v>
      </c>
    </row>
    <row r="1218" spans="1:4" x14ac:dyDescent="0.3">
      <c r="A1218" s="5">
        <v>44840</v>
      </c>
      <c r="B1218" s="6" t="s">
        <v>795</v>
      </c>
      <c r="C1218" s="7" t="s">
        <v>179</v>
      </c>
      <c r="D1218" s="8">
        <v>45.6</v>
      </c>
    </row>
    <row r="1219" spans="1:4" x14ac:dyDescent="0.3">
      <c r="A1219" s="5">
        <v>44844</v>
      </c>
      <c r="B1219" s="6" t="s">
        <v>792</v>
      </c>
      <c r="C1219" s="7" t="s">
        <v>532</v>
      </c>
      <c r="D1219" s="8">
        <v>1200</v>
      </c>
    </row>
    <row r="1220" spans="1:4" x14ac:dyDescent="0.3">
      <c r="A1220" s="5">
        <v>44846</v>
      </c>
      <c r="B1220" s="6" t="s">
        <v>783</v>
      </c>
      <c r="C1220" s="7" t="s">
        <v>473</v>
      </c>
      <c r="D1220" s="8">
        <v>44.82</v>
      </c>
    </row>
    <row r="1221" spans="1:4" x14ac:dyDescent="0.3">
      <c r="A1221" s="5">
        <v>44847</v>
      </c>
      <c r="B1221" s="6" t="s">
        <v>783</v>
      </c>
      <c r="C1221" s="7" t="s">
        <v>533</v>
      </c>
      <c r="D1221" s="8">
        <v>351.48</v>
      </c>
    </row>
    <row r="1222" spans="1:4" x14ac:dyDescent="0.3">
      <c r="A1222" s="5">
        <v>44854</v>
      </c>
      <c r="B1222" s="6" t="s">
        <v>792</v>
      </c>
      <c r="C1222" s="7" t="s">
        <v>534</v>
      </c>
      <c r="D1222" s="8">
        <v>1200</v>
      </c>
    </row>
    <row r="1223" spans="1:4" x14ac:dyDescent="0.3">
      <c r="A1223" s="5">
        <v>44855</v>
      </c>
      <c r="B1223" s="6" t="s">
        <v>792</v>
      </c>
      <c r="C1223" s="7" t="s">
        <v>535</v>
      </c>
      <c r="D1223" s="8">
        <v>1200</v>
      </c>
    </row>
    <row r="1224" spans="1:4" x14ac:dyDescent="0.3">
      <c r="A1224" s="5">
        <v>44861</v>
      </c>
      <c r="B1224" s="6" t="s">
        <v>790</v>
      </c>
      <c r="C1224" s="7" t="s">
        <v>536</v>
      </c>
      <c r="D1224" s="8">
        <v>29513</v>
      </c>
    </row>
    <row r="1225" spans="1:4" x14ac:dyDescent="0.3">
      <c r="A1225" s="5">
        <v>44868</v>
      </c>
      <c r="B1225" s="6" t="s">
        <v>793</v>
      </c>
      <c r="C1225" s="7" t="s">
        <v>523</v>
      </c>
      <c r="D1225" s="8">
        <v>4640</v>
      </c>
    </row>
    <row r="1226" spans="1:4" x14ac:dyDescent="0.3">
      <c r="A1226" s="5">
        <v>44868</v>
      </c>
      <c r="B1226" s="6" t="s">
        <v>792</v>
      </c>
      <c r="C1226" s="7" t="s">
        <v>537</v>
      </c>
      <c r="D1226" s="8">
        <v>1200</v>
      </c>
    </row>
    <row r="1227" spans="1:4" x14ac:dyDescent="0.3">
      <c r="A1227" s="5">
        <v>44868</v>
      </c>
      <c r="B1227" s="6" t="s">
        <v>791</v>
      </c>
      <c r="C1227" s="7" t="s">
        <v>538</v>
      </c>
      <c r="D1227" s="8">
        <v>4634</v>
      </c>
    </row>
    <row r="1228" spans="1:4" x14ac:dyDescent="0.3">
      <c r="A1228" s="5">
        <v>44869</v>
      </c>
      <c r="B1228" s="6" t="s">
        <v>801</v>
      </c>
      <c r="C1228" s="7" t="s">
        <v>539</v>
      </c>
      <c r="D1228" s="8">
        <v>798</v>
      </c>
    </row>
    <row r="1229" spans="1:4" x14ac:dyDescent="0.3">
      <c r="A1229" s="5">
        <v>44869</v>
      </c>
      <c r="B1229" s="6" t="s">
        <v>793</v>
      </c>
      <c r="C1229" s="7" t="s">
        <v>540</v>
      </c>
      <c r="D1229" s="8">
        <v>4640</v>
      </c>
    </row>
    <row r="1230" spans="1:4" x14ac:dyDescent="0.3">
      <c r="A1230" s="5">
        <v>44872</v>
      </c>
      <c r="B1230" s="6" t="s">
        <v>799</v>
      </c>
      <c r="C1230" s="7" t="s">
        <v>177</v>
      </c>
      <c r="D1230" s="8">
        <v>250</v>
      </c>
    </row>
    <row r="1231" spans="1:4" x14ac:dyDescent="0.3">
      <c r="A1231" s="5">
        <v>44872</v>
      </c>
      <c r="B1231" s="6" t="s">
        <v>797</v>
      </c>
      <c r="C1231" s="7" t="s">
        <v>178</v>
      </c>
      <c r="D1231" s="8">
        <v>35</v>
      </c>
    </row>
    <row r="1232" spans="1:4" x14ac:dyDescent="0.3">
      <c r="A1232" s="5">
        <v>44872</v>
      </c>
      <c r="B1232" s="6" t="s">
        <v>795</v>
      </c>
      <c r="C1232" s="7" t="s">
        <v>179</v>
      </c>
      <c r="D1232" s="8">
        <v>45.6</v>
      </c>
    </row>
    <row r="1233" spans="1:8" x14ac:dyDescent="0.3">
      <c r="A1233" s="5">
        <v>44874</v>
      </c>
      <c r="B1233" s="6" t="s">
        <v>792</v>
      </c>
      <c r="C1233" s="7" t="s">
        <v>541</v>
      </c>
      <c r="D1233" s="8">
        <v>1200</v>
      </c>
    </row>
    <row r="1234" spans="1:8" x14ac:dyDescent="0.3">
      <c r="A1234" s="5">
        <v>44877</v>
      </c>
      <c r="B1234" s="6" t="s">
        <v>792</v>
      </c>
      <c r="C1234" s="7" t="s">
        <v>542</v>
      </c>
      <c r="D1234" s="8">
        <v>1200</v>
      </c>
    </row>
    <row r="1235" spans="1:8" x14ac:dyDescent="0.3">
      <c r="A1235" s="5">
        <v>44896</v>
      </c>
      <c r="B1235" s="6" t="s">
        <v>790</v>
      </c>
      <c r="C1235" s="7" t="s">
        <v>543</v>
      </c>
      <c r="D1235" s="8">
        <v>23000</v>
      </c>
      <c r="E1235" s="52" t="s">
        <v>577</v>
      </c>
      <c r="F1235" s="10" t="s">
        <v>579</v>
      </c>
      <c r="G1235" s="95">
        <f>SUM(D1235,D1237,D1238,D1239,D1240,D1242,D1243,D1247,D1248)</f>
        <v>37306.199999999997</v>
      </c>
    </row>
    <row r="1236" spans="1:8" x14ac:dyDescent="0.3">
      <c r="A1236" s="5">
        <v>44896</v>
      </c>
      <c r="B1236" s="6" t="s">
        <v>792</v>
      </c>
      <c r="C1236" s="7" t="s">
        <v>544</v>
      </c>
      <c r="D1236" s="8">
        <v>1200</v>
      </c>
      <c r="E1236" s="52" t="s">
        <v>578</v>
      </c>
    </row>
    <row r="1237" spans="1:8" x14ac:dyDescent="0.3">
      <c r="A1237" s="5">
        <v>44897</v>
      </c>
      <c r="B1237" s="6" t="s">
        <v>790</v>
      </c>
      <c r="C1237" s="7" t="s">
        <v>545</v>
      </c>
      <c r="D1237" s="8">
        <v>3502</v>
      </c>
      <c r="E1237" s="52" t="s">
        <v>577</v>
      </c>
      <c r="F1237" s="10" t="s">
        <v>784</v>
      </c>
      <c r="G1237" s="95">
        <f>D1236+D1241+D1244+D1245+D1246</f>
        <v>9600</v>
      </c>
    </row>
    <row r="1238" spans="1:8" x14ac:dyDescent="0.3">
      <c r="A1238" s="5">
        <v>44901</v>
      </c>
      <c r="B1238" s="6" t="s">
        <v>799</v>
      </c>
      <c r="C1238" s="7" t="s">
        <v>177</v>
      </c>
      <c r="D1238" s="8">
        <v>250</v>
      </c>
      <c r="E1238" s="52" t="s">
        <v>577</v>
      </c>
    </row>
    <row r="1239" spans="1:8" x14ac:dyDescent="0.3">
      <c r="A1239" s="5">
        <v>44901</v>
      </c>
      <c r="B1239" s="6" t="s">
        <v>797</v>
      </c>
      <c r="C1239" s="7" t="s">
        <v>178</v>
      </c>
      <c r="D1239" s="8">
        <v>35</v>
      </c>
      <c r="E1239" s="52" t="s">
        <v>577</v>
      </c>
      <c r="F1239" s="10" t="s">
        <v>580</v>
      </c>
      <c r="G1239" s="95">
        <f>G1235+G1237</f>
        <v>46906.2</v>
      </c>
    </row>
    <row r="1240" spans="1:8" x14ac:dyDescent="0.3">
      <c r="A1240" s="5">
        <v>44901</v>
      </c>
      <c r="B1240" s="6" t="s">
        <v>795</v>
      </c>
      <c r="C1240" s="7" t="s">
        <v>179</v>
      </c>
      <c r="D1240" s="8">
        <v>45.6</v>
      </c>
      <c r="E1240" s="52" t="s">
        <v>577</v>
      </c>
    </row>
    <row r="1241" spans="1:8" x14ac:dyDescent="0.3">
      <c r="A1241" s="5">
        <v>44903</v>
      </c>
      <c r="B1241" s="6" t="s">
        <v>792</v>
      </c>
      <c r="C1241" s="7" t="s">
        <v>546</v>
      </c>
      <c r="D1241" s="8">
        <v>2400</v>
      </c>
      <c r="E1241" s="52" t="s">
        <v>578</v>
      </c>
    </row>
    <row r="1242" spans="1:8" x14ac:dyDescent="0.3">
      <c r="A1242" s="5">
        <v>44903</v>
      </c>
      <c r="B1242" s="6" t="s">
        <v>763</v>
      </c>
      <c r="C1242" s="7" t="s">
        <v>547</v>
      </c>
      <c r="D1242" s="8">
        <v>2273.6</v>
      </c>
      <c r="E1242" s="52" t="s">
        <v>577</v>
      </c>
    </row>
    <row r="1243" spans="1:8" x14ac:dyDescent="0.3">
      <c r="A1243" s="5">
        <v>44908</v>
      </c>
      <c r="B1243" s="6" t="s">
        <v>796</v>
      </c>
      <c r="C1243" s="7" t="s">
        <v>548</v>
      </c>
      <c r="D1243" s="8">
        <v>5800</v>
      </c>
      <c r="E1243" s="52" t="s">
        <v>577</v>
      </c>
      <c r="H1243" s="95">
        <f>SUM(D1239:D1252)</f>
        <v>61887.199999999997</v>
      </c>
    </row>
    <row r="1244" spans="1:8" x14ac:dyDescent="0.3">
      <c r="A1244" s="5">
        <v>44552</v>
      </c>
      <c r="B1244" s="6" t="s">
        <v>792</v>
      </c>
      <c r="C1244" s="7" t="s">
        <v>434</v>
      </c>
      <c r="D1244" s="8">
        <v>600</v>
      </c>
    </row>
    <row r="1245" spans="1:8" x14ac:dyDescent="0.3">
      <c r="A1245" s="5">
        <v>44555</v>
      </c>
      <c r="B1245" s="6" t="s">
        <v>792</v>
      </c>
      <c r="C1245" s="7" t="s">
        <v>436</v>
      </c>
      <c r="D1245" s="8">
        <v>600</v>
      </c>
    </row>
    <row r="1246" spans="1:8" x14ac:dyDescent="0.3">
      <c r="A1246" s="5">
        <v>44555</v>
      </c>
      <c r="B1246" s="6" t="s">
        <v>796</v>
      </c>
      <c r="C1246" s="7" t="s">
        <v>437</v>
      </c>
      <c r="D1246" s="8">
        <v>4800</v>
      </c>
    </row>
    <row r="1247" spans="1:8" x14ac:dyDescent="0.3">
      <c r="A1247" s="5">
        <v>44921</v>
      </c>
      <c r="B1247" s="6" t="s">
        <v>792</v>
      </c>
      <c r="C1247" s="7" t="s">
        <v>549</v>
      </c>
      <c r="D1247" s="8">
        <v>1200</v>
      </c>
      <c r="E1247" s="52" t="s">
        <v>578</v>
      </c>
    </row>
    <row r="1248" spans="1:8" x14ac:dyDescent="0.3">
      <c r="A1248" s="5">
        <v>44921</v>
      </c>
      <c r="B1248" s="6" t="s">
        <v>792</v>
      </c>
      <c r="C1248" s="7" t="s">
        <v>550</v>
      </c>
      <c r="D1248" s="8">
        <v>1200</v>
      </c>
      <c r="E1248" s="52" t="s">
        <v>578</v>
      </c>
    </row>
    <row r="1249" spans="1:7" x14ac:dyDescent="0.3">
      <c r="A1249" s="5">
        <v>44921</v>
      </c>
      <c r="B1249" s="6" t="s">
        <v>792</v>
      </c>
      <c r="C1249" s="7" t="s">
        <v>551</v>
      </c>
      <c r="D1249" s="8">
        <v>1200</v>
      </c>
      <c r="E1249" s="52" t="s">
        <v>578</v>
      </c>
    </row>
    <row r="1250" spans="1:7" x14ac:dyDescent="0.3">
      <c r="A1250" s="5">
        <v>44921</v>
      </c>
      <c r="B1250" s="6" t="s">
        <v>790</v>
      </c>
      <c r="C1250" s="7" t="s">
        <v>552</v>
      </c>
      <c r="D1250" s="8">
        <v>30000</v>
      </c>
      <c r="E1250" s="52" t="s">
        <v>577</v>
      </c>
    </row>
    <row r="1251" spans="1:7" x14ac:dyDescent="0.3">
      <c r="A1251" s="5">
        <v>44924</v>
      </c>
      <c r="B1251" s="6" t="s">
        <v>790</v>
      </c>
      <c r="C1251" s="7" t="s">
        <v>553</v>
      </c>
      <c r="D1251" s="8">
        <v>1688</v>
      </c>
      <c r="E1251" s="52" t="s">
        <v>577</v>
      </c>
    </row>
    <row r="1252" spans="1:7" x14ac:dyDescent="0.3">
      <c r="A1252" s="5">
        <v>44926</v>
      </c>
      <c r="B1252" s="6" t="s">
        <v>791</v>
      </c>
      <c r="C1252" s="7" t="s">
        <v>438</v>
      </c>
      <c r="D1252" s="8">
        <v>10045</v>
      </c>
      <c r="G1252" s="95">
        <f>SUM(D1235:D1252)</f>
        <v>89839.2</v>
      </c>
    </row>
    <row r="1253" spans="1:7" x14ac:dyDescent="0.3">
      <c r="A1253" s="5">
        <v>44927</v>
      </c>
      <c r="B1253" s="6" t="s">
        <v>792</v>
      </c>
      <c r="C1253" s="7" t="s">
        <v>581</v>
      </c>
      <c r="D1253" s="8">
        <v>600</v>
      </c>
    </row>
    <row r="1254" spans="1:7" x14ac:dyDescent="0.3">
      <c r="A1254" s="5">
        <v>44930</v>
      </c>
      <c r="B1254" s="6" t="s">
        <v>791</v>
      </c>
      <c r="C1254" s="7" t="s">
        <v>582</v>
      </c>
      <c r="D1254" s="8">
        <v>3923</v>
      </c>
    </row>
    <row r="1255" spans="1:7" x14ac:dyDescent="0.3">
      <c r="A1255" s="5">
        <v>44931</v>
      </c>
      <c r="B1255" s="6" t="s">
        <v>799</v>
      </c>
      <c r="C1255" s="7" t="s">
        <v>177</v>
      </c>
      <c r="D1255" s="8">
        <v>250</v>
      </c>
    </row>
    <row r="1256" spans="1:7" x14ac:dyDescent="0.3">
      <c r="A1256" s="5">
        <v>44931</v>
      </c>
      <c r="B1256" s="6" t="s">
        <v>797</v>
      </c>
      <c r="C1256" s="7" t="s">
        <v>178</v>
      </c>
      <c r="D1256" s="8">
        <v>50</v>
      </c>
    </row>
    <row r="1257" spans="1:7" x14ac:dyDescent="0.3">
      <c r="A1257" s="5">
        <v>44931</v>
      </c>
      <c r="B1257" s="6" t="s">
        <v>795</v>
      </c>
      <c r="C1257" s="7" t="s">
        <v>179</v>
      </c>
      <c r="D1257" s="8">
        <v>48</v>
      </c>
    </row>
    <row r="1258" spans="1:7" x14ac:dyDescent="0.3">
      <c r="A1258" s="5">
        <v>44932</v>
      </c>
      <c r="B1258" s="6" t="s">
        <v>792</v>
      </c>
      <c r="C1258" s="7" t="s">
        <v>583</v>
      </c>
      <c r="D1258" s="8">
        <v>600</v>
      </c>
    </row>
    <row r="1259" spans="1:7" x14ac:dyDescent="0.3">
      <c r="A1259" s="5">
        <v>44932</v>
      </c>
      <c r="B1259" s="6" t="s">
        <v>793</v>
      </c>
      <c r="C1259" s="7" t="s">
        <v>584</v>
      </c>
      <c r="D1259" s="8">
        <v>4640</v>
      </c>
    </row>
    <row r="1260" spans="1:7" x14ac:dyDescent="0.3">
      <c r="A1260" s="5">
        <v>44932</v>
      </c>
      <c r="B1260" s="6" t="s">
        <v>793</v>
      </c>
      <c r="C1260" s="7" t="s">
        <v>585</v>
      </c>
      <c r="D1260" s="8">
        <v>4640</v>
      </c>
    </row>
    <row r="1261" spans="1:7" x14ac:dyDescent="0.3">
      <c r="A1261" s="5">
        <v>44937</v>
      </c>
      <c r="B1261" s="6" t="s">
        <v>793</v>
      </c>
      <c r="C1261" s="7" t="s">
        <v>586</v>
      </c>
      <c r="D1261" s="8">
        <v>4640</v>
      </c>
    </row>
    <row r="1262" spans="1:7" x14ac:dyDescent="0.3">
      <c r="A1262" s="5">
        <v>44937</v>
      </c>
      <c r="B1262" s="6" t="s">
        <v>801</v>
      </c>
      <c r="C1262" s="7" t="s">
        <v>587</v>
      </c>
      <c r="D1262" s="8">
        <v>798</v>
      </c>
    </row>
    <row r="1263" spans="1:7" x14ac:dyDescent="0.3">
      <c r="A1263" s="5">
        <v>44945</v>
      </c>
      <c r="B1263" s="6" t="s">
        <v>763</v>
      </c>
      <c r="C1263" s="7" t="s">
        <v>588</v>
      </c>
      <c r="D1263" s="8">
        <v>1044</v>
      </c>
    </row>
    <row r="1264" spans="1:7" x14ac:dyDescent="0.3">
      <c r="A1264" s="5">
        <v>44947</v>
      </c>
      <c r="B1264" s="6" t="s">
        <v>792</v>
      </c>
      <c r="C1264" s="7" t="s">
        <v>589</v>
      </c>
      <c r="D1264" s="8">
        <v>600</v>
      </c>
    </row>
    <row r="1265" spans="1:4" x14ac:dyDescent="0.3">
      <c r="A1265" s="5">
        <v>44947</v>
      </c>
      <c r="B1265" s="6" t="s">
        <v>792</v>
      </c>
      <c r="C1265" s="7" t="s">
        <v>590</v>
      </c>
      <c r="D1265" s="8">
        <v>600</v>
      </c>
    </row>
    <row r="1266" spans="1:4" x14ac:dyDescent="0.3">
      <c r="A1266" s="5">
        <v>44951</v>
      </c>
      <c r="B1266" s="6" t="s">
        <v>783</v>
      </c>
      <c r="C1266" s="7" t="s">
        <v>591</v>
      </c>
      <c r="D1266" s="8">
        <v>3000.01</v>
      </c>
    </row>
    <row r="1267" spans="1:4" x14ac:dyDescent="0.3">
      <c r="A1267" s="5">
        <v>44953</v>
      </c>
      <c r="B1267" s="6" t="s">
        <v>790</v>
      </c>
      <c r="C1267" s="7" t="s">
        <v>592</v>
      </c>
      <c r="D1267" s="8">
        <v>25455</v>
      </c>
    </row>
    <row r="1268" spans="1:4" x14ac:dyDescent="0.3">
      <c r="A1268" s="5">
        <v>44953</v>
      </c>
      <c r="B1268" s="6" t="s">
        <v>792</v>
      </c>
      <c r="C1268" s="7" t="s">
        <v>593</v>
      </c>
      <c r="D1268" s="8">
        <v>600</v>
      </c>
    </row>
    <row r="1269" spans="1:4" x14ac:dyDescent="0.3">
      <c r="A1269" s="5">
        <v>44959</v>
      </c>
      <c r="B1269" s="6" t="s">
        <v>796</v>
      </c>
      <c r="C1269" s="7" t="s">
        <v>594</v>
      </c>
      <c r="D1269" s="8">
        <v>4988</v>
      </c>
    </row>
    <row r="1270" spans="1:4" x14ac:dyDescent="0.3">
      <c r="A1270" s="5">
        <v>44961</v>
      </c>
      <c r="B1270" s="6" t="s">
        <v>792</v>
      </c>
      <c r="C1270" s="7" t="s">
        <v>595</v>
      </c>
      <c r="D1270" s="8">
        <v>600</v>
      </c>
    </row>
    <row r="1271" spans="1:4" x14ac:dyDescent="0.3">
      <c r="A1271" s="5">
        <v>44964</v>
      </c>
      <c r="B1271" s="6" t="s">
        <v>799</v>
      </c>
      <c r="C1271" s="7" t="s">
        <v>177</v>
      </c>
      <c r="D1271" s="8">
        <v>250</v>
      </c>
    </row>
    <row r="1272" spans="1:4" x14ac:dyDescent="0.3">
      <c r="A1272" s="5">
        <v>44964</v>
      </c>
      <c r="B1272" s="6" t="s">
        <v>797</v>
      </c>
      <c r="C1272" s="7" t="s">
        <v>178</v>
      </c>
      <c r="D1272" s="8">
        <v>50</v>
      </c>
    </row>
    <row r="1273" spans="1:4" x14ac:dyDescent="0.3">
      <c r="A1273" s="5">
        <v>44964</v>
      </c>
      <c r="B1273" s="6" t="s">
        <v>795</v>
      </c>
      <c r="C1273" s="7" t="s">
        <v>179</v>
      </c>
      <c r="D1273" s="8">
        <v>48</v>
      </c>
    </row>
    <row r="1274" spans="1:4" x14ac:dyDescent="0.3">
      <c r="A1274" s="5">
        <v>44967</v>
      </c>
      <c r="B1274" s="6"/>
      <c r="C1274" s="7" t="s">
        <v>596</v>
      </c>
      <c r="D1274" s="8">
        <v>500</v>
      </c>
    </row>
    <row r="1275" spans="1:4" x14ac:dyDescent="0.3">
      <c r="A1275" s="5">
        <v>44967</v>
      </c>
      <c r="B1275" s="6" t="s">
        <v>792</v>
      </c>
      <c r="C1275" s="7" t="s">
        <v>597</v>
      </c>
      <c r="D1275" s="8">
        <v>600</v>
      </c>
    </row>
    <row r="1276" spans="1:4" x14ac:dyDescent="0.3">
      <c r="A1276" s="5">
        <v>44973</v>
      </c>
      <c r="B1276" s="6"/>
      <c r="C1276" s="7" t="s">
        <v>598</v>
      </c>
      <c r="D1276" s="8">
        <v>802</v>
      </c>
    </row>
    <row r="1277" spans="1:4" x14ac:dyDescent="0.3">
      <c r="A1277" s="5">
        <v>44974</v>
      </c>
      <c r="B1277" s="6" t="s">
        <v>792</v>
      </c>
      <c r="C1277" s="7" t="s">
        <v>599</v>
      </c>
      <c r="D1277" s="8">
        <v>600</v>
      </c>
    </row>
    <row r="1278" spans="1:4" x14ac:dyDescent="0.3">
      <c r="A1278" s="5">
        <v>44975</v>
      </c>
      <c r="B1278" s="6"/>
      <c r="C1278" s="7" t="s">
        <v>600</v>
      </c>
      <c r="D1278" s="8">
        <v>500</v>
      </c>
    </row>
    <row r="1279" spans="1:4" x14ac:dyDescent="0.3">
      <c r="A1279" s="5">
        <v>44981</v>
      </c>
      <c r="B1279" s="6" t="s">
        <v>790</v>
      </c>
      <c r="C1279" s="7" t="s">
        <v>601</v>
      </c>
      <c r="D1279" s="8">
        <v>34200</v>
      </c>
    </row>
    <row r="1280" spans="1:4" x14ac:dyDescent="0.3">
      <c r="A1280" s="5">
        <v>44981</v>
      </c>
      <c r="B1280" s="6" t="s">
        <v>792</v>
      </c>
      <c r="C1280" s="7" t="s">
        <v>602</v>
      </c>
      <c r="D1280" s="8">
        <v>600</v>
      </c>
    </row>
    <row r="1281" spans="1:4" x14ac:dyDescent="0.3">
      <c r="A1281" s="5">
        <v>44988</v>
      </c>
      <c r="B1281" s="6" t="s">
        <v>791</v>
      </c>
      <c r="C1281" s="7" t="s">
        <v>603</v>
      </c>
      <c r="D1281" s="8">
        <v>3939</v>
      </c>
    </row>
    <row r="1282" spans="1:4" x14ac:dyDescent="0.3">
      <c r="A1282" s="5">
        <v>44991</v>
      </c>
      <c r="B1282" s="6" t="s">
        <v>799</v>
      </c>
      <c r="C1282" s="7" t="s">
        <v>177</v>
      </c>
      <c r="D1282" s="8">
        <v>250</v>
      </c>
    </row>
    <row r="1283" spans="1:4" x14ac:dyDescent="0.3">
      <c r="A1283" s="5">
        <v>44991</v>
      </c>
      <c r="B1283" s="6" t="s">
        <v>797</v>
      </c>
      <c r="C1283" s="7" t="s">
        <v>178</v>
      </c>
      <c r="D1283" s="8">
        <v>35</v>
      </c>
    </row>
    <row r="1284" spans="1:4" x14ac:dyDescent="0.3">
      <c r="A1284" s="5">
        <v>44991</v>
      </c>
      <c r="B1284" s="6" t="s">
        <v>795</v>
      </c>
      <c r="C1284" s="7" t="s">
        <v>179</v>
      </c>
      <c r="D1284" s="8">
        <v>45.6</v>
      </c>
    </row>
    <row r="1285" spans="1:4" x14ac:dyDescent="0.3">
      <c r="A1285" s="5">
        <v>44991</v>
      </c>
      <c r="B1285" s="6" t="s">
        <v>792</v>
      </c>
      <c r="C1285" s="7" t="s">
        <v>604</v>
      </c>
      <c r="D1285" s="8">
        <v>600</v>
      </c>
    </row>
    <row r="1286" spans="1:4" x14ac:dyDescent="0.3">
      <c r="A1286" s="5">
        <v>44991</v>
      </c>
      <c r="B1286" s="6" t="s">
        <v>793</v>
      </c>
      <c r="C1286" s="7" t="s">
        <v>605</v>
      </c>
      <c r="D1286" s="8">
        <v>5336</v>
      </c>
    </row>
    <row r="1287" spans="1:4" x14ac:dyDescent="0.3">
      <c r="A1287" s="5">
        <v>44995</v>
      </c>
      <c r="B1287" s="6" t="s">
        <v>793</v>
      </c>
      <c r="C1287" s="7" t="s">
        <v>606</v>
      </c>
      <c r="D1287" s="8">
        <v>5336</v>
      </c>
    </row>
    <row r="1288" spans="1:4" x14ac:dyDescent="0.3">
      <c r="A1288" s="5">
        <v>44998</v>
      </c>
      <c r="B1288" s="6" t="s">
        <v>792</v>
      </c>
      <c r="C1288" s="7" t="s">
        <v>607</v>
      </c>
      <c r="D1288" s="8">
        <v>600</v>
      </c>
    </row>
    <row r="1289" spans="1:4" x14ac:dyDescent="0.3">
      <c r="A1289" s="5">
        <v>44998</v>
      </c>
      <c r="B1289" s="6"/>
      <c r="C1289" s="7" t="s">
        <v>608</v>
      </c>
      <c r="D1289" s="8">
        <v>754</v>
      </c>
    </row>
    <row r="1290" spans="1:4" x14ac:dyDescent="0.3">
      <c r="A1290" s="5">
        <v>45003</v>
      </c>
      <c r="B1290" s="6"/>
      <c r="C1290" s="7" t="s">
        <v>609</v>
      </c>
      <c r="D1290" s="8">
        <v>4000</v>
      </c>
    </row>
    <row r="1291" spans="1:4" x14ac:dyDescent="0.3">
      <c r="A1291" s="5">
        <v>45007</v>
      </c>
      <c r="B1291" s="6" t="s">
        <v>792</v>
      </c>
      <c r="C1291" s="7" t="s">
        <v>610</v>
      </c>
      <c r="D1291" s="8">
        <v>600</v>
      </c>
    </row>
    <row r="1292" spans="1:4" x14ac:dyDescent="0.3">
      <c r="A1292" s="5">
        <v>45009</v>
      </c>
      <c r="B1292" s="6" t="s">
        <v>792</v>
      </c>
      <c r="C1292" s="7" t="s">
        <v>611</v>
      </c>
      <c r="D1292" s="8">
        <v>600</v>
      </c>
    </row>
    <row r="1293" spans="1:4" x14ac:dyDescent="0.3">
      <c r="A1293" s="5">
        <v>45009</v>
      </c>
      <c r="B1293" s="6" t="s">
        <v>790</v>
      </c>
      <c r="C1293" s="7" t="s">
        <v>612</v>
      </c>
      <c r="D1293" s="8">
        <v>27873</v>
      </c>
    </row>
    <row r="1294" spans="1:4" x14ac:dyDescent="0.3">
      <c r="A1294" s="5">
        <v>45013</v>
      </c>
      <c r="B1294" s="6" t="s">
        <v>783</v>
      </c>
      <c r="C1294" s="7" t="s">
        <v>613</v>
      </c>
      <c r="D1294" s="8">
        <v>9918.3799999999992</v>
      </c>
    </row>
    <row r="1295" spans="1:4" x14ac:dyDescent="0.3">
      <c r="A1295" s="5">
        <v>45015</v>
      </c>
      <c r="B1295" s="6" t="s">
        <v>796</v>
      </c>
      <c r="C1295" s="7" t="s">
        <v>614</v>
      </c>
      <c r="D1295" s="8">
        <v>4988</v>
      </c>
    </row>
    <row r="1296" spans="1:4" x14ac:dyDescent="0.3">
      <c r="A1296" s="5">
        <v>45016</v>
      </c>
      <c r="B1296" s="6" t="s">
        <v>792</v>
      </c>
      <c r="C1296" s="7" t="s">
        <v>615</v>
      </c>
      <c r="D1296" s="8">
        <v>600</v>
      </c>
    </row>
    <row r="1297" spans="1:4" x14ac:dyDescent="0.3">
      <c r="A1297" s="5">
        <v>45021</v>
      </c>
      <c r="B1297" s="6" t="s">
        <v>792</v>
      </c>
      <c r="C1297" s="7" t="s">
        <v>616</v>
      </c>
      <c r="D1297" s="8">
        <v>600</v>
      </c>
    </row>
    <row r="1298" spans="1:4" x14ac:dyDescent="0.3">
      <c r="A1298" s="5">
        <v>45025</v>
      </c>
      <c r="B1298" s="6" t="s">
        <v>793</v>
      </c>
      <c r="C1298" s="7" t="s">
        <v>617</v>
      </c>
      <c r="D1298" s="8">
        <v>5336</v>
      </c>
    </row>
    <row r="1299" spans="1:4" x14ac:dyDescent="0.3">
      <c r="A1299" s="5">
        <v>45026</v>
      </c>
      <c r="B1299" s="6" t="s">
        <v>799</v>
      </c>
      <c r="C1299" s="7" t="s">
        <v>177</v>
      </c>
      <c r="D1299" s="8">
        <v>250</v>
      </c>
    </row>
    <row r="1300" spans="1:4" x14ac:dyDescent="0.3">
      <c r="A1300" s="5">
        <v>45026</v>
      </c>
      <c r="B1300" s="6" t="s">
        <v>797</v>
      </c>
      <c r="C1300" s="7" t="s">
        <v>178</v>
      </c>
      <c r="D1300" s="8">
        <v>55</v>
      </c>
    </row>
    <row r="1301" spans="1:4" x14ac:dyDescent="0.3">
      <c r="A1301" s="5">
        <v>45026</v>
      </c>
      <c r="B1301" s="6" t="s">
        <v>795</v>
      </c>
      <c r="C1301" s="7" t="s">
        <v>179</v>
      </c>
      <c r="D1301" s="8">
        <v>48.8</v>
      </c>
    </row>
    <row r="1302" spans="1:4" x14ac:dyDescent="0.3">
      <c r="A1302" s="5">
        <v>45027</v>
      </c>
      <c r="B1302" s="6" t="s">
        <v>801</v>
      </c>
      <c r="C1302" s="7" t="s">
        <v>618</v>
      </c>
      <c r="D1302" s="8">
        <v>1197</v>
      </c>
    </row>
    <row r="1303" spans="1:4" x14ac:dyDescent="0.3">
      <c r="A1303" s="5">
        <v>45030</v>
      </c>
      <c r="B1303" s="6" t="s">
        <v>792</v>
      </c>
      <c r="C1303" s="7" t="s">
        <v>619</v>
      </c>
      <c r="D1303" s="8">
        <v>600</v>
      </c>
    </row>
    <row r="1304" spans="1:4" x14ac:dyDescent="0.3">
      <c r="A1304" s="5">
        <v>45040</v>
      </c>
      <c r="B1304" s="6" t="s">
        <v>792</v>
      </c>
      <c r="C1304" s="7" t="s">
        <v>620</v>
      </c>
      <c r="D1304" s="8">
        <v>600</v>
      </c>
    </row>
    <row r="1305" spans="1:4" x14ac:dyDescent="0.3">
      <c r="A1305" s="5">
        <v>45041</v>
      </c>
      <c r="B1305" s="6" t="s">
        <v>790</v>
      </c>
      <c r="C1305" s="7" t="s">
        <v>621</v>
      </c>
      <c r="D1305" s="8">
        <v>21957</v>
      </c>
    </row>
    <row r="1306" spans="1:4" x14ac:dyDescent="0.3">
      <c r="A1306" s="5">
        <v>45044</v>
      </c>
      <c r="B1306" s="6" t="s">
        <v>792</v>
      </c>
      <c r="C1306" s="7" t="s">
        <v>622</v>
      </c>
      <c r="D1306" s="8">
        <v>600</v>
      </c>
    </row>
    <row r="1307" spans="1:4" x14ac:dyDescent="0.3">
      <c r="A1307" s="5">
        <v>45049</v>
      </c>
      <c r="B1307" s="6" t="s">
        <v>791</v>
      </c>
      <c r="C1307" s="7" t="s">
        <v>623</v>
      </c>
      <c r="D1307" s="8">
        <v>3497</v>
      </c>
    </row>
    <row r="1308" spans="1:4" x14ac:dyDescent="0.3">
      <c r="A1308" s="5">
        <v>45051</v>
      </c>
      <c r="B1308" s="6" t="s">
        <v>799</v>
      </c>
      <c r="C1308" s="7" t="s">
        <v>177</v>
      </c>
      <c r="D1308" s="8">
        <v>250</v>
      </c>
    </row>
    <row r="1309" spans="1:4" x14ac:dyDescent="0.3">
      <c r="A1309" s="5">
        <v>45051</v>
      </c>
      <c r="B1309" s="6" t="s">
        <v>797</v>
      </c>
      <c r="C1309" s="7" t="s">
        <v>178</v>
      </c>
      <c r="D1309" s="8">
        <v>30</v>
      </c>
    </row>
    <row r="1310" spans="1:4" x14ac:dyDescent="0.3">
      <c r="A1310" s="5">
        <v>45051</v>
      </c>
      <c r="B1310" s="6" t="s">
        <v>795</v>
      </c>
      <c r="C1310" s="7" t="s">
        <v>179</v>
      </c>
      <c r="D1310" s="8">
        <v>44.8</v>
      </c>
    </row>
    <row r="1311" spans="1:4" x14ac:dyDescent="0.3">
      <c r="A1311" s="5">
        <v>45051</v>
      </c>
      <c r="B1311" s="6" t="s">
        <v>714</v>
      </c>
      <c r="C1311" s="7" t="s">
        <v>624</v>
      </c>
      <c r="D1311" s="8">
        <v>6196.5</v>
      </c>
    </row>
    <row r="1312" spans="1:4" x14ac:dyDescent="0.3">
      <c r="A1312" s="5">
        <v>45051</v>
      </c>
      <c r="B1312" s="6" t="s">
        <v>796</v>
      </c>
      <c r="C1312" s="7" t="s">
        <v>625</v>
      </c>
      <c r="D1312" s="8">
        <v>4988</v>
      </c>
    </row>
    <row r="1313" spans="1:4" x14ac:dyDescent="0.3">
      <c r="A1313" s="5">
        <v>45051</v>
      </c>
      <c r="B1313" s="6" t="s">
        <v>792</v>
      </c>
      <c r="C1313" s="7" t="s">
        <v>626</v>
      </c>
      <c r="D1313" s="8">
        <v>600</v>
      </c>
    </row>
    <row r="1314" spans="1:4" x14ac:dyDescent="0.3">
      <c r="A1314" s="5">
        <v>45056</v>
      </c>
      <c r="B1314" s="6" t="s">
        <v>793</v>
      </c>
      <c r="C1314" s="7" t="s">
        <v>627</v>
      </c>
      <c r="D1314" s="8">
        <v>5336</v>
      </c>
    </row>
    <row r="1315" spans="1:4" x14ac:dyDescent="0.3">
      <c r="A1315" s="5">
        <v>45058</v>
      </c>
      <c r="B1315" s="6" t="s">
        <v>792</v>
      </c>
      <c r="C1315" s="7" t="s">
        <v>628</v>
      </c>
      <c r="D1315" s="8">
        <v>600</v>
      </c>
    </row>
    <row r="1316" spans="1:4" x14ac:dyDescent="0.3">
      <c r="A1316" s="5">
        <v>45058</v>
      </c>
      <c r="B1316" s="6" t="s">
        <v>714</v>
      </c>
      <c r="C1316" s="7" t="s">
        <v>629</v>
      </c>
      <c r="D1316" s="8">
        <v>5163.75</v>
      </c>
    </row>
    <row r="1317" spans="1:4" x14ac:dyDescent="0.3">
      <c r="A1317" s="5">
        <v>45065</v>
      </c>
      <c r="B1317" s="6" t="s">
        <v>792</v>
      </c>
      <c r="C1317" s="7" t="s">
        <v>630</v>
      </c>
      <c r="D1317" s="8">
        <v>600</v>
      </c>
    </row>
    <row r="1318" spans="1:4" x14ac:dyDescent="0.3">
      <c r="A1318" s="5">
        <v>45065</v>
      </c>
      <c r="B1318" s="6" t="s">
        <v>801</v>
      </c>
      <c r="C1318" s="7" t="s">
        <v>631</v>
      </c>
      <c r="D1318" s="8">
        <v>798</v>
      </c>
    </row>
    <row r="1319" spans="1:4" x14ac:dyDescent="0.3">
      <c r="A1319" s="5">
        <v>45065</v>
      </c>
      <c r="B1319" s="6" t="s">
        <v>790</v>
      </c>
      <c r="C1319" s="7" t="s">
        <v>632</v>
      </c>
      <c r="D1319" s="8">
        <v>33510</v>
      </c>
    </row>
    <row r="1320" spans="1:4" x14ac:dyDescent="0.3">
      <c r="A1320" s="5">
        <v>45072</v>
      </c>
      <c r="B1320" s="6" t="s">
        <v>792</v>
      </c>
      <c r="C1320" s="7" t="s">
        <v>633</v>
      </c>
      <c r="D1320" s="8">
        <v>600</v>
      </c>
    </row>
    <row r="1321" spans="1:4" x14ac:dyDescent="0.3">
      <c r="A1321" s="5">
        <v>45080</v>
      </c>
      <c r="B1321" s="6" t="s">
        <v>792</v>
      </c>
      <c r="C1321" s="7" t="s">
        <v>634</v>
      </c>
      <c r="D1321" s="8">
        <v>600</v>
      </c>
    </row>
    <row r="1322" spans="1:4" x14ac:dyDescent="0.3">
      <c r="A1322" s="5">
        <v>45080</v>
      </c>
      <c r="B1322" s="6" t="s">
        <v>796</v>
      </c>
      <c r="C1322" s="7" t="s">
        <v>635</v>
      </c>
      <c r="D1322" s="8">
        <v>4988</v>
      </c>
    </row>
    <row r="1323" spans="1:4" x14ac:dyDescent="0.3">
      <c r="A1323" s="5">
        <v>45083</v>
      </c>
      <c r="B1323" s="6" t="s">
        <v>797</v>
      </c>
      <c r="C1323" s="7" t="s">
        <v>178</v>
      </c>
      <c r="D1323" s="8">
        <v>250</v>
      </c>
    </row>
    <row r="1324" spans="1:4" x14ac:dyDescent="0.3">
      <c r="A1324" s="5">
        <v>45083</v>
      </c>
      <c r="B1324" s="6" t="s">
        <v>795</v>
      </c>
      <c r="C1324" s="7" t="s">
        <v>179</v>
      </c>
      <c r="D1324" s="8">
        <v>45</v>
      </c>
    </row>
    <row r="1325" spans="1:4" x14ac:dyDescent="0.3">
      <c r="A1325" s="5">
        <v>45083</v>
      </c>
      <c r="B1325" s="6" t="s">
        <v>799</v>
      </c>
      <c r="C1325" s="7" t="s">
        <v>177</v>
      </c>
      <c r="D1325" s="8">
        <v>47.2</v>
      </c>
    </row>
    <row r="1326" spans="1:4" x14ac:dyDescent="0.3">
      <c r="A1326" s="5">
        <v>45087</v>
      </c>
      <c r="B1326" s="6" t="s">
        <v>793</v>
      </c>
      <c r="C1326" s="7" t="s">
        <v>636</v>
      </c>
      <c r="D1326" s="8">
        <v>5336</v>
      </c>
    </row>
    <row r="1327" spans="1:4" x14ac:dyDescent="0.3">
      <c r="A1327" s="5">
        <v>45091</v>
      </c>
      <c r="B1327" s="6" t="s">
        <v>792</v>
      </c>
      <c r="C1327" s="7" t="s">
        <v>637</v>
      </c>
      <c r="D1327" s="8">
        <v>600</v>
      </c>
    </row>
    <row r="1328" spans="1:4" x14ac:dyDescent="0.3">
      <c r="A1328" s="5">
        <v>45091</v>
      </c>
      <c r="B1328" s="6" t="s">
        <v>714</v>
      </c>
      <c r="C1328" s="7" t="s">
        <v>638</v>
      </c>
      <c r="D1328" s="8">
        <v>1032.75</v>
      </c>
    </row>
    <row r="1329" spans="1:4" x14ac:dyDescent="0.3">
      <c r="A1329" s="5">
        <v>45094</v>
      </c>
      <c r="B1329" s="6" t="s">
        <v>792</v>
      </c>
      <c r="C1329" s="7" t="s">
        <v>639</v>
      </c>
      <c r="D1329" s="8">
        <v>600</v>
      </c>
    </row>
    <row r="1330" spans="1:4" x14ac:dyDescent="0.3">
      <c r="A1330" s="5">
        <v>45097</v>
      </c>
      <c r="B1330" s="6" t="s">
        <v>790</v>
      </c>
      <c r="C1330" s="7" t="s">
        <v>640</v>
      </c>
      <c r="D1330" s="8">
        <v>23389</v>
      </c>
    </row>
    <row r="1331" spans="1:4" x14ac:dyDescent="0.3">
      <c r="A1331" s="5">
        <v>45101</v>
      </c>
      <c r="B1331" s="6" t="s">
        <v>792</v>
      </c>
      <c r="C1331" s="7" t="s">
        <v>641</v>
      </c>
      <c r="D1331" s="8">
        <v>600</v>
      </c>
    </row>
    <row r="1332" spans="1:4" x14ac:dyDescent="0.3">
      <c r="A1332" s="5">
        <v>45107</v>
      </c>
      <c r="B1332" s="6" t="s">
        <v>791</v>
      </c>
      <c r="C1332" s="7" t="s">
        <v>642</v>
      </c>
      <c r="D1332" s="8">
        <v>3659</v>
      </c>
    </row>
    <row r="1333" spans="1:4" x14ac:dyDescent="0.3">
      <c r="A1333" s="5">
        <v>45110</v>
      </c>
      <c r="B1333" s="6" t="s">
        <v>792</v>
      </c>
      <c r="C1333" s="7" t="s">
        <v>643</v>
      </c>
      <c r="D1333" s="8">
        <v>600</v>
      </c>
    </row>
    <row r="1334" spans="1:4" x14ac:dyDescent="0.3">
      <c r="A1334" s="5">
        <v>45113</v>
      </c>
      <c r="B1334" s="6" t="s">
        <v>799</v>
      </c>
      <c r="C1334" s="7" t="s">
        <v>177</v>
      </c>
      <c r="D1334" s="8">
        <v>250</v>
      </c>
    </row>
    <row r="1335" spans="1:4" x14ac:dyDescent="0.3">
      <c r="A1335" s="5">
        <v>45113</v>
      </c>
      <c r="B1335" s="6" t="s">
        <v>797</v>
      </c>
      <c r="C1335" s="7" t="s">
        <v>178</v>
      </c>
      <c r="D1335" s="8">
        <v>40</v>
      </c>
    </row>
    <row r="1336" spans="1:4" x14ac:dyDescent="0.3">
      <c r="A1336" s="5">
        <v>45113</v>
      </c>
      <c r="B1336" s="6" t="s">
        <v>799</v>
      </c>
      <c r="C1336" s="7" t="s">
        <v>177</v>
      </c>
      <c r="D1336" s="8">
        <v>46.4</v>
      </c>
    </row>
    <row r="1337" spans="1:4" x14ac:dyDescent="0.3">
      <c r="A1337" s="5">
        <v>45114</v>
      </c>
      <c r="B1337" s="6" t="s">
        <v>792</v>
      </c>
      <c r="C1337" s="7" t="s">
        <v>644</v>
      </c>
      <c r="D1337" s="8">
        <v>600</v>
      </c>
    </row>
    <row r="1338" spans="1:4" x14ac:dyDescent="0.3">
      <c r="A1338" s="5">
        <v>45114</v>
      </c>
      <c r="B1338" s="6" t="s">
        <v>796</v>
      </c>
      <c r="C1338" s="7" t="s">
        <v>645</v>
      </c>
      <c r="D1338" s="8">
        <v>4988</v>
      </c>
    </row>
    <row r="1339" spans="1:4" x14ac:dyDescent="0.3">
      <c r="A1339" s="5">
        <v>45114</v>
      </c>
      <c r="B1339" s="6" t="s">
        <v>714</v>
      </c>
      <c r="C1339" s="7" t="s">
        <v>646</v>
      </c>
      <c r="D1339" s="8">
        <v>3098.25</v>
      </c>
    </row>
    <row r="1340" spans="1:4" x14ac:dyDescent="0.3">
      <c r="A1340" s="5">
        <v>45119</v>
      </c>
      <c r="B1340" s="6" t="s">
        <v>793</v>
      </c>
      <c r="C1340" s="7" t="s">
        <v>647</v>
      </c>
      <c r="D1340" s="8">
        <v>5336</v>
      </c>
    </row>
    <row r="1341" spans="1:4" x14ac:dyDescent="0.3">
      <c r="A1341" s="5">
        <v>45121</v>
      </c>
      <c r="B1341" s="6" t="s">
        <v>792</v>
      </c>
      <c r="C1341" s="7" t="s">
        <v>648</v>
      </c>
      <c r="D1341" s="8">
        <v>600</v>
      </c>
    </row>
    <row r="1342" spans="1:4" x14ac:dyDescent="0.3">
      <c r="A1342" s="5">
        <v>45130</v>
      </c>
      <c r="B1342" s="6" t="s">
        <v>790</v>
      </c>
      <c r="C1342" s="7" t="s">
        <v>649</v>
      </c>
      <c r="D1342" s="8">
        <v>27310</v>
      </c>
    </row>
    <row r="1343" spans="1:4" x14ac:dyDescent="0.3">
      <c r="A1343" s="5">
        <v>45131</v>
      </c>
      <c r="B1343" s="6" t="s">
        <v>792</v>
      </c>
      <c r="C1343" s="7" t="s">
        <v>650</v>
      </c>
      <c r="D1343" s="8">
        <v>600</v>
      </c>
    </row>
    <row r="1344" spans="1:4" x14ac:dyDescent="0.3">
      <c r="A1344" s="5">
        <v>45133</v>
      </c>
      <c r="B1344" s="6"/>
      <c r="C1344" s="7" t="s">
        <v>651</v>
      </c>
      <c r="D1344" s="8">
        <v>98.6</v>
      </c>
    </row>
    <row r="1345" spans="1:4" x14ac:dyDescent="0.3">
      <c r="A1345" s="5">
        <v>45138</v>
      </c>
      <c r="B1345" s="6" t="s">
        <v>792</v>
      </c>
      <c r="C1345" s="7" t="s">
        <v>652</v>
      </c>
      <c r="D1345" s="8">
        <v>600</v>
      </c>
    </row>
    <row r="1346" spans="1:4" x14ac:dyDescent="0.3">
      <c r="A1346" s="5">
        <v>45138</v>
      </c>
      <c r="B1346" s="6" t="s">
        <v>796</v>
      </c>
      <c r="C1346" s="7" t="s">
        <v>653</v>
      </c>
      <c r="D1346" s="8">
        <v>4988</v>
      </c>
    </row>
    <row r="1347" spans="1:4" x14ac:dyDescent="0.3">
      <c r="A1347" s="5">
        <v>45142</v>
      </c>
      <c r="B1347" s="6" t="s">
        <v>799</v>
      </c>
      <c r="C1347" s="7" t="s">
        <v>177</v>
      </c>
      <c r="D1347" s="8">
        <v>250</v>
      </c>
    </row>
    <row r="1348" spans="1:4" x14ac:dyDescent="0.3">
      <c r="A1348" s="5">
        <v>45142</v>
      </c>
      <c r="B1348" s="6" t="s">
        <v>797</v>
      </c>
      <c r="C1348" s="7" t="s">
        <v>178</v>
      </c>
      <c r="D1348" s="8">
        <v>55</v>
      </c>
    </row>
    <row r="1349" spans="1:4" x14ac:dyDescent="0.3">
      <c r="A1349" s="5">
        <v>45142</v>
      </c>
      <c r="B1349" s="6" t="s">
        <v>795</v>
      </c>
      <c r="C1349" s="7" t="s">
        <v>179</v>
      </c>
      <c r="D1349" s="8">
        <v>48.8</v>
      </c>
    </row>
    <row r="1350" spans="1:4" x14ac:dyDescent="0.3">
      <c r="A1350" s="5">
        <v>45145</v>
      </c>
      <c r="B1350" s="6" t="s">
        <v>792</v>
      </c>
      <c r="C1350" s="7" t="s">
        <v>654</v>
      </c>
      <c r="D1350" s="8">
        <v>600</v>
      </c>
    </row>
    <row r="1351" spans="1:4" x14ac:dyDescent="0.3">
      <c r="A1351" s="5">
        <v>45145</v>
      </c>
      <c r="B1351" s="6" t="s">
        <v>714</v>
      </c>
      <c r="C1351" s="7" t="s">
        <v>655</v>
      </c>
      <c r="D1351" s="8">
        <v>1032.75</v>
      </c>
    </row>
    <row r="1352" spans="1:4" x14ac:dyDescent="0.3">
      <c r="A1352" s="5">
        <v>45145</v>
      </c>
      <c r="B1352" s="6" t="s">
        <v>763</v>
      </c>
      <c r="C1352" s="7" t="s">
        <v>767</v>
      </c>
      <c r="D1352" s="8">
        <v>3098.25</v>
      </c>
    </row>
    <row r="1353" spans="1:4" x14ac:dyDescent="0.3">
      <c r="A1353" s="5">
        <v>45145</v>
      </c>
      <c r="B1353" s="6" t="s">
        <v>801</v>
      </c>
      <c r="C1353" s="7" t="s">
        <v>656</v>
      </c>
      <c r="D1353" s="8">
        <v>744</v>
      </c>
    </row>
    <row r="1354" spans="1:4" x14ac:dyDescent="0.3">
      <c r="A1354" s="5">
        <v>45146</v>
      </c>
      <c r="B1354" s="6" t="s">
        <v>783</v>
      </c>
      <c r="C1354" s="7" t="s">
        <v>657</v>
      </c>
      <c r="D1354" s="8">
        <v>380</v>
      </c>
    </row>
    <row r="1355" spans="1:4" x14ac:dyDescent="0.3">
      <c r="A1355" s="5">
        <v>45149</v>
      </c>
      <c r="B1355" s="6" t="s">
        <v>792</v>
      </c>
      <c r="C1355" s="7" t="s">
        <v>658</v>
      </c>
      <c r="D1355" s="8">
        <v>600</v>
      </c>
    </row>
    <row r="1356" spans="1:4" x14ac:dyDescent="0.3">
      <c r="A1356" s="5">
        <v>45149</v>
      </c>
      <c r="B1356" s="6" t="s">
        <v>793</v>
      </c>
      <c r="C1356" s="7" t="s">
        <v>659</v>
      </c>
      <c r="D1356" s="8">
        <v>5336</v>
      </c>
    </row>
    <row r="1357" spans="1:4" x14ac:dyDescent="0.3">
      <c r="A1357" s="5">
        <v>45156</v>
      </c>
      <c r="B1357" s="6" t="s">
        <v>792</v>
      </c>
      <c r="C1357" s="7" t="s">
        <v>660</v>
      </c>
      <c r="D1357" s="8">
        <v>600</v>
      </c>
    </row>
    <row r="1358" spans="1:4" x14ac:dyDescent="0.3">
      <c r="A1358" s="5">
        <v>45162</v>
      </c>
      <c r="B1358" s="6" t="s">
        <v>790</v>
      </c>
      <c r="C1358" s="7" t="s">
        <v>661</v>
      </c>
      <c r="D1358" s="8">
        <v>24500</v>
      </c>
    </row>
    <row r="1359" spans="1:4" x14ac:dyDescent="0.3">
      <c r="A1359" s="5">
        <v>45168</v>
      </c>
      <c r="B1359" s="6" t="s">
        <v>790</v>
      </c>
      <c r="C1359" s="7" t="s">
        <v>662</v>
      </c>
      <c r="D1359" s="8">
        <v>4931</v>
      </c>
    </row>
    <row r="1360" spans="1:4" x14ac:dyDescent="0.3">
      <c r="A1360" s="5">
        <v>45170</v>
      </c>
      <c r="B1360" s="6" t="s">
        <v>791</v>
      </c>
      <c r="C1360" s="7" t="s">
        <v>663</v>
      </c>
      <c r="D1360" s="8">
        <v>4280</v>
      </c>
    </row>
    <row r="1361" spans="1:4" x14ac:dyDescent="0.3">
      <c r="A1361" s="5">
        <v>45173</v>
      </c>
      <c r="B1361" s="6" t="s">
        <v>792</v>
      </c>
      <c r="C1361" s="7" t="s">
        <v>664</v>
      </c>
      <c r="D1361" s="8">
        <v>1200</v>
      </c>
    </row>
    <row r="1362" spans="1:4" x14ac:dyDescent="0.3">
      <c r="A1362" s="5">
        <v>45178</v>
      </c>
      <c r="B1362" s="6" t="s">
        <v>792</v>
      </c>
      <c r="C1362" s="7" t="s">
        <v>665</v>
      </c>
      <c r="D1362" s="8">
        <v>600</v>
      </c>
    </row>
    <row r="1363" spans="1:4" x14ac:dyDescent="0.3">
      <c r="A1363" s="5">
        <v>45187</v>
      </c>
      <c r="B1363" s="6" t="s">
        <v>792</v>
      </c>
      <c r="C1363" s="7" t="s">
        <v>666</v>
      </c>
      <c r="D1363" s="8">
        <v>600</v>
      </c>
    </row>
    <row r="1364" spans="1:4" x14ac:dyDescent="0.3">
      <c r="A1364" s="5">
        <v>45187</v>
      </c>
      <c r="B1364" s="6" t="s">
        <v>793</v>
      </c>
      <c r="C1364" s="7" t="s">
        <v>667</v>
      </c>
      <c r="D1364" s="8">
        <v>5336</v>
      </c>
    </row>
    <row r="1365" spans="1:4" x14ac:dyDescent="0.3">
      <c r="A1365" s="5">
        <v>45187</v>
      </c>
      <c r="B1365" s="6" t="s">
        <v>796</v>
      </c>
      <c r="C1365" s="7" t="s">
        <v>668</v>
      </c>
      <c r="D1365" s="8">
        <v>4988</v>
      </c>
    </row>
    <row r="1366" spans="1:4" x14ac:dyDescent="0.3">
      <c r="A1366" s="5">
        <v>45190</v>
      </c>
      <c r="B1366" s="6" t="s">
        <v>799</v>
      </c>
      <c r="C1366" s="7" t="s">
        <v>177</v>
      </c>
      <c r="D1366" s="8">
        <v>250</v>
      </c>
    </row>
    <row r="1367" spans="1:4" x14ac:dyDescent="0.3">
      <c r="A1367" s="5">
        <v>45190</v>
      </c>
      <c r="B1367" s="6" t="s">
        <v>797</v>
      </c>
      <c r="C1367" s="7" t="s">
        <v>178</v>
      </c>
      <c r="D1367" s="8">
        <v>40</v>
      </c>
    </row>
    <row r="1368" spans="1:4" x14ac:dyDescent="0.3">
      <c r="A1368" s="5">
        <v>45190</v>
      </c>
      <c r="B1368" s="6" t="s">
        <v>795</v>
      </c>
      <c r="C1368" s="7" t="s">
        <v>179</v>
      </c>
      <c r="D1368" s="8">
        <v>46.4</v>
      </c>
    </row>
    <row r="1369" spans="1:4" x14ac:dyDescent="0.3">
      <c r="A1369" s="5">
        <v>45191</v>
      </c>
      <c r="B1369" s="6" t="s">
        <v>792</v>
      </c>
      <c r="C1369" s="7" t="s">
        <v>669</v>
      </c>
      <c r="D1369" s="8">
        <v>600</v>
      </c>
    </row>
    <row r="1370" spans="1:4" x14ac:dyDescent="0.3">
      <c r="A1370" s="5">
        <v>45191</v>
      </c>
      <c r="B1370" s="6" t="s">
        <v>790</v>
      </c>
      <c r="C1370" s="7" t="s">
        <v>670</v>
      </c>
      <c r="D1370" s="8">
        <v>21000</v>
      </c>
    </row>
    <row r="1371" spans="1:4" x14ac:dyDescent="0.3">
      <c r="A1371" s="5">
        <v>45204</v>
      </c>
      <c r="B1371" s="6" t="s">
        <v>799</v>
      </c>
      <c r="C1371" s="7" t="s">
        <v>177</v>
      </c>
      <c r="D1371" s="8">
        <v>250</v>
      </c>
    </row>
    <row r="1372" spans="1:4" x14ac:dyDescent="0.3">
      <c r="A1372" s="5">
        <v>45204</v>
      </c>
      <c r="B1372" s="6" t="s">
        <v>797</v>
      </c>
      <c r="C1372" s="7" t="s">
        <v>178</v>
      </c>
      <c r="D1372" s="8">
        <v>35</v>
      </c>
    </row>
    <row r="1373" spans="1:4" x14ac:dyDescent="0.3">
      <c r="A1373" s="5">
        <v>45204</v>
      </c>
      <c r="B1373" s="6" t="s">
        <v>795</v>
      </c>
      <c r="C1373" s="7" t="s">
        <v>179</v>
      </c>
      <c r="D1373" s="8">
        <v>45.6</v>
      </c>
    </row>
    <row r="1374" spans="1:4" x14ac:dyDescent="0.3">
      <c r="A1374" s="5">
        <v>45204</v>
      </c>
      <c r="B1374" s="6" t="s">
        <v>790</v>
      </c>
      <c r="C1374" s="7" t="s">
        <v>671</v>
      </c>
      <c r="D1374" s="8">
        <v>11683</v>
      </c>
    </row>
    <row r="1375" spans="1:4" x14ac:dyDescent="0.3">
      <c r="A1375" s="5">
        <v>45204</v>
      </c>
      <c r="B1375" s="6" t="s">
        <v>792</v>
      </c>
      <c r="C1375" s="7" t="s">
        <v>672</v>
      </c>
      <c r="D1375" s="8">
        <v>600</v>
      </c>
    </row>
    <row r="1376" spans="1:4" x14ac:dyDescent="0.3">
      <c r="A1376" s="5">
        <v>45205</v>
      </c>
      <c r="B1376" s="6" t="s">
        <v>792</v>
      </c>
      <c r="C1376" s="7" t="s">
        <v>673</v>
      </c>
      <c r="D1376" s="8">
        <v>600</v>
      </c>
    </row>
    <row r="1377" spans="1:4" x14ac:dyDescent="0.3">
      <c r="A1377" s="5">
        <v>45211</v>
      </c>
      <c r="B1377" s="6" t="s">
        <v>763</v>
      </c>
      <c r="C1377" s="7" t="s">
        <v>674</v>
      </c>
      <c r="D1377" s="8">
        <v>406</v>
      </c>
    </row>
    <row r="1378" spans="1:4" x14ac:dyDescent="0.3">
      <c r="A1378" s="5">
        <v>45211</v>
      </c>
      <c r="B1378" s="6" t="s">
        <v>714</v>
      </c>
      <c r="C1378" s="7" t="s">
        <v>675</v>
      </c>
      <c r="D1378" s="8">
        <v>1032.75</v>
      </c>
    </row>
    <row r="1379" spans="1:4" x14ac:dyDescent="0.3">
      <c r="A1379" s="5">
        <v>45211</v>
      </c>
      <c r="B1379" s="6"/>
      <c r="C1379" s="7" t="s">
        <v>676</v>
      </c>
      <c r="D1379" s="8">
        <v>500</v>
      </c>
    </row>
    <row r="1380" spans="1:4" x14ac:dyDescent="0.3">
      <c r="A1380" s="5">
        <v>45212</v>
      </c>
      <c r="B1380" s="6" t="s">
        <v>792</v>
      </c>
      <c r="C1380" s="7" t="s">
        <v>677</v>
      </c>
      <c r="D1380" s="8">
        <v>400</v>
      </c>
    </row>
    <row r="1381" spans="1:4" x14ac:dyDescent="0.3">
      <c r="A1381" s="5">
        <v>45216</v>
      </c>
      <c r="B1381" s="6" t="s">
        <v>783</v>
      </c>
      <c r="C1381" s="7" t="s">
        <v>473</v>
      </c>
      <c r="D1381" s="8">
        <v>44.82</v>
      </c>
    </row>
    <row r="1382" spans="1:4" x14ac:dyDescent="0.3">
      <c r="A1382" s="5">
        <v>45216</v>
      </c>
      <c r="B1382" s="6" t="s">
        <v>796</v>
      </c>
      <c r="C1382" s="7" t="s">
        <v>678</v>
      </c>
      <c r="D1382" s="8">
        <v>4988</v>
      </c>
    </row>
    <row r="1383" spans="1:4" x14ac:dyDescent="0.3">
      <c r="A1383" s="5">
        <v>45216</v>
      </c>
      <c r="B1383" s="6" t="s">
        <v>793</v>
      </c>
      <c r="C1383" s="7" t="s">
        <v>679</v>
      </c>
      <c r="D1383" s="8">
        <v>5336</v>
      </c>
    </row>
    <row r="1384" spans="1:4" x14ac:dyDescent="0.3">
      <c r="A1384" s="5">
        <v>45219</v>
      </c>
      <c r="B1384" s="6" t="s">
        <v>792</v>
      </c>
      <c r="C1384" s="7" t="s">
        <v>680</v>
      </c>
      <c r="D1384" s="8">
        <v>600</v>
      </c>
    </row>
    <row r="1385" spans="1:4" x14ac:dyDescent="0.3">
      <c r="A1385" s="5">
        <v>45219</v>
      </c>
      <c r="B1385" s="6" t="s">
        <v>790</v>
      </c>
      <c r="C1385" s="7" t="s">
        <v>681</v>
      </c>
      <c r="D1385" s="8">
        <v>18000</v>
      </c>
    </row>
    <row r="1386" spans="1:4" x14ac:dyDescent="0.3">
      <c r="A1386" s="5">
        <v>45233</v>
      </c>
      <c r="B1386" s="6" t="s">
        <v>791</v>
      </c>
      <c r="C1386" s="7" t="s">
        <v>538</v>
      </c>
      <c r="D1386" s="8">
        <v>4515</v>
      </c>
    </row>
    <row r="1387" spans="1:4" x14ac:dyDescent="0.3">
      <c r="A1387" s="5">
        <v>45234</v>
      </c>
      <c r="B1387" s="6" t="s">
        <v>792</v>
      </c>
      <c r="C1387" s="7" t="s">
        <v>682</v>
      </c>
      <c r="D1387" s="8">
        <v>1200</v>
      </c>
    </row>
    <row r="1388" spans="1:4" x14ac:dyDescent="0.3">
      <c r="A1388" s="5">
        <v>45234</v>
      </c>
      <c r="B1388" s="6" t="s">
        <v>801</v>
      </c>
      <c r="C1388" s="7" t="s">
        <v>539</v>
      </c>
      <c r="D1388" s="8">
        <v>1197</v>
      </c>
    </row>
    <row r="1389" spans="1:4" x14ac:dyDescent="0.3">
      <c r="A1389" s="5">
        <v>45237</v>
      </c>
      <c r="B1389" s="6" t="s">
        <v>799</v>
      </c>
      <c r="C1389" s="7" t="s">
        <v>177</v>
      </c>
      <c r="D1389" s="8">
        <v>250</v>
      </c>
    </row>
    <row r="1390" spans="1:4" x14ac:dyDescent="0.3">
      <c r="A1390" s="5">
        <v>45237</v>
      </c>
      <c r="B1390" s="6" t="s">
        <v>797</v>
      </c>
      <c r="C1390" s="7" t="s">
        <v>178</v>
      </c>
      <c r="D1390" s="8">
        <v>50</v>
      </c>
    </row>
    <row r="1391" spans="1:4" x14ac:dyDescent="0.3">
      <c r="A1391" s="5">
        <v>45237</v>
      </c>
      <c r="B1391" s="6" t="s">
        <v>795</v>
      </c>
      <c r="C1391" s="7" t="s">
        <v>179</v>
      </c>
      <c r="D1391" s="8">
        <v>48</v>
      </c>
    </row>
    <row r="1392" spans="1:4" x14ac:dyDescent="0.3">
      <c r="A1392" s="5">
        <v>45240</v>
      </c>
      <c r="B1392" s="6" t="s">
        <v>792</v>
      </c>
      <c r="C1392" s="7" t="s">
        <v>683</v>
      </c>
      <c r="D1392" s="8">
        <v>600</v>
      </c>
    </row>
    <row r="1393" spans="1:4" x14ac:dyDescent="0.3">
      <c r="A1393" s="5">
        <v>45240</v>
      </c>
      <c r="B1393" s="6" t="s">
        <v>793</v>
      </c>
      <c r="C1393" s="7" t="s">
        <v>684</v>
      </c>
      <c r="D1393" s="8">
        <v>5336</v>
      </c>
    </row>
    <row r="1394" spans="1:4" x14ac:dyDescent="0.3">
      <c r="A1394" s="5">
        <v>45243</v>
      </c>
      <c r="B1394" s="6" t="s">
        <v>793</v>
      </c>
      <c r="C1394" s="7" t="s">
        <v>685</v>
      </c>
      <c r="D1394" s="8">
        <v>2052.27</v>
      </c>
    </row>
    <row r="1395" spans="1:4" x14ac:dyDescent="0.3">
      <c r="A1395" s="5">
        <v>45247</v>
      </c>
      <c r="B1395" s="6" t="s">
        <v>790</v>
      </c>
      <c r="C1395" s="7" t="s">
        <v>686</v>
      </c>
      <c r="D1395" s="8">
        <v>6461</v>
      </c>
    </row>
    <row r="1396" spans="1:4" x14ac:dyDescent="0.3">
      <c r="A1396" s="5">
        <v>45247</v>
      </c>
      <c r="B1396" s="6" t="s">
        <v>792</v>
      </c>
      <c r="C1396" s="7" t="s">
        <v>687</v>
      </c>
      <c r="D1396" s="8">
        <v>800</v>
      </c>
    </row>
    <row r="1397" spans="1:4" x14ac:dyDescent="0.3">
      <c r="A1397" s="5">
        <v>45257</v>
      </c>
      <c r="B1397" s="6" t="s">
        <v>790</v>
      </c>
      <c r="C1397" s="7" t="s">
        <v>681</v>
      </c>
      <c r="D1397" s="8">
        <v>25000</v>
      </c>
    </row>
    <row r="1398" spans="1:4" x14ac:dyDescent="0.3">
      <c r="A1398" s="5">
        <v>45260</v>
      </c>
      <c r="B1398" s="6" t="s">
        <v>792</v>
      </c>
      <c r="C1398" s="7" t="s">
        <v>688</v>
      </c>
      <c r="D1398" s="8">
        <v>600</v>
      </c>
    </row>
    <row r="1399" spans="1:4" x14ac:dyDescent="0.3">
      <c r="A1399" s="5">
        <v>45264</v>
      </c>
      <c r="B1399" s="6" t="s">
        <v>792</v>
      </c>
      <c r="C1399" s="7" t="s">
        <v>689</v>
      </c>
      <c r="D1399" s="8">
        <v>600</v>
      </c>
    </row>
    <row r="1400" spans="1:4" x14ac:dyDescent="0.3">
      <c r="A1400" s="5">
        <v>45266</v>
      </c>
      <c r="B1400" s="6" t="s">
        <v>796</v>
      </c>
      <c r="C1400" s="7" t="s">
        <v>690</v>
      </c>
      <c r="D1400" s="8">
        <v>4988</v>
      </c>
    </row>
    <row r="1401" spans="1:4" x14ac:dyDescent="0.3">
      <c r="A1401" s="5">
        <v>45266</v>
      </c>
      <c r="B1401" s="6" t="s">
        <v>790</v>
      </c>
      <c r="C1401" s="7" t="s">
        <v>691</v>
      </c>
      <c r="D1401" s="8">
        <v>3876</v>
      </c>
    </row>
    <row r="1402" spans="1:4" x14ac:dyDescent="0.3">
      <c r="A1402" s="5">
        <v>45266</v>
      </c>
      <c r="B1402" s="6" t="s">
        <v>784</v>
      </c>
      <c r="C1402" s="7" t="s">
        <v>692</v>
      </c>
      <c r="D1402" s="8">
        <v>1177.4000000000001</v>
      </c>
    </row>
    <row r="1403" spans="1:4" x14ac:dyDescent="0.3">
      <c r="A1403" s="5">
        <v>45267</v>
      </c>
      <c r="B1403" s="6" t="s">
        <v>779</v>
      </c>
      <c r="C1403" s="7" t="s">
        <v>598</v>
      </c>
      <c r="D1403" s="8">
        <v>1828.78</v>
      </c>
    </row>
    <row r="1404" spans="1:4" x14ac:dyDescent="0.3">
      <c r="A1404" s="5">
        <v>45268</v>
      </c>
      <c r="B1404" s="6" t="s">
        <v>799</v>
      </c>
      <c r="C1404" s="7" t="s">
        <v>177</v>
      </c>
      <c r="D1404" s="8">
        <v>250</v>
      </c>
    </row>
    <row r="1405" spans="1:4" x14ac:dyDescent="0.3">
      <c r="A1405" s="5">
        <v>45268</v>
      </c>
      <c r="B1405" s="6" t="s">
        <v>797</v>
      </c>
      <c r="C1405" s="7" t="s">
        <v>178</v>
      </c>
      <c r="D1405" s="8">
        <v>40</v>
      </c>
    </row>
    <row r="1406" spans="1:4" x14ac:dyDescent="0.3">
      <c r="A1406" s="5">
        <v>45268</v>
      </c>
      <c r="B1406" s="6" t="s">
        <v>795</v>
      </c>
      <c r="C1406" s="7" t="s">
        <v>179</v>
      </c>
      <c r="D1406" s="8">
        <v>46.4</v>
      </c>
    </row>
    <row r="1407" spans="1:4" x14ac:dyDescent="0.3">
      <c r="A1407" s="5">
        <v>45268</v>
      </c>
      <c r="B1407" s="6" t="s">
        <v>792</v>
      </c>
      <c r="C1407" s="7" t="s">
        <v>693</v>
      </c>
      <c r="D1407" s="8">
        <v>700</v>
      </c>
    </row>
    <row r="1408" spans="1:4" x14ac:dyDescent="0.3">
      <c r="A1408" s="5">
        <v>44903</v>
      </c>
      <c r="B1408" s="6" t="s">
        <v>779</v>
      </c>
      <c r="C1408" s="7" t="s">
        <v>694</v>
      </c>
      <c r="D1408" s="8">
        <v>835</v>
      </c>
    </row>
    <row r="1409" spans="1:4" x14ac:dyDescent="0.3">
      <c r="A1409" s="5">
        <v>45276</v>
      </c>
      <c r="B1409" s="6" t="s">
        <v>792</v>
      </c>
      <c r="C1409" s="7" t="s">
        <v>695</v>
      </c>
      <c r="D1409" s="8">
        <v>600</v>
      </c>
    </row>
    <row r="1410" spans="1:4" x14ac:dyDescent="0.3">
      <c r="A1410" s="5">
        <v>44921</v>
      </c>
      <c r="B1410" s="6"/>
      <c r="C1410" s="7"/>
      <c r="D1410" s="8"/>
    </row>
    <row r="1411" spans="1:4" x14ac:dyDescent="0.3">
      <c r="A1411" s="5">
        <v>45287</v>
      </c>
      <c r="B1411" s="6" t="s">
        <v>796</v>
      </c>
      <c r="C1411" s="7" t="s">
        <v>696</v>
      </c>
      <c r="D1411" s="8">
        <v>4988</v>
      </c>
    </row>
    <row r="1412" spans="1:4" x14ac:dyDescent="0.3">
      <c r="A1412" s="5">
        <v>44921</v>
      </c>
      <c r="B1412" s="6" t="s">
        <v>792</v>
      </c>
      <c r="C1412" s="7" t="s">
        <v>697</v>
      </c>
      <c r="D1412" s="8">
        <v>700</v>
      </c>
    </row>
    <row r="1413" spans="1:4" x14ac:dyDescent="0.3">
      <c r="A1413" s="5">
        <v>45289</v>
      </c>
      <c r="B1413" s="6" t="s">
        <v>790</v>
      </c>
      <c r="C1413" s="7" t="s">
        <v>698</v>
      </c>
      <c r="D1413" s="8">
        <v>26000</v>
      </c>
    </row>
    <row r="1414" spans="1:4" x14ac:dyDescent="0.3">
      <c r="A1414" s="5">
        <v>45289</v>
      </c>
      <c r="B1414" s="6" t="s">
        <v>792</v>
      </c>
      <c r="C1414" s="7" t="s">
        <v>699</v>
      </c>
      <c r="D1414" s="8">
        <v>600</v>
      </c>
    </row>
    <row r="1415" spans="1:4" x14ac:dyDescent="0.3">
      <c r="A1415" s="5">
        <v>45294</v>
      </c>
      <c r="B1415" s="6" t="s">
        <v>799</v>
      </c>
      <c r="C1415" s="7" t="s">
        <v>177</v>
      </c>
      <c r="D1415" s="8">
        <v>250</v>
      </c>
    </row>
    <row r="1416" spans="1:4" x14ac:dyDescent="0.3">
      <c r="A1416" s="5">
        <v>45294</v>
      </c>
      <c r="B1416" s="6" t="s">
        <v>797</v>
      </c>
      <c r="C1416" s="7" t="s">
        <v>178</v>
      </c>
      <c r="D1416" s="8">
        <v>60</v>
      </c>
    </row>
    <row r="1417" spans="1:4" x14ac:dyDescent="0.3">
      <c r="A1417" s="5">
        <v>45294</v>
      </c>
      <c r="B1417" s="6" t="s">
        <v>795</v>
      </c>
      <c r="C1417" s="7" t="s">
        <v>179</v>
      </c>
      <c r="D1417" s="8">
        <v>49.6</v>
      </c>
    </row>
    <row r="1418" spans="1:4" x14ac:dyDescent="0.3">
      <c r="A1418" s="5">
        <v>45297</v>
      </c>
      <c r="B1418" s="6" t="s">
        <v>792</v>
      </c>
      <c r="C1418" s="7" t="s">
        <v>700</v>
      </c>
      <c r="D1418" s="8">
        <v>400</v>
      </c>
    </row>
    <row r="1419" spans="1:4" x14ac:dyDescent="0.3">
      <c r="A1419" s="5">
        <v>45297</v>
      </c>
      <c r="B1419" s="6" t="s">
        <v>790</v>
      </c>
      <c r="C1419" s="7" t="s">
        <v>701</v>
      </c>
      <c r="D1419" s="8">
        <v>4997</v>
      </c>
    </row>
    <row r="1420" spans="1:4" x14ac:dyDescent="0.3">
      <c r="A1420" s="5">
        <v>45297</v>
      </c>
      <c r="B1420" s="6" t="s">
        <v>792</v>
      </c>
      <c r="C1420" s="7" t="s">
        <v>702</v>
      </c>
      <c r="D1420" s="8">
        <v>600</v>
      </c>
    </row>
    <row r="1421" spans="1:4" x14ac:dyDescent="0.3">
      <c r="A1421" s="5">
        <v>45308</v>
      </c>
      <c r="B1421" s="6" t="s">
        <v>791</v>
      </c>
      <c r="C1421" s="7" t="s">
        <v>703</v>
      </c>
      <c r="D1421" s="8">
        <v>5015</v>
      </c>
    </row>
    <row r="1422" spans="1:4" x14ac:dyDescent="0.3">
      <c r="A1422" s="5">
        <v>45310</v>
      </c>
      <c r="B1422" s="6" t="s">
        <v>792</v>
      </c>
      <c r="C1422" s="7" t="s">
        <v>704</v>
      </c>
      <c r="D1422" s="8">
        <v>600</v>
      </c>
    </row>
    <row r="1423" spans="1:4" x14ac:dyDescent="0.3">
      <c r="A1423" s="5">
        <v>45310</v>
      </c>
      <c r="B1423" s="6" t="s">
        <v>790</v>
      </c>
      <c r="C1423" s="7" t="s">
        <v>705</v>
      </c>
      <c r="D1423" s="8">
        <v>31013</v>
      </c>
    </row>
    <row r="1424" spans="1:4" x14ac:dyDescent="0.3">
      <c r="A1424" s="5">
        <v>45321</v>
      </c>
      <c r="B1424" s="6" t="s">
        <v>792</v>
      </c>
      <c r="C1424" s="7" t="s">
        <v>706</v>
      </c>
      <c r="D1424" s="8">
        <v>600</v>
      </c>
    </row>
    <row r="1425" spans="1:4" x14ac:dyDescent="0.3">
      <c r="A1425" s="5">
        <v>45328</v>
      </c>
      <c r="B1425" s="6" t="s">
        <v>792</v>
      </c>
      <c r="C1425" s="7" t="s">
        <v>707</v>
      </c>
      <c r="D1425" s="8">
        <v>600</v>
      </c>
    </row>
    <row r="1426" spans="1:4" x14ac:dyDescent="0.3">
      <c r="A1426" s="5">
        <v>45329</v>
      </c>
      <c r="B1426" s="6" t="s">
        <v>799</v>
      </c>
      <c r="C1426" s="7" t="s">
        <v>177</v>
      </c>
      <c r="D1426" s="8">
        <v>250</v>
      </c>
    </row>
    <row r="1427" spans="1:4" x14ac:dyDescent="0.3">
      <c r="A1427" s="5">
        <v>45329</v>
      </c>
      <c r="B1427" s="6" t="s">
        <v>797</v>
      </c>
      <c r="C1427" s="7" t="s">
        <v>178</v>
      </c>
      <c r="D1427" s="8">
        <v>30</v>
      </c>
    </row>
    <row r="1428" spans="1:4" x14ac:dyDescent="0.3">
      <c r="A1428" s="5">
        <v>45329</v>
      </c>
      <c r="B1428" s="6" t="s">
        <v>795</v>
      </c>
      <c r="C1428" s="7" t="s">
        <v>179</v>
      </c>
      <c r="D1428" s="8">
        <v>44.8</v>
      </c>
    </row>
    <row r="1429" spans="1:4" x14ac:dyDescent="0.3">
      <c r="A1429" s="5">
        <v>45333</v>
      </c>
      <c r="B1429" s="6" t="s">
        <v>792</v>
      </c>
      <c r="C1429" s="7" t="s">
        <v>708</v>
      </c>
      <c r="D1429" s="8">
        <v>600</v>
      </c>
    </row>
    <row r="1430" spans="1:4" x14ac:dyDescent="0.3">
      <c r="A1430" s="5">
        <v>45339</v>
      </c>
      <c r="B1430" s="6" t="s">
        <v>792</v>
      </c>
      <c r="C1430" s="7" t="s">
        <v>709</v>
      </c>
      <c r="D1430" s="8">
        <v>600</v>
      </c>
    </row>
    <row r="1431" spans="1:4" x14ac:dyDescent="0.3">
      <c r="A1431" s="5">
        <v>45339</v>
      </c>
      <c r="B1431" s="6" t="s">
        <v>790</v>
      </c>
      <c r="C1431" s="7" t="s">
        <v>710</v>
      </c>
      <c r="D1431" s="8">
        <v>26202</v>
      </c>
    </row>
    <row r="1432" spans="1:4" x14ac:dyDescent="0.3">
      <c r="A1432" s="5">
        <v>45341</v>
      </c>
      <c r="B1432" s="6" t="s">
        <v>798</v>
      </c>
      <c r="C1432" s="7" t="s">
        <v>804</v>
      </c>
      <c r="D1432" s="8">
        <v>5046</v>
      </c>
    </row>
    <row r="1433" spans="1:4" x14ac:dyDescent="0.3">
      <c r="A1433" s="5">
        <v>45349</v>
      </c>
      <c r="B1433" s="6" t="s">
        <v>792</v>
      </c>
      <c r="C1433" s="7" t="s">
        <v>711</v>
      </c>
      <c r="D1433" s="8">
        <v>600</v>
      </c>
    </row>
    <row r="1434" spans="1:4" x14ac:dyDescent="0.3">
      <c r="A1434" s="5">
        <v>45349</v>
      </c>
      <c r="B1434" s="6" t="s">
        <v>721</v>
      </c>
      <c r="C1434" s="7" t="s">
        <v>712</v>
      </c>
      <c r="D1434" s="8">
        <v>573.75</v>
      </c>
    </row>
    <row r="1435" spans="1:4" x14ac:dyDescent="0.3">
      <c r="A1435" s="5">
        <v>45349</v>
      </c>
      <c r="B1435" s="6" t="s">
        <v>796</v>
      </c>
      <c r="C1435" s="7" t="s">
        <v>713</v>
      </c>
      <c r="D1435" s="8">
        <v>4988</v>
      </c>
    </row>
    <row r="1436" spans="1:4" x14ac:dyDescent="0.3">
      <c r="A1436" s="5">
        <v>45352</v>
      </c>
      <c r="B1436" s="6" t="s">
        <v>791</v>
      </c>
      <c r="C1436" s="7" t="s">
        <v>805</v>
      </c>
      <c r="D1436" s="8">
        <v>5410</v>
      </c>
    </row>
    <row r="1437" spans="1:4" x14ac:dyDescent="0.3">
      <c r="A1437" s="5">
        <v>45356</v>
      </c>
      <c r="B1437" s="6" t="s">
        <v>792</v>
      </c>
      <c r="C1437" s="7" t="s">
        <v>806</v>
      </c>
      <c r="D1437" s="8">
        <v>600</v>
      </c>
    </row>
    <row r="1438" spans="1:4" x14ac:dyDescent="0.3">
      <c r="A1438" s="5">
        <v>45357</v>
      </c>
      <c r="B1438" s="6" t="s">
        <v>799</v>
      </c>
      <c r="C1438" s="7" t="s">
        <v>177</v>
      </c>
      <c r="D1438" s="8">
        <v>250</v>
      </c>
    </row>
    <row r="1439" spans="1:4" x14ac:dyDescent="0.3">
      <c r="A1439" s="5">
        <v>45357</v>
      </c>
      <c r="B1439" s="6" t="s">
        <v>797</v>
      </c>
      <c r="C1439" s="7" t="s">
        <v>178</v>
      </c>
      <c r="D1439" s="8">
        <v>40</v>
      </c>
    </row>
    <row r="1440" spans="1:4" x14ac:dyDescent="0.3">
      <c r="A1440" s="5">
        <v>45357</v>
      </c>
      <c r="B1440" s="6" t="s">
        <v>795</v>
      </c>
      <c r="C1440" s="7" t="s">
        <v>179</v>
      </c>
      <c r="D1440" s="8">
        <v>46.4</v>
      </c>
    </row>
    <row r="1441" spans="1:4" x14ac:dyDescent="0.3">
      <c r="A1441" s="5">
        <v>45360</v>
      </c>
      <c r="B1441" s="6" t="s">
        <v>792</v>
      </c>
      <c r="C1441" s="7" t="s">
        <v>807</v>
      </c>
      <c r="D1441" s="8">
        <v>600</v>
      </c>
    </row>
    <row r="1442" spans="1:4" x14ac:dyDescent="0.3">
      <c r="A1442" s="5">
        <v>45365</v>
      </c>
      <c r="B1442" s="6" t="s">
        <v>801</v>
      </c>
      <c r="C1442" s="7" t="s">
        <v>808</v>
      </c>
      <c r="D1442" s="8">
        <v>1596</v>
      </c>
    </row>
    <row r="1443" spans="1:4" x14ac:dyDescent="0.3">
      <c r="A1443" s="5">
        <v>45366</v>
      </c>
      <c r="B1443" s="6" t="s">
        <v>792</v>
      </c>
      <c r="C1443" s="7" t="s">
        <v>809</v>
      </c>
      <c r="D1443" s="8">
        <v>600</v>
      </c>
    </row>
    <row r="1444" spans="1:4" x14ac:dyDescent="0.3">
      <c r="A1444" s="5">
        <v>45366</v>
      </c>
      <c r="B1444" s="6" t="s">
        <v>790</v>
      </c>
      <c r="C1444" s="7" t="s">
        <v>810</v>
      </c>
      <c r="D1444" s="8">
        <v>32566</v>
      </c>
    </row>
    <row r="1445" spans="1:4" x14ac:dyDescent="0.3">
      <c r="A1445" s="5">
        <v>45378</v>
      </c>
      <c r="B1445" s="6" t="s">
        <v>792</v>
      </c>
      <c r="C1445" s="7" t="s">
        <v>811</v>
      </c>
      <c r="D1445" s="8">
        <v>600</v>
      </c>
    </row>
    <row r="1446" spans="1:4" x14ac:dyDescent="0.3">
      <c r="A1446" s="5">
        <v>45386</v>
      </c>
      <c r="B1446" s="6" t="s">
        <v>799</v>
      </c>
      <c r="C1446" s="7" t="s">
        <v>177</v>
      </c>
      <c r="D1446" s="8">
        <v>250</v>
      </c>
    </row>
    <row r="1447" spans="1:4" x14ac:dyDescent="0.3">
      <c r="A1447" s="5">
        <v>45386</v>
      </c>
      <c r="B1447" s="6" t="s">
        <v>797</v>
      </c>
      <c r="C1447" s="7" t="s">
        <v>178</v>
      </c>
      <c r="D1447" s="8">
        <v>20</v>
      </c>
    </row>
    <row r="1448" spans="1:4" x14ac:dyDescent="0.3">
      <c r="A1448" s="5">
        <v>45386</v>
      </c>
      <c r="B1448" s="6" t="s">
        <v>795</v>
      </c>
      <c r="C1448" s="7" t="s">
        <v>179</v>
      </c>
      <c r="D1448" s="8">
        <v>43.2</v>
      </c>
    </row>
    <row r="1449" spans="1:4" x14ac:dyDescent="0.3">
      <c r="A1449" s="5">
        <v>45387</v>
      </c>
      <c r="B1449" s="6" t="s">
        <v>792</v>
      </c>
      <c r="C1449" s="7" t="s">
        <v>812</v>
      </c>
      <c r="D1449" s="8">
        <v>400</v>
      </c>
    </row>
    <row r="1450" spans="1:4" x14ac:dyDescent="0.3">
      <c r="A1450" s="5">
        <v>45387</v>
      </c>
      <c r="B1450" s="6" t="s">
        <v>792</v>
      </c>
      <c r="C1450" s="7" t="s">
        <v>813</v>
      </c>
      <c r="D1450" s="8">
        <v>600</v>
      </c>
    </row>
    <row r="1451" spans="1:4" x14ac:dyDescent="0.3">
      <c r="A1451" s="5">
        <v>45398</v>
      </c>
      <c r="B1451" s="6" t="s">
        <v>792</v>
      </c>
      <c r="C1451" s="7" t="s">
        <v>814</v>
      </c>
      <c r="D1451" s="8">
        <v>600</v>
      </c>
    </row>
    <row r="1452" spans="1:4" x14ac:dyDescent="0.3">
      <c r="A1452" s="5">
        <v>45398</v>
      </c>
      <c r="B1452" s="6" t="s">
        <v>801</v>
      </c>
      <c r="C1452" s="7" t="s">
        <v>815</v>
      </c>
      <c r="D1452" s="8">
        <v>399</v>
      </c>
    </row>
    <row r="1453" spans="1:4" x14ac:dyDescent="0.3">
      <c r="A1453" s="5">
        <v>45398</v>
      </c>
      <c r="B1453" s="6" t="s">
        <v>769</v>
      </c>
      <c r="C1453" s="7" t="s">
        <v>816</v>
      </c>
      <c r="D1453" s="8">
        <v>5489.64</v>
      </c>
    </row>
    <row r="1454" spans="1:4" x14ac:dyDescent="0.3">
      <c r="A1454" s="5">
        <v>45401</v>
      </c>
      <c r="B1454" s="6" t="s">
        <v>792</v>
      </c>
      <c r="C1454" s="7" t="s">
        <v>817</v>
      </c>
      <c r="D1454" s="8">
        <v>600</v>
      </c>
    </row>
    <row r="1455" spans="1:4" x14ac:dyDescent="0.3">
      <c r="A1455" s="5">
        <v>45401</v>
      </c>
      <c r="B1455" s="6" t="s">
        <v>790</v>
      </c>
      <c r="C1455" s="7" t="s">
        <v>818</v>
      </c>
      <c r="D1455" s="8">
        <v>24203</v>
      </c>
    </row>
    <row r="1456" spans="1:4" x14ac:dyDescent="0.3">
      <c r="A1456" s="5">
        <v>45412</v>
      </c>
      <c r="B1456" s="6" t="s">
        <v>792</v>
      </c>
      <c r="C1456" s="7" t="s">
        <v>819</v>
      </c>
      <c r="D1456" s="8">
        <v>600</v>
      </c>
    </row>
    <row r="1457" spans="1:4" x14ac:dyDescent="0.3">
      <c r="A1457" s="5">
        <v>45414</v>
      </c>
      <c r="B1457" s="6" t="s">
        <v>791</v>
      </c>
      <c r="C1457" s="7" t="s">
        <v>820</v>
      </c>
      <c r="D1457" s="8">
        <v>4917</v>
      </c>
    </row>
    <row r="1458" spans="1:4" x14ac:dyDescent="0.3">
      <c r="A1458" s="5">
        <v>45418</v>
      </c>
      <c r="B1458" s="6" t="s">
        <v>796</v>
      </c>
      <c r="C1458" s="7" t="s">
        <v>821</v>
      </c>
      <c r="D1458" s="8">
        <v>4988</v>
      </c>
    </row>
    <row r="1459" spans="1:4" x14ac:dyDescent="0.3">
      <c r="A1459" s="5">
        <v>45418</v>
      </c>
      <c r="B1459" s="6" t="s">
        <v>798</v>
      </c>
      <c r="C1459" s="7" t="s">
        <v>822</v>
      </c>
      <c r="D1459" s="8">
        <v>5046</v>
      </c>
    </row>
    <row r="1460" spans="1:4" x14ac:dyDescent="0.3">
      <c r="A1460" s="5">
        <v>45418</v>
      </c>
      <c r="B1460" s="6" t="s">
        <v>798</v>
      </c>
      <c r="C1460" s="7" t="s">
        <v>823</v>
      </c>
      <c r="D1460" s="8">
        <v>5046</v>
      </c>
    </row>
    <row r="1461" spans="1:4" x14ac:dyDescent="0.3">
      <c r="A1461" s="5">
        <v>45418</v>
      </c>
      <c r="B1461" s="6" t="s">
        <v>798</v>
      </c>
      <c r="C1461" s="7" t="s">
        <v>824</v>
      </c>
      <c r="D1461" s="8">
        <v>5046</v>
      </c>
    </row>
    <row r="1462" spans="1:4" x14ac:dyDescent="0.3">
      <c r="A1462" s="5">
        <v>45418</v>
      </c>
      <c r="B1462" s="6" t="s">
        <v>798</v>
      </c>
      <c r="C1462" s="7" t="s">
        <v>825</v>
      </c>
      <c r="D1462" s="8">
        <v>2112.2800000000002</v>
      </c>
    </row>
    <row r="1463" spans="1:4" x14ac:dyDescent="0.3">
      <c r="A1463" s="5">
        <v>45419</v>
      </c>
      <c r="B1463" s="6" t="s">
        <v>799</v>
      </c>
      <c r="C1463" s="7" t="s">
        <v>177</v>
      </c>
      <c r="D1463" s="8">
        <v>250</v>
      </c>
    </row>
    <row r="1464" spans="1:4" x14ac:dyDescent="0.3">
      <c r="A1464" s="5">
        <v>45419</v>
      </c>
      <c r="B1464" s="6" t="s">
        <v>797</v>
      </c>
      <c r="C1464" s="7" t="s">
        <v>178</v>
      </c>
      <c r="D1464" s="8">
        <v>30</v>
      </c>
    </row>
    <row r="1465" spans="1:4" x14ac:dyDescent="0.3">
      <c r="A1465" s="5">
        <v>45419</v>
      </c>
      <c r="B1465" s="6" t="s">
        <v>795</v>
      </c>
      <c r="C1465" s="7" t="s">
        <v>179</v>
      </c>
      <c r="D1465" s="8">
        <v>44.8</v>
      </c>
    </row>
    <row r="1466" spans="1:4" x14ac:dyDescent="0.3">
      <c r="A1466" s="5">
        <v>45425</v>
      </c>
      <c r="B1466" s="6" t="s">
        <v>792</v>
      </c>
      <c r="C1466" s="7" t="s">
        <v>826</v>
      </c>
      <c r="D1466" s="8">
        <v>1600</v>
      </c>
    </row>
    <row r="1467" spans="1:4" x14ac:dyDescent="0.3">
      <c r="A1467" s="5">
        <v>45430</v>
      </c>
      <c r="B1467" s="6" t="s">
        <v>792</v>
      </c>
      <c r="C1467" s="7" t="s">
        <v>827</v>
      </c>
      <c r="D1467" s="8">
        <v>600</v>
      </c>
    </row>
    <row r="1468" spans="1:4" x14ac:dyDescent="0.3">
      <c r="A1468" s="5">
        <v>45433</v>
      </c>
      <c r="B1468" s="6" t="s">
        <v>802</v>
      </c>
      <c r="C1468" s="7" t="s">
        <v>828</v>
      </c>
      <c r="D1468" s="8">
        <v>11016</v>
      </c>
    </row>
    <row r="1469" spans="1:4" x14ac:dyDescent="0.3">
      <c r="A1469" s="5">
        <v>45433</v>
      </c>
      <c r="B1469" s="6" t="s">
        <v>721</v>
      </c>
      <c r="C1469" s="7" t="s">
        <v>829</v>
      </c>
      <c r="D1469" s="8">
        <v>800</v>
      </c>
    </row>
    <row r="1470" spans="1:4" x14ac:dyDescent="0.3">
      <c r="A1470" s="5">
        <v>45437</v>
      </c>
      <c r="B1470" s="6" t="s">
        <v>796</v>
      </c>
      <c r="C1470" s="7" t="s">
        <v>830</v>
      </c>
      <c r="D1470" s="8">
        <v>1012</v>
      </c>
    </row>
    <row r="1471" spans="1:4" x14ac:dyDescent="0.3">
      <c r="A1471" s="5">
        <v>45437</v>
      </c>
      <c r="B1471" s="6" t="s">
        <v>792</v>
      </c>
      <c r="C1471" s="7" t="s">
        <v>831</v>
      </c>
      <c r="D1471" s="8">
        <v>600</v>
      </c>
    </row>
    <row r="1472" spans="1:4" x14ac:dyDescent="0.3">
      <c r="A1472" s="5">
        <v>45439</v>
      </c>
      <c r="B1472" s="6" t="s">
        <v>790</v>
      </c>
      <c r="C1472" s="7" t="s">
        <v>832</v>
      </c>
      <c r="D1472" s="8">
        <v>26581</v>
      </c>
    </row>
    <row r="1473" spans="1:4" x14ac:dyDescent="0.3">
      <c r="A1473" s="5">
        <v>45449</v>
      </c>
      <c r="B1473" s="6" t="s">
        <v>799</v>
      </c>
      <c r="C1473" s="7" t="s">
        <v>177</v>
      </c>
      <c r="D1473" s="8">
        <v>250</v>
      </c>
    </row>
    <row r="1474" spans="1:4" x14ac:dyDescent="0.3">
      <c r="A1474" s="5">
        <v>45449</v>
      </c>
      <c r="B1474" s="6" t="s">
        <v>797</v>
      </c>
      <c r="C1474" s="7" t="s">
        <v>178</v>
      </c>
      <c r="D1474" s="8">
        <v>60</v>
      </c>
    </row>
    <row r="1475" spans="1:4" x14ac:dyDescent="0.3">
      <c r="A1475" s="5">
        <v>45449</v>
      </c>
      <c r="B1475" s="6" t="s">
        <v>795</v>
      </c>
      <c r="C1475" s="7" t="s">
        <v>179</v>
      </c>
      <c r="D1475" s="8">
        <v>49.6</v>
      </c>
    </row>
    <row r="1476" spans="1:4" x14ac:dyDescent="0.3">
      <c r="A1476" s="5">
        <v>45450</v>
      </c>
      <c r="B1476" s="6" t="s">
        <v>796</v>
      </c>
      <c r="C1476" s="7" t="s">
        <v>833</v>
      </c>
      <c r="D1476" s="8">
        <v>4988</v>
      </c>
    </row>
    <row r="1477" spans="1:4" x14ac:dyDescent="0.3">
      <c r="A1477" s="5">
        <v>45450</v>
      </c>
      <c r="B1477" s="6" t="s">
        <v>802</v>
      </c>
      <c r="C1477" s="7" t="s">
        <v>834</v>
      </c>
      <c r="D1477" s="8">
        <v>12852</v>
      </c>
    </row>
    <row r="1478" spans="1:4" x14ac:dyDescent="0.3">
      <c r="A1478" s="5">
        <v>45450</v>
      </c>
      <c r="B1478" s="6" t="s">
        <v>792</v>
      </c>
      <c r="C1478" s="7" t="s">
        <v>835</v>
      </c>
      <c r="D1478" s="8">
        <v>800</v>
      </c>
    </row>
    <row r="1479" spans="1:4" x14ac:dyDescent="0.3">
      <c r="A1479" s="5">
        <v>45450</v>
      </c>
      <c r="B1479" s="6" t="s">
        <v>801</v>
      </c>
      <c r="C1479" s="7" t="s">
        <v>836</v>
      </c>
      <c r="D1479" s="8">
        <v>399</v>
      </c>
    </row>
    <row r="1480" spans="1:4" x14ac:dyDescent="0.3">
      <c r="A1480" s="5">
        <v>45462</v>
      </c>
      <c r="B1480" s="6" t="s">
        <v>763</v>
      </c>
      <c r="C1480" s="7" t="s">
        <v>837</v>
      </c>
      <c r="D1480" s="8">
        <v>812</v>
      </c>
    </row>
    <row r="1481" spans="1:4" x14ac:dyDescent="0.3">
      <c r="A1481" s="5">
        <v>45462</v>
      </c>
      <c r="B1481" s="6" t="s">
        <v>802</v>
      </c>
      <c r="C1481" s="7" t="s">
        <v>838</v>
      </c>
      <c r="D1481" s="8">
        <v>6426</v>
      </c>
    </row>
    <row r="1482" spans="1:4" x14ac:dyDescent="0.3">
      <c r="A1482" s="5">
        <v>45462</v>
      </c>
      <c r="B1482" s="6" t="s">
        <v>790</v>
      </c>
      <c r="C1482" s="7" t="s">
        <v>839</v>
      </c>
      <c r="D1482" s="8">
        <v>20559</v>
      </c>
    </row>
    <row r="1483" spans="1:4" x14ac:dyDescent="0.3">
      <c r="A1483" s="5">
        <v>45462</v>
      </c>
      <c r="B1483" s="6" t="s">
        <v>792</v>
      </c>
      <c r="C1483" s="7" t="s">
        <v>840</v>
      </c>
      <c r="D1483" s="8">
        <v>600</v>
      </c>
    </row>
    <row r="1484" spans="1:4" x14ac:dyDescent="0.3">
      <c r="A1484" s="5">
        <v>45462</v>
      </c>
      <c r="B1484" s="6" t="s">
        <v>798</v>
      </c>
      <c r="C1484" s="7" t="s">
        <v>841</v>
      </c>
      <c r="D1484" s="8">
        <v>5046</v>
      </c>
    </row>
    <row r="1485" spans="1:4" x14ac:dyDescent="0.3">
      <c r="A1485" s="5">
        <v>45468</v>
      </c>
      <c r="B1485" s="6" t="s">
        <v>792</v>
      </c>
      <c r="C1485" s="7" t="s">
        <v>842</v>
      </c>
      <c r="D1485" s="8">
        <v>700</v>
      </c>
    </row>
    <row r="1486" spans="1:4" x14ac:dyDescent="0.3">
      <c r="A1486" s="5">
        <v>45474</v>
      </c>
      <c r="B1486" s="6" t="s">
        <v>792</v>
      </c>
      <c r="C1486" s="7" t="s">
        <v>843</v>
      </c>
      <c r="D1486" s="8">
        <v>600</v>
      </c>
    </row>
    <row r="1487" spans="1:4" x14ac:dyDescent="0.3">
      <c r="A1487" s="5">
        <v>45474</v>
      </c>
      <c r="B1487" s="6" t="s">
        <v>802</v>
      </c>
      <c r="C1487" s="7" t="s">
        <v>844</v>
      </c>
      <c r="D1487" s="8">
        <v>2754</v>
      </c>
    </row>
    <row r="1488" spans="1:4" x14ac:dyDescent="0.3">
      <c r="A1488" s="5">
        <v>45476</v>
      </c>
      <c r="B1488" s="6" t="s">
        <v>791</v>
      </c>
      <c r="C1488" s="7" t="s">
        <v>845</v>
      </c>
      <c r="D1488" s="8">
        <v>4551</v>
      </c>
    </row>
    <row r="1489" spans="1:4" x14ac:dyDescent="0.3">
      <c r="A1489" s="5">
        <v>45477</v>
      </c>
      <c r="B1489" s="6" t="s">
        <v>799</v>
      </c>
      <c r="C1489" s="7" t="s">
        <v>177</v>
      </c>
      <c r="D1489" s="8">
        <v>250</v>
      </c>
    </row>
    <row r="1490" spans="1:4" x14ac:dyDescent="0.3">
      <c r="A1490" s="5">
        <v>45477</v>
      </c>
      <c r="B1490" s="6" t="s">
        <v>797</v>
      </c>
      <c r="C1490" s="7" t="s">
        <v>178</v>
      </c>
      <c r="D1490" s="8">
        <v>45</v>
      </c>
    </row>
    <row r="1491" spans="1:4" x14ac:dyDescent="0.3">
      <c r="A1491" s="5">
        <v>45477</v>
      </c>
      <c r="B1491" s="6" t="s">
        <v>795</v>
      </c>
      <c r="C1491" s="7" t="s">
        <v>179</v>
      </c>
      <c r="D1491" s="8">
        <v>47.2</v>
      </c>
    </row>
    <row r="1492" spans="1:4" x14ac:dyDescent="0.3">
      <c r="A1492" s="5">
        <v>45478</v>
      </c>
      <c r="B1492" s="6" t="s">
        <v>792</v>
      </c>
      <c r="C1492" s="7" t="s">
        <v>846</v>
      </c>
      <c r="D1492" s="8">
        <v>500</v>
      </c>
    </row>
    <row r="1493" spans="1:4" x14ac:dyDescent="0.3">
      <c r="A1493" s="5">
        <v>45478</v>
      </c>
      <c r="B1493" s="6" t="s">
        <v>802</v>
      </c>
      <c r="C1493" s="7" t="s">
        <v>847</v>
      </c>
      <c r="D1493" s="8">
        <v>3285.77</v>
      </c>
    </row>
    <row r="1494" spans="1:4" x14ac:dyDescent="0.3">
      <c r="A1494" s="5">
        <v>45478</v>
      </c>
      <c r="B1494" s="6" t="s">
        <v>801</v>
      </c>
      <c r="C1494" s="7" t="s">
        <v>848</v>
      </c>
      <c r="D1494" s="8">
        <v>332</v>
      </c>
    </row>
    <row r="1495" spans="1:4" x14ac:dyDescent="0.3">
      <c r="A1495" s="5">
        <v>45487</v>
      </c>
      <c r="B1495" s="6" t="s">
        <v>790</v>
      </c>
      <c r="C1495" s="7" t="s">
        <v>849</v>
      </c>
      <c r="D1495" s="8">
        <v>30819</v>
      </c>
    </row>
    <row r="1496" spans="1:4" x14ac:dyDescent="0.3">
      <c r="A1496" s="5">
        <v>45487</v>
      </c>
      <c r="B1496" s="6" t="s">
        <v>796</v>
      </c>
      <c r="C1496" s="7" t="s">
        <v>850</v>
      </c>
      <c r="D1496" s="8">
        <v>5568</v>
      </c>
    </row>
    <row r="1497" spans="1:4" x14ac:dyDescent="0.3">
      <c r="A1497" s="5">
        <v>45489</v>
      </c>
      <c r="B1497" s="6" t="s">
        <v>782</v>
      </c>
      <c r="C1497" s="7" t="s">
        <v>851</v>
      </c>
      <c r="D1497" s="8">
        <v>1491.75</v>
      </c>
    </row>
    <row r="1498" spans="1:4" x14ac:dyDescent="0.3">
      <c r="A1498" s="5">
        <v>45495</v>
      </c>
      <c r="B1498" s="6" t="s">
        <v>792</v>
      </c>
      <c r="C1498" s="7" t="s">
        <v>852</v>
      </c>
      <c r="D1498" s="8">
        <v>1300</v>
      </c>
    </row>
    <row r="1499" spans="1:4" x14ac:dyDescent="0.3">
      <c r="A1499" s="5">
        <v>45503</v>
      </c>
      <c r="B1499" s="6" t="s">
        <v>790</v>
      </c>
      <c r="C1499" s="7" t="s">
        <v>853</v>
      </c>
      <c r="D1499" s="8">
        <v>22053</v>
      </c>
    </row>
    <row r="1500" spans="1:4" x14ac:dyDescent="0.3">
      <c r="A1500" s="5">
        <v>45510</v>
      </c>
      <c r="B1500" s="6" t="s">
        <v>799</v>
      </c>
      <c r="C1500" s="7" t="s">
        <v>177</v>
      </c>
      <c r="D1500" s="8">
        <v>250</v>
      </c>
    </row>
    <row r="1501" spans="1:4" x14ac:dyDescent="0.3">
      <c r="A1501" s="5">
        <v>45510</v>
      </c>
      <c r="B1501" s="6" t="s">
        <v>797</v>
      </c>
      <c r="C1501" s="7" t="s">
        <v>178</v>
      </c>
      <c r="D1501" s="8">
        <v>45</v>
      </c>
    </row>
    <row r="1502" spans="1:4" x14ac:dyDescent="0.3">
      <c r="A1502" s="5">
        <v>45510</v>
      </c>
      <c r="B1502" s="6" t="s">
        <v>795</v>
      </c>
      <c r="C1502" s="7" t="s">
        <v>179</v>
      </c>
      <c r="D1502" s="8">
        <v>47.2</v>
      </c>
    </row>
    <row r="1503" spans="1:4" x14ac:dyDescent="0.3">
      <c r="A1503" s="5">
        <v>45510</v>
      </c>
      <c r="B1503" s="6" t="s">
        <v>801</v>
      </c>
      <c r="C1503" s="7" t="s">
        <v>854</v>
      </c>
      <c r="D1503" s="8">
        <v>399</v>
      </c>
    </row>
    <row r="1504" spans="1:4" x14ac:dyDescent="0.3">
      <c r="A1504" s="5">
        <v>45510</v>
      </c>
      <c r="B1504" s="6" t="s">
        <v>792</v>
      </c>
      <c r="C1504" s="7" t="s">
        <v>855</v>
      </c>
      <c r="D1504" s="8">
        <v>500</v>
      </c>
    </row>
    <row r="1505" spans="1:4" x14ac:dyDescent="0.3">
      <c r="A1505" s="5">
        <v>45510</v>
      </c>
      <c r="B1505" s="6" t="s">
        <v>798</v>
      </c>
      <c r="C1505" s="7" t="s">
        <v>856</v>
      </c>
      <c r="D1505" s="8">
        <v>4459.25</v>
      </c>
    </row>
    <row r="1506" spans="1:4" x14ac:dyDescent="0.3">
      <c r="A1506" s="5">
        <v>45510</v>
      </c>
      <c r="B1506" s="6" t="s">
        <v>726</v>
      </c>
      <c r="C1506" s="7" t="s">
        <v>857</v>
      </c>
      <c r="D1506" s="8">
        <v>6554</v>
      </c>
    </row>
    <row r="1507" spans="1:4" x14ac:dyDescent="0.3">
      <c r="A1507" s="5">
        <v>45513</v>
      </c>
      <c r="B1507" s="6" t="s">
        <v>757</v>
      </c>
      <c r="C1507" s="7" t="s">
        <v>858</v>
      </c>
      <c r="D1507" s="8">
        <v>6530.66</v>
      </c>
    </row>
    <row r="1508" spans="1:4" x14ac:dyDescent="0.3">
      <c r="A1508" s="5">
        <v>45518</v>
      </c>
      <c r="B1508" s="6" t="s">
        <v>792</v>
      </c>
      <c r="C1508" s="7" t="s">
        <v>859</v>
      </c>
      <c r="D1508" s="8">
        <v>600</v>
      </c>
    </row>
    <row r="1509" spans="1:4" x14ac:dyDescent="0.3">
      <c r="A1509" s="5">
        <v>45530</v>
      </c>
      <c r="B1509" s="6" t="s">
        <v>790</v>
      </c>
      <c r="C1509" s="7" t="s">
        <v>860</v>
      </c>
      <c r="D1509" s="8">
        <v>25535</v>
      </c>
    </row>
    <row r="1510" spans="1:4" x14ac:dyDescent="0.3">
      <c r="A1510" s="5">
        <v>45530</v>
      </c>
      <c r="B1510" s="6" t="s">
        <v>792</v>
      </c>
      <c r="C1510" s="7" t="s">
        <v>861</v>
      </c>
      <c r="D1510" s="8">
        <v>800</v>
      </c>
    </row>
    <row r="1511" spans="1:4" x14ac:dyDescent="0.3">
      <c r="A1511" s="5">
        <v>45533</v>
      </c>
      <c r="B1511" s="6" t="s">
        <v>796</v>
      </c>
      <c r="C1511" s="7" t="s">
        <v>862</v>
      </c>
      <c r="D1511" s="8">
        <v>2842</v>
      </c>
    </row>
    <row r="1512" spans="1:4" x14ac:dyDescent="0.3">
      <c r="A1512" s="5">
        <v>45539</v>
      </c>
      <c r="B1512" s="6" t="s">
        <v>791</v>
      </c>
      <c r="C1512" s="7" t="s">
        <v>863</v>
      </c>
      <c r="D1512" s="8">
        <v>3961</v>
      </c>
    </row>
    <row r="1513" spans="1:4" x14ac:dyDescent="0.3">
      <c r="A1513" s="5">
        <v>45540</v>
      </c>
      <c r="B1513" s="6" t="s">
        <v>799</v>
      </c>
      <c r="C1513" s="7" t="s">
        <v>177</v>
      </c>
      <c r="D1513" s="8">
        <v>250</v>
      </c>
    </row>
    <row r="1514" spans="1:4" x14ac:dyDescent="0.3">
      <c r="A1514" s="5">
        <v>45540</v>
      </c>
      <c r="B1514" s="6" t="s">
        <v>797</v>
      </c>
      <c r="C1514" s="7" t="s">
        <v>178</v>
      </c>
      <c r="D1514" s="8">
        <v>40</v>
      </c>
    </row>
    <row r="1515" spans="1:4" x14ac:dyDescent="0.3">
      <c r="A1515" s="5">
        <v>45540</v>
      </c>
      <c r="B1515" s="6" t="s">
        <v>795</v>
      </c>
      <c r="C1515" s="7" t="s">
        <v>179</v>
      </c>
      <c r="D1515" s="8">
        <v>46.4</v>
      </c>
    </row>
    <row r="1516" spans="1:4" x14ac:dyDescent="0.3">
      <c r="A1516" s="5">
        <v>45540</v>
      </c>
      <c r="B1516" s="6" t="s">
        <v>801</v>
      </c>
      <c r="C1516" s="7" t="s">
        <v>864</v>
      </c>
      <c r="D1516" s="8">
        <v>265</v>
      </c>
    </row>
    <row r="1517" spans="1:4" x14ac:dyDescent="0.3">
      <c r="A1517" s="5">
        <v>45541</v>
      </c>
      <c r="B1517" s="6" t="s">
        <v>796</v>
      </c>
      <c r="C1517" s="7" t="s">
        <v>865</v>
      </c>
      <c r="D1517" s="8">
        <v>5800</v>
      </c>
    </row>
    <row r="1518" spans="1:4" x14ac:dyDescent="0.3">
      <c r="A1518" s="5">
        <v>45541</v>
      </c>
      <c r="B1518" s="6" t="s">
        <v>796</v>
      </c>
      <c r="C1518" s="7" t="s">
        <v>866</v>
      </c>
      <c r="D1518" s="8">
        <v>4988</v>
      </c>
    </row>
    <row r="1519" spans="1:4" x14ac:dyDescent="0.3">
      <c r="A1519" s="5">
        <v>45541</v>
      </c>
      <c r="B1519" s="6" t="s">
        <v>798</v>
      </c>
      <c r="C1519" s="7" t="s">
        <v>867</v>
      </c>
      <c r="D1519" s="8">
        <v>5046</v>
      </c>
    </row>
    <row r="1520" spans="1:4" x14ac:dyDescent="0.3">
      <c r="A1520" s="5">
        <v>45541</v>
      </c>
      <c r="B1520" s="6" t="s">
        <v>792</v>
      </c>
      <c r="C1520" s="7" t="s">
        <v>868</v>
      </c>
      <c r="D1520" s="8">
        <v>600</v>
      </c>
    </row>
    <row r="1521" spans="1:4" x14ac:dyDescent="0.3">
      <c r="A1521" s="5">
        <v>45544</v>
      </c>
      <c r="B1521" s="6" t="s">
        <v>796</v>
      </c>
      <c r="C1521" s="7" t="s">
        <v>869</v>
      </c>
      <c r="D1521" s="8">
        <v>590</v>
      </c>
    </row>
    <row r="1522" spans="1:4" x14ac:dyDescent="0.3">
      <c r="A1522" s="5">
        <v>45544</v>
      </c>
      <c r="B1522" s="6" t="s">
        <v>796</v>
      </c>
      <c r="C1522" s="7" t="s">
        <v>870</v>
      </c>
      <c r="D1522" s="8">
        <v>2436</v>
      </c>
    </row>
    <row r="1523" spans="1:4" x14ac:dyDescent="0.3">
      <c r="A1523" s="5">
        <v>45561</v>
      </c>
      <c r="B1523" s="6" t="s">
        <v>790</v>
      </c>
      <c r="C1523" s="7" t="s">
        <v>871</v>
      </c>
      <c r="D1523" s="8">
        <v>20000</v>
      </c>
    </row>
    <row r="1524" spans="1:4" x14ac:dyDescent="0.3">
      <c r="A1524" s="5">
        <v>45561</v>
      </c>
      <c r="B1524" s="6" t="s">
        <v>792</v>
      </c>
      <c r="C1524" s="7" t="s">
        <v>872</v>
      </c>
      <c r="D1524" s="8">
        <v>800</v>
      </c>
    </row>
    <row r="1525" spans="1:4" x14ac:dyDescent="0.3">
      <c r="A1525" s="5">
        <v>45563</v>
      </c>
      <c r="B1525" s="6" t="s">
        <v>782</v>
      </c>
      <c r="C1525" s="7" t="s">
        <v>873</v>
      </c>
      <c r="D1525" s="8">
        <v>1500</v>
      </c>
    </row>
    <row r="1526" spans="1:4" x14ac:dyDescent="0.3">
      <c r="A1526" s="5">
        <v>45569</v>
      </c>
      <c r="B1526" s="6" t="s">
        <v>799</v>
      </c>
      <c r="C1526" s="7" t="s">
        <v>177</v>
      </c>
      <c r="D1526" s="8">
        <v>250</v>
      </c>
    </row>
    <row r="1527" spans="1:4" x14ac:dyDescent="0.3">
      <c r="A1527" s="5">
        <v>45569</v>
      </c>
      <c r="B1527" s="6" t="s">
        <v>797</v>
      </c>
      <c r="C1527" s="7" t="s">
        <v>178</v>
      </c>
      <c r="D1527" s="8">
        <v>40</v>
      </c>
    </row>
    <row r="1528" spans="1:4" x14ac:dyDescent="0.3">
      <c r="A1528" s="5">
        <v>45569</v>
      </c>
      <c r="B1528" s="6" t="s">
        <v>795</v>
      </c>
      <c r="C1528" s="7" t="s">
        <v>179</v>
      </c>
      <c r="D1528" s="8">
        <v>46.4</v>
      </c>
    </row>
    <row r="1529" spans="1:4" x14ac:dyDescent="0.3">
      <c r="A1529" s="5">
        <v>45572</v>
      </c>
      <c r="B1529" s="6" t="s">
        <v>796</v>
      </c>
      <c r="C1529" s="7" t="s">
        <v>874</v>
      </c>
      <c r="D1529" s="8">
        <v>4330.66</v>
      </c>
    </row>
    <row r="1530" spans="1:4" x14ac:dyDescent="0.3">
      <c r="A1530" s="5">
        <v>45572</v>
      </c>
      <c r="B1530" s="6" t="s">
        <v>798</v>
      </c>
      <c r="C1530" s="7" t="s">
        <v>875</v>
      </c>
      <c r="D1530" s="8">
        <v>5046</v>
      </c>
    </row>
    <row r="1531" spans="1:4" x14ac:dyDescent="0.3">
      <c r="A1531" s="5">
        <v>45572</v>
      </c>
      <c r="B1531" s="6" t="s">
        <v>792</v>
      </c>
      <c r="C1531" s="7" t="s">
        <v>876</v>
      </c>
      <c r="D1531" s="8">
        <v>400</v>
      </c>
    </row>
    <row r="1532" spans="1:4" x14ac:dyDescent="0.3">
      <c r="A1532" s="5">
        <v>45572</v>
      </c>
      <c r="B1532" s="6" t="s">
        <v>801</v>
      </c>
      <c r="C1532" s="7" t="s">
        <v>877</v>
      </c>
      <c r="D1532" s="8">
        <v>386</v>
      </c>
    </row>
    <row r="1533" spans="1:4" x14ac:dyDescent="0.3">
      <c r="A1533" s="5">
        <v>45582</v>
      </c>
      <c r="B1533" s="6" t="s">
        <v>796</v>
      </c>
      <c r="C1533" s="7" t="s">
        <v>878</v>
      </c>
      <c r="D1533" s="8">
        <v>6000</v>
      </c>
    </row>
    <row r="1534" spans="1:4" x14ac:dyDescent="0.3">
      <c r="A1534" s="5">
        <v>45590</v>
      </c>
      <c r="B1534" s="6" t="s">
        <v>790</v>
      </c>
      <c r="C1534" s="7" t="s">
        <v>879</v>
      </c>
      <c r="D1534" s="8">
        <v>16936</v>
      </c>
    </row>
    <row r="1535" spans="1:4" x14ac:dyDescent="0.3">
      <c r="A1535" s="5">
        <v>45597</v>
      </c>
      <c r="B1535" s="6" t="s">
        <v>791</v>
      </c>
      <c r="C1535" s="7" t="s">
        <v>538</v>
      </c>
      <c r="D1535" s="8">
        <v>4148</v>
      </c>
    </row>
    <row r="1536" spans="1:4" x14ac:dyDescent="0.3">
      <c r="A1536" s="5">
        <v>45604</v>
      </c>
      <c r="B1536" s="6" t="s">
        <v>798</v>
      </c>
      <c r="C1536" s="7" t="s">
        <v>880</v>
      </c>
      <c r="D1536" s="8">
        <v>5046</v>
      </c>
    </row>
    <row r="1537" spans="1:4" x14ac:dyDescent="0.3">
      <c r="A1537" s="5">
        <v>45604</v>
      </c>
      <c r="B1537" s="6" t="s">
        <v>801</v>
      </c>
      <c r="C1537" s="7" t="s">
        <v>881</v>
      </c>
      <c r="D1537" s="8">
        <v>399</v>
      </c>
    </row>
    <row r="1538" spans="1:4" x14ac:dyDescent="0.3">
      <c r="A1538" s="5">
        <v>45617</v>
      </c>
      <c r="B1538" s="6" t="s">
        <v>799</v>
      </c>
      <c r="C1538" s="7" t="s">
        <v>177</v>
      </c>
      <c r="D1538" s="8">
        <v>250</v>
      </c>
    </row>
    <row r="1539" spans="1:4" x14ac:dyDescent="0.3">
      <c r="A1539" s="5">
        <v>45617</v>
      </c>
      <c r="B1539" s="6" t="s">
        <v>797</v>
      </c>
      <c r="C1539" s="7" t="s">
        <v>178</v>
      </c>
      <c r="D1539" s="8">
        <v>25</v>
      </c>
    </row>
    <row r="1540" spans="1:4" x14ac:dyDescent="0.3">
      <c r="A1540" s="5">
        <v>45617</v>
      </c>
      <c r="B1540" s="6" t="s">
        <v>795</v>
      </c>
      <c r="C1540" s="7" t="s">
        <v>179</v>
      </c>
      <c r="D1540" s="8">
        <v>44</v>
      </c>
    </row>
    <row r="1541" spans="1:4" x14ac:dyDescent="0.3">
      <c r="A1541" s="5">
        <v>45627</v>
      </c>
      <c r="B1541" s="6" t="s">
        <v>790</v>
      </c>
      <c r="C1541" s="7" t="s">
        <v>882</v>
      </c>
      <c r="D1541" s="8">
        <v>22000</v>
      </c>
    </row>
    <row r="1542" spans="1:4" x14ac:dyDescent="0.3">
      <c r="A1542" s="5">
        <v>45628</v>
      </c>
      <c r="B1542" s="6" t="s">
        <v>790</v>
      </c>
      <c r="C1542" s="7" t="s">
        <v>883</v>
      </c>
      <c r="D1542" s="8">
        <v>9434</v>
      </c>
    </row>
    <row r="1543" spans="1:4" x14ac:dyDescent="0.3">
      <c r="A1543" s="5">
        <v>45631</v>
      </c>
      <c r="B1543" s="6" t="s">
        <v>799</v>
      </c>
      <c r="C1543" s="7" t="s">
        <v>177</v>
      </c>
      <c r="D1543" s="8">
        <v>250</v>
      </c>
    </row>
    <row r="1544" spans="1:4" x14ac:dyDescent="0.3">
      <c r="A1544" s="5">
        <v>45631</v>
      </c>
      <c r="B1544" s="6" t="s">
        <v>797</v>
      </c>
      <c r="C1544" s="7" t="s">
        <v>178</v>
      </c>
      <c r="D1544" s="8">
        <v>10</v>
      </c>
    </row>
    <row r="1545" spans="1:4" x14ac:dyDescent="0.3">
      <c r="A1545" s="5">
        <v>45631</v>
      </c>
      <c r="B1545" s="6" t="s">
        <v>795</v>
      </c>
      <c r="C1545" s="7" t="s">
        <v>179</v>
      </c>
      <c r="D1545" s="8">
        <v>41.6</v>
      </c>
    </row>
    <row r="1546" spans="1:4" x14ac:dyDescent="0.3">
      <c r="A1546" s="5">
        <v>45638</v>
      </c>
      <c r="B1546" s="6" t="s">
        <v>798</v>
      </c>
      <c r="C1546" s="7" t="s">
        <v>884</v>
      </c>
      <c r="D1546" s="8">
        <v>5046</v>
      </c>
    </row>
    <row r="1547" spans="1:4" x14ac:dyDescent="0.3">
      <c r="A1547" s="5">
        <v>45638</v>
      </c>
      <c r="B1547" s="6" t="s">
        <v>796</v>
      </c>
      <c r="C1547" s="7" t="s">
        <v>885</v>
      </c>
      <c r="D1547" s="8">
        <v>4988</v>
      </c>
    </row>
    <row r="1548" spans="1:4" x14ac:dyDescent="0.3">
      <c r="A1548" s="5">
        <v>45638</v>
      </c>
      <c r="B1548" s="6" t="s">
        <v>801</v>
      </c>
      <c r="C1548" s="7" t="s">
        <v>886</v>
      </c>
      <c r="D1548" s="8">
        <v>399</v>
      </c>
    </row>
    <row r="1549" spans="1:4" x14ac:dyDescent="0.3">
      <c r="A1549" s="5">
        <v>45639</v>
      </c>
      <c r="B1549" s="6" t="s">
        <v>802</v>
      </c>
      <c r="C1549" s="7" t="s">
        <v>887</v>
      </c>
      <c r="D1549" s="8">
        <v>9180</v>
      </c>
    </row>
    <row r="1550" spans="1:4" x14ac:dyDescent="0.3">
      <c r="A1550" s="5">
        <v>45659</v>
      </c>
      <c r="B1550" s="6" t="s">
        <v>791</v>
      </c>
      <c r="C1550" s="7" t="s">
        <v>888</v>
      </c>
      <c r="D1550" s="8">
        <v>4122</v>
      </c>
    </row>
    <row r="1551" spans="1:4" x14ac:dyDescent="0.3">
      <c r="A1551" s="5">
        <v>45659</v>
      </c>
      <c r="B1551" s="6" t="s">
        <v>791</v>
      </c>
      <c r="C1551" s="7" t="s">
        <v>888</v>
      </c>
      <c r="D1551" s="8">
        <v>4122</v>
      </c>
    </row>
    <row r="1552" spans="1:4" x14ac:dyDescent="0.3">
      <c r="A1552" s="5">
        <v>45661</v>
      </c>
      <c r="B1552" s="6" t="s">
        <v>790</v>
      </c>
      <c r="C1552" s="7" t="s">
        <v>889</v>
      </c>
      <c r="D1552" s="8">
        <v>34437</v>
      </c>
    </row>
    <row r="1553" spans="1:4" x14ac:dyDescent="0.3">
      <c r="A1553" s="5">
        <v>45661</v>
      </c>
      <c r="B1553" s="6" t="s">
        <v>798</v>
      </c>
      <c r="C1553" s="7" t="s">
        <v>890</v>
      </c>
      <c r="D1553" s="8">
        <v>5046</v>
      </c>
    </row>
    <row r="1554" spans="1:4" x14ac:dyDescent="0.3">
      <c r="A1554" s="5">
        <v>45662</v>
      </c>
      <c r="B1554" s="6" t="s">
        <v>801</v>
      </c>
      <c r="C1554" s="7" t="s">
        <v>891</v>
      </c>
      <c r="D1554" s="8">
        <v>399</v>
      </c>
    </row>
    <row r="1555" spans="1:4" x14ac:dyDescent="0.3">
      <c r="A1555" s="5">
        <v>45662</v>
      </c>
      <c r="B1555" s="6" t="s">
        <v>796</v>
      </c>
      <c r="C1555" s="7" t="s">
        <v>892</v>
      </c>
      <c r="D1555" s="8">
        <v>4988</v>
      </c>
    </row>
    <row r="1556" spans="1:4" x14ac:dyDescent="0.3">
      <c r="A1556" s="5">
        <v>45664</v>
      </c>
      <c r="B1556" s="6" t="s">
        <v>799</v>
      </c>
      <c r="C1556" s="7" t="s">
        <v>177</v>
      </c>
      <c r="D1556" s="8">
        <v>250</v>
      </c>
    </row>
    <row r="1557" spans="1:4" x14ac:dyDescent="0.3">
      <c r="A1557" s="5">
        <v>45664</v>
      </c>
      <c r="B1557" s="6" t="s">
        <v>797</v>
      </c>
      <c r="C1557" s="7" t="s">
        <v>178</v>
      </c>
      <c r="D1557" s="8">
        <v>20</v>
      </c>
    </row>
    <row r="1558" spans="1:4" x14ac:dyDescent="0.3">
      <c r="A1558" s="5">
        <v>45664</v>
      </c>
      <c r="B1558" s="6" t="s">
        <v>795</v>
      </c>
      <c r="C1558" s="7" t="s">
        <v>179</v>
      </c>
      <c r="D1558" s="8">
        <v>43.2</v>
      </c>
    </row>
    <row r="1559" spans="1:4" x14ac:dyDescent="0.3">
      <c r="A1559" s="5">
        <v>45670</v>
      </c>
      <c r="B1559" s="6" t="s">
        <v>790</v>
      </c>
      <c r="C1559" s="7" t="s">
        <v>893</v>
      </c>
      <c r="D1559" s="8">
        <v>39421</v>
      </c>
    </row>
    <row r="1560" spans="1:4" x14ac:dyDescent="0.3">
      <c r="A1560" s="5">
        <v>45670</v>
      </c>
      <c r="B1560" s="6" t="s">
        <v>802</v>
      </c>
      <c r="C1560" s="7" t="s">
        <v>894</v>
      </c>
      <c r="D1560" s="8">
        <v>12852</v>
      </c>
    </row>
    <row r="1561" spans="1:4" x14ac:dyDescent="0.3">
      <c r="A1561" s="5">
        <v>45679</v>
      </c>
      <c r="B1561" s="6" t="s">
        <v>790</v>
      </c>
      <c r="C1561" s="7" t="s">
        <v>895</v>
      </c>
      <c r="D1561" s="8">
        <v>42462</v>
      </c>
    </row>
    <row r="1562" spans="1:4" x14ac:dyDescent="0.3">
      <c r="A1562" s="5">
        <v>45701</v>
      </c>
      <c r="B1562" s="6" t="s">
        <v>795</v>
      </c>
      <c r="C1562" s="7" t="s">
        <v>177</v>
      </c>
      <c r="D1562" s="8">
        <v>250</v>
      </c>
    </row>
    <row r="1563" spans="1:4" x14ac:dyDescent="0.3">
      <c r="A1563" s="5">
        <v>45701</v>
      </c>
      <c r="B1563" s="6" t="s">
        <v>797</v>
      </c>
      <c r="C1563" s="7" t="s">
        <v>178</v>
      </c>
      <c r="D1563" s="8">
        <v>30</v>
      </c>
    </row>
    <row r="1564" spans="1:4" x14ac:dyDescent="0.3">
      <c r="A1564" s="5">
        <v>45701</v>
      </c>
      <c r="B1564" s="6" t="s">
        <v>795</v>
      </c>
      <c r="C1564" s="7" t="s">
        <v>179</v>
      </c>
      <c r="D1564" s="8">
        <v>44.8</v>
      </c>
    </row>
    <row r="1565" spans="1:4" x14ac:dyDescent="0.3">
      <c r="A1565" s="5">
        <v>45705</v>
      </c>
      <c r="B1565" s="6" t="s">
        <v>801</v>
      </c>
      <c r="C1565" s="7" t="s">
        <v>896</v>
      </c>
      <c r="D1565" s="8">
        <v>399</v>
      </c>
    </row>
    <row r="1566" spans="1:4" x14ac:dyDescent="0.3">
      <c r="A1566" s="5">
        <v>45705</v>
      </c>
      <c r="B1566" s="6" t="s">
        <v>798</v>
      </c>
      <c r="C1566" s="7" t="s">
        <v>897</v>
      </c>
      <c r="D1566" s="8">
        <v>6055.2</v>
      </c>
    </row>
    <row r="1567" spans="1:4" x14ac:dyDescent="0.3">
      <c r="A1567" s="5">
        <v>45705</v>
      </c>
      <c r="B1567" s="6" t="s">
        <v>796</v>
      </c>
      <c r="C1567" s="7" t="s">
        <v>885</v>
      </c>
      <c r="D1567" s="8">
        <v>4988</v>
      </c>
    </row>
    <row r="1568" spans="1:4" x14ac:dyDescent="0.3">
      <c r="A1568" s="5">
        <v>45705</v>
      </c>
      <c r="B1568" s="6" t="s">
        <v>792</v>
      </c>
      <c r="C1568" s="7" t="s">
        <v>711</v>
      </c>
      <c r="D1568" s="8">
        <v>1700</v>
      </c>
    </row>
    <row r="1569" spans="1:4" x14ac:dyDescent="0.3">
      <c r="A1569" s="5">
        <v>45707</v>
      </c>
      <c r="B1569" s="6" t="s">
        <v>792</v>
      </c>
      <c r="C1569" s="7" t="s">
        <v>707</v>
      </c>
      <c r="D1569" s="8">
        <v>1800</v>
      </c>
    </row>
    <row r="1570" spans="1:4" x14ac:dyDescent="0.3">
      <c r="A1570" s="5">
        <v>45715</v>
      </c>
      <c r="B1570" s="6" t="s">
        <v>792</v>
      </c>
      <c r="C1570" s="7" t="s">
        <v>711</v>
      </c>
      <c r="D1570" s="8">
        <v>1300</v>
      </c>
    </row>
    <row r="1571" spans="1:4" x14ac:dyDescent="0.3">
      <c r="A1571" s="5">
        <v>45715</v>
      </c>
      <c r="B1571" s="6" t="s">
        <v>792</v>
      </c>
      <c r="C1571" s="7" t="s">
        <v>707</v>
      </c>
      <c r="D1571" s="8">
        <v>2200</v>
      </c>
    </row>
    <row r="1572" spans="1:4" x14ac:dyDescent="0.3">
      <c r="A1572" s="5">
        <v>45715</v>
      </c>
      <c r="B1572" s="6" t="s">
        <v>790</v>
      </c>
      <c r="C1572" s="7" t="s">
        <v>898</v>
      </c>
      <c r="D1572" s="8">
        <v>34432</v>
      </c>
    </row>
    <row r="1573" spans="1:4" x14ac:dyDescent="0.3">
      <c r="A1573" s="5">
        <v>45722</v>
      </c>
      <c r="B1573" s="6" t="s">
        <v>795</v>
      </c>
      <c r="C1573" s="7" t="s">
        <v>177</v>
      </c>
      <c r="D1573" s="8">
        <v>250</v>
      </c>
    </row>
    <row r="1574" spans="1:4" x14ac:dyDescent="0.3">
      <c r="A1574" s="5">
        <v>45722</v>
      </c>
      <c r="B1574" s="6" t="s">
        <v>797</v>
      </c>
      <c r="C1574" s="7" t="s">
        <v>178</v>
      </c>
      <c r="D1574" s="8">
        <v>35</v>
      </c>
    </row>
    <row r="1575" spans="1:4" x14ac:dyDescent="0.3">
      <c r="A1575" s="5">
        <v>45722</v>
      </c>
      <c r="B1575" s="6" t="s">
        <v>795</v>
      </c>
      <c r="C1575" s="7" t="s">
        <v>179</v>
      </c>
      <c r="D1575" s="8">
        <v>45.6</v>
      </c>
    </row>
    <row r="1576" spans="1:4" x14ac:dyDescent="0.3">
      <c r="A1576" s="5">
        <v>45724</v>
      </c>
      <c r="B1576" s="6" t="s">
        <v>791</v>
      </c>
      <c r="C1576" s="7" t="s">
        <v>900</v>
      </c>
      <c r="D1576" s="8">
        <v>4354</v>
      </c>
    </row>
    <row r="1577" spans="1:4" x14ac:dyDescent="0.3">
      <c r="A1577" s="5">
        <v>45724</v>
      </c>
      <c r="B1577" s="6" t="s">
        <v>802</v>
      </c>
      <c r="C1577" s="7" t="s">
        <v>901</v>
      </c>
      <c r="D1577" s="8">
        <v>5508</v>
      </c>
    </row>
    <row r="1578" spans="1:4" x14ac:dyDescent="0.3">
      <c r="A1578" s="5">
        <v>45724</v>
      </c>
      <c r="B1578" s="6" t="s">
        <v>801</v>
      </c>
      <c r="C1578" s="7" t="s">
        <v>902</v>
      </c>
      <c r="D1578" s="8">
        <v>399</v>
      </c>
    </row>
    <row r="1579" spans="1:4" x14ac:dyDescent="0.3">
      <c r="A1579" s="5">
        <v>45724</v>
      </c>
      <c r="B1579" s="6" t="s">
        <v>792</v>
      </c>
      <c r="C1579" s="7" t="s">
        <v>903</v>
      </c>
      <c r="D1579" s="8">
        <v>1500</v>
      </c>
    </row>
    <row r="1580" spans="1:4" x14ac:dyDescent="0.3">
      <c r="A1580" s="5">
        <v>45724</v>
      </c>
      <c r="B1580" s="6" t="s">
        <v>792</v>
      </c>
      <c r="C1580" s="7" t="s">
        <v>904</v>
      </c>
      <c r="D1580" s="8">
        <v>1000</v>
      </c>
    </row>
    <row r="1581" spans="1:4" x14ac:dyDescent="0.3">
      <c r="A1581" s="5">
        <v>45730</v>
      </c>
      <c r="B1581" s="6" t="s">
        <v>798</v>
      </c>
      <c r="C1581" s="7" t="s">
        <v>905</v>
      </c>
      <c r="D1581" s="8">
        <v>6055.2</v>
      </c>
    </row>
    <row r="1582" spans="1:4" x14ac:dyDescent="0.3">
      <c r="A1582" s="5">
        <v>45746</v>
      </c>
      <c r="B1582" s="6" t="s">
        <v>790</v>
      </c>
      <c r="C1582" s="7" t="s">
        <v>906</v>
      </c>
      <c r="D1582" s="8">
        <v>17943</v>
      </c>
    </row>
    <row r="1583" spans="1:4" x14ac:dyDescent="0.3">
      <c r="A1583" s="5">
        <v>45751</v>
      </c>
      <c r="B1583" s="6" t="s">
        <v>799</v>
      </c>
      <c r="C1583" s="7" t="s">
        <v>177</v>
      </c>
      <c r="D1583" s="8">
        <v>250</v>
      </c>
    </row>
    <row r="1584" spans="1:4" x14ac:dyDescent="0.3">
      <c r="A1584" s="5">
        <v>45751</v>
      </c>
      <c r="B1584" s="6" t="s">
        <v>797</v>
      </c>
      <c r="C1584" s="7" t="s">
        <v>178</v>
      </c>
      <c r="D1584" s="8">
        <v>30</v>
      </c>
    </row>
    <row r="1585" spans="1:4" x14ac:dyDescent="0.3">
      <c r="A1585" s="5">
        <v>45751</v>
      </c>
      <c r="B1585" s="6" t="s">
        <v>795</v>
      </c>
      <c r="C1585" s="7" t="s">
        <v>179</v>
      </c>
      <c r="D1585" s="8">
        <v>44.8</v>
      </c>
    </row>
    <row r="1586" spans="1:4" x14ac:dyDescent="0.3">
      <c r="A1586" s="5">
        <v>45756</v>
      </c>
      <c r="B1586" s="6" t="s">
        <v>796</v>
      </c>
      <c r="C1586" s="7" t="s">
        <v>907</v>
      </c>
      <c r="D1586" s="8">
        <v>4988</v>
      </c>
    </row>
    <row r="1587" spans="1:4" x14ac:dyDescent="0.3">
      <c r="A1587" s="5">
        <v>45756</v>
      </c>
      <c r="B1587" s="6" t="s">
        <v>798</v>
      </c>
      <c r="C1587" s="7" t="s">
        <v>908</v>
      </c>
      <c r="D1587" s="8">
        <v>4991.62</v>
      </c>
    </row>
    <row r="1588" spans="1:4" x14ac:dyDescent="0.3">
      <c r="A1588" s="5">
        <v>45761</v>
      </c>
      <c r="B1588" s="6" t="s">
        <v>801</v>
      </c>
      <c r="C1588" s="7" t="s">
        <v>815</v>
      </c>
      <c r="D1588" s="8">
        <v>399</v>
      </c>
    </row>
    <row r="1589" spans="1:4" x14ac:dyDescent="0.3">
      <c r="A1589" s="5">
        <v>45775</v>
      </c>
      <c r="B1589" s="6" t="s">
        <v>802</v>
      </c>
      <c r="C1589" s="7" t="s">
        <v>909</v>
      </c>
      <c r="D1589" s="8">
        <v>12852</v>
      </c>
    </row>
    <row r="1590" spans="1:4" x14ac:dyDescent="0.3">
      <c r="A1590" s="5">
        <v>45779</v>
      </c>
      <c r="B1590" s="6" t="s">
        <v>791</v>
      </c>
      <c r="C1590" s="7" t="s">
        <v>910</v>
      </c>
      <c r="D1590" s="8">
        <v>3739</v>
      </c>
    </row>
    <row r="1591" spans="1:4" x14ac:dyDescent="0.3">
      <c r="A1591" s="5">
        <v>45784</v>
      </c>
      <c r="B1591" s="6" t="s">
        <v>799</v>
      </c>
      <c r="C1591" s="7" t="s">
        <v>177</v>
      </c>
      <c r="D1591" s="8">
        <v>250</v>
      </c>
    </row>
    <row r="1592" spans="1:4" x14ac:dyDescent="0.3">
      <c r="A1592" s="5">
        <v>45784</v>
      </c>
      <c r="B1592" s="6" t="s">
        <v>797</v>
      </c>
      <c r="C1592" s="7" t="s">
        <v>178</v>
      </c>
      <c r="D1592" s="8">
        <v>15</v>
      </c>
    </row>
    <row r="1593" spans="1:4" x14ac:dyDescent="0.3">
      <c r="A1593" s="5">
        <v>45784</v>
      </c>
      <c r="B1593" s="6" t="s">
        <v>795</v>
      </c>
      <c r="C1593" s="7" t="s">
        <v>179</v>
      </c>
      <c r="D1593" s="8">
        <v>42.4</v>
      </c>
    </row>
    <row r="1594" spans="1:4" x14ac:dyDescent="0.3">
      <c r="A1594" s="5">
        <v>45792</v>
      </c>
      <c r="B1594" s="6" t="s">
        <v>801</v>
      </c>
      <c r="C1594" s="7" t="s">
        <v>911</v>
      </c>
      <c r="D1594" s="8">
        <v>399</v>
      </c>
    </row>
    <row r="1595" spans="1:4" x14ac:dyDescent="0.3">
      <c r="A1595" s="5">
        <v>45792</v>
      </c>
      <c r="B1595" s="6" t="s">
        <v>790</v>
      </c>
      <c r="C1595" s="7" t="s">
        <v>912</v>
      </c>
      <c r="D1595" s="8">
        <v>24000</v>
      </c>
    </row>
    <row r="1596" spans="1:4" x14ac:dyDescent="0.3">
      <c r="A1596" s="5">
        <v>45798</v>
      </c>
      <c r="B1596" s="6" t="s">
        <v>798</v>
      </c>
      <c r="C1596" s="7" t="s">
        <v>913</v>
      </c>
      <c r="D1596" s="8">
        <v>4991.62</v>
      </c>
    </row>
    <row r="1597" spans="1:4" x14ac:dyDescent="0.3">
      <c r="A1597" s="5">
        <v>45804</v>
      </c>
      <c r="B1597" s="6" t="s">
        <v>790</v>
      </c>
      <c r="C1597" s="7" t="s">
        <v>914</v>
      </c>
      <c r="D1597" s="8">
        <v>6344</v>
      </c>
    </row>
    <row r="1598" spans="1:4" x14ac:dyDescent="0.3">
      <c r="A1598" s="5">
        <v>45812</v>
      </c>
      <c r="B1598" s="6" t="s">
        <v>796</v>
      </c>
      <c r="C1598" s="7" t="s">
        <v>915</v>
      </c>
      <c r="D1598" s="8">
        <v>4988</v>
      </c>
    </row>
    <row r="1599" spans="1:4" x14ac:dyDescent="0.3">
      <c r="A1599" s="5">
        <v>45812</v>
      </c>
      <c r="B1599" s="6" t="s">
        <v>782</v>
      </c>
      <c r="C1599" s="7" t="s">
        <v>916</v>
      </c>
      <c r="D1599" s="8">
        <v>2295</v>
      </c>
    </row>
    <row r="1600" spans="1:4" x14ac:dyDescent="0.3">
      <c r="A1600" s="5">
        <v>45812</v>
      </c>
      <c r="B1600" s="6" t="s">
        <v>792</v>
      </c>
      <c r="C1600" s="7" t="s">
        <v>917</v>
      </c>
      <c r="D1600" s="8">
        <v>2700</v>
      </c>
    </row>
    <row r="1601" spans="1:4" x14ac:dyDescent="0.3">
      <c r="A1601" s="5">
        <v>45812</v>
      </c>
      <c r="B1601" s="6" t="s">
        <v>792</v>
      </c>
      <c r="C1601" s="7" t="s">
        <v>918</v>
      </c>
      <c r="D1601" s="8">
        <v>2100</v>
      </c>
    </row>
    <row r="1602" spans="1:4" x14ac:dyDescent="0.3">
      <c r="A1602" s="5">
        <v>45813</v>
      </c>
      <c r="B1602" s="6" t="s">
        <v>799</v>
      </c>
      <c r="C1602" s="7" t="s">
        <v>177</v>
      </c>
      <c r="D1602" s="8">
        <v>250</v>
      </c>
    </row>
    <row r="1603" spans="1:4" x14ac:dyDescent="0.3">
      <c r="A1603" s="5">
        <v>45813</v>
      </c>
      <c r="B1603" s="6" t="s">
        <v>797</v>
      </c>
      <c r="C1603" s="7" t="s">
        <v>178</v>
      </c>
      <c r="D1603" s="8">
        <v>15</v>
      </c>
    </row>
    <row r="1604" spans="1:4" x14ac:dyDescent="0.3">
      <c r="A1604" s="5">
        <v>45813</v>
      </c>
      <c r="B1604" s="6" t="s">
        <v>795</v>
      </c>
      <c r="C1604" s="7" t="s">
        <v>179</v>
      </c>
      <c r="D1604" s="8">
        <v>42.4</v>
      </c>
    </row>
    <row r="1605" spans="1:4" x14ac:dyDescent="0.3">
      <c r="A1605" s="5">
        <v>45816</v>
      </c>
      <c r="B1605" s="6" t="s">
        <v>801</v>
      </c>
      <c r="C1605" s="7" t="s">
        <v>919</v>
      </c>
      <c r="D1605" s="8">
        <v>399</v>
      </c>
    </row>
    <row r="1606" spans="1:4" x14ac:dyDescent="0.3">
      <c r="A1606" s="5">
        <v>45820</v>
      </c>
      <c r="B1606" s="6" t="s">
        <v>798</v>
      </c>
      <c r="C1606" s="7" t="s">
        <v>920</v>
      </c>
      <c r="D1606" s="8">
        <v>4991.62</v>
      </c>
    </row>
    <row r="1607" spans="1:4" x14ac:dyDescent="0.3">
      <c r="A1607" s="5">
        <v>45838</v>
      </c>
      <c r="B1607" s="6" t="s">
        <v>790</v>
      </c>
      <c r="C1607" s="7" t="s">
        <v>921</v>
      </c>
      <c r="D1607" s="8">
        <v>19000</v>
      </c>
    </row>
    <row r="1608" spans="1:4" x14ac:dyDescent="0.3">
      <c r="A1608" s="5">
        <v>45841</v>
      </c>
      <c r="B1608" s="6" t="s">
        <v>791</v>
      </c>
      <c r="C1608" s="7" t="s">
        <v>922</v>
      </c>
      <c r="D1608" s="8">
        <v>3877</v>
      </c>
    </row>
    <row r="1609" spans="1:4" x14ac:dyDescent="0.3">
      <c r="A1609" s="5">
        <v>45847</v>
      </c>
      <c r="B1609" s="6" t="s">
        <v>801</v>
      </c>
      <c r="C1609" s="7" t="s">
        <v>177</v>
      </c>
      <c r="D1609" s="8">
        <v>250</v>
      </c>
    </row>
    <row r="1610" spans="1:4" x14ac:dyDescent="0.3">
      <c r="A1610" s="5">
        <v>45847</v>
      </c>
      <c r="B1610" s="6" t="s">
        <v>797</v>
      </c>
      <c r="C1610" s="7" t="s">
        <v>178</v>
      </c>
      <c r="D1610" s="8">
        <v>30</v>
      </c>
    </row>
    <row r="1611" spans="1:4" x14ac:dyDescent="0.3">
      <c r="A1611" s="5">
        <v>45847</v>
      </c>
      <c r="B1611" s="6" t="s">
        <v>795</v>
      </c>
      <c r="C1611" s="7" t="s">
        <v>179</v>
      </c>
      <c r="D1611" s="8">
        <v>44.8</v>
      </c>
    </row>
    <row r="1612" spans="1:4" x14ac:dyDescent="0.3">
      <c r="A1612" s="5">
        <v>45848</v>
      </c>
      <c r="B1612" s="6" t="s">
        <v>798</v>
      </c>
      <c r="C1612" s="7" t="s">
        <v>923</v>
      </c>
      <c r="D1612" s="8">
        <v>4991.62</v>
      </c>
    </row>
    <row r="1613" spans="1:4" x14ac:dyDescent="0.3">
      <c r="A1613" s="5">
        <v>45852</v>
      </c>
      <c r="B1613" s="6" t="s">
        <v>801</v>
      </c>
      <c r="C1613" s="7" t="s">
        <v>924</v>
      </c>
      <c r="D1613" s="8">
        <v>399</v>
      </c>
    </row>
    <row r="1614" spans="1:4" x14ac:dyDescent="0.3">
      <c r="A1614" s="5">
        <v>45852</v>
      </c>
      <c r="B1614" s="6" t="s">
        <v>802</v>
      </c>
      <c r="C1614" s="7" t="s">
        <v>925</v>
      </c>
      <c r="D1614" s="8">
        <v>10098</v>
      </c>
    </row>
    <row r="1615" spans="1:4" x14ac:dyDescent="0.3">
      <c r="A1615" s="5">
        <v>45867</v>
      </c>
      <c r="B1615" s="6" t="s">
        <v>790</v>
      </c>
      <c r="C1615" s="7" t="s">
        <v>926</v>
      </c>
      <c r="D1615" s="8">
        <v>28205</v>
      </c>
    </row>
    <row r="1616" spans="1:4" x14ac:dyDescent="0.3">
      <c r="A1616" s="5">
        <v>45875</v>
      </c>
      <c r="B1616" s="6" t="s">
        <v>799</v>
      </c>
      <c r="C1616" s="7" t="s">
        <v>177</v>
      </c>
      <c r="D1616" s="8">
        <v>250</v>
      </c>
    </row>
    <row r="1617" spans="1:4" x14ac:dyDescent="0.3">
      <c r="A1617" s="5">
        <v>45875</v>
      </c>
      <c r="B1617" s="6" t="s">
        <v>797</v>
      </c>
      <c r="C1617" s="7" t="s">
        <v>178</v>
      </c>
      <c r="D1617" s="8">
        <v>19.5</v>
      </c>
    </row>
    <row r="1618" spans="1:4" x14ac:dyDescent="0.3">
      <c r="A1618" s="5">
        <v>45875</v>
      </c>
      <c r="B1618" s="6" t="s">
        <v>795</v>
      </c>
      <c r="C1618" s="7" t="s">
        <v>179</v>
      </c>
      <c r="D1618" s="8">
        <v>43.12</v>
      </c>
    </row>
    <row r="1619" spans="1:4" x14ac:dyDescent="0.3">
      <c r="A1619" s="5">
        <v>45876</v>
      </c>
      <c r="B1619" s="6" t="s">
        <v>798</v>
      </c>
      <c r="C1619" s="7" t="s">
        <v>927</v>
      </c>
      <c r="D1619" s="8">
        <v>4991.62</v>
      </c>
    </row>
    <row r="1620" spans="1:4" x14ac:dyDescent="0.3">
      <c r="A1620" s="5">
        <v>45876</v>
      </c>
      <c r="B1620" s="6" t="s">
        <v>801</v>
      </c>
      <c r="C1620" s="7" t="s">
        <v>928</v>
      </c>
      <c r="D1620" s="8">
        <v>399</v>
      </c>
    </row>
    <row r="1621" spans="1:4" x14ac:dyDescent="0.3">
      <c r="A1621" s="5">
        <v>45876</v>
      </c>
      <c r="B1621" s="6" t="s">
        <v>802</v>
      </c>
      <c r="C1621" s="7" t="s">
        <v>929</v>
      </c>
      <c r="D1621" s="8">
        <v>7344</v>
      </c>
    </row>
    <row r="1622" spans="1:4" x14ac:dyDescent="0.3">
      <c r="A1622" s="5">
        <v>45888</v>
      </c>
      <c r="B1622" s="6" t="s">
        <v>790</v>
      </c>
      <c r="C1622" s="7" t="s">
        <v>930</v>
      </c>
      <c r="D1622" s="8">
        <v>34000</v>
      </c>
    </row>
    <row r="1623" spans="1:4" x14ac:dyDescent="0.3">
      <c r="A1623" s="5">
        <v>45898</v>
      </c>
      <c r="B1623" s="6" t="s">
        <v>790</v>
      </c>
      <c r="C1623" s="7" t="s">
        <v>931</v>
      </c>
      <c r="D1623" s="8">
        <v>1509</v>
      </c>
    </row>
    <row r="1624" spans="1:4" x14ac:dyDescent="0.3">
      <c r="A1624" s="5">
        <v>45901</v>
      </c>
      <c r="B1624" s="6" t="s">
        <v>943</v>
      </c>
      <c r="C1624" s="7" t="s">
        <v>932</v>
      </c>
      <c r="D1624" s="8">
        <v>390</v>
      </c>
    </row>
    <row r="1625" spans="1:4" x14ac:dyDescent="0.3">
      <c r="A1625" s="5">
        <v>45901</v>
      </c>
      <c r="B1625" s="6" t="s">
        <v>944</v>
      </c>
      <c r="C1625" s="7" t="s">
        <v>933</v>
      </c>
      <c r="D1625" s="8">
        <v>62.4</v>
      </c>
    </row>
    <row r="1626" spans="1:4" x14ac:dyDescent="0.3">
      <c r="A1626" s="5">
        <v>45903</v>
      </c>
      <c r="B1626" s="6" t="s">
        <v>791</v>
      </c>
      <c r="C1626" s="7" t="s">
        <v>934</v>
      </c>
      <c r="D1626" s="8">
        <v>3985</v>
      </c>
    </row>
    <row r="1627" spans="1:4" x14ac:dyDescent="0.3">
      <c r="A1627" s="5">
        <v>45904</v>
      </c>
      <c r="B1627" s="6" t="s">
        <v>799</v>
      </c>
      <c r="C1627" s="7" t="s">
        <v>177</v>
      </c>
      <c r="D1627" s="8">
        <v>250</v>
      </c>
    </row>
    <row r="1628" spans="1:4" x14ac:dyDescent="0.3">
      <c r="A1628" s="5">
        <v>45904</v>
      </c>
      <c r="B1628" s="6" t="s">
        <v>797</v>
      </c>
      <c r="C1628" s="7" t="s">
        <v>178</v>
      </c>
      <c r="D1628" s="8">
        <v>26</v>
      </c>
    </row>
    <row r="1629" spans="1:4" x14ac:dyDescent="0.3">
      <c r="A1629" s="5">
        <v>45904</v>
      </c>
      <c r="B1629" s="6" t="s">
        <v>795</v>
      </c>
      <c r="C1629" s="7" t="s">
        <v>179</v>
      </c>
      <c r="D1629" s="8">
        <v>44.16</v>
      </c>
    </row>
    <row r="1630" spans="1:4" x14ac:dyDescent="0.3">
      <c r="A1630" s="5">
        <v>45905</v>
      </c>
      <c r="B1630" s="6" t="s">
        <v>801</v>
      </c>
      <c r="C1630" s="7" t="s">
        <v>935</v>
      </c>
      <c r="D1630" s="8">
        <v>399</v>
      </c>
    </row>
    <row r="1631" spans="1:4" x14ac:dyDescent="0.3">
      <c r="A1631" s="5">
        <v>45905</v>
      </c>
      <c r="B1631" s="6" t="s">
        <v>798</v>
      </c>
      <c r="C1631" s="7" t="s">
        <v>936</v>
      </c>
      <c r="D1631" s="8">
        <v>4991.62</v>
      </c>
    </row>
    <row r="1632" spans="1:4" x14ac:dyDescent="0.3">
      <c r="A1632" s="5">
        <v>45905</v>
      </c>
      <c r="B1632" s="6" t="s">
        <v>796</v>
      </c>
      <c r="C1632" s="7" t="s">
        <v>937</v>
      </c>
      <c r="D1632" s="8">
        <v>7200</v>
      </c>
    </row>
    <row r="1633" spans="1:4" x14ac:dyDescent="0.3">
      <c r="A1633" s="5">
        <v>45910</v>
      </c>
      <c r="B1633" s="6" t="s">
        <v>792</v>
      </c>
      <c r="C1633" s="7" t="s">
        <v>938</v>
      </c>
      <c r="D1633" s="8">
        <v>2200</v>
      </c>
    </row>
    <row r="1634" spans="1:4" x14ac:dyDescent="0.3">
      <c r="A1634" s="5">
        <v>45913</v>
      </c>
      <c r="B1634" s="6" t="s">
        <v>790</v>
      </c>
      <c r="C1634" s="7" t="s">
        <v>939</v>
      </c>
      <c r="D1634" s="8">
        <v>33316</v>
      </c>
    </row>
    <row r="1635" spans="1:4" x14ac:dyDescent="0.3">
      <c r="A1635" s="5">
        <v>45918</v>
      </c>
      <c r="B1635" s="6" t="s">
        <v>802</v>
      </c>
      <c r="C1635" s="7" t="s">
        <v>940</v>
      </c>
      <c r="D1635" s="8">
        <v>3672</v>
      </c>
    </row>
    <row r="1636" spans="1:4" x14ac:dyDescent="0.3">
      <c r="A1636" s="5">
        <v>45919</v>
      </c>
      <c r="B1636" s="6" t="s">
        <v>796</v>
      </c>
      <c r="C1636" s="7" t="s">
        <v>941</v>
      </c>
      <c r="D1636" s="8">
        <v>4988</v>
      </c>
    </row>
    <row r="1637" spans="1:4" x14ac:dyDescent="0.3">
      <c r="A1637" s="5">
        <v>45930</v>
      </c>
      <c r="B1637" s="6" t="s">
        <v>721</v>
      </c>
      <c r="C1637" s="7" t="s">
        <v>942</v>
      </c>
      <c r="D1637" s="8">
        <v>1600</v>
      </c>
    </row>
    <row r="1638" spans="1:4" x14ac:dyDescent="0.3">
      <c r="A1638" s="5">
        <v>45933</v>
      </c>
      <c r="B1638" s="6" t="s">
        <v>721</v>
      </c>
      <c r="C1638" s="7" t="s">
        <v>942</v>
      </c>
      <c r="D1638" s="8">
        <v>1600</v>
      </c>
    </row>
    <row r="1639" spans="1:4" x14ac:dyDescent="0.3">
      <c r="A1639" s="5">
        <v>45933</v>
      </c>
      <c r="B1639" s="6" t="s">
        <v>798</v>
      </c>
      <c r="C1639" s="7" t="s">
        <v>946</v>
      </c>
      <c r="D1639" s="8">
        <v>4991.62</v>
      </c>
    </row>
    <row r="1640" spans="1:4" x14ac:dyDescent="0.3">
      <c r="A1640" s="5">
        <v>45936</v>
      </c>
      <c r="B1640" s="6" t="s">
        <v>795</v>
      </c>
      <c r="C1640" s="7" t="s">
        <v>177</v>
      </c>
      <c r="D1640" s="8">
        <v>250</v>
      </c>
    </row>
    <row r="1641" spans="1:4" x14ac:dyDescent="0.3">
      <c r="A1641" s="5">
        <v>45936</v>
      </c>
      <c r="B1641" s="6" t="s">
        <v>795</v>
      </c>
      <c r="C1641" s="7" t="s">
        <v>178</v>
      </c>
      <c r="D1641" s="8">
        <v>45.5</v>
      </c>
    </row>
    <row r="1642" spans="1:4" x14ac:dyDescent="0.3">
      <c r="A1642" s="5">
        <v>45936</v>
      </c>
      <c r="B1642" s="6" t="s">
        <v>795</v>
      </c>
      <c r="C1642" s="7" t="s">
        <v>179</v>
      </c>
      <c r="D1642" s="8">
        <v>47.28</v>
      </c>
    </row>
    <row r="1643" spans="1:4" x14ac:dyDescent="0.3">
      <c r="A1643" s="5">
        <v>45938</v>
      </c>
      <c r="B1643" s="6" t="s">
        <v>801</v>
      </c>
      <c r="C1643" s="7" t="s">
        <v>947</v>
      </c>
      <c r="D1643" s="8">
        <v>398</v>
      </c>
    </row>
    <row r="1644" spans="1:4" x14ac:dyDescent="0.3">
      <c r="A1644" s="5">
        <v>45942</v>
      </c>
      <c r="B1644" s="6" t="s">
        <v>790</v>
      </c>
      <c r="C1644" s="7" t="s">
        <v>948</v>
      </c>
      <c r="D1644" s="8">
        <v>24309</v>
      </c>
    </row>
    <row r="1645" spans="1:4" x14ac:dyDescent="0.3">
      <c r="A1645" s="5">
        <v>45944</v>
      </c>
      <c r="B1645" s="6" t="s">
        <v>796</v>
      </c>
      <c r="C1645" s="7" t="s">
        <v>949</v>
      </c>
      <c r="D1645" s="8">
        <v>2668</v>
      </c>
    </row>
    <row r="1646" spans="1:4" x14ac:dyDescent="0.3">
      <c r="A1646" s="5">
        <v>45944</v>
      </c>
      <c r="B1646" s="6" t="s">
        <v>796</v>
      </c>
      <c r="C1646" s="7" t="s">
        <v>950</v>
      </c>
      <c r="D1646" s="8">
        <v>348</v>
      </c>
    </row>
    <row r="1647" spans="1:4" x14ac:dyDescent="0.3">
      <c r="A1647" s="5">
        <v>45949</v>
      </c>
      <c r="B1647" s="6" t="s">
        <v>796</v>
      </c>
      <c r="C1647" s="7" t="s">
        <v>951</v>
      </c>
      <c r="D1647" s="8">
        <v>4988</v>
      </c>
    </row>
    <row r="1648" spans="1:4" x14ac:dyDescent="0.3">
      <c r="A1648" s="5">
        <v>45949</v>
      </c>
      <c r="B1648" s="6" t="s">
        <v>792</v>
      </c>
      <c r="C1648" s="7" t="s">
        <v>952</v>
      </c>
      <c r="D1648" s="8">
        <v>2400</v>
      </c>
    </row>
    <row r="1649" spans="1:4" x14ac:dyDescent="0.3">
      <c r="A1649" s="5">
        <v>45949</v>
      </c>
      <c r="B1649" s="6" t="s">
        <v>796</v>
      </c>
      <c r="C1649" s="7" t="s">
        <v>953</v>
      </c>
      <c r="D1649" s="8">
        <v>4988</v>
      </c>
    </row>
    <row r="1650" spans="1:4" x14ac:dyDescent="0.3">
      <c r="A1650" s="5">
        <v>45949</v>
      </c>
      <c r="B1650" s="6" t="s">
        <v>792</v>
      </c>
      <c r="C1650" s="7" t="s">
        <v>954</v>
      </c>
      <c r="D1650" s="8">
        <v>1800</v>
      </c>
    </row>
    <row r="1651" spans="1:4" x14ac:dyDescent="0.3">
      <c r="A1651" s="5">
        <v>45952</v>
      </c>
      <c r="B1651" s="6" t="s">
        <v>784</v>
      </c>
      <c r="C1651" s="7" t="s">
        <v>955</v>
      </c>
      <c r="D1651" s="8">
        <v>1177.4000000000001</v>
      </c>
    </row>
    <row r="1652" spans="1:4" x14ac:dyDescent="0.3">
      <c r="A1652" s="5">
        <v>45959</v>
      </c>
      <c r="B1652" s="6" t="s">
        <v>775</v>
      </c>
      <c r="C1652" s="7" t="s">
        <v>956</v>
      </c>
      <c r="D1652" s="8">
        <v>1050.24</v>
      </c>
    </row>
    <row r="1653" spans="1:4" x14ac:dyDescent="0.3">
      <c r="A1653" s="5">
        <v>45961</v>
      </c>
      <c r="B1653" s="6" t="s">
        <v>959</v>
      </c>
      <c r="C1653" s="7" t="s">
        <v>957</v>
      </c>
      <c r="D1653" s="8">
        <v>404.75</v>
      </c>
    </row>
    <row r="1654" spans="1:4" x14ac:dyDescent="0.3">
      <c r="A1654" s="5">
        <v>45961</v>
      </c>
      <c r="B1654" s="6" t="s">
        <v>791</v>
      </c>
      <c r="C1654" s="7" t="s">
        <v>958</v>
      </c>
      <c r="D1654" s="8">
        <v>3983</v>
      </c>
    </row>
    <row r="1655" spans="1:4" x14ac:dyDescent="0.3">
      <c r="A1655" s="5">
        <v>45965</v>
      </c>
      <c r="B1655" s="6" t="s">
        <v>775</v>
      </c>
      <c r="C1655" s="7" t="s">
        <v>960</v>
      </c>
      <c r="D1655" s="8">
        <v>1050</v>
      </c>
    </row>
    <row r="1656" spans="1:4" x14ac:dyDescent="0.3">
      <c r="A1656" s="5">
        <v>45967</v>
      </c>
      <c r="B1656" s="6" t="s">
        <v>801</v>
      </c>
      <c r="C1656" s="7" t="s">
        <v>961</v>
      </c>
      <c r="D1656" s="8">
        <v>399</v>
      </c>
    </row>
    <row r="1657" spans="1:4" x14ac:dyDescent="0.3">
      <c r="A1657" s="5">
        <v>45967</v>
      </c>
      <c r="B1657" s="6" t="s">
        <v>798</v>
      </c>
      <c r="C1657" s="7" t="s">
        <v>962</v>
      </c>
      <c r="D1657" s="8">
        <v>4991.62</v>
      </c>
    </row>
    <row r="1658" spans="1:4" x14ac:dyDescent="0.3">
      <c r="A1658" s="5">
        <v>45971</v>
      </c>
      <c r="B1658" s="6" t="s">
        <v>790</v>
      </c>
      <c r="C1658" s="7" t="s">
        <v>963</v>
      </c>
      <c r="D1658" s="8">
        <v>36116</v>
      </c>
    </row>
    <row r="1659" spans="1:4" x14ac:dyDescent="0.3">
      <c r="A1659" s="5">
        <v>45972</v>
      </c>
      <c r="B1659" s="6" t="s">
        <v>799</v>
      </c>
      <c r="C1659" s="7" t="s">
        <v>177</v>
      </c>
      <c r="D1659" s="8">
        <v>250</v>
      </c>
    </row>
    <row r="1660" spans="1:4" x14ac:dyDescent="0.3">
      <c r="A1660" s="5">
        <v>45972</v>
      </c>
      <c r="B1660" s="6" t="s">
        <v>797</v>
      </c>
      <c r="C1660" s="7" t="s">
        <v>178</v>
      </c>
      <c r="D1660" s="8">
        <v>84.5</v>
      </c>
    </row>
    <row r="1661" spans="1:4" x14ac:dyDescent="0.3">
      <c r="A1661" s="5">
        <v>45972</v>
      </c>
      <c r="B1661" s="6" t="s">
        <v>795</v>
      </c>
      <c r="C1661" s="7" t="s">
        <v>179</v>
      </c>
      <c r="D1661" s="8">
        <v>53.52</v>
      </c>
    </row>
    <row r="1662" spans="1:4" x14ac:dyDescent="0.3">
      <c r="A1662" s="5">
        <v>45975</v>
      </c>
      <c r="B1662" s="6" t="s">
        <v>790</v>
      </c>
      <c r="C1662" s="7" t="s">
        <v>964</v>
      </c>
      <c r="D1662" s="8">
        <v>31012</v>
      </c>
    </row>
    <row r="1663" spans="1:4" x14ac:dyDescent="0.3">
      <c r="A1663" s="5">
        <v>45985</v>
      </c>
      <c r="B1663" s="6" t="s">
        <v>792</v>
      </c>
      <c r="C1663" s="7" t="s">
        <v>965</v>
      </c>
      <c r="D1663" s="8">
        <v>3000</v>
      </c>
    </row>
    <row r="1664" spans="1:4" x14ac:dyDescent="0.3">
      <c r="A1664" s="5">
        <v>45985</v>
      </c>
      <c r="B1664" s="6" t="s">
        <v>792</v>
      </c>
      <c r="C1664" s="7" t="s">
        <v>966</v>
      </c>
      <c r="D1664" s="8">
        <v>3000</v>
      </c>
    </row>
    <row r="1665" spans="1:4" x14ac:dyDescent="0.3">
      <c r="A1665" s="5">
        <v>45985</v>
      </c>
      <c r="B1665" s="6" t="s">
        <v>792</v>
      </c>
      <c r="C1665" s="7" t="s">
        <v>967</v>
      </c>
      <c r="D1665" s="8">
        <v>3100</v>
      </c>
    </row>
    <row r="1666" spans="1:4" x14ac:dyDescent="0.3">
      <c r="A1666" s="5">
        <v>45985</v>
      </c>
      <c r="B1666" s="6" t="s">
        <v>792</v>
      </c>
      <c r="C1666" s="7" t="s">
        <v>968</v>
      </c>
      <c r="D1666" s="8">
        <v>2200</v>
      </c>
    </row>
    <row r="1667" spans="1:4" x14ac:dyDescent="0.3">
      <c r="A1667" s="5">
        <v>45980</v>
      </c>
      <c r="B1667" s="6" t="s">
        <v>796</v>
      </c>
      <c r="C1667" s="7" t="s">
        <v>969</v>
      </c>
      <c r="D1667" s="8">
        <v>4988</v>
      </c>
    </row>
    <row r="1668" spans="1:4" x14ac:dyDescent="0.3">
      <c r="A1668" s="5">
        <v>45981</v>
      </c>
      <c r="B1668" s="6" t="s">
        <v>796</v>
      </c>
      <c r="C1668" s="7" t="s">
        <v>970</v>
      </c>
      <c r="D1668" s="8">
        <v>4988</v>
      </c>
    </row>
    <row r="1669" spans="1:4" x14ac:dyDescent="0.3">
      <c r="A1669" s="5">
        <v>45987</v>
      </c>
      <c r="B1669" s="6" t="s">
        <v>789</v>
      </c>
      <c r="C1669" s="7" t="s">
        <v>971</v>
      </c>
      <c r="D1669" s="8">
        <v>197</v>
      </c>
    </row>
    <row r="1670" spans="1:4" x14ac:dyDescent="0.3">
      <c r="A1670" s="5">
        <v>45987</v>
      </c>
      <c r="B1670" s="6" t="s">
        <v>789</v>
      </c>
      <c r="C1670" s="7" t="s">
        <v>971</v>
      </c>
      <c r="D1670" s="8">
        <v>8</v>
      </c>
    </row>
    <row r="1671" spans="1:4" x14ac:dyDescent="0.3">
      <c r="A1671" s="5">
        <v>45987</v>
      </c>
      <c r="B1671" s="6" t="s">
        <v>789</v>
      </c>
      <c r="C1671" s="7" t="s">
        <v>971</v>
      </c>
      <c r="D1671" s="8">
        <v>59</v>
      </c>
    </row>
    <row r="1672" spans="1:4" x14ac:dyDescent="0.3">
      <c r="A1672" s="5">
        <v>45987</v>
      </c>
      <c r="B1672" s="6" t="s">
        <v>789</v>
      </c>
      <c r="C1672" s="7" t="s">
        <v>971</v>
      </c>
      <c r="D1672" s="8">
        <v>217</v>
      </c>
    </row>
    <row r="1673" spans="1:4" x14ac:dyDescent="0.3">
      <c r="A1673" s="5">
        <v>45988</v>
      </c>
      <c r="B1673" s="6" t="s">
        <v>789</v>
      </c>
      <c r="C1673" s="7" t="s">
        <v>971</v>
      </c>
      <c r="D1673" s="8">
        <v>526</v>
      </c>
    </row>
    <row r="1674" spans="1:4" x14ac:dyDescent="0.3">
      <c r="A1674" s="5">
        <v>45988</v>
      </c>
      <c r="B1674" s="6" t="s">
        <v>789</v>
      </c>
      <c r="C1674" s="7" t="s">
        <v>971</v>
      </c>
      <c r="D1674" s="8">
        <v>555</v>
      </c>
    </row>
    <row r="1675" spans="1:4" x14ac:dyDescent="0.3">
      <c r="A1675" s="5">
        <v>45988</v>
      </c>
      <c r="B1675" s="6" t="s">
        <v>789</v>
      </c>
      <c r="C1675" s="7" t="s">
        <v>971</v>
      </c>
      <c r="D1675" s="8">
        <v>81</v>
      </c>
    </row>
    <row r="1676" spans="1:4" x14ac:dyDescent="0.3">
      <c r="A1676" s="5">
        <v>45988</v>
      </c>
      <c r="B1676" s="6" t="s">
        <v>789</v>
      </c>
      <c r="C1676" s="7" t="s">
        <v>971</v>
      </c>
      <c r="D1676" s="8">
        <v>120</v>
      </c>
    </row>
    <row r="1677" spans="1:4" x14ac:dyDescent="0.3">
      <c r="A1677" s="5">
        <v>45988</v>
      </c>
      <c r="B1677" s="6" t="s">
        <v>789</v>
      </c>
      <c r="C1677" s="7" t="s">
        <v>971</v>
      </c>
      <c r="D1677" s="8">
        <v>97</v>
      </c>
    </row>
    <row r="1678" spans="1:4" x14ac:dyDescent="0.3">
      <c r="A1678" s="5">
        <v>45989</v>
      </c>
      <c r="B1678" s="6" t="s">
        <v>789</v>
      </c>
      <c r="C1678" s="7" t="s">
        <v>971</v>
      </c>
      <c r="D1678" s="8">
        <v>64</v>
      </c>
    </row>
    <row r="1679" spans="1:4" x14ac:dyDescent="0.3">
      <c r="A1679" s="5">
        <v>45989</v>
      </c>
      <c r="B1679" s="6" t="s">
        <v>789</v>
      </c>
      <c r="C1679" s="7" t="s">
        <v>971</v>
      </c>
      <c r="D1679" s="8">
        <v>20</v>
      </c>
    </row>
    <row r="1680" spans="1:4" x14ac:dyDescent="0.3">
      <c r="A1680" s="5">
        <v>45989</v>
      </c>
      <c r="B1680" s="6" t="s">
        <v>789</v>
      </c>
      <c r="C1680" s="7" t="s">
        <v>971</v>
      </c>
      <c r="D1680" s="8">
        <v>1688</v>
      </c>
    </row>
    <row r="1681" spans="1:4" x14ac:dyDescent="0.3">
      <c r="A1681" s="5">
        <v>45989</v>
      </c>
      <c r="B1681" s="6" t="s">
        <v>789</v>
      </c>
      <c r="C1681" s="7" t="s">
        <v>971</v>
      </c>
      <c r="D1681" s="8">
        <v>1801</v>
      </c>
    </row>
    <row r="1682" spans="1:4" x14ac:dyDescent="0.3">
      <c r="A1682" s="5">
        <v>45989</v>
      </c>
      <c r="B1682" s="6" t="s">
        <v>789</v>
      </c>
      <c r="C1682" s="7" t="s">
        <v>971</v>
      </c>
      <c r="D1682" s="8">
        <v>17</v>
      </c>
    </row>
    <row r="1683" spans="1:4" x14ac:dyDescent="0.3">
      <c r="A1683" s="5">
        <v>45989</v>
      </c>
      <c r="B1683" s="6" t="s">
        <v>789</v>
      </c>
      <c r="C1683" s="7" t="s">
        <v>971</v>
      </c>
      <c r="D1683" s="8">
        <v>52</v>
      </c>
    </row>
    <row r="1684" spans="1:4" x14ac:dyDescent="0.3">
      <c r="A1684" s="5">
        <v>45989</v>
      </c>
      <c r="B1684" s="6" t="s">
        <v>789</v>
      </c>
      <c r="C1684" s="7" t="s">
        <v>971</v>
      </c>
      <c r="D1684" s="8">
        <v>68</v>
      </c>
    </row>
    <row r="1685" spans="1:4" x14ac:dyDescent="0.3">
      <c r="A1685" s="5">
        <v>45989</v>
      </c>
      <c r="B1685" s="6" t="s">
        <v>789</v>
      </c>
      <c r="C1685" s="7" t="s">
        <v>971</v>
      </c>
      <c r="D1685" s="8">
        <v>16</v>
      </c>
    </row>
    <row r="1686" spans="1:4" x14ac:dyDescent="0.3">
      <c r="A1686" s="5">
        <v>45989</v>
      </c>
      <c r="B1686" s="6" t="s">
        <v>789</v>
      </c>
      <c r="C1686" s="7" t="s">
        <v>971</v>
      </c>
      <c r="D1686" s="8">
        <v>172</v>
      </c>
    </row>
    <row r="1687" spans="1:4" x14ac:dyDescent="0.3">
      <c r="A1687" s="5">
        <v>45989</v>
      </c>
      <c r="B1687" s="6" t="s">
        <v>789</v>
      </c>
      <c r="C1687" s="7" t="s">
        <v>971</v>
      </c>
      <c r="D1687" s="8">
        <v>276</v>
      </c>
    </row>
    <row r="1688" spans="1:4" x14ac:dyDescent="0.3">
      <c r="A1688" s="5">
        <v>45989</v>
      </c>
      <c r="B1688" s="6" t="s">
        <v>789</v>
      </c>
      <c r="C1688" s="7" t="s">
        <v>971</v>
      </c>
      <c r="D1688" s="8">
        <v>82</v>
      </c>
    </row>
    <row r="1689" spans="1:4" x14ac:dyDescent="0.3">
      <c r="A1689" s="5">
        <v>45989</v>
      </c>
      <c r="B1689" s="6" t="s">
        <v>789</v>
      </c>
      <c r="C1689" s="7" t="s">
        <v>971</v>
      </c>
      <c r="D1689" s="8">
        <v>164</v>
      </c>
    </row>
    <row r="1690" spans="1:4" x14ac:dyDescent="0.3">
      <c r="A1690" s="5">
        <v>45989</v>
      </c>
      <c r="B1690" s="6" t="s">
        <v>789</v>
      </c>
      <c r="C1690" s="7" t="s">
        <v>971</v>
      </c>
      <c r="D1690" s="8">
        <v>68</v>
      </c>
    </row>
    <row r="1691" spans="1:4" x14ac:dyDescent="0.3">
      <c r="A1691" s="5">
        <v>45989</v>
      </c>
      <c r="B1691" s="6" t="s">
        <v>789</v>
      </c>
      <c r="C1691" s="7" t="s">
        <v>971</v>
      </c>
      <c r="D1691" s="8">
        <v>60</v>
      </c>
    </row>
    <row r="1692" spans="1:4" x14ac:dyDescent="0.3">
      <c r="A1692" s="5">
        <v>45989</v>
      </c>
      <c r="B1692" s="6" t="s">
        <v>789</v>
      </c>
      <c r="C1692" s="7" t="s">
        <v>971</v>
      </c>
      <c r="D1692" s="8">
        <v>86</v>
      </c>
    </row>
    <row r="1693" spans="1:4" x14ac:dyDescent="0.3">
      <c r="A1693" s="5">
        <v>45989</v>
      </c>
      <c r="B1693" s="6" t="s">
        <v>789</v>
      </c>
      <c r="C1693" s="7" t="s">
        <v>971</v>
      </c>
      <c r="D1693" s="8">
        <v>175</v>
      </c>
    </row>
    <row r="1694" spans="1:4" x14ac:dyDescent="0.3">
      <c r="A1694" s="5">
        <v>45989</v>
      </c>
      <c r="B1694" s="6" t="s">
        <v>789</v>
      </c>
      <c r="C1694" s="7" t="s">
        <v>971</v>
      </c>
      <c r="D1694" s="8">
        <v>141</v>
      </c>
    </row>
    <row r="1695" spans="1:4" x14ac:dyDescent="0.3">
      <c r="A1695" s="5">
        <v>45989</v>
      </c>
      <c r="B1695" s="6" t="s">
        <v>789</v>
      </c>
      <c r="C1695" s="7" t="s">
        <v>971</v>
      </c>
      <c r="D1695" s="8">
        <v>55</v>
      </c>
    </row>
    <row r="1696" spans="1:4" x14ac:dyDescent="0.3">
      <c r="A1696" s="5">
        <v>45989</v>
      </c>
      <c r="B1696" s="6" t="s">
        <v>789</v>
      </c>
      <c r="C1696" s="7" t="s">
        <v>971</v>
      </c>
      <c r="D1696" s="8">
        <v>54</v>
      </c>
    </row>
    <row r="1697" spans="1:4" x14ac:dyDescent="0.3">
      <c r="A1697" s="5">
        <v>45989</v>
      </c>
      <c r="B1697" s="6" t="s">
        <v>792</v>
      </c>
      <c r="C1697" s="7" t="s">
        <v>972</v>
      </c>
      <c r="D1697" s="8">
        <v>1200</v>
      </c>
    </row>
    <row r="1698" spans="1:4" x14ac:dyDescent="0.3">
      <c r="A1698" s="5">
        <v>45989</v>
      </c>
      <c r="B1698" s="6" t="s">
        <v>792</v>
      </c>
      <c r="C1698" s="7" t="s">
        <v>973</v>
      </c>
      <c r="D1698" s="8">
        <v>2400</v>
      </c>
    </row>
    <row r="1699" spans="1:4" x14ac:dyDescent="0.3">
      <c r="A1699" s="5">
        <v>45967</v>
      </c>
      <c r="B1699" s="6" t="s">
        <v>801</v>
      </c>
      <c r="C1699" s="7" t="s">
        <v>961</v>
      </c>
      <c r="D1699" s="8">
        <v>399</v>
      </c>
    </row>
    <row r="1700" spans="1:4" x14ac:dyDescent="0.3">
      <c r="A1700" s="5">
        <v>45967</v>
      </c>
      <c r="B1700" s="6" t="s">
        <v>798</v>
      </c>
      <c r="C1700" s="7" t="s">
        <v>974</v>
      </c>
      <c r="D1700" s="8">
        <v>5046</v>
      </c>
    </row>
    <row r="1701" spans="1:4" x14ac:dyDescent="0.3">
      <c r="A1701" s="5">
        <v>45971</v>
      </c>
      <c r="B1701" s="6" t="s">
        <v>792</v>
      </c>
      <c r="C1701" s="7" t="s">
        <v>975</v>
      </c>
      <c r="D1701" s="8">
        <v>1000</v>
      </c>
    </row>
    <row r="1702" spans="1:4" x14ac:dyDescent="0.3">
      <c r="A1702" s="5">
        <v>45972</v>
      </c>
      <c r="B1702" s="6" t="s">
        <v>799</v>
      </c>
      <c r="C1702" s="7" t="s">
        <v>177</v>
      </c>
      <c r="D1702" s="8">
        <v>250</v>
      </c>
    </row>
    <row r="1703" spans="1:4" x14ac:dyDescent="0.3">
      <c r="A1703" s="5">
        <v>45972</v>
      </c>
      <c r="B1703" s="6" t="s">
        <v>797</v>
      </c>
      <c r="C1703" s="7" t="s">
        <v>178</v>
      </c>
      <c r="D1703" s="8">
        <v>71.5</v>
      </c>
    </row>
    <row r="1704" spans="1:4" x14ac:dyDescent="0.3">
      <c r="A1704" s="5">
        <v>45972</v>
      </c>
      <c r="B1704" s="6" t="s">
        <v>795</v>
      </c>
      <c r="C1704" s="7" t="s">
        <v>179</v>
      </c>
      <c r="D1704" s="8">
        <v>51.44</v>
      </c>
    </row>
    <row r="1705" spans="1:4" x14ac:dyDescent="0.3">
      <c r="A1705" s="5">
        <v>45975</v>
      </c>
      <c r="B1705" s="6" t="s">
        <v>790</v>
      </c>
      <c r="C1705" s="7" t="s">
        <v>976</v>
      </c>
      <c r="D1705" s="8">
        <v>31521</v>
      </c>
    </row>
    <row r="1706" spans="1:4" x14ac:dyDescent="0.3">
      <c r="A1706" s="5">
        <v>45985</v>
      </c>
      <c r="B1706" s="6" t="s">
        <v>782</v>
      </c>
      <c r="C1706" s="7" t="s">
        <v>977</v>
      </c>
      <c r="D1706" s="8">
        <v>4060</v>
      </c>
    </row>
    <row r="1707" spans="1:4" x14ac:dyDescent="0.3">
      <c r="A1707" s="5">
        <v>45985</v>
      </c>
      <c r="B1707" s="6" t="s">
        <v>782</v>
      </c>
      <c r="C1707" s="7" t="s">
        <v>978</v>
      </c>
      <c r="D1707" s="8">
        <v>2088</v>
      </c>
    </row>
    <row r="1708" spans="1:4" x14ac:dyDescent="0.3">
      <c r="A1708" s="5">
        <v>45985</v>
      </c>
      <c r="B1708" s="6" t="s">
        <v>782</v>
      </c>
      <c r="C1708" s="7" t="s">
        <v>979</v>
      </c>
      <c r="D1708" s="8">
        <v>4060</v>
      </c>
    </row>
    <row r="1709" spans="1:4" x14ac:dyDescent="0.3">
      <c r="A1709" s="5">
        <v>46017</v>
      </c>
      <c r="B1709" s="6" t="s">
        <v>790</v>
      </c>
      <c r="C1709" s="7" t="s">
        <v>980</v>
      </c>
      <c r="D1709" s="8">
        <v>33725</v>
      </c>
    </row>
    <row r="1710" spans="1:4" x14ac:dyDescent="0.3">
      <c r="A1710" s="5">
        <v>46017</v>
      </c>
      <c r="B1710" s="6" t="s">
        <v>792</v>
      </c>
      <c r="C1710" s="7" t="s">
        <v>981</v>
      </c>
      <c r="D1710" s="8">
        <v>1400</v>
      </c>
    </row>
    <row r="1711" spans="1:4" x14ac:dyDescent="0.3">
      <c r="A1711" s="5">
        <v>46017</v>
      </c>
      <c r="B1711" s="6" t="s">
        <v>984</v>
      </c>
      <c r="C1711" s="7" t="s">
        <v>982</v>
      </c>
      <c r="D1711" s="8">
        <v>300</v>
      </c>
    </row>
    <row r="1712" spans="1:4" x14ac:dyDescent="0.3">
      <c r="A1712" s="5">
        <v>46021</v>
      </c>
      <c r="B1712" s="6" t="s">
        <v>758</v>
      </c>
      <c r="C1712" s="7" t="s">
        <v>983</v>
      </c>
      <c r="D1712" s="8">
        <v>11368</v>
      </c>
    </row>
    <row r="1713" spans="1:4" x14ac:dyDescent="0.3">
      <c r="A1713" s="5"/>
      <c r="B1713" s="6"/>
      <c r="C1713" s="7"/>
      <c r="D1713" s="8"/>
    </row>
    <row r="1714" spans="1:4" x14ac:dyDescent="0.3">
      <c r="A1714" s="5"/>
      <c r="B1714" s="6"/>
      <c r="C1714" s="7"/>
      <c r="D1714" s="8"/>
    </row>
    <row r="1715" spans="1:4" x14ac:dyDescent="0.3">
      <c r="A1715" s="5"/>
      <c r="B1715" s="6"/>
      <c r="C1715" s="7"/>
      <c r="D1715" s="8"/>
    </row>
    <row r="1716" spans="1:4" x14ac:dyDescent="0.3">
      <c r="A1716" s="5"/>
      <c r="B1716" s="6"/>
      <c r="C1716" s="7"/>
      <c r="D1716" s="8"/>
    </row>
    <row r="1717" spans="1:4" x14ac:dyDescent="0.3">
      <c r="A1717" s="5"/>
      <c r="B1717" s="6"/>
      <c r="C1717" s="7"/>
      <c r="D1717" s="8"/>
    </row>
    <row r="1718" spans="1:4" x14ac:dyDescent="0.3">
      <c r="A1718" s="5"/>
      <c r="B1718" s="6"/>
      <c r="C1718" s="7"/>
      <c r="D1718" s="8"/>
    </row>
    <row r="1719" spans="1:4" x14ac:dyDescent="0.3">
      <c r="A1719" s="5"/>
      <c r="B1719" s="6"/>
      <c r="C1719" s="7"/>
      <c r="D1719" s="8"/>
    </row>
    <row r="1720" spans="1:4" x14ac:dyDescent="0.3">
      <c r="A1720" s="5"/>
      <c r="B1720" s="6"/>
      <c r="C1720" s="7"/>
      <c r="D1720" s="8"/>
    </row>
    <row r="1721" spans="1:4" x14ac:dyDescent="0.3">
      <c r="A1721" s="5"/>
      <c r="B1721" s="6"/>
      <c r="C1721" s="7"/>
      <c r="D1721" s="8"/>
    </row>
    <row r="1722" spans="1:4" x14ac:dyDescent="0.3">
      <c r="A1722" s="5"/>
      <c r="B1722" s="6"/>
      <c r="C1722" s="7"/>
      <c r="D1722" s="8"/>
    </row>
    <row r="1723" spans="1:4" x14ac:dyDescent="0.3">
      <c r="A1723" s="5"/>
      <c r="B1723" s="6"/>
      <c r="C1723" s="7"/>
      <c r="D1723" s="8"/>
    </row>
    <row r="1724" spans="1:4" x14ac:dyDescent="0.3">
      <c r="A1724" s="5"/>
      <c r="B1724" s="6"/>
      <c r="C1724" s="7"/>
      <c r="D1724" s="8"/>
    </row>
    <row r="1725" spans="1:4" x14ac:dyDescent="0.3">
      <c r="A1725" s="5"/>
      <c r="B1725" s="6"/>
      <c r="C1725" s="7"/>
      <c r="D1725" s="8"/>
    </row>
    <row r="1726" spans="1:4" x14ac:dyDescent="0.3">
      <c r="A1726" s="5"/>
      <c r="B1726" s="6"/>
      <c r="C1726" s="7"/>
      <c r="D1726" s="8"/>
    </row>
    <row r="1727" spans="1:4" x14ac:dyDescent="0.3">
      <c r="A1727" s="5"/>
      <c r="B1727" s="6"/>
      <c r="C1727" s="7"/>
      <c r="D1727" s="8"/>
    </row>
    <row r="1728" spans="1:4" x14ac:dyDescent="0.3">
      <c r="A1728" s="5"/>
      <c r="B1728" s="6"/>
      <c r="C1728" s="7"/>
      <c r="D1728" s="8"/>
    </row>
    <row r="1729" spans="1:4" x14ac:dyDescent="0.3">
      <c r="A1729" s="5"/>
      <c r="B1729" s="6"/>
      <c r="C1729" s="7"/>
      <c r="D1729" s="8"/>
    </row>
    <row r="1730" spans="1:4" x14ac:dyDescent="0.3">
      <c r="A1730" s="5"/>
      <c r="B1730" s="6"/>
      <c r="C1730" s="7"/>
      <c r="D1730" s="8"/>
    </row>
    <row r="1731" spans="1:4" x14ac:dyDescent="0.3">
      <c r="A1731" s="5"/>
      <c r="B1731" s="6"/>
      <c r="C1731" s="7"/>
      <c r="D1731" s="8"/>
    </row>
    <row r="1732" spans="1:4" x14ac:dyDescent="0.3">
      <c r="A1732" s="5"/>
      <c r="B1732" s="6"/>
      <c r="C1732" s="7"/>
      <c r="D1732" s="8"/>
    </row>
    <row r="1733" spans="1:4" x14ac:dyDescent="0.3">
      <c r="A1733" s="5"/>
      <c r="B1733" s="6"/>
      <c r="C1733" s="7"/>
      <c r="D1733" s="8"/>
    </row>
    <row r="1734" spans="1:4" x14ac:dyDescent="0.3">
      <c r="A1734" s="5"/>
      <c r="B1734" s="6"/>
      <c r="C1734" s="7"/>
      <c r="D1734" s="8"/>
    </row>
    <row r="1735" spans="1:4" x14ac:dyDescent="0.3">
      <c r="A1735" s="5"/>
      <c r="B1735" s="6"/>
      <c r="C1735" s="7"/>
      <c r="D1735" s="8"/>
    </row>
    <row r="1736" spans="1:4" x14ac:dyDescent="0.3">
      <c r="A1736" s="5"/>
      <c r="B1736" s="6"/>
      <c r="C1736" s="7"/>
      <c r="D1736" s="8"/>
    </row>
    <row r="1737" spans="1:4" x14ac:dyDescent="0.3">
      <c r="A1737" s="5"/>
      <c r="B1737" s="6"/>
      <c r="C1737" s="7"/>
      <c r="D1737" s="8"/>
    </row>
    <row r="1738" spans="1:4" x14ac:dyDescent="0.3">
      <c r="A1738" s="5"/>
      <c r="B1738" s="6"/>
      <c r="C1738" s="7"/>
      <c r="D1738" s="8"/>
    </row>
    <row r="1739" spans="1:4" x14ac:dyDescent="0.3">
      <c r="A1739" s="5"/>
      <c r="B1739" s="6"/>
      <c r="C1739" s="7"/>
      <c r="D1739" s="8"/>
    </row>
    <row r="1740" spans="1:4" x14ac:dyDescent="0.3">
      <c r="A1740" s="5"/>
      <c r="B1740" s="6"/>
      <c r="C1740" s="7"/>
      <c r="D1740" s="8"/>
    </row>
    <row r="1741" spans="1:4" x14ac:dyDescent="0.3">
      <c r="A1741" s="5"/>
      <c r="B1741" s="6"/>
      <c r="C1741" s="7"/>
      <c r="D1741" s="8"/>
    </row>
    <row r="1742" spans="1:4" x14ac:dyDescent="0.3">
      <c r="A1742" s="5"/>
      <c r="B1742" s="6"/>
      <c r="C1742" s="7"/>
      <c r="D1742" s="8"/>
    </row>
    <row r="1743" spans="1:4" x14ac:dyDescent="0.3">
      <c r="A1743" s="5"/>
      <c r="B1743" s="6"/>
      <c r="C1743" s="7"/>
      <c r="D1743" s="8"/>
    </row>
    <row r="1744" spans="1:4" x14ac:dyDescent="0.3">
      <c r="A1744" s="5"/>
      <c r="B1744" s="6"/>
      <c r="C1744" s="7"/>
      <c r="D1744" s="8"/>
    </row>
    <row r="1745" spans="1:4" x14ac:dyDescent="0.3">
      <c r="A1745" s="5"/>
      <c r="B1745" s="6"/>
      <c r="C1745" s="7"/>
      <c r="D1745" s="8"/>
    </row>
    <row r="1746" spans="1:4" x14ac:dyDescent="0.3">
      <c r="A1746" s="5"/>
      <c r="B1746" s="6"/>
      <c r="C1746" s="7"/>
      <c r="D1746" s="8"/>
    </row>
    <row r="1747" spans="1:4" x14ac:dyDescent="0.3">
      <c r="A1747" s="5"/>
      <c r="B1747" s="6"/>
      <c r="C1747" s="7"/>
      <c r="D1747" s="8"/>
    </row>
    <row r="1748" spans="1:4" x14ac:dyDescent="0.3">
      <c r="A1748" s="5"/>
      <c r="B1748" s="6"/>
      <c r="C1748" s="7"/>
      <c r="D1748" s="8"/>
    </row>
    <row r="1749" spans="1:4" x14ac:dyDescent="0.3">
      <c r="A1749" s="5"/>
      <c r="B1749" s="6"/>
      <c r="C1749" s="7"/>
      <c r="D1749" s="8"/>
    </row>
    <row r="1750" spans="1:4" x14ac:dyDescent="0.3">
      <c r="A1750" s="5"/>
      <c r="B1750" s="6"/>
      <c r="C1750" s="7"/>
      <c r="D1750" s="8"/>
    </row>
    <row r="1751" spans="1:4" x14ac:dyDescent="0.3">
      <c r="A1751" s="5"/>
      <c r="B1751" s="6"/>
      <c r="C1751" s="7"/>
      <c r="D1751" s="8"/>
    </row>
    <row r="1752" spans="1:4" x14ac:dyDescent="0.3">
      <c r="A1752" s="5"/>
      <c r="B1752" s="6"/>
      <c r="C1752" s="7"/>
      <c r="D1752" s="8"/>
    </row>
    <row r="1753" spans="1:4" x14ac:dyDescent="0.3">
      <c r="A1753" s="5"/>
      <c r="B1753" s="6"/>
      <c r="C1753" s="7"/>
      <c r="D1753" s="8"/>
    </row>
    <row r="1754" spans="1:4" x14ac:dyDescent="0.3">
      <c r="A1754" s="5"/>
      <c r="B1754" s="6"/>
      <c r="C1754" s="7"/>
      <c r="D1754" s="8"/>
    </row>
    <row r="1755" spans="1:4" x14ac:dyDescent="0.3">
      <c r="A1755" s="5"/>
      <c r="B1755" s="6"/>
      <c r="C1755" s="7"/>
      <c r="D1755" s="8"/>
    </row>
    <row r="1756" spans="1:4" x14ac:dyDescent="0.3">
      <c r="A1756" s="5"/>
      <c r="B1756" s="6"/>
      <c r="C1756" s="7"/>
      <c r="D1756" s="8"/>
    </row>
    <row r="1757" spans="1:4" x14ac:dyDescent="0.3">
      <c r="A1757" s="5"/>
      <c r="B1757" s="6"/>
      <c r="C1757" s="7"/>
      <c r="D1757" s="8"/>
    </row>
    <row r="1758" spans="1:4" x14ac:dyDescent="0.3">
      <c r="A1758" s="5"/>
      <c r="B1758" s="6"/>
      <c r="C1758" s="7"/>
      <c r="D1758" s="8"/>
    </row>
    <row r="1759" spans="1:4" x14ac:dyDescent="0.3">
      <c r="A1759" s="5"/>
      <c r="B1759" s="6"/>
      <c r="C1759" s="7"/>
      <c r="D1759" s="8"/>
    </row>
    <row r="1760" spans="1:4" x14ac:dyDescent="0.3">
      <c r="A1760" s="5"/>
      <c r="B1760" s="6"/>
      <c r="C1760" s="7"/>
      <c r="D1760" s="8"/>
    </row>
    <row r="1761" spans="1:4" x14ac:dyDescent="0.3">
      <c r="A1761" s="5"/>
      <c r="B1761" s="6"/>
      <c r="C1761" s="7"/>
      <c r="D1761" s="8"/>
    </row>
    <row r="1762" spans="1:4" x14ac:dyDescent="0.3">
      <c r="A1762" s="5"/>
      <c r="B1762" s="6"/>
      <c r="C1762" s="7"/>
      <c r="D1762" s="8"/>
    </row>
    <row r="1763" spans="1:4" x14ac:dyDescent="0.3">
      <c r="A1763" s="5"/>
      <c r="B1763" s="6"/>
      <c r="C1763" s="7"/>
      <c r="D1763" s="8"/>
    </row>
    <row r="1764" spans="1:4" x14ac:dyDescent="0.3">
      <c r="A1764" s="5"/>
      <c r="B1764" s="6"/>
      <c r="C1764" s="7"/>
      <c r="D1764" s="8"/>
    </row>
    <row r="1765" spans="1:4" x14ac:dyDescent="0.3">
      <c r="A1765" s="5"/>
      <c r="B1765" s="6"/>
      <c r="C1765" s="7"/>
      <c r="D1765" s="8"/>
    </row>
    <row r="1766" spans="1:4" x14ac:dyDescent="0.3">
      <c r="A1766" s="5"/>
      <c r="B1766" s="6"/>
      <c r="C1766" s="7"/>
      <c r="D1766" s="8"/>
    </row>
    <row r="1767" spans="1:4" x14ac:dyDescent="0.3">
      <c r="A1767" s="5"/>
      <c r="B1767" s="6"/>
      <c r="C1767" s="7"/>
      <c r="D1767" s="8"/>
    </row>
    <row r="1768" spans="1:4" x14ac:dyDescent="0.3">
      <c r="A1768" s="5"/>
      <c r="B1768" s="6"/>
      <c r="C1768" s="7"/>
      <c r="D1768" s="8"/>
    </row>
    <row r="1769" spans="1:4" x14ac:dyDescent="0.3">
      <c r="A1769" s="5"/>
      <c r="B1769" s="6"/>
      <c r="C1769" s="7"/>
      <c r="D1769" s="8"/>
    </row>
    <row r="1770" spans="1:4" x14ac:dyDescent="0.3">
      <c r="A1770" s="5"/>
      <c r="B1770" s="6"/>
      <c r="C1770" s="7"/>
      <c r="D1770" s="8"/>
    </row>
    <row r="1771" spans="1:4" x14ac:dyDescent="0.3">
      <c r="A1771" s="5"/>
      <c r="B1771" s="6"/>
      <c r="C1771" s="7"/>
      <c r="D1771" s="8"/>
    </row>
    <row r="1772" spans="1:4" x14ac:dyDescent="0.3">
      <c r="A1772" s="5"/>
      <c r="B1772" s="6"/>
      <c r="C1772" s="7"/>
      <c r="D1772" s="8"/>
    </row>
    <row r="1773" spans="1:4" x14ac:dyDescent="0.3">
      <c r="A1773" s="5"/>
      <c r="B1773" s="6"/>
      <c r="C1773" s="7"/>
      <c r="D1773" s="8"/>
    </row>
    <row r="1774" spans="1:4" x14ac:dyDescent="0.3">
      <c r="A1774" s="5"/>
      <c r="B1774" s="6"/>
      <c r="C1774" s="7"/>
      <c r="D1774" s="8"/>
    </row>
    <row r="1775" spans="1:4" x14ac:dyDescent="0.3">
      <c r="A1775" s="5"/>
      <c r="B1775" s="6"/>
      <c r="C1775" s="7"/>
      <c r="D1775" s="8"/>
    </row>
    <row r="1776" spans="1:4" x14ac:dyDescent="0.3">
      <c r="A1776" s="5"/>
      <c r="B1776" s="6"/>
      <c r="C1776" s="7"/>
      <c r="D1776" s="8"/>
    </row>
    <row r="1777" spans="1:4" x14ac:dyDescent="0.3">
      <c r="A1777" s="5"/>
      <c r="B1777" s="6"/>
      <c r="C1777" s="7"/>
      <c r="D1777" s="8"/>
    </row>
    <row r="1778" spans="1:4" x14ac:dyDescent="0.3">
      <c r="A1778" s="5"/>
      <c r="B1778" s="6"/>
      <c r="C1778" s="7"/>
      <c r="D1778" s="8"/>
    </row>
    <row r="1779" spans="1:4" x14ac:dyDescent="0.3">
      <c r="A1779" s="5"/>
      <c r="B1779" s="6"/>
      <c r="C1779" s="7"/>
      <c r="D1779" s="8"/>
    </row>
    <row r="1780" spans="1:4" x14ac:dyDescent="0.3">
      <c r="A1780" s="5"/>
      <c r="B1780" s="6"/>
      <c r="C1780" s="7"/>
      <c r="D1780" s="8"/>
    </row>
    <row r="1781" spans="1:4" x14ac:dyDescent="0.3">
      <c r="A1781" s="5"/>
      <c r="B1781" s="6"/>
      <c r="C1781" s="7"/>
      <c r="D1781" s="8"/>
    </row>
    <row r="1782" spans="1:4" x14ac:dyDescent="0.3">
      <c r="A1782" s="5"/>
      <c r="B1782" s="6"/>
      <c r="C1782" s="7"/>
      <c r="D1782" s="8"/>
    </row>
    <row r="1783" spans="1:4" x14ac:dyDescent="0.3">
      <c r="A1783" s="5"/>
      <c r="B1783" s="6"/>
      <c r="C1783" s="7"/>
      <c r="D1783" s="8"/>
    </row>
    <row r="1784" spans="1:4" x14ac:dyDescent="0.3">
      <c r="A1784" s="5"/>
      <c r="B1784" s="6"/>
      <c r="C1784" s="7"/>
      <c r="D1784" s="8"/>
    </row>
    <row r="1785" spans="1:4" x14ac:dyDescent="0.3">
      <c r="A1785" s="5"/>
      <c r="B1785" s="6"/>
      <c r="C1785" s="7"/>
      <c r="D1785" s="8"/>
    </row>
    <row r="1786" spans="1:4" x14ac:dyDescent="0.3">
      <c r="A1786" s="5"/>
      <c r="B1786" s="6"/>
      <c r="C1786" s="7"/>
      <c r="D1786" s="8"/>
    </row>
    <row r="1787" spans="1:4" x14ac:dyDescent="0.3">
      <c r="A1787" s="5"/>
      <c r="B1787" s="6"/>
      <c r="C1787" s="7"/>
      <c r="D1787" s="8"/>
    </row>
    <row r="1788" spans="1:4" x14ac:dyDescent="0.3">
      <c r="A1788" s="5"/>
      <c r="B1788" s="6"/>
      <c r="C1788" s="7"/>
      <c r="D1788" s="8"/>
    </row>
    <row r="1789" spans="1:4" x14ac:dyDescent="0.3">
      <c r="A1789" s="5"/>
      <c r="B1789" s="6"/>
      <c r="C1789" s="7"/>
      <c r="D1789" s="8"/>
    </row>
    <row r="1790" spans="1:4" x14ac:dyDescent="0.3">
      <c r="A1790" s="5"/>
      <c r="B1790" s="6"/>
      <c r="C1790" s="7"/>
      <c r="D1790" s="8"/>
    </row>
    <row r="1791" spans="1:4" x14ac:dyDescent="0.3">
      <c r="A1791" s="5"/>
      <c r="B1791" s="6"/>
      <c r="C1791" s="7"/>
      <c r="D1791" s="8"/>
    </row>
    <row r="1792" spans="1:4" x14ac:dyDescent="0.3">
      <c r="A1792" s="5"/>
      <c r="B1792" s="6"/>
      <c r="C1792" s="7"/>
      <c r="D1792" s="8"/>
    </row>
    <row r="1793" spans="1:4" x14ac:dyDescent="0.3">
      <c r="A1793" s="5"/>
      <c r="B1793" s="6"/>
      <c r="C1793" s="7"/>
      <c r="D1793" s="8"/>
    </row>
    <row r="1794" spans="1:4" x14ac:dyDescent="0.3">
      <c r="A1794" s="5"/>
      <c r="B1794" s="6"/>
      <c r="C1794" s="7"/>
      <c r="D1794" s="8"/>
    </row>
    <row r="1795" spans="1:4" x14ac:dyDescent="0.3">
      <c r="B1795" s="6"/>
    </row>
    <row r="1796" spans="1:4" x14ac:dyDescent="0.3">
      <c r="B1796" s="6"/>
    </row>
    <row r="1797" spans="1:4" x14ac:dyDescent="0.3">
      <c r="B1797" s="6"/>
    </row>
    <row r="1798" spans="1:4" x14ac:dyDescent="0.3">
      <c r="B1798" s="6"/>
    </row>
    <row r="1799" spans="1:4" x14ac:dyDescent="0.3">
      <c r="B1799" s="6"/>
    </row>
    <row r="1800" spans="1:4" x14ac:dyDescent="0.3">
      <c r="B1800" s="6"/>
    </row>
    <row r="1801" spans="1:4" x14ac:dyDescent="0.3">
      <c r="B1801" s="6"/>
    </row>
    <row r="1802" spans="1:4" x14ac:dyDescent="0.3">
      <c r="B1802" s="6"/>
    </row>
    <row r="1803" spans="1:4" x14ac:dyDescent="0.3">
      <c r="B1803" s="6"/>
    </row>
  </sheetData>
  <autoFilter ref="A1:G1712" xr:uid="{00000000-0009-0000-0000-000001000000}">
    <sortState ref="A2:G1252">
      <sortCondition ref="A1:A1252"/>
    </sortState>
  </autoFilter>
  <sortState ref="AA2:AA53">
    <sortCondition ref="AA1:AA53"/>
  </sortState>
  <mergeCells count="1">
    <mergeCell ref="AB1:AC1"/>
  </mergeCells>
  <conditionalFormatting sqref="B2:B357">
    <cfRule type="containsText" dxfId="5" priority="175" operator="containsText" text=" MB">
      <formula>NOT(ISERROR(SEARCH(" MB",B2)))</formula>
    </cfRule>
    <cfRule type="containsText" dxfId="4" priority="176" operator="containsText" text=" CC">
      <formula>NOT(ISERROR(SEARCH(" CC",B2)))</formula>
    </cfRule>
  </conditionalFormatting>
  <conditionalFormatting sqref="B359:B457 B459:B466 B468:B612 B619:B688">
    <cfRule type="containsText" dxfId="3" priority="465" operator="containsText" text=" MB">
      <formula>NOT(ISERROR(SEARCH(" MB",B359)))</formula>
    </cfRule>
    <cfRule type="containsText" dxfId="2" priority="466" operator="containsText" text=" CC">
      <formula>NOT(ISERROR(SEARCH(" CC",B359)))</formula>
    </cfRule>
  </conditionalFormatting>
  <conditionalFormatting sqref="B690:B1803">
    <cfRule type="containsText" dxfId="1" priority="141" operator="containsText" text=" MB">
      <formula>NOT(ISERROR(SEARCH(" MB",B690)))</formula>
    </cfRule>
    <cfRule type="containsText" dxfId="0" priority="142" operator="containsText" text=" CC">
      <formula>NOT(ISERROR(SEARCH(" CC",B690)))</formula>
    </cfRule>
  </conditionalFormatting>
  <dataValidations count="1">
    <dataValidation type="list" errorStyle="warning" allowBlank="1" showInputMessage="1" showErrorMessage="1" errorTitle="Fuera de catálogo" error="La clasificación que introdujo no está en el catálogo" sqref="B2:B1803" xr:uid="{00000000-0002-0000-0100-000000000000}">
      <formula1>$AA$2:$AA$109</formula1>
    </dataValidation>
  </dataValidations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68959-3336-4F46-BEA4-BCA83DFEE8BD}">
  <sheetPr>
    <pageSetUpPr fitToPage="1"/>
  </sheetPr>
  <dimension ref="A1:C86"/>
  <sheetViews>
    <sheetView tabSelected="1" topLeftCell="A23" workbookViewId="0">
      <selection activeCell="B32" sqref="B32"/>
    </sheetView>
  </sheetViews>
  <sheetFormatPr baseColWidth="10" defaultRowHeight="14.5" x14ac:dyDescent="0.35"/>
  <cols>
    <col min="2" max="2" width="68.36328125" customWidth="1"/>
  </cols>
  <sheetData>
    <row r="1" spans="1:3" ht="15" thickBot="1" x14ac:dyDescent="0.4">
      <c r="B1" s="116" t="s">
        <v>899</v>
      </c>
      <c r="C1" s="117"/>
    </row>
    <row r="2" spans="1:3" x14ac:dyDescent="0.35">
      <c r="A2" s="5">
        <v>43854</v>
      </c>
      <c r="B2" s="7" t="s">
        <v>182</v>
      </c>
      <c r="C2" s="8">
        <v>45329</v>
      </c>
    </row>
    <row r="3" spans="1:3" x14ac:dyDescent="0.35">
      <c r="A3" s="5">
        <v>43885</v>
      </c>
      <c r="B3" s="7" t="s">
        <v>193</v>
      </c>
      <c r="C3" s="8">
        <v>20728</v>
      </c>
    </row>
    <row r="4" spans="1:3" x14ac:dyDescent="0.35">
      <c r="A4" s="5">
        <v>43915</v>
      </c>
      <c r="B4" s="7" t="s">
        <v>200</v>
      </c>
      <c r="C4" s="8">
        <v>23940</v>
      </c>
    </row>
    <row r="5" spans="1:3" x14ac:dyDescent="0.35">
      <c r="A5" s="5">
        <v>43945</v>
      </c>
      <c r="B5" s="7" t="s">
        <v>216</v>
      </c>
      <c r="C5" s="8">
        <v>21000</v>
      </c>
    </row>
    <row r="6" spans="1:3" x14ac:dyDescent="0.35">
      <c r="A6" s="5">
        <v>43977</v>
      </c>
      <c r="B6" s="7" t="s">
        <v>225</v>
      </c>
      <c r="C6" s="8">
        <v>15469</v>
      </c>
    </row>
    <row r="7" spans="1:3" x14ac:dyDescent="0.35">
      <c r="A7" s="5">
        <v>44006</v>
      </c>
      <c r="B7" s="7" t="s">
        <v>233</v>
      </c>
      <c r="C7" s="8">
        <v>13750</v>
      </c>
    </row>
    <row r="8" spans="1:3" x14ac:dyDescent="0.35">
      <c r="A8" s="5">
        <v>44039</v>
      </c>
      <c r="B8" s="7" t="s">
        <v>246</v>
      </c>
      <c r="C8" s="8">
        <v>24689</v>
      </c>
    </row>
    <row r="9" spans="1:3" x14ac:dyDescent="0.35">
      <c r="A9" s="5">
        <v>44068</v>
      </c>
      <c r="B9" s="7" t="s">
        <v>267</v>
      </c>
      <c r="C9" s="8">
        <v>28147</v>
      </c>
    </row>
    <row r="10" spans="1:3" x14ac:dyDescent="0.35">
      <c r="A10" s="5">
        <v>44098</v>
      </c>
      <c r="B10" s="7" t="s">
        <v>274</v>
      </c>
      <c r="C10" s="8">
        <v>26398</v>
      </c>
    </row>
    <row r="11" spans="1:3" x14ac:dyDescent="0.35">
      <c r="A11" s="5">
        <v>44130</v>
      </c>
      <c r="B11" s="7" t="s">
        <v>283</v>
      </c>
      <c r="C11" s="8">
        <v>24757</v>
      </c>
    </row>
    <row r="12" spans="1:3" x14ac:dyDescent="0.35">
      <c r="A12" s="5">
        <v>44159</v>
      </c>
      <c r="B12" s="7" t="s">
        <v>289</v>
      </c>
      <c r="C12" s="8">
        <v>26469</v>
      </c>
    </row>
    <row r="13" spans="1:3" x14ac:dyDescent="0.35">
      <c r="A13" s="5">
        <v>44193</v>
      </c>
      <c r="B13" s="7" t="s">
        <v>294</v>
      </c>
      <c r="C13" s="8">
        <v>28225</v>
      </c>
    </row>
    <row r="14" spans="1:3" x14ac:dyDescent="0.35">
      <c r="A14" s="5">
        <v>44221</v>
      </c>
      <c r="B14" s="7" t="s">
        <v>306</v>
      </c>
      <c r="C14" s="8">
        <v>21551</v>
      </c>
    </row>
    <row r="15" spans="1:3" x14ac:dyDescent="0.35">
      <c r="A15" s="5">
        <v>44249</v>
      </c>
      <c r="B15" s="7" t="s">
        <v>315</v>
      </c>
      <c r="C15" s="8">
        <v>28377</v>
      </c>
    </row>
    <row r="16" spans="1:3" x14ac:dyDescent="0.35">
      <c r="A16" s="5">
        <v>44279</v>
      </c>
      <c r="B16" s="7" t="s">
        <v>329</v>
      </c>
      <c r="C16" s="8">
        <v>24890</v>
      </c>
    </row>
    <row r="17" spans="1:3" x14ac:dyDescent="0.35">
      <c r="A17" s="5">
        <v>44312</v>
      </c>
      <c r="B17" s="7" t="s">
        <v>342</v>
      </c>
      <c r="C17" s="8">
        <v>21706</v>
      </c>
    </row>
    <row r="18" spans="1:3" x14ac:dyDescent="0.35">
      <c r="A18" s="5">
        <v>44341</v>
      </c>
      <c r="B18" s="7" t="s">
        <v>351</v>
      </c>
      <c r="C18" s="8">
        <v>34142</v>
      </c>
    </row>
    <row r="19" spans="1:3" x14ac:dyDescent="0.35">
      <c r="A19" s="5">
        <v>44371</v>
      </c>
      <c r="B19" s="7" t="s">
        <v>359</v>
      </c>
      <c r="C19" s="8">
        <v>26804</v>
      </c>
    </row>
    <row r="20" spans="1:3" x14ac:dyDescent="0.35">
      <c r="A20" s="5">
        <v>44403</v>
      </c>
      <c r="B20" s="7" t="s">
        <v>377</v>
      </c>
      <c r="C20" s="8">
        <v>25368</v>
      </c>
    </row>
    <row r="21" spans="1:3" x14ac:dyDescent="0.35">
      <c r="A21" s="5">
        <v>44433</v>
      </c>
      <c r="B21" s="7" t="s">
        <v>389</v>
      </c>
      <c r="C21" s="8">
        <v>23648</v>
      </c>
    </row>
    <row r="22" spans="1:3" x14ac:dyDescent="0.35">
      <c r="A22" s="5">
        <v>44462</v>
      </c>
      <c r="B22" s="7" t="s">
        <v>404</v>
      </c>
      <c r="C22" s="8">
        <v>27125</v>
      </c>
    </row>
    <row r="23" spans="1:3" x14ac:dyDescent="0.35">
      <c r="A23" s="5">
        <v>44491</v>
      </c>
      <c r="B23" s="7" t="s">
        <v>415</v>
      </c>
      <c r="C23" s="8">
        <v>29075</v>
      </c>
    </row>
    <row r="24" spans="1:3" x14ac:dyDescent="0.35">
      <c r="A24" s="5">
        <v>44524</v>
      </c>
      <c r="B24" s="7" t="s">
        <v>424</v>
      </c>
      <c r="C24" s="8">
        <v>25503</v>
      </c>
    </row>
    <row r="25" spans="1:3" x14ac:dyDescent="0.35">
      <c r="A25" s="5">
        <v>44552</v>
      </c>
      <c r="B25" s="7" t="s">
        <v>435</v>
      </c>
      <c r="C25" s="8">
        <v>29075</v>
      </c>
    </row>
    <row r="26" spans="1:3" x14ac:dyDescent="0.35">
      <c r="A26" s="5">
        <v>44585</v>
      </c>
      <c r="B26" s="7" t="s">
        <v>445</v>
      </c>
      <c r="C26" s="8">
        <v>31027</v>
      </c>
    </row>
    <row r="27" spans="1:3" x14ac:dyDescent="0.35">
      <c r="A27" s="5">
        <v>44615</v>
      </c>
      <c r="B27" s="53" t="s">
        <v>456</v>
      </c>
      <c r="C27" s="8">
        <v>25592</v>
      </c>
    </row>
    <row r="28" spans="1:3" x14ac:dyDescent="0.35">
      <c r="A28" s="5">
        <v>44643</v>
      </c>
      <c r="B28" s="44" t="s">
        <v>471</v>
      </c>
      <c r="C28" s="8">
        <v>29177</v>
      </c>
    </row>
    <row r="29" spans="1:3" x14ac:dyDescent="0.35">
      <c r="A29" s="5">
        <v>44673</v>
      </c>
      <c r="B29" s="44" t="s">
        <v>482</v>
      </c>
      <c r="C29" s="8">
        <v>27961</v>
      </c>
    </row>
    <row r="30" spans="1:3" x14ac:dyDescent="0.35">
      <c r="A30" s="5">
        <v>44734</v>
      </c>
      <c r="B30" s="7" t="s">
        <v>496</v>
      </c>
      <c r="C30" s="8">
        <v>60000</v>
      </c>
    </row>
    <row r="31" spans="1:3" x14ac:dyDescent="0.35">
      <c r="A31" s="5">
        <v>44741</v>
      </c>
      <c r="B31" s="7" t="s">
        <v>499</v>
      </c>
      <c r="C31" s="8">
        <v>6973</v>
      </c>
    </row>
    <row r="32" spans="1:3" x14ac:dyDescent="0.35">
      <c r="A32" s="5">
        <v>44788</v>
      </c>
      <c r="B32" s="110" t="s">
        <v>993</v>
      </c>
      <c r="C32" s="8">
        <v>31915</v>
      </c>
    </row>
    <row r="33" spans="1:3" x14ac:dyDescent="0.35">
      <c r="A33" s="5">
        <v>44804</v>
      </c>
      <c r="B33" s="110" t="s">
        <v>994</v>
      </c>
      <c r="C33" s="8">
        <v>26945</v>
      </c>
    </row>
    <row r="34" spans="1:3" x14ac:dyDescent="0.35">
      <c r="A34" s="5">
        <v>44839</v>
      </c>
      <c r="B34" s="7" t="s">
        <v>531</v>
      </c>
      <c r="C34" s="8">
        <v>22697</v>
      </c>
    </row>
    <row r="35" spans="1:3" x14ac:dyDescent="0.35">
      <c r="A35" s="5">
        <v>44861</v>
      </c>
      <c r="B35" s="7" t="s">
        <v>536</v>
      </c>
      <c r="C35" s="8">
        <v>29513</v>
      </c>
    </row>
    <row r="36" spans="1:3" x14ac:dyDescent="0.35">
      <c r="A36" s="5">
        <v>44896</v>
      </c>
      <c r="B36" s="7" t="s">
        <v>543</v>
      </c>
      <c r="C36" s="8">
        <v>23000</v>
      </c>
    </row>
    <row r="37" spans="1:3" x14ac:dyDescent="0.35">
      <c r="A37" s="5">
        <v>44897</v>
      </c>
      <c r="B37" s="7" t="s">
        <v>545</v>
      </c>
      <c r="C37" s="8">
        <v>3502</v>
      </c>
    </row>
    <row r="38" spans="1:3" x14ac:dyDescent="0.35">
      <c r="A38" s="5">
        <v>44921</v>
      </c>
      <c r="B38" s="7" t="s">
        <v>552</v>
      </c>
      <c r="C38" s="8">
        <v>30000</v>
      </c>
    </row>
    <row r="39" spans="1:3" x14ac:dyDescent="0.35">
      <c r="A39" s="5">
        <v>44924</v>
      </c>
      <c r="B39" s="7" t="s">
        <v>553</v>
      </c>
      <c r="C39" s="8">
        <v>1688</v>
      </c>
    </row>
    <row r="40" spans="1:3" x14ac:dyDescent="0.35">
      <c r="A40" s="5">
        <v>44953</v>
      </c>
      <c r="B40" s="7" t="s">
        <v>592</v>
      </c>
      <c r="C40" s="8">
        <v>25455</v>
      </c>
    </row>
    <row r="41" spans="1:3" x14ac:dyDescent="0.35">
      <c r="A41" s="5">
        <v>44981</v>
      </c>
      <c r="B41" s="7" t="s">
        <v>601</v>
      </c>
      <c r="C41" s="8">
        <v>34200</v>
      </c>
    </row>
    <row r="42" spans="1:3" x14ac:dyDescent="0.35">
      <c r="A42" s="5">
        <v>45009</v>
      </c>
      <c r="B42" s="7" t="s">
        <v>612</v>
      </c>
      <c r="C42" s="8">
        <v>27873</v>
      </c>
    </row>
    <row r="43" spans="1:3" x14ac:dyDescent="0.35">
      <c r="A43" s="5">
        <v>45041</v>
      </c>
      <c r="B43" s="7" t="s">
        <v>621</v>
      </c>
      <c r="C43" s="8">
        <v>21957</v>
      </c>
    </row>
    <row r="44" spans="1:3" x14ac:dyDescent="0.35">
      <c r="A44" s="5">
        <v>45065</v>
      </c>
      <c r="B44" s="7" t="s">
        <v>632</v>
      </c>
      <c r="C44" s="8">
        <v>33510</v>
      </c>
    </row>
    <row r="45" spans="1:3" x14ac:dyDescent="0.35">
      <c r="A45" s="5">
        <v>45097</v>
      </c>
      <c r="B45" s="7" t="s">
        <v>640</v>
      </c>
      <c r="C45" s="8">
        <v>23389</v>
      </c>
    </row>
    <row r="46" spans="1:3" x14ac:dyDescent="0.35">
      <c r="A46" s="5">
        <v>45130</v>
      </c>
      <c r="B46" s="7" t="s">
        <v>649</v>
      </c>
      <c r="C46" s="8">
        <v>27310</v>
      </c>
    </row>
    <row r="47" spans="1:3" x14ac:dyDescent="0.35">
      <c r="A47" s="5">
        <v>45162</v>
      </c>
      <c r="B47" s="7" t="s">
        <v>661</v>
      </c>
      <c r="C47" s="8">
        <v>24500</v>
      </c>
    </row>
    <row r="48" spans="1:3" x14ac:dyDescent="0.35">
      <c r="A48" s="5">
        <v>45168</v>
      </c>
      <c r="B48" s="7" t="s">
        <v>662</v>
      </c>
      <c r="C48" s="8">
        <v>4931</v>
      </c>
    </row>
    <row r="49" spans="1:3" x14ac:dyDescent="0.35">
      <c r="A49" s="5">
        <v>45191</v>
      </c>
      <c r="B49" s="7" t="s">
        <v>670</v>
      </c>
      <c r="C49" s="8">
        <v>21000</v>
      </c>
    </row>
    <row r="50" spans="1:3" x14ac:dyDescent="0.35">
      <c r="A50" s="5">
        <v>45204</v>
      </c>
      <c r="B50" s="7" t="s">
        <v>671</v>
      </c>
      <c r="C50" s="8">
        <v>11683</v>
      </c>
    </row>
    <row r="51" spans="1:3" x14ac:dyDescent="0.35">
      <c r="A51" s="5">
        <v>45219</v>
      </c>
      <c r="B51" s="7" t="s">
        <v>681</v>
      </c>
      <c r="C51" s="8">
        <v>18000</v>
      </c>
    </row>
    <row r="52" spans="1:3" x14ac:dyDescent="0.35">
      <c r="A52" s="5">
        <v>45247</v>
      </c>
      <c r="B52" s="7" t="s">
        <v>686</v>
      </c>
      <c r="C52" s="8">
        <v>6461</v>
      </c>
    </row>
    <row r="53" spans="1:3" x14ac:dyDescent="0.35">
      <c r="A53" s="5">
        <v>45257</v>
      </c>
      <c r="B53" s="7" t="s">
        <v>681</v>
      </c>
      <c r="C53" s="8">
        <v>25000</v>
      </c>
    </row>
    <row r="54" spans="1:3" x14ac:dyDescent="0.35">
      <c r="A54" s="5">
        <v>45266</v>
      </c>
      <c r="B54" s="7" t="s">
        <v>691</v>
      </c>
      <c r="C54" s="8">
        <v>3876</v>
      </c>
    </row>
    <row r="55" spans="1:3" x14ac:dyDescent="0.35">
      <c r="A55" s="5">
        <v>45289</v>
      </c>
      <c r="B55" s="7" t="s">
        <v>698</v>
      </c>
      <c r="C55" s="8">
        <v>26000</v>
      </c>
    </row>
    <row r="56" spans="1:3" x14ac:dyDescent="0.35">
      <c r="A56" s="5">
        <v>45297</v>
      </c>
      <c r="B56" s="7" t="s">
        <v>701</v>
      </c>
      <c r="C56" s="8">
        <v>4997</v>
      </c>
    </row>
    <row r="57" spans="1:3" x14ac:dyDescent="0.35">
      <c r="A57" s="5">
        <v>45310</v>
      </c>
      <c r="B57" s="7" t="s">
        <v>705</v>
      </c>
      <c r="C57" s="8">
        <v>31013</v>
      </c>
    </row>
    <row r="58" spans="1:3" x14ac:dyDescent="0.35">
      <c r="A58" s="5">
        <v>45339</v>
      </c>
      <c r="B58" s="7" t="s">
        <v>710</v>
      </c>
      <c r="C58" s="8">
        <v>26202</v>
      </c>
    </row>
    <row r="59" spans="1:3" x14ac:dyDescent="0.35">
      <c r="A59" s="5">
        <v>45366</v>
      </c>
      <c r="B59" s="7" t="s">
        <v>810</v>
      </c>
      <c r="C59" s="8">
        <v>32566</v>
      </c>
    </row>
    <row r="60" spans="1:3" x14ac:dyDescent="0.35">
      <c r="A60" s="5">
        <v>45401</v>
      </c>
      <c r="B60" s="7" t="s">
        <v>818</v>
      </c>
      <c r="C60" s="8">
        <v>24203</v>
      </c>
    </row>
    <row r="61" spans="1:3" x14ac:dyDescent="0.35">
      <c r="A61" s="5">
        <v>45439</v>
      </c>
      <c r="B61" s="7" t="s">
        <v>832</v>
      </c>
      <c r="C61" s="8">
        <v>26581</v>
      </c>
    </row>
    <row r="62" spans="1:3" x14ac:dyDescent="0.35">
      <c r="A62" s="5">
        <v>45462</v>
      </c>
      <c r="B62" s="7" t="s">
        <v>839</v>
      </c>
      <c r="C62" s="8">
        <v>20559</v>
      </c>
    </row>
    <row r="63" spans="1:3" x14ac:dyDescent="0.35">
      <c r="A63" s="5">
        <v>45487</v>
      </c>
      <c r="B63" s="7" t="s">
        <v>849</v>
      </c>
      <c r="C63" s="8">
        <v>30819</v>
      </c>
    </row>
    <row r="64" spans="1:3" x14ac:dyDescent="0.35">
      <c r="A64" s="5">
        <v>45503</v>
      </c>
      <c r="B64" s="7" t="s">
        <v>853</v>
      </c>
      <c r="C64" s="8">
        <v>22053</v>
      </c>
    </row>
    <row r="65" spans="1:3" x14ac:dyDescent="0.35">
      <c r="A65" s="5">
        <v>45530</v>
      </c>
      <c r="B65" s="7" t="s">
        <v>860</v>
      </c>
      <c r="C65" s="8">
        <v>25535</v>
      </c>
    </row>
    <row r="66" spans="1:3" x14ac:dyDescent="0.35">
      <c r="A66" s="5">
        <v>45561</v>
      </c>
      <c r="B66" s="7" t="s">
        <v>871</v>
      </c>
      <c r="C66" s="8">
        <v>20000</v>
      </c>
    </row>
    <row r="67" spans="1:3" x14ac:dyDescent="0.35">
      <c r="A67" s="5">
        <v>45590</v>
      </c>
      <c r="B67" s="7" t="s">
        <v>879</v>
      </c>
      <c r="C67" s="8">
        <v>16936</v>
      </c>
    </row>
    <row r="68" spans="1:3" x14ac:dyDescent="0.35">
      <c r="A68" s="5">
        <v>45627</v>
      </c>
      <c r="B68" s="7" t="s">
        <v>882</v>
      </c>
      <c r="C68" s="8">
        <v>22000</v>
      </c>
    </row>
    <row r="69" spans="1:3" x14ac:dyDescent="0.35">
      <c r="A69" s="5">
        <v>45628</v>
      </c>
      <c r="B69" s="7" t="s">
        <v>883</v>
      </c>
      <c r="C69" s="8">
        <v>9434</v>
      </c>
    </row>
    <row r="70" spans="1:3" x14ac:dyDescent="0.35">
      <c r="A70" s="5">
        <v>45661</v>
      </c>
      <c r="B70" s="7" t="s">
        <v>889</v>
      </c>
      <c r="C70" s="8">
        <v>34437</v>
      </c>
    </row>
    <row r="71" spans="1:3" x14ac:dyDescent="0.35">
      <c r="A71" s="5">
        <v>45670</v>
      </c>
      <c r="B71" s="7" t="s">
        <v>893</v>
      </c>
      <c r="C71" s="8">
        <v>39421</v>
      </c>
    </row>
    <row r="72" spans="1:3" x14ac:dyDescent="0.35">
      <c r="A72" s="5">
        <v>45679</v>
      </c>
      <c r="B72" s="7" t="s">
        <v>895</v>
      </c>
      <c r="C72" s="8">
        <v>42462</v>
      </c>
    </row>
    <row r="73" spans="1:3" x14ac:dyDescent="0.35">
      <c r="A73" s="5">
        <v>45715</v>
      </c>
      <c r="B73" s="7" t="s">
        <v>898</v>
      </c>
      <c r="C73" s="8">
        <v>34432</v>
      </c>
    </row>
    <row r="74" spans="1:3" x14ac:dyDescent="0.35">
      <c r="A74" s="5">
        <v>45746</v>
      </c>
      <c r="B74" s="7" t="s">
        <v>906</v>
      </c>
      <c r="C74" s="8">
        <v>17943</v>
      </c>
    </row>
    <row r="75" spans="1:3" x14ac:dyDescent="0.35">
      <c r="A75" s="5">
        <v>45792</v>
      </c>
      <c r="B75" s="7" t="s">
        <v>912</v>
      </c>
      <c r="C75" s="8">
        <v>24000</v>
      </c>
    </row>
    <row r="76" spans="1:3" x14ac:dyDescent="0.35">
      <c r="A76" s="5">
        <v>45804</v>
      </c>
      <c r="B76" s="7" t="s">
        <v>914</v>
      </c>
      <c r="C76" s="8">
        <v>6344</v>
      </c>
    </row>
    <row r="77" spans="1:3" x14ac:dyDescent="0.35">
      <c r="A77" s="5">
        <v>45838</v>
      </c>
      <c r="B77" s="7" t="s">
        <v>921</v>
      </c>
      <c r="C77" s="8">
        <v>19000</v>
      </c>
    </row>
    <row r="78" spans="1:3" x14ac:dyDescent="0.35">
      <c r="A78" s="5">
        <v>45867</v>
      </c>
      <c r="B78" s="7" t="s">
        <v>926</v>
      </c>
      <c r="C78" s="8">
        <v>28205</v>
      </c>
    </row>
    <row r="79" spans="1:3" x14ac:dyDescent="0.35">
      <c r="A79" s="5">
        <v>45888</v>
      </c>
      <c r="B79" s="7" t="s">
        <v>930</v>
      </c>
      <c r="C79" s="8">
        <v>34000</v>
      </c>
    </row>
    <row r="80" spans="1:3" x14ac:dyDescent="0.35">
      <c r="A80" s="5">
        <v>45898</v>
      </c>
      <c r="B80" s="7" t="s">
        <v>931</v>
      </c>
      <c r="C80" s="8">
        <v>1509</v>
      </c>
    </row>
    <row r="81" spans="1:3" x14ac:dyDescent="0.35">
      <c r="A81" s="5">
        <v>45913</v>
      </c>
      <c r="B81" s="7" t="s">
        <v>939</v>
      </c>
      <c r="C81" s="8">
        <v>33316</v>
      </c>
    </row>
    <row r="82" spans="1:3" x14ac:dyDescent="0.35">
      <c r="A82" s="5">
        <v>45942</v>
      </c>
      <c r="B82" s="7" t="s">
        <v>948</v>
      </c>
      <c r="C82" s="8">
        <v>24309</v>
      </c>
    </row>
    <row r="83" spans="1:3" x14ac:dyDescent="0.35">
      <c r="A83" s="5">
        <v>45971</v>
      </c>
      <c r="B83" s="7" t="s">
        <v>963</v>
      </c>
      <c r="C83" s="8">
        <v>36116</v>
      </c>
    </row>
    <row r="84" spans="1:3" x14ac:dyDescent="0.35">
      <c r="A84" s="5">
        <v>45975</v>
      </c>
      <c r="B84" s="7" t="s">
        <v>964</v>
      </c>
      <c r="C84" s="8">
        <v>31012</v>
      </c>
    </row>
    <row r="85" spans="1:3" x14ac:dyDescent="0.35">
      <c r="A85" s="5">
        <v>45975</v>
      </c>
      <c r="B85" s="7" t="s">
        <v>976</v>
      </c>
      <c r="C85" s="8">
        <v>31521</v>
      </c>
    </row>
    <row r="86" spans="1:3" x14ac:dyDescent="0.35">
      <c r="A86" s="5">
        <v>46017</v>
      </c>
      <c r="B86" s="7" t="s">
        <v>980</v>
      </c>
      <c r="C86" s="8">
        <v>33725</v>
      </c>
    </row>
  </sheetData>
  <mergeCells count="1">
    <mergeCell ref="B1:C1"/>
  </mergeCells>
  <printOptions horizontalCentered="1" verticalCentered="1"/>
  <pageMargins left="0.70866141732283472" right="0.70866141732283472" top="0.15748031496062992" bottom="0.15748031496062992" header="0.11811023622047245" footer="0.11811023622047245"/>
  <pageSetup scale="71" fitToWidth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25770-2EFC-46B2-A872-28EAE7F1DF15}">
  <sheetPr>
    <pageSetUpPr fitToPage="1"/>
  </sheetPr>
  <dimension ref="A1"/>
  <sheetViews>
    <sheetView zoomScale="90" zoomScaleNormal="90" workbookViewId="0">
      <selection activeCell="F120" sqref="F120"/>
    </sheetView>
  </sheetViews>
  <sheetFormatPr baseColWidth="10" defaultRowHeight="14.5" x14ac:dyDescent="0.35"/>
  <cols>
    <col min="11" max="11" width="8.6328125" customWidth="1"/>
  </cols>
  <sheetData/>
  <printOptions horizontalCentered="1" verticalCentered="1"/>
  <pageMargins left="0.25" right="0.25" top="0.75" bottom="0.75" header="0.3" footer="0.3"/>
  <pageSetup scale="82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Presupuesto</vt:lpstr>
      <vt:lpstr>Gastos</vt:lpstr>
      <vt:lpstr>CEA</vt:lpstr>
      <vt:lpstr>Graficas</vt:lpstr>
      <vt:lpstr>CEA!Área_de_impresión</vt:lpstr>
      <vt:lpstr>RESTAURACIÓN_FACHADA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Cabrera</dc:creator>
  <cp:lastModifiedBy>Jose Cabrera</cp:lastModifiedBy>
  <cp:lastPrinted>2026-01-10T22:31:44Z</cp:lastPrinted>
  <dcterms:created xsi:type="dcterms:W3CDTF">2023-08-15T21:12:59Z</dcterms:created>
  <dcterms:modified xsi:type="dcterms:W3CDTF">2026-10-04T04:33:45Z</dcterms:modified>
</cp:coreProperties>
</file>